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jorn\Documents\bjorn76\WS\KoF\"/>
    </mc:Choice>
  </mc:AlternateContent>
  <xr:revisionPtr revIDLastSave="0" documentId="13_ncr:1_{6D82DDD3-64DA-4BC0-91B2-AD33CDAC28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" sheetId="1" r:id="rId1"/>
    <sheet name="BaseUrl" sheetId="2" r:id="rId2"/>
  </sheets>
  <definedNames>
    <definedName name="_xlnm._FilterDatabase" localSheetId="0" hidden="1">User!$A$1:$L$53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F22" i="1"/>
  <c r="G22" i="1"/>
  <c r="H22" i="1"/>
  <c r="I22" i="1"/>
  <c r="J22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G17" i="1" s="1"/>
  <c r="J18" i="1"/>
  <c r="J19" i="1"/>
  <c r="G19" i="1" s="1"/>
  <c r="J20" i="1"/>
  <c r="J21" i="1"/>
  <c r="J23" i="1"/>
  <c r="J24" i="1"/>
  <c r="J25" i="1"/>
  <c r="J26" i="1"/>
  <c r="G26" i="1" s="1"/>
  <c r="J27" i="1"/>
  <c r="G27" i="1" s="1"/>
  <c r="J28" i="1"/>
  <c r="J29" i="1"/>
  <c r="J30" i="1"/>
  <c r="J31" i="1"/>
  <c r="J32" i="1"/>
  <c r="J33" i="1"/>
  <c r="J34" i="1"/>
  <c r="G34" i="1" s="1"/>
  <c r="J35" i="1"/>
  <c r="J36" i="1"/>
  <c r="J37" i="1"/>
  <c r="J38" i="1"/>
  <c r="J39" i="1"/>
  <c r="J40" i="1"/>
  <c r="G40" i="1" s="1"/>
  <c r="J41" i="1"/>
  <c r="J42" i="1"/>
  <c r="J43" i="1"/>
  <c r="G43" i="1" s="1"/>
  <c r="J44" i="1"/>
  <c r="J45" i="1"/>
  <c r="J46" i="1"/>
  <c r="J47" i="1"/>
  <c r="J48" i="1"/>
  <c r="G48" i="1" s="1"/>
  <c r="J49" i="1"/>
  <c r="J50" i="1"/>
  <c r="J51" i="1"/>
  <c r="J52" i="1"/>
  <c r="J53" i="1"/>
  <c r="I3" i="1"/>
  <c r="I4" i="1"/>
  <c r="I5" i="1"/>
  <c r="I6" i="1"/>
  <c r="I7" i="1"/>
  <c r="F7" i="1" s="1"/>
  <c r="I8" i="1"/>
  <c r="I9" i="1"/>
  <c r="I10" i="1"/>
  <c r="I11" i="1"/>
  <c r="I12" i="1"/>
  <c r="I13" i="1"/>
  <c r="I14" i="1"/>
  <c r="I15" i="1"/>
  <c r="I16" i="1"/>
  <c r="F16" i="1" s="1"/>
  <c r="I17" i="1"/>
  <c r="I18" i="1"/>
  <c r="I19" i="1"/>
  <c r="I20" i="1"/>
  <c r="I21" i="1"/>
  <c r="I23" i="1"/>
  <c r="I24" i="1"/>
  <c r="I25" i="1"/>
  <c r="F25" i="1" s="1"/>
  <c r="I26" i="1"/>
  <c r="I27" i="1"/>
  <c r="F27" i="1" s="1"/>
  <c r="I28" i="1"/>
  <c r="I29" i="1"/>
  <c r="I30" i="1"/>
  <c r="F30" i="1" s="1"/>
  <c r="I31" i="1"/>
  <c r="I32" i="1"/>
  <c r="F32" i="1" s="1"/>
  <c r="I33" i="1"/>
  <c r="I34" i="1"/>
  <c r="I35" i="1"/>
  <c r="I36" i="1"/>
  <c r="I37" i="1"/>
  <c r="I38" i="1"/>
  <c r="I39" i="1"/>
  <c r="I40" i="1"/>
  <c r="F40" i="1" s="1"/>
  <c r="I41" i="1"/>
  <c r="F41" i="1" s="1"/>
  <c r="I42" i="1"/>
  <c r="I43" i="1"/>
  <c r="F43" i="1" s="1"/>
  <c r="I44" i="1"/>
  <c r="I45" i="1"/>
  <c r="I46" i="1"/>
  <c r="F46" i="1" s="1"/>
  <c r="I47" i="1"/>
  <c r="I48" i="1"/>
  <c r="I49" i="1"/>
  <c r="I50" i="1"/>
  <c r="I51" i="1"/>
  <c r="I52" i="1"/>
  <c r="I53" i="1"/>
  <c r="H50" i="1"/>
  <c r="H42" i="1"/>
  <c r="H43" i="1"/>
  <c r="E43" i="1" s="1"/>
  <c r="H44" i="1"/>
  <c r="E44" i="1" s="1"/>
  <c r="H45" i="1"/>
  <c r="H46" i="1"/>
  <c r="E46" i="1" s="1"/>
  <c r="H47" i="1"/>
  <c r="H48" i="1"/>
  <c r="E48" i="1" s="1"/>
  <c r="H49" i="1"/>
  <c r="H41" i="1"/>
  <c r="E41" i="1" s="1"/>
  <c r="H37" i="1"/>
  <c r="H38" i="1"/>
  <c r="H39" i="1"/>
  <c r="E39" i="1" s="1"/>
  <c r="H40" i="1"/>
  <c r="E40" i="1" s="1"/>
  <c r="H36" i="1"/>
  <c r="E36" i="1" s="1"/>
  <c r="H4" i="1"/>
  <c r="H5" i="1"/>
  <c r="H6" i="1"/>
  <c r="H7" i="1"/>
  <c r="E7" i="1" s="1"/>
  <c r="H8" i="1"/>
  <c r="H9" i="1"/>
  <c r="H10" i="1"/>
  <c r="H11" i="1"/>
  <c r="E11" i="1" s="1"/>
  <c r="H12" i="1"/>
  <c r="H13" i="1"/>
  <c r="H14" i="1"/>
  <c r="H15" i="1"/>
  <c r="H16" i="1"/>
  <c r="E16" i="1" s="1"/>
  <c r="H17" i="1"/>
  <c r="E17" i="1" s="1"/>
  <c r="H18" i="1"/>
  <c r="H19" i="1"/>
  <c r="E19" i="1" s="1"/>
  <c r="H20" i="1"/>
  <c r="H21" i="1"/>
  <c r="E21" i="1" s="1"/>
  <c r="H23" i="1"/>
  <c r="H24" i="1"/>
  <c r="E24" i="1" s="1"/>
  <c r="H25" i="1"/>
  <c r="E25" i="1" s="1"/>
  <c r="H26" i="1"/>
  <c r="E26" i="1" s="1"/>
  <c r="H27" i="1"/>
  <c r="E27" i="1" s="1"/>
  <c r="H28" i="1"/>
  <c r="E28" i="1" s="1"/>
  <c r="H29" i="1"/>
  <c r="E29" i="1" s="1"/>
  <c r="H30" i="1"/>
  <c r="H31" i="1"/>
  <c r="H32" i="1"/>
  <c r="E32" i="1" s="1"/>
  <c r="H33" i="1"/>
  <c r="H34" i="1"/>
  <c r="H35" i="1"/>
  <c r="G16" i="1"/>
  <c r="E15" i="1"/>
  <c r="F15" i="1"/>
  <c r="G15" i="1"/>
  <c r="G41" i="1"/>
  <c r="E35" i="1"/>
  <c r="F35" i="1"/>
  <c r="G35" i="1"/>
  <c r="F36" i="1"/>
  <c r="G36" i="1"/>
  <c r="E37" i="1"/>
  <c r="F37" i="1"/>
  <c r="G37" i="1"/>
  <c r="G8" i="1"/>
  <c r="G9" i="1"/>
  <c r="G10" i="1"/>
  <c r="G13" i="1"/>
  <c r="G18" i="1"/>
  <c r="G20" i="1"/>
  <c r="G23" i="1"/>
  <c r="G33" i="1"/>
  <c r="G38" i="1"/>
  <c r="G42" i="1"/>
  <c r="G49" i="1"/>
  <c r="G51" i="1"/>
  <c r="G52" i="1"/>
  <c r="G53" i="1"/>
  <c r="G4" i="1"/>
  <c r="G5" i="1"/>
  <c r="G6" i="1"/>
  <c r="G7" i="1"/>
  <c r="G11" i="1"/>
  <c r="G12" i="1"/>
  <c r="G14" i="1"/>
  <c r="G25" i="1"/>
  <c r="G21" i="1"/>
  <c r="G46" i="1"/>
  <c r="G24" i="1"/>
  <c r="G28" i="1"/>
  <c r="G29" i="1"/>
  <c r="G30" i="1"/>
  <c r="G31" i="1"/>
  <c r="G32" i="1"/>
  <c r="G39" i="1"/>
  <c r="G44" i="1"/>
  <c r="G45" i="1"/>
  <c r="G47" i="1"/>
  <c r="G3" i="1"/>
  <c r="E8" i="1"/>
  <c r="E9" i="1"/>
  <c r="E10" i="1"/>
  <c r="E13" i="1"/>
  <c r="E18" i="1"/>
  <c r="E20" i="1"/>
  <c r="E23" i="1"/>
  <c r="E33" i="1"/>
  <c r="E38" i="1"/>
  <c r="E42" i="1"/>
  <c r="E49" i="1"/>
  <c r="E51" i="1"/>
  <c r="E52" i="1"/>
  <c r="E53" i="1"/>
  <c r="H3" i="1"/>
  <c r="E3" i="1" s="1"/>
  <c r="E4" i="1"/>
  <c r="E5" i="1"/>
  <c r="E6" i="1"/>
  <c r="E12" i="1"/>
  <c r="E14" i="1"/>
  <c r="E30" i="1"/>
  <c r="E31" i="1"/>
  <c r="E34" i="1"/>
  <c r="E45" i="1"/>
  <c r="E47" i="1"/>
  <c r="H51" i="1"/>
  <c r="H52" i="1"/>
  <c r="H53" i="1"/>
  <c r="H2" i="1"/>
  <c r="E2" i="1" s="1"/>
  <c r="F8" i="1"/>
  <c r="F9" i="1"/>
  <c r="F10" i="1"/>
  <c r="F13" i="1"/>
  <c r="F18" i="1"/>
  <c r="F20" i="1"/>
  <c r="F23" i="1"/>
  <c r="F33" i="1"/>
  <c r="F38" i="1"/>
  <c r="F42" i="1"/>
  <c r="F49" i="1"/>
  <c r="F51" i="1"/>
  <c r="F52" i="1"/>
  <c r="F53" i="1"/>
  <c r="F3" i="1"/>
  <c r="F4" i="1"/>
  <c r="F5" i="1"/>
  <c r="F6" i="1"/>
  <c r="F11" i="1"/>
  <c r="F12" i="1"/>
  <c r="F14" i="1"/>
  <c r="F17" i="1"/>
  <c r="F19" i="1"/>
  <c r="F21" i="1"/>
  <c r="F24" i="1"/>
  <c r="F48" i="1"/>
  <c r="F26" i="1"/>
  <c r="F28" i="1"/>
  <c r="F29" i="1"/>
  <c r="F31" i="1"/>
  <c r="F34" i="1"/>
  <c r="F39" i="1"/>
  <c r="F44" i="1"/>
  <c r="F45" i="1"/>
  <c r="F47" i="1"/>
  <c r="I2" i="1"/>
  <c r="F2" i="1" s="1"/>
  <c r="J2" i="1"/>
  <c r="G2" i="1" s="1"/>
</calcChain>
</file>

<file path=xl/sharedStrings.xml><?xml version="1.0" encoding="utf-8"?>
<sst xmlns="http://schemas.openxmlformats.org/spreadsheetml/2006/main" count="106" uniqueCount="100">
  <si>
    <t>BQ</t>
  </si>
  <si>
    <t>Jocke</t>
  </si>
  <si>
    <t>Örjan</t>
  </si>
  <si>
    <t>UserId</t>
  </si>
  <si>
    <t>https://www.gps-speedsurfing.com/sessions/userequipment?userid=</t>
  </si>
  <si>
    <t>Alias</t>
  </si>
  <si>
    <t>Berra</t>
  </si>
  <si>
    <t>Räkan</t>
  </si>
  <si>
    <t>Ultraräkan</t>
  </si>
  <si>
    <t>Ungtuppen</t>
  </si>
  <si>
    <t>Bergström</t>
  </si>
  <si>
    <t>JesPer</t>
  </si>
  <si>
    <t>Mogge</t>
  </si>
  <si>
    <t>Ove</t>
  </si>
  <si>
    <t>J&amp;B</t>
  </si>
  <si>
    <t>EA</t>
  </si>
  <si>
    <t>Budda</t>
  </si>
  <si>
    <t>Joko</t>
  </si>
  <si>
    <t>Harald</t>
  </si>
  <si>
    <t>#</t>
  </si>
  <si>
    <t>Name</t>
  </si>
  <si>
    <t>Url</t>
  </si>
  <si>
    <t>Anders Björkqvist</t>
  </si>
  <si>
    <t>Anders Nilsson</t>
  </si>
  <si>
    <t>Arne Samuelsson</t>
  </si>
  <si>
    <t>August Thelin</t>
  </si>
  <si>
    <t>Björn Johansson</t>
  </si>
  <si>
    <t>Bjorn Sandberg</t>
  </si>
  <si>
    <t>Carl Ribbegaardh</t>
  </si>
  <si>
    <t>Daniel Borgelind</t>
  </si>
  <si>
    <t>Daniel E.A. Gustafsson</t>
  </si>
  <si>
    <t>Daniel Hoffmann</t>
  </si>
  <si>
    <t>Daniel Tobiasson</t>
  </si>
  <si>
    <t>David Giaina</t>
  </si>
  <si>
    <t>Erik Larsson</t>
  </si>
  <si>
    <t>Erik Ryden</t>
  </si>
  <si>
    <t>François Pettorelli</t>
  </si>
  <si>
    <t>Fredrk Wettervik Lööf</t>
  </si>
  <si>
    <t>Henrick Schill</t>
  </si>
  <si>
    <t>Jesper Kropp Axelsson</t>
  </si>
  <si>
    <t>Joakim Hansson</t>
  </si>
  <si>
    <t>Johan Gelander</t>
  </si>
  <si>
    <t>Johan Millbergs</t>
  </si>
  <si>
    <t>Joko Mrnjavac</t>
  </si>
  <si>
    <t>Jonas Bergström</t>
  </si>
  <si>
    <t>Jonas Göransson</t>
  </si>
  <si>
    <t>Jonas Sörensen</t>
  </si>
  <si>
    <t>Kate Christensen</t>
  </si>
  <si>
    <t>Kim Born</t>
  </si>
  <si>
    <t>Marcus Richardson</t>
  </si>
  <si>
    <t>Markus Emanuelsson</t>
  </si>
  <si>
    <t>Martin Hultman</t>
  </si>
  <si>
    <t>Mats Abrahamsson</t>
  </si>
  <si>
    <t>Mats Morén</t>
  </si>
  <si>
    <t>Michael Nordström</t>
  </si>
  <si>
    <t>Morgan Ruudh</t>
  </si>
  <si>
    <t>Örjan Olsson</t>
  </si>
  <si>
    <t>Ove Jansson</t>
  </si>
  <si>
    <t>Per Högberg</t>
  </si>
  <si>
    <t>Peter Modéer</t>
  </si>
  <si>
    <t>Rickard Fossum</t>
  </si>
  <si>
    <t>Teodor Andersson</t>
  </si>
  <si>
    <t>Daniel Grimberg</t>
  </si>
  <si>
    <t>Harald Jeppsson</t>
  </si>
  <si>
    <t>Sessions</t>
  </si>
  <si>
    <t>Mats Dahlberg</t>
  </si>
  <si>
    <t>Arne</t>
  </si>
  <si>
    <t>UserDetails</t>
  </si>
  <si>
    <t>UserEquip.</t>
  </si>
  <si>
    <t>https://www.gps-speedsurfing.com/UserDetails?Id=</t>
  </si>
  <si>
    <t>AN</t>
  </si>
  <si>
    <t>Link 
Sessions</t>
  </si>
  <si>
    <t>Link 
User</t>
  </si>
  <si>
    <t>https://www.gps-speedsurfing.com/sessions/usersessions?userid=</t>
  </si>
  <si>
    <t>Link 
Equip.</t>
  </si>
  <si>
    <t>Grimberg</t>
  </si>
  <si>
    <t>Borgelind</t>
  </si>
  <si>
    <t>Ryden</t>
  </si>
  <si>
    <t>Millbergs</t>
  </si>
  <si>
    <t>E Larsson</t>
  </si>
  <si>
    <t>Richardsson</t>
  </si>
  <si>
    <t>Emanuelsson</t>
  </si>
  <si>
    <t>Martin Distner</t>
  </si>
  <si>
    <t>Distner</t>
  </si>
  <si>
    <t>Mattias Berggren</t>
  </si>
  <si>
    <t>Göran</t>
  </si>
  <si>
    <t>Sören</t>
  </si>
  <si>
    <t>Kate</t>
  </si>
  <si>
    <t>Kim</t>
  </si>
  <si>
    <t>AT</t>
  </si>
  <si>
    <t>Fossum</t>
  </si>
  <si>
    <t>Peter Windeman</t>
  </si>
  <si>
    <t>M Dahlberg</t>
  </si>
  <si>
    <t>Plettil</t>
  </si>
  <si>
    <t>Dylan de Jong</t>
  </si>
  <si>
    <t>djong1</t>
  </si>
  <si>
    <t>Sebastian Thoem</t>
  </si>
  <si>
    <t>Bastian</t>
  </si>
  <si>
    <t>Henke Torslanda</t>
  </si>
  <si>
    <t>Henrik Larsson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</si>
</sst>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11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0" fillId="0" borderId="1" xfId="0" applyBorder="1"/>
    <xf numFmtId="1" fontId="5" fillId="0" borderId="1" xfId="2" applyNumberFormat="1" applyBorder="1" applyAlignment="1" applyProtection="1">
      <alignment horizontal="left" vertical="center"/>
      <protection hidden="1"/>
    </xf>
    <xf numFmtId="0" fontId="3" fillId="0" borderId="1" xfId="0" applyFont="1" applyBorder="1"/>
    <xf numFmtId="0" fontId="2" fillId="0" borderId="1" xfId="1" applyBorder="1"/>
    <xf numFmtId="0" fontId="6" fillId="0" borderId="0" xfId="0" applyFont="1"/>
    <xf numFmtId="0" fontId="1" fillId="0" borderId="0" xfId="0" applyFont="1" applyAlignment="1">
      <alignment wrapText="1"/>
    </xf>
    <xf numFmtId="1" fontId="5" fillId="2" borderId="1" xfId="2" applyNumberFormat="1" applyFill="1" applyBorder="1" applyAlignment="1" applyProtection="1">
      <alignment horizontal="left" vertical="center"/>
      <protection hidden="1"/>
    </xf>
  </cellXfs>
  <cellStyles count="3">
    <cellStyle name="Hyperlink" xfId="1" builtinId="8"/>
    <cellStyle name="Normal" xfId="0" builtinId="0"/>
    <cellStyle name="Normal 2" xfId="2" xr:uid="{BF042135-DAB6-4CCE-8525-5012176B8A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53"/>
  <sheetViews>
    <sheetView tabSelected="1" zoomScale="129" zoomScaleNormal="115" workbookViewId="0">
      <pane ySplit="1" topLeftCell="A24" activePane="bottomLeft" state="frozen"/>
      <selection pane="bottomLeft" activeCell="E10" sqref="E10"/>
    </sheetView>
  </sheetViews>
  <sheetFormatPr defaultRowHeight="14.4" outlineLevelCol="1" x14ac:dyDescent="0.3"/>
  <cols>
    <col min="1" max="1" width="5.33203125" customWidth="1"/>
    <col min="2" max="2" width="15.33203125" style="1" bestFit="1" customWidth="1"/>
    <col min="3" max="3" width="19.88671875" bestFit="1" customWidth="1"/>
    <col min="4" max="4" width="8.6640625" bestFit="1" customWidth="1"/>
    <col min="5" max="5" width="12.33203125" customWidth="1"/>
    <col min="6" max="6" width="15.33203125" bestFit="1" customWidth="1"/>
    <col min="7" max="7" width="15.6640625" customWidth="1"/>
    <col min="8" max="8" width="44.33203125" customWidth="1" outlineLevel="1"/>
    <col min="9" max="9" width="58.109375" customWidth="1" outlineLevel="1"/>
    <col min="10" max="10" width="56.109375" customWidth="1" outlineLevel="1"/>
    <col min="13" max="13" width="48.33203125" bestFit="1" customWidth="1"/>
  </cols>
  <sheetData>
    <row r="1" spans="1:12" ht="28.8" x14ac:dyDescent="0.3">
      <c r="A1" s="3" t="s">
        <v>19</v>
      </c>
      <c r="B1" s="3" t="s">
        <v>5</v>
      </c>
      <c r="C1" s="2" t="s">
        <v>20</v>
      </c>
      <c r="D1" s="2" t="s">
        <v>3</v>
      </c>
      <c r="E1" s="9" t="s">
        <v>72</v>
      </c>
      <c r="F1" s="9" t="s">
        <v>74</v>
      </c>
      <c r="G1" s="9" t="s">
        <v>71</v>
      </c>
      <c r="H1" s="8" t="s">
        <v>67</v>
      </c>
      <c r="I1" s="8" t="s">
        <v>68</v>
      </c>
      <c r="J1" t="s">
        <v>64</v>
      </c>
    </row>
    <row r="2" spans="1:12" x14ac:dyDescent="0.3">
      <c r="A2" s="4">
        <v>1</v>
      </c>
      <c r="B2" s="6" t="s">
        <v>0</v>
      </c>
      <c r="C2" s="5" t="s">
        <v>22</v>
      </c>
      <c r="D2" s="4">
        <v>2558</v>
      </c>
      <c r="E2" s="7" t="str">
        <f t="shared" ref="E2:E22" si="0">IF(D2&gt;0,HYPERLINK(_xlfn.CONCAT(H2,D2),IF(B2="",C2,B2)),"")</f>
        <v>BQ</v>
      </c>
      <c r="F2" s="7" t="str">
        <f t="shared" ref="F2:F22" si="1">IF(D2&gt;0,HYPERLINK(_xlfn.CONCAT(I2,D2),IF(B2="",C2,B2)),"")</f>
        <v>BQ</v>
      </c>
      <c r="G2" s="7" t="str">
        <f t="shared" ref="G2:G22" si="2">IF(D2&gt;0,HYPERLINK(_xlfn.CONCAT(J2,D2),IF(B2="",C2,B2)),"")</f>
        <v>BQ</v>
      </c>
      <c r="H2" s="4" t="str">
        <f>_xlfn.XLOOKUP($H$1,BaseUrl!$B:$B,BaseUrl!$C:$C,"",0)</f>
        <v>https://www.gps-speedsurfing.com/UserDetails?Id=</v>
      </c>
      <c r="I2" s="4" t="str">
        <f>_xlfn.XLOOKUP($I$1,BaseUrl!$B:$B,BaseUrl!$C:$C,"",0)</f>
        <v>https://www.gps-speedsurfing.com/sessions/userequipment?userid=</v>
      </c>
      <c r="J2" s="4" t="str">
        <f>_xlfn.XLOOKUP($J$1,BaseUrl!$B:$B,BaseUrl!$C:$C,"",0)</f>
        <v>https://www.gps-speedsurfing.com/sessions/usersessions?userid=</v>
      </c>
      <c r="K2" s="4"/>
      <c r="L2" s="4"/>
    </row>
    <row r="3" spans="1:12" x14ac:dyDescent="0.3">
      <c r="A3" s="4">
        <v>2</v>
      </c>
      <c r="B3" s="6" t="s">
        <v>70</v>
      </c>
      <c r="C3" s="5" t="s">
        <v>23</v>
      </c>
      <c r="D3" s="4">
        <v>25610</v>
      </c>
      <c r="E3" s="7" t="str">
        <f t="shared" si="0"/>
        <v>AN</v>
      </c>
      <c r="F3" s="7" t="str">
        <f t="shared" si="1"/>
        <v>AN</v>
      </c>
      <c r="G3" s="7" t="str">
        <f t="shared" si="2"/>
        <v>AN</v>
      </c>
      <c r="H3" s="4" t="str">
        <f>_xlfn.XLOOKUP($H$1,BaseUrl!$B:$B,BaseUrl!$C:$C,"",0)</f>
        <v>https://www.gps-speedsurfing.com/UserDetails?Id=</v>
      </c>
      <c r="I3" s="4" t="str">
        <f>_xlfn.XLOOKUP($I$1,BaseUrl!$B:$B,BaseUrl!$C:$C,"",0)</f>
        <v>https://www.gps-speedsurfing.com/sessions/userequipment?userid=</v>
      </c>
      <c r="J3" s="4" t="str">
        <f>_xlfn.XLOOKUP($J$1,BaseUrl!$B:$B,BaseUrl!$C:$C,"",0)</f>
        <v>https://www.gps-speedsurfing.com/sessions/usersessions?userid=</v>
      </c>
      <c r="K3" s="4"/>
      <c r="L3" s="4"/>
    </row>
    <row r="4" spans="1:12" x14ac:dyDescent="0.3">
      <c r="A4" s="4">
        <v>3</v>
      </c>
      <c r="B4" s="6" t="s">
        <v>66</v>
      </c>
      <c r="C4" s="10" t="s">
        <v>24</v>
      </c>
      <c r="D4" s="4">
        <v>497225</v>
      </c>
      <c r="E4" s="7" t="str">
        <f t="shared" si="0"/>
        <v>Arne</v>
      </c>
      <c r="F4" s="7" t="str">
        <f t="shared" si="1"/>
        <v>Arne</v>
      </c>
      <c r="G4" s="7" t="str">
        <f t="shared" si="2"/>
        <v>Arne</v>
      </c>
      <c r="H4" s="4" t="str">
        <f>_xlfn.XLOOKUP($H$1,BaseUrl!$B:$B,BaseUrl!$C:$C,"",0)</f>
        <v>https://www.gps-speedsurfing.com/UserDetails?Id=</v>
      </c>
      <c r="I4" s="4" t="str">
        <f>_xlfn.XLOOKUP($I$1,BaseUrl!$B:$B,BaseUrl!$C:$C,"",0)</f>
        <v>https://www.gps-speedsurfing.com/sessions/userequipment?userid=</v>
      </c>
      <c r="J4" s="4" t="str">
        <f>_xlfn.XLOOKUP($J$1,BaseUrl!$B:$B,BaseUrl!$C:$C,"",0)</f>
        <v>https://www.gps-speedsurfing.com/sessions/usersessions?userid=</v>
      </c>
      <c r="K4" s="4"/>
      <c r="L4" s="4"/>
    </row>
    <row r="5" spans="1:12" x14ac:dyDescent="0.3">
      <c r="A5" s="4">
        <v>4</v>
      </c>
      <c r="B5" s="6" t="s">
        <v>89</v>
      </c>
      <c r="C5" s="5" t="s">
        <v>25</v>
      </c>
      <c r="D5" s="4">
        <v>469015</v>
      </c>
      <c r="E5" s="7" t="str">
        <f t="shared" si="0"/>
        <v>AT</v>
      </c>
      <c r="F5" s="7" t="str">
        <f t="shared" si="1"/>
        <v>AT</v>
      </c>
      <c r="G5" s="7" t="str">
        <f t="shared" si="2"/>
        <v>AT</v>
      </c>
      <c r="H5" s="4" t="str">
        <f>_xlfn.XLOOKUP($H$1,BaseUrl!$B:$B,BaseUrl!$C:$C,"",0)</f>
        <v>https://www.gps-speedsurfing.com/UserDetails?Id=</v>
      </c>
      <c r="I5" s="4" t="str">
        <f>_xlfn.XLOOKUP($I$1,BaseUrl!$B:$B,BaseUrl!$C:$C,"",0)</f>
        <v>https://www.gps-speedsurfing.com/sessions/userequipment?userid=</v>
      </c>
      <c r="J5" s="4" t="str">
        <f>_xlfn.XLOOKUP($J$1,BaseUrl!$B:$B,BaseUrl!$C:$C,"",0)</f>
        <v>https://www.gps-speedsurfing.com/sessions/usersessions?userid=</v>
      </c>
      <c r="K5" s="4"/>
      <c r="L5" s="4"/>
    </row>
    <row r="6" spans="1:12" x14ac:dyDescent="0.3">
      <c r="A6" s="4">
        <v>5</v>
      </c>
      <c r="B6" s="6" t="s">
        <v>14</v>
      </c>
      <c r="C6" s="5" t="s">
        <v>10</v>
      </c>
      <c r="D6" s="4">
        <v>22378</v>
      </c>
      <c r="E6" s="7" t="str">
        <f t="shared" si="0"/>
        <v>J&amp;B</v>
      </c>
      <c r="F6" s="7" t="str">
        <f t="shared" si="1"/>
        <v>J&amp;B</v>
      </c>
      <c r="G6" s="7" t="str">
        <f t="shared" si="2"/>
        <v>J&amp;B</v>
      </c>
      <c r="H6" s="4" t="str">
        <f>_xlfn.XLOOKUP($H$1,BaseUrl!$B:$B,BaseUrl!$C:$C,"",0)</f>
        <v>https://www.gps-speedsurfing.com/UserDetails?Id=</v>
      </c>
      <c r="I6" s="4" t="str">
        <f>_xlfn.XLOOKUP($I$1,BaseUrl!$B:$B,BaseUrl!$C:$C,"",0)</f>
        <v>https://www.gps-speedsurfing.com/sessions/userequipment?userid=</v>
      </c>
      <c r="J6" s="4" t="str">
        <f>_xlfn.XLOOKUP($J$1,BaseUrl!$B:$B,BaseUrl!$C:$C,"",0)</f>
        <v>https://www.gps-speedsurfing.com/sessions/usersessions?userid=</v>
      </c>
      <c r="K6" s="4"/>
      <c r="L6" s="4"/>
    </row>
    <row r="7" spans="1:12" x14ac:dyDescent="0.3">
      <c r="A7" s="4">
        <v>6</v>
      </c>
      <c r="B7" s="6" t="s">
        <v>6</v>
      </c>
      <c r="C7" s="10" t="s">
        <v>26</v>
      </c>
      <c r="D7" s="4">
        <v>23841</v>
      </c>
      <c r="E7" s="7" t="str">
        <f t="shared" si="0"/>
        <v>Berra</v>
      </c>
      <c r="F7" s="7" t="str">
        <f t="shared" si="1"/>
        <v>Berra</v>
      </c>
      <c r="G7" s="7" t="str">
        <f t="shared" si="2"/>
        <v>Berra</v>
      </c>
      <c r="H7" s="4" t="str">
        <f>_xlfn.XLOOKUP($H$1,BaseUrl!$B:$B,BaseUrl!$C:$C,"",0)</f>
        <v>https://www.gps-speedsurfing.com/UserDetails?Id=</v>
      </c>
      <c r="I7" s="4" t="str">
        <f>_xlfn.XLOOKUP($I$1,BaseUrl!$B:$B,BaseUrl!$C:$C,"",0)</f>
        <v>https://www.gps-speedsurfing.com/sessions/userequipment?userid=</v>
      </c>
      <c r="J7" s="4" t="str">
        <f>_xlfn.XLOOKUP($J$1,BaseUrl!$B:$B,BaseUrl!$C:$C,"",0)</f>
        <v>https://www.gps-speedsurfing.com/sessions/usersessions?userid=</v>
      </c>
      <c r="K7" s="4"/>
      <c r="L7" s="4"/>
    </row>
    <row r="8" spans="1:12" x14ac:dyDescent="0.3">
      <c r="A8" s="4">
        <v>7</v>
      </c>
      <c r="B8" s="6"/>
      <c r="C8" s="5" t="s">
        <v>27</v>
      </c>
      <c r="D8" s="4"/>
      <c r="E8" s="7" t="str">
        <f t="shared" si="0"/>
        <v/>
      </c>
      <c r="F8" s="7" t="str">
        <f t="shared" si="1"/>
        <v/>
      </c>
      <c r="G8" s="7" t="str">
        <f t="shared" si="2"/>
        <v/>
      </c>
      <c r="H8" s="4" t="str">
        <f>_xlfn.XLOOKUP($H$1,BaseUrl!$B:$B,BaseUrl!$C:$C,"",0)</f>
        <v>https://www.gps-speedsurfing.com/UserDetails?Id=</v>
      </c>
      <c r="I8" s="4" t="str">
        <f>_xlfn.XLOOKUP($I$1,BaseUrl!$B:$B,BaseUrl!$C:$C,"",0)</f>
        <v>https://www.gps-speedsurfing.com/sessions/userequipment?userid=</v>
      </c>
      <c r="J8" s="4" t="str">
        <f>_xlfn.XLOOKUP($J$1,BaseUrl!$B:$B,BaseUrl!$C:$C,"",0)</f>
        <v>https://www.gps-speedsurfing.com/sessions/usersessions?userid=</v>
      </c>
      <c r="K8" s="4"/>
      <c r="L8" s="4"/>
    </row>
    <row r="9" spans="1:12" x14ac:dyDescent="0.3">
      <c r="A9" s="4">
        <v>8</v>
      </c>
      <c r="B9" s="6"/>
      <c r="C9" s="5" t="s">
        <v>28</v>
      </c>
      <c r="D9" s="4"/>
      <c r="E9" s="7" t="str">
        <f t="shared" si="0"/>
        <v/>
      </c>
      <c r="F9" s="7" t="str">
        <f t="shared" si="1"/>
        <v/>
      </c>
      <c r="G9" s="7" t="str">
        <f t="shared" si="2"/>
        <v/>
      </c>
      <c r="H9" s="4" t="str">
        <f>_xlfn.XLOOKUP($H$1,BaseUrl!$B:$B,BaseUrl!$C:$C,"",0)</f>
        <v>https://www.gps-speedsurfing.com/UserDetails?Id=</v>
      </c>
      <c r="I9" s="4" t="str">
        <f>_xlfn.XLOOKUP($I$1,BaseUrl!$B:$B,BaseUrl!$C:$C,"",0)</f>
        <v>https://www.gps-speedsurfing.com/sessions/userequipment?userid=</v>
      </c>
      <c r="J9" s="4" t="str">
        <f>_xlfn.XLOOKUP($J$1,BaseUrl!$B:$B,BaseUrl!$C:$C,"",0)</f>
        <v>https://www.gps-speedsurfing.com/sessions/usersessions?userid=</v>
      </c>
      <c r="K9" s="4"/>
      <c r="L9" s="4"/>
    </row>
    <row r="10" spans="1:12" x14ac:dyDescent="0.3">
      <c r="A10" s="4">
        <v>9</v>
      </c>
      <c r="B10" s="6" t="s">
        <v>76</v>
      </c>
      <c r="C10" s="5" t="s">
        <v>29</v>
      </c>
      <c r="D10" s="4">
        <v>587</v>
      </c>
      <c r="E10" s="7" t="str">
        <f t="shared" si="0"/>
        <v>Borgelind</v>
      </c>
      <c r="F10" s="7" t="str">
        <f t="shared" si="1"/>
        <v>Borgelind</v>
      </c>
      <c r="G10" s="7" t="str">
        <f t="shared" si="2"/>
        <v>Borgelind</v>
      </c>
      <c r="H10" s="4" t="str">
        <f>_xlfn.XLOOKUP($H$1,BaseUrl!$B:$B,BaseUrl!$C:$C,"",0)</f>
        <v>https://www.gps-speedsurfing.com/UserDetails?Id=</v>
      </c>
      <c r="I10" s="4" t="str">
        <f>_xlfn.XLOOKUP($I$1,BaseUrl!$B:$B,BaseUrl!$C:$C,"",0)</f>
        <v>https://www.gps-speedsurfing.com/sessions/userequipment?userid=</v>
      </c>
      <c r="J10" s="4" t="str">
        <f>_xlfn.XLOOKUP($J$1,BaseUrl!$B:$B,BaseUrl!$C:$C,"",0)</f>
        <v>https://www.gps-speedsurfing.com/sessions/usersessions?userid=</v>
      </c>
      <c r="K10" s="4"/>
      <c r="L10" s="4"/>
    </row>
    <row r="11" spans="1:12" x14ac:dyDescent="0.3">
      <c r="A11" s="4">
        <v>10</v>
      </c>
      <c r="B11" s="6" t="s">
        <v>15</v>
      </c>
      <c r="C11" s="10" t="s">
        <v>30</v>
      </c>
      <c r="D11" s="4">
        <v>4051</v>
      </c>
      <c r="E11" s="7" t="str">
        <f t="shared" si="0"/>
        <v>EA</v>
      </c>
      <c r="F11" s="7" t="str">
        <f t="shared" si="1"/>
        <v>EA</v>
      </c>
      <c r="G11" s="7" t="str">
        <f t="shared" si="2"/>
        <v>EA</v>
      </c>
      <c r="H11" s="4" t="str">
        <f>_xlfn.XLOOKUP($H$1,BaseUrl!$B:$B,BaseUrl!$C:$C,"",0)</f>
        <v>https://www.gps-speedsurfing.com/UserDetails?Id=</v>
      </c>
      <c r="I11" s="4" t="str">
        <f>_xlfn.XLOOKUP($I$1,BaseUrl!$B:$B,BaseUrl!$C:$C,"",0)</f>
        <v>https://www.gps-speedsurfing.com/sessions/userequipment?userid=</v>
      </c>
      <c r="J11" s="4" t="str">
        <f>_xlfn.XLOOKUP($J$1,BaseUrl!$B:$B,BaseUrl!$C:$C,"",0)</f>
        <v>https://www.gps-speedsurfing.com/sessions/usersessions?userid=</v>
      </c>
      <c r="K11" s="4"/>
      <c r="L11" s="4"/>
    </row>
    <row r="12" spans="1:12" x14ac:dyDescent="0.3">
      <c r="A12" s="4">
        <v>11</v>
      </c>
      <c r="B12" s="6" t="s">
        <v>75</v>
      </c>
      <c r="C12" s="5" t="s">
        <v>62</v>
      </c>
      <c r="D12" s="4">
        <v>27753</v>
      </c>
      <c r="E12" s="7" t="str">
        <f t="shared" si="0"/>
        <v>Grimberg</v>
      </c>
      <c r="F12" s="7" t="str">
        <f t="shared" si="1"/>
        <v>Grimberg</v>
      </c>
      <c r="G12" s="7" t="str">
        <f t="shared" si="2"/>
        <v>Grimberg</v>
      </c>
      <c r="H12" s="4" t="str">
        <f>_xlfn.XLOOKUP($H$1,BaseUrl!$B:$B,BaseUrl!$C:$C,"",0)</f>
        <v>https://www.gps-speedsurfing.com/UserDetails?Id=</v>
      </c>
      <c r="I12" s="4" t="str">
        <f>_xlfn.XLOOKUP($I$1,BaseUrl!$B:$B,BaseUrl!$C:$C,"",0)</f>
        <v>https://www.gps-speedsurfing.com/sessions/userequipment?userid=</v>
      </c>
      <c r="J12" s="4" t="str">
        <f>_xlfn.XLOOKUP($J$1,BaseUrl!$B:$B,BaseUrl!$C:$C,"",0)</f>
        <v>https://www.gps-speedsurfing.com/sessions/usersessions?userid=</v>
      </c>
      <c r="K12" s="4"/>
      <c r="L12" s="4"/>
    </row>
    <row r="13" spans="1:12" x14ac:dyDescent="0.3">
      <c r="A13" s="4">
        <v>12</v>
      </c>
      <c r="B13" s="6"/>
      <c r="C13" s="5" t="s">
        <v>31</v>
      </c>
      <c r="D13" s="4"/>
      <c r="E13" s="7" t="str">
        <f t="shared" si="0"/>
        <v/>
      </c>
      <c r="F13" s="7" t="str">
        <f t="shared" si="1"/>
        <v/>
      </c>
      <c r="G13" s="7" t="str">
        <f t="shared" si="2"/>
        <v/>
      </c>
      <c r="H13" s="4" t="str">
        <f>_xlfn.XLOOKUP($H$1,BaseUrl!$B:$B,BaseUrl!$C:$C,"",0)</f>
        <v>https://www.gps-speedsurfing.com/UserDetails?Id=</v>
      </c>
      <c r="I13" s="4" t="str">
        <f>_xlfn.XLOOKUP($I$1,BaseUrl!$B:$B,BaseUrl!$C:$C,"",0)</f>
        <v>https://www.gps-speedsurfing.com/sessions/userequipment?userid=</v>
      </c>
      <c r="J13" s="4" t="str">
        <f>_xlfn.XLOOKUP($J$1,BaseUrl!$B:$B,BaseUrl!$C:$C,"",0)</f>
        <v>https://www.gps-speedsurfing.com/sessions/usersessions?userid=</v>
      </c>
      <c r="K13" s="4"/>
      <c r="L13" s="4"/>
    </row>
    <row r="14" spans="1:12" x14ac:dyDescent="0.3">
      <c r="A14" s="4">
        <v>13</v>
      </c>
      <c r="B14" s="6" t="s">
        <v>16</v>
      </c>
      <c r="C14" s="10" t="s">
        <v>32</v>
      </c>
      <c r="D14" s="4">
        <v>1007</v>
      </c>
      <c r="E14" s="7" t="str">
        <f t="shared" si="0"/>
        <v>Budda</v>
      </c>
      <c r="F14" s="7" t="str">
        <f t="shared" si="1"/>
        <v>Budda</v>
      </c>
      <c r="G14" s="7" t="str">
        <f t="shared" si="2"/>
        <v>Budda</v>
      </c>
      <c r="H14" s="4" t="str">
        <f>_xlfn.XLOOKUP($H$1,BaseUrl!$B:$B,BaseUrl!$C:$C,"",0)</f>
        <v>https://www.gps-speedsurfing.com/UserDetails?Id=</v>
      </c>
      <c r="I14" s="4" t="str">
        <f>_xlfn.XLOOKUP($I$1,BaseUrl!$B:$B,BaseUrl!$C:$C,"",0)</f>
        <v>https://www.gps-speedsurfing.com/sessions/userequipment?userid=</v>
      </c>
      <c r="J14" s="4" t="str">
        <f>_xlfn.XLOOKUP($J$1,BaseUrl!$B:$B,BaseUrl!$C:$C,"",0)</f>
        <v>https://www.gps-speedsurfing.com/sessions/usersessions?userid=</v>
      </c>
      <c r="K14" s="4"/>
      <c r="L14" s="4"/>
    </row>
    <row r="15" spans="1:12" x14ac:dyDescent="0.3">
      <c r="A15" s="4">
        <v>14</v>
      </c>
      <c r="B15" s="6"/>
      <c r="C15" s="5" t="s">
        <v>33</v>
      </c>
      <c r="D15" s="4"/>
      <c r="E15" s="7" t="str">
        <f t="shared" si="0"/>
        <v/>
      </c>
      <c r="F15" s="7" t="str">
        <f t="shared" si="1"/>
        <v/>
      </c>
      <c r="G15" s="7" t="str">
        <f t="shared" si="2"/>
        <v/>
      </c>
      <c r="H15" s="4" t="str">
        <f>_xlfn.XLOOKUP($H$1,BaseUrl!$B:$B,BaseUrl!$C:$C,"",0)</f>
        <v>https://www.gps-speedsurfing.com/UserDetails?Id=</v>
      </c>
      <c r="I15" s="4" t="str">
        <f>_xlfn.XLOOKUP($I$1,BaseUrl!$B:$B,BaseUrl!$C:$C,"",0)</f>
        <v>https://www.gps-speedsurfing.com/sessions/userequipment?userid=</v>
      </c>
      <c r="J15" s="4" t="str">
        <f>_xlfn.XLOOKUP($J$1,BaseUrl!$B:$B,BaseUrl!$C:$C,"",0)</f>
        <v>https://www.gps-speedsurfing.com/sessions/usersessions?userid=</v>
      </c>
      <c r="K15" s="4"/>
      <c r="L15" s="4"/>
    </row>
    <row r="16" spans="1:12" x14ac:dyDescent="0.3">
      <c r="A16" s="4">
        <v>15</v>
      </c>
      <c r="B16" s="6" t="s">
        <v>95</v>
      </c>
      <c r="C16" s="5" t="s">
        <v>94</v>
      </c>
      <c r="D16" s="4">
        <v>53</v>
      </c>
      <c r="E16" s="7" t="str">
        <f t="shared" si="0"/>
        <v>djong1</v>
      </c>
      <c r="F16" s="7" t="str">
        <f t="shared" si="1"/>
        <v>djong1</v>
      </c>
      <c r="G16" s="7" t="str">
        <f t="shared" si="2"/>
        <v>djong1</v>
      </c>
      <c r="H16" s="4" t="str">
        <f>_xlfn.XLOOKUP($H$1,BaseUrl!$B:$B,BaseUrl!$C:$C,"",0)</f>
        <v>https://www.gps-speedsurfing.com/UserDetails?Id=</v>
      </c>
      <c r="I16" s="4" t="str">
        <f>_xlfn.XLOOKUP($I$1,BaseUrl!$B:$B,BaseUrl!$C:$C,"",0)</f>
        <v>https://www.gps-speedsurfing.com/sessions/userequipment?userid=</v>
      </c>
      <c r="J16" s="4" t="str">
        <f>_xlfn.XLOOKUP($J$1,BaseUrl!$B:$B,BaseUrl!$C:$C,"",0)</f>
        <v>https://www.gps-speedsurfing.com/sessions/usersessions?userid=</v>
      </c>
      <c r="K16" s="4"/>
      <c r="L16" s="4"/>
    </row>
    <row r="17" spans="1:12" x14ac:dyDescent="0.3">
      <c r="A17" s="4">
        <v>16</v>
      </c>
      <c r="B17" s="6" t="s">
        <v>79</v>
      </c>
      <c r="C17" s="5" t="s">
        <v>34</v>
      </c>
      <c r="D17" s="4">
        <v>713</v>
      </c>
      <c r="E17" s="7" t="str">
        <f t="shared" si="0"/>
        <v>E Larsson</v>
      </c>
      <c r="F17" s="7" t="str">
        <f t="shared" si="1"/>
        <v>E Larsson</v>
      </c>
      <c r="G17" s="7" t="str">
        <f t="shared" si="2"/>
        <v>E Larsson</v>
      </c>
      <c r="H17" s="4" t="str">
        <f>_xlfn.XLOOKUP($H$1,BaseUrl!$B:$B,BaseUrl!$C:$C,"",0)</f>
        <v>https://www.gps-speedsurfing.com/UserDetails?Id=</v>
      </c>
      <c r="I17" s="4" t="str">
        <f>_xlfn.XLOOKUP($I$1,BaseUrl!$B:$B,BaseUrl!$C:$C,"",0)</f>
        <v>https://www.gps-speedsurfing.com/sessions/userequipment?userid=</v>
      </c>
      <c r="J17" s="4" t="str">
        <f>_xlfn.XLOOKUP($J$1,BaseUrl!$B:$B,BaseUrl!$C:$C,"",0)</f>
        <v>https://www.gps-speedsurfing.com/sessions/usersessions?userid=</v>
      </c>
      <c r="K17" s="4"/>
      <c r="L17" s="4"/>
    </row>
    <row r="18" spans="1:12" x14ac:dyDescent="0.3">
      <c r="A18" s="4">
        <v>17</v>
      </c>
      <c r="B18" s="6" t="s">
        <v>77</v>
      </c>
      <c r="C18" s="5" t="s">
        <v>35</v>
      </c>
      <c r="D18" s="4"/>
      <c r="E18" s="7" t="str">
        <f t="shared" si="0"/>
        <v/>
      </c>
      <c r="F18" s="7" t="str">
        <f t="shared" si="1"/>
        <v/>
      </c>
      <c r="G18" s="7" t="str">
        <f t="shared" si="2"/>
        <v/>
      </c>
      <c r="H18" s="4" t="str">
        <f>_xlfn.XLOOKUP($H$1,BaseUrl!$B:$B,BaseUrl!$C:$C,"",0)</f>
        <v>https://www.gps-speedsurfing.com/UserDetails?Id=</v>
      </c>
      <c r="I18" s="4" t="str">
        <f>_xlfn.XLOOKUP($I$1,BaseUrl!$B:$B,BaseUrl!$C:$C,"",0)</f>
        <v>https://www.gps-speedsurfing.com/sessions/userequipment?userid=</v>
      </c>
      <c r="J18" s="4" t="str">
        <f>_xlfn.XLOOKUP($J$1,BaseUrl!$B:$B,BaseUrl!$C:$C,"",0)</f>
        <v>https://www.gps-speedsurfing.com/sessions/usersessions?userid=</v>
      </c>
      <c r="K18" s="4"/>
      <c r="L18" s="4"/>
    </row>
    <row r="19" spans="1:12" x14ac:dyDescent="0.3">
      <c r="A19" s="4">
        <v>18</v>
      </c>
      <c r="B19" s="6" t="s">
        <v>93</v>
      </c>
      <c r="C19" s="10" t="s">
        <v>36</v>
      </c>
      <c r="D19" s="4">
        <v>18200</v>
      </c>
      <c r="E19" s="7" t="str">
        <f t="shared" si="0"/>
        <v>Plettil</v>
      </c>
      <c r="F19" s="7" t="str">
        <f t="shared" si="1"/>
        <v>Plettil</v>
      </c>
      <c r="G19" s="7" t="str">
        <f t="shared" si="2"/>
        <v>Plettil</v>
      </c>
      <c r="H19" s="4" t="str">
        <f>_xlfn.XLOOKUP($H$1,BaseUrl!$B:$B,BaseUrl!$C:$C,"",0)</f>
        <v>https://www.gps-speedsurfing.com/UserDetails?Id=</v>
      </c>
      <c r="I19" s="4" t="str">
        <f>_xlfn.XLOOKUP($I$1,BaseUrl!$B:$B,BaseUrl!$C:$C,"",0)</f>
        <v>https://www.gps-speedsurfing.com/sessions/userequipment?userid=</v>
      </c>
      <c r="J19" s="4" t="str">
        <f>_xlfn.XLOOKUP($J$1,BaseUrl!$B:$B,BaseUrl!$C:$C,"",0)</f>
        <v>https://www.gps-speedsurfing.com/sessions/usersessions?userid=</v>
      </c>
      <c r="K19" s="4"/>
      <c r="L19" s="4"/>
    </row>
    <row r="20" spans="1:12" x14ac:dyDescent="0.3">
      <c r="A20" s="4">
        <v>19</v>
      </c>
      <c r="B20" s="6"/>
      <c r="C20" s="5" t="s">
        <v>37</v>
      </c>
      <c r="D20" s="4"/>
      <c r="E20" s="7" t="str">
        <f t="shared" si="0"/>
        <v/>
      </c>
      <c r="F20" s="7" t="str">
        <f t="shared" si="1"/>
        <v/>
      </c>
      <c r="G20" s="7" t="str">
        <f t="shared" si="2"/>
        <v/>
      </c>
      <c r="H20" s="4" t="str">
        <f>_xlfn.XLOOKUP($H$1,BaseUrl!$B:$B,BaseUrl!$C:$C,"",0)</f>
        <v>https://www.gps-speedsurfing.com/UserDetails?Id=</v>
      </c>
      <c r="I20" s="4" t="str">
        <f>_xlfn.XLOOKUP($I$1,BaseUrl!$B:$B,BaseUrl!$C:$C,"",0)</f>
        <v>https://www.gps-speedsurfing.com/sessions/userequipment?userid=</v>
      </c>
      <c r="J20" s="4" t="str">
        <f>_xlfn.XLOOKUP($J$1,BaseUrl!$B:$B,BaseUrl!$C:$C,"",0)</f>
        <v>https://www.gps-speedsurfing.com/sessions/usersessions?userid=</v>
      </c>
      <c r="K20" s="4"/>
      <c r="L20" s="4"/>
    </row>
    <row r="21" spans="1:12" x14ac:dyDescent="0.3">
      <c r="A21" s="4">
        <v>20</v>
      </c>
      <c r="B21" s="6" t="s">
        <v>18</v>
      </c>
      <c r="C21" s="5" t="s">
        <v>63</v>
      </c>
      <c r="D21" s="4">
        <v>26470</v>
      </c>
      <c r="E21" s="7" t="str">
        <f t="shared" si="0"/>
        <v>Harald</v>
      </c>
      <c r="F21" s="7" t="str">
        <f t="shared" si="1"/>
        <v>Harald</v>
      </c>
      <c r="G21" s="7" t="str">
        <f t="shared" si="2"/>
        <v>Harald</v>
      </c>
      <c r="H21" s="4" t="str">
        <f>_xlfn.XLOOKUP($H$1,BaseUrl!$B:$B,BaseUrl!$C:$C,"",0)</f>
        <v>https://www.gps-speedsurfing.com/UserDetails?Id=</v>
      </c>
      <c r="I21" s="4" t="str">
        <f>_xlfn.XLOOKUP($I$1,BaseUrl!$B:$B,BaseUrl!$C:$C,"",0)</f>
        <v>https://www.gps-speedsurfing.com/sessions/userequipment?userid=</v>
      </c>
      <c r="J21" s="4" t="str">
        <f>_xlfn.XLOOKUP($J$1,BaseUrl!$B:$B,BaseUrl!$C:$C,"",0)</f>
        <v>https://www.gps-speedsurfing.com/sessions/usersessions?userid=</v>
      </c>
      <c r="K21" s="4"/>
      <c r="L21" s="4"/>
    </row>
    <row r="22" spans="1:12" x14ac:dyDescent="0.3">
      <c r="A22" s="4"/>
      <c r="B22" s="6" t="s">
        <v>98</v>
      </c>
      <c r="C22" s="5" t="s">
        <v>99</v>
      </c>
      <c r="D22" s="4">
        <v>27859</v>
      </c>
      <c r="E22" s="7" t="str">
        <f t="shared" si="0"/>
        <v>Henke Torslanda</v>
      </c>
      <c r="F22" s="7" t="str">
        <f t="shared" si="1"/>
        <v>Henke Torslanda</v>
      </c>
      <c r="G22" s="7" t="str">
        <f t="shared" si="2"/>
        <v>Henke Torslanda</v>
      </c>
      <c r="H22" s="4" t="str">
        <f>_xlfn.XLOOKUP($H$1,BaseUrl!$B:$B,BaseUrl!$C:$C,"",0)</f>
        <v>https://www.gps-speedsurfing.com/UserDetails?Id=</v>
      </c>
      <c r="I22" s="4" t="str">
        <f>_xlfn.XLOOKUP($I$1,BaseUrl!$B:$B,BaseUrl!$C:$C,"",0)</f>
        <v>https://www.gps-speedsurfing.com/sessions/userequipment?userid=</v>
      </c>
      <c r="J22" s="4" t="str">
        <f>_xlfn.XLOOKUP($J$1,BaseUrl!$B:$B,BaseUrl!$C:$C,"",0)</f>
        <v>https://www.gps-speedsurfing.com/sessions/usersessions?userid=</v>
      </c>
      <c r="K22" s="4"/>
      <c r="L22" s="4"/>
    </row>
    <row r="23" spans="1:12" x14ac:dyDescent="0.3">
      <c r="A23" s="4">
        <v>21</v>
      </c>
      <c r="B23" s="6"/>
      <c r="C23" s="5" t="s">
        <v>38</v>
      </c>
      <c r="D23" s="4"/>
      <c r="E23" s="7" t="str">
        <f t="shared" ref="E23:E49" si="3">IF(D23&gt;0,HYPERLINK(_xlfn.CONCAT(H23,D23),IF(B23="",C23,B23)),"")</f>
        <v/>
      </c>
      <c r="F23" s="7" t="str">
        <f t="shared" ref="F23:F49" si="4">IF(D23&gt;0,HYPERLINK(_xlfn.CONCAT(I23,D23),IF(B23="",C23,B23)),"")</f>
        <v/>
      </c>
      <c r="G23" s="7" t="str">
        <f t="shared" ref="G23:G49" si="5">IF(D23&gt;0,HYPERLINK(_xlfn.CONCAT(J23,D23),IF(B23="",C23,B23)),"")</f>
        <v/>
      </c>
      <c r="H23" s="4" t="str">
        <f>_xlfn.XLOOKUP($H$1,BaseUrl!$B:$B,BaseUrl!$C:$C,"",0)</f>
        <v>https://www.gps-speedsurfing.com/UserDetails?Id=</v>
      </c>
      <c r="I23" s="4" t="str">
        <f>_xlfn.XLOOKUP($I$1,BaseUrl!$B:$B,BaseUrl!$C:$C,"",0)</f>
        <v>https://www.gps-speedsurfing.com/sessions/userequipment?userid=</v>
      </c>
      <c r="J23" s="4" t="str">
        <f>_xlfn.XLOOKUP($J$1,BaseUrl!$B:$B,BaseUrl!$C:$C,"",0)</f>
        <v>https://www.gps-speedsurfing.com/sessions/usersessions?userid=</v>
      </c>
      <c r="K23" s="4"/>
      <c r="L23" s="4"/>
    </row>
    <row r="24" spans="1:12" x14ac:dyDescent="0.3">
      <c r="A24" s="4">
        <v>22</v>
      </c>
      <c r="B24" s="6" t="s">
        <v>11</v>
      </c>
      <c r="C24" s="10" t="s">
        <v>39</v>
      </c>
      <c r="D24" s="4">
        <v>495257</v>
      </c>
      <c r="E24" s="7" t="str">
        <f t="shared" si="3"/>
        <v>JesPer</v>
      </c>
      <c r="F24" s="7" t="str">
        <f t="shared" si="4"/>
        <v>JesPer</v>
      </c>
      <c r="G24" s="7" t="str">
        <f t="shared" si="5"/>
        <v>JesPer</v>
      </c>
      <c r="H24" s="4" t="str">
        <f>_xlfn.XLOOKUP($H$1,BaseUrl!$B:$B,BaseUrl!$C:$C,"",0)</f>
        <v>https://www.gps-speedsurfing.com/UserDetails?Id=</v>
      </c>
      <c r="I24" s="4" t="str">
        <f>_xlfn.XLOOKUP($I$1,BaseUrl!$B:$B,BaseUrl!$C:$C,"",0)</f>
        <v>https://www.gps-speedsurfing.com/sessions/userequipment?userid=</v>
      </c>
      <c r="J24" s="4" t="str">
        <f>_xlfn.XLOOKUP($J$1,BaseUrl!$B:$B,BaseUrl!$C:$C,"",0)</f>
        <v>https://www.gps-speedsurfing.com/sessions/usersessions?userid=</v>
      </c>
      <c r="K24" s="4"/>
      <c r="L24" s="4"/>
    </row>
    <row r="25" spans="1:12" x14ac:dyDescent="0.3">
      <c r="A25" s="4">
        <v>23</v>
      </c>
      <c r="B25" s="6" t="s">
        <v>1</v>
      </c>
      <c r="C25" s="5" t="s">
        <v>40</v>
      </c>
      <c r="D25" s="4">
        <v>26191</v>
      </c>
      <c r="E25" s="7" t="str">
        <f t="shared" si="3"/>
        <v>Jocke</v>
      </c>
      <c r="F25" s="7" t="str">
        <f t="shared" si="4"/>
        <v>Jocke</v>
      </c>
      <c r="G25" s="7" t="str">
        <f t="shared" si="5"/>
        <v>Jocke</v>
      </c>
      <c r="H25" s="4" t="str">
        <f>_xlfn.XLOOKUP($H$1,BaseUrl!$B:$B,BaseUrl!$C:$C,"",0)</f>
        <v>https://www.gps-speedsurfing.com/UserDetails?Id=</v>
      </c>
      <c r="I25" s="4" t="str">
        <f>_xlfn.XLOOKUP($I$1,BaseUrl!$B:$B,BaseUrl!$C:$C,"",0)</f>
        <v>https://www.gps-speedsurfing.com/sessions/userequipment?userid=</v>
      </c>
      <c r="J25" s="4" t="str">
        <f>_xlfn.XLOOKUP($J$1,BaseUrl!$B:$B,BaseUrl!$C:$C,"",0)</f>
        <v>https://www.gps-speedsurfing.com/sessions/usersessions?userid=</v>
      </c>
      <c r="K25" s="4"/>
      <c r="L25" s="4"/>
    </row>
    <row r="26" spans="1:12" x14ac:dyDescent="0.3">
      <c r="A26" s="4">
        <v>24</v>
      </c>
      <c r="B26" s="6"/>
      <c r="C26" s="10" t="s">
        <v>41</v>
      </c>
      <c r="D26" s="4">
        <v>604</v>
      </c>
      <c r="E26" s="7" t="str">
        <f t="shared" si="3"/>
        <v>Johan Gelander</v>
      </c>
      <c r="F26" s="7" t="str">
        <f t="shared" si="4"/>
        <v>Johan Gelander</v>
      </c>
      <c r="G26" s="7" t="str">
        <f t="shared" si="5"/>
        <v>Johan Gelander</v>
      </c>
      <c r="H26" s="4" t="str">
        <f>_xlfn.XLOOKUP($H$1,BaseUrl!$B:$B,BaseUrl!$C:$C,"",0)</f>
        <v>https://www.gps-speedsurfing.com/UserDetails?Id=</v>
      </c>
      <c r="I26" s="4" t="str">
        <f>_xlfn.XLOOKUP($I$1,BaseUrl!$B:$B,BaseUrl!$C:$C,"",0)</f>
        <v>https://www.gps-speedsurfing.com/sessions/userequipment?userid=</v>
      </c>
      <c r="J26" s="4" t="str">
        <f>_xlfn.XLOOKUP($J$1,BaseUrl!$B:$B,BaseUrl!$C:$C,"",0)</f>
        <v>https://www.gps-speedsurfing.com/sessions/usersessions?userid=</v>
      </c>
      <c r="K26" s="4"/>
      <c r="L26" s="4"/>
    </row>
    <row r="27" spans="1:12" x14ac:dyDescent="0.3">
      <c r="A27" s="4">
        <v>25</v>
      </c>
      <c r="B27" s="6" t="s">
        <v>78</v>
      </c>
      <c r="C27" s="5" t="s">
        <v>42</v>
      </c>
      <c r="D27" s="4">
        <v>470910</v>
      </c>
      <c r="E27" s="7" t="str">
        <f t="shared" si="3"/>
        <v>Millbergs</v>
      </c>
      <c r="F27" s="7" t="str">
        <f t="shared" si="4"/>
        <v>Millbergs</v>
      </c>
      <c r="G27" s="7" t="str">
        <f t="shared" si="5"/>
        <v>Millbergs</v>
      </c>
      <c r="H27" s="4" t="str">
        <f>_xlfn.XLOOKUP($H$1,BaseUrl!$B:$B,BaseUrl!$C:$C,"",0)</f>
        <v>https://www.gps-speedsurfing.com/UserDetails?Id=</v>
      </c>
      <c r="I27" s="4" t="str">
        <f>_xlfn.XLOOKUP($I$1,BaseUrl!$B:$B,BaseUrl!$C:$C,"",0)</f>
        <v>https://www.gps-speedsurfing.com/sessions/userequipment?userid=</v>
      </c>
      <c r="J27" s="4" t="str">
        <f>_xlfn.XLOOKUP($J$1,BaseUrl!$B:$B,BaseUrl!$C:$C,"",0)</f>
        <v>https://www.gps-speedsurfing.com/sessions/usersessions?userid=</v>
      </c>
      <c r="K27" s="4"/>
      <c r="L27" s="4"/>
    </row>
    <row r="28" spans="1:12" x14ac:dyDescent="0.3">
      <c r="A28" s="4">
        <v>26</v>
      </c>
      <c r="B28" s="6" t="s">
        <v>17</v>
      </c>
      <c r="C28" s="10" t="s">
        <v>43</v>
      </c>
      <c r="D28" s="4">
        <v>6195</v>
      </c>
      <c r="E28" s="7" t="str">
        <f t="shared" si="3"/>
        <v>Joko</v>
      </c>
      <c r="F28" s="7" t="str">
        <f t="shared" si="4"/>
        <v>Joko</v>
      </c>
      <c r="G28" s="7" t="str">
        <f t="shared" si="5"/>
        <v>Joko</v>
      </c>
      <c r="H28" s="4" t="str">
        <f>_xlfn.XLOOKUP($H$1,BaseUrl!$B:$B,BaseUrl!$C:$C,"",0)</f>
        <v>https://www.gps-speedsurfing.com/UserDetails?Id=</v>
      </c>
      <c r="I28" s="4" t="str">
        <f>_xlfn.XLOOKUP($I$1,BaseUrl!$B:$B,BaseUrl!$C:$C,"",0)</f>
        <v>https://www.gps-speedsurfing.com/sessions/userequipment?userid=</v>
      </c>
      <c r="J28" s="4" t="str">
        <f>_xlfn.XLOOKUP($J$1,BaseUrl!$B:$B,BaseUrl!$C:$C,"",0)</f>
        <v>https://www.gps-speedsurfing.com/sessions/usersessions?userid=</v>
      </c>
      <c r="K28" s="4"/>
      <c r="L28" s="4"/>
    </row>
    <row r="29" spans="1:12" x14ac:dyDescent="0.3">
      <c r="A29" s="4">
        <v>27</v>
      </c>
      <c r="B29" s="6" t="s">
        <v>10</v>
      </c>
      <c r="C29" s="5" t="s">
        <v>44</v>
      </c>
      <c r="D29" s="4">
        <v>469112</v>
      </c>
      <c r="E29" s="7" t="str">
        <f t="shared" si="3"/>
        <v>Bergström</v>
      </c>
      <c r="F29" s="7" t="str">
        <f t="shared" si="4"/>
        <v>Bergström</v>
      </c>
      <c r="G29" s="7" t="str">
        <f t="shared" si="5"/>
        <v>Bergström</v>
      </c>
      <c r="H29" s="4" t="str">
        <f>_xlfn.XLOOKUP($H$1,BaseUrl!$B:$B,BaseUrl!$C:$C,"",0)</f>
        <v>https://www.gps-speedsurfing.com/UserDetails?Id=</v>
      </c>
      <c r="I29" s="4" t="str">
        <f>_xlfn.XLOOKUP($I$1,BaseUrl!$B:$B,BaseUrl!$C:$C,"",0)</f>
        <v>https://www.gps-speedsurfing.com/sessions/userequipment?userid=</v>
      </c>
      <c r="J29" s="4" t="str">
        <f>_xlfn.XLOOKUP($J$1,BaseUrl!$B:$B,BaseUrl!$C:$C,"",0)</f>
        <v>https://www.gps-speedsurfing.com/sessions/usersessions?userid=</v>
      </c>
      <c r="K29" s="4"/>
      <c r="L29" s="4"/>
    </row>
    <row r="30" spans="1:12" x14ac:dyDescent="0.3">
      <c r="A30" s="4">
        <v>28</v>
      </c>
      <c r="B30" s="6" t="s">
        <v>85</v>
      </c>
      <c r="C30" s="10" t="s">
        <v>45</v>
      </c>
      <c r="D30" s="4">
        <v>26663</v>
      </c>
      <c r="E30" s="7" t="str">
        <f t="shared" si="3"/>
        <v>Göran</v>
      </c>
      <c r="F30" s="7" t="str">
        <f t="shared" si="4"/>
        <v>Göran</v>
      </c>
      <c r="G30" s="7" t="str">
        <f t="shared" si="5"/>
        <v>Göran</v>
      </c>
      <c r="H30" s="4" t="str">
        <f>_xlfn.XLOOKUP($H$1,BaseUrl!$B:$B,BaseUrl!$C:$C,"",0)</f>
        <v>https://www.gps-speedsurfing.com/UserDetails?Id=</v>
      </c>
      <c r="I30" s="4" t="str">
        <f>_xlfn.XLOOKUP($I$1,BaseUrl!$B:$B,BaseUrl!$C:$C,"",0)</f>
        <v>https://www.gps-speedsurfing.com/sessions/userequipment?userid=</v>
      </c>
      <c r="J30" s="4" t="str">
        <f>_xlfn.XLOOKUP($J$1,BaseUrl!$B:$B,BaseUrl!$C:$C,"",0)</f>
        <v>https://www.gps-speedsurfing.com/sessions/usersessions?userid=</v>
      </c>
      <c r="K30" s="4"/>
      <c r="L30" s="4"/>
    </row>
    <row r="31" spans="1:12" x14ac:dyDescent="0.3">
      <c r="A31" s="4">
        <v>29</v>
      </c>
      <c r="B31" s="6" t="s">
        <v>86</v>
      </c>
      <c r="C31" s="5" t="s">
        <v>46</v>
      </c>
      <c r="D31" s="4">
        <v>494504</v>
      </c>
      <c r="E31" s="7" t="str">
        <f t="shared" si="3"/>
        <v>Sören</v>
      </c>
      <c r="F31" s="7" t="str">
        <f t="shared" si="4"/>
        <v>Sören</v>
      </c>
      <c r="G31" s="7" t="str">
        <f t="shared" si="5"/>
        <v>Sören</v>
      </c>
      <c r="H31" s="4" t="str">
        <f>_xlfn.XLOOKUP($H$1,BaseUrl!$B:$B,BaseUrl!$C:$C,"",0)</f>
        <v>https://www.gps-speedsurfing.com/UserDetails?Id=</v>
      </c>
      <c r="I31" s="4" t="str">
        <f>_xlfn.XLOOKUP($I$1,BaseUrl!$B:$B,BaseUrl!$C:$C,"",0)</f>
        <v>https://www.gps-speedsurfing.com/sessions/userequipment?userid=</v>
      </c>
      <c r="J31" s="4" t="str">
        <f>_xlfn.XLOOKUP($J$1,BaseUrl!$B:$B,BaseUrl!$C:$C,"",0)</f>
        <v>https://www.gps-speedsurfing.com/sessions/usersessions?userid=</v>
      </c>
      <c r="K31" s="4"/>
      <c r="L31" s="4"/>
    </row>
    <row r="32" spans="1:12" x14ac:dyDescent="0.3">
      <c r="A32" s="4">
        <v>30</v>
      </c>
      <c r="B32" s="6" t="s">
        <v>87</v>
      </c>
      <c r="C32" s="5" t="s">
        <v>47</v>
      </c>
      <c r="D32" s="4">
        <v>469141</v>
      </c>
      <c r="E32" s="7" t="str">
        <f t="shared" si="3"/>
        <v>Kate</v>
      </c>
      <c r="F32" s="7" t="str">
        <f t="shared" si="4"/>
        <v>Kate</v>
      </c>
      <c r="G32" s="7" t="str">
        <f t="shared" si="5"/>
        <v>Kate</v>
      </c>
      <c r="H32" s="4" t="str">
        <f>_xlfn.XLOOKUP($H$1,BaseUrl!$B:$B,BaseUrl!$C:$C,"",0)</f>
        <v>https://www.gps-speedsurfing.com/UserDetails?Id=</v>
      </c>
      <c r="I32" s="4" t="str">
        <f>_xlfn.XLOOKUP($I$1,BaseUrl!$B:$B,BaseUrl!$C:$C,"",0)</f>
        <v>https://www.gps-speedsurfing.com/sessions/userequipment?userid=</v>
      </c>
      <c r="J32" s="4" t="str">
        <f>_xlfn.XLOOKUP($J$1,BaseUrl!$B:$B,BaseUrl!$C:$C,"",0)</f>
        <v>https://www.gps-speedsurfing.com/sessions/usersessions?userid=</v>
      </c>
      <c r="K32" s="4"/>
      <c r="L32" s="4"/>
    </row>
    <row r="33" spans="1:12" x14ac:dyDescent="0.3">
      <c r="A33" s="4">
        <v>31</v>
      </c>
      <c r="B33" s="6" t="s">
        <v>88</v>
      </c>
      <c r="C33" s="10" t="s">
        <v>48</v>
      </c>
      <c r="D33" s="4"/>
      <c r="E33" s="7" t="str">
        <f t="shared" si="3"/>
        <v/>
      </c>
      <c r="F33" s="7" t="str">
        <f t="shared" si="4"/>
        <v/>
      </c>
      <c r="G33" s="7" t="str">
        <f t="shared" si="5"/>
        <v/>
      </c>
      <c r="H33" s="4" t="str">
        <f>_xlfn.XLOOKUP($H$1,BaseUrl!$B:$B,BaseUrl!$C:$C,"",0)</f>
        <v>https://www.gps-speedsurfing.com/UserDetails?Id=</v>
      </c>
      <c r="I33" s="4" t="str">
        <f>_xlfn.XLOOKUP($I$1,BaseUrl!$B:$B,BaseUrl!$C:$C,"",0)</f>
        <v>https://www.gps-speedsurfing.com/sessions/userequipment?userid=</v>
      </c>
      <c r="J33" s="4" t="str">
        <f>_xlfn.XLOOKUP($J$1,BaseUrl!$B:$B,BaseUrl!$C:$C,"",0)</f>
        <v>https://www.gps-speedsurfing.com/sessions/usersessions?userid=</v>
      </c>
      <c r="K33" s="4"/>
      <c r="L33" s="4"/>
    </row>
    <row r="34" spans="1:12" x14ac:dyDescent="0.3">
      <c r="A34" s="4">
        <v>32</v>
      </c>
      <c r="B34" s="6" t="s">
        <v>80</v>
      </c>
      <c r="C34" s="5" t="s">
        <v>49</v>
      </c>
      <c r="D34" s="4">
        <v>2250</v>
      </c>
      <c r="E34" s="7" t="str">
        <f t="shared" si="3"/>
        <v>Richardsson</v>
      </c>
      <c r="F34" s="7" t="str">
        <f t="shared" si="4"/>
        <v>Richardsson</v>
      </c>
      <c r="G34" s="7" t="str">
        <f t="shared" si="5"/>
        <v>Richardsson</v>
      </c>
      <c r="H34" s="4" t="str">
        <f>_xlfn.XLOOKUP($H$1,BaseUrl!$B:$B,BaseUrl!$C:$C,"",0)</f>
        <v>https://www.gps-speedsurfing.com/UserDetails?Id=</v>
      </c>
      <c r="I34" s="4" t="str">
        <f>_xlfn.XLOOKUP($I$1,BaseUrl!$B:$B,BaseUrl!$C:$C,"",0)</f>
        <v>https://www.gps-speedsurfing.com/sessions/userequipment?userid=</v>
      </c>
      <c r="J34" s="4" t="str">
        <f>_xlfn.XLOOKUP($J$1,BaseUrl!$B:$B,BaseUrl!$C:$C,"",0)</f>
        <v>https://www.gps-speedsurfing.com/sessions/usersessions?userid=</v>
      </c>
      <c r="K34" s="4"/>
      <c r="L34" s="4"/>
    </row>
    <row r="35" spans="1:12" x14ac:dyDescent="0.3">
      <c r="A35" s="4">
        <v>33</v>
      </c>
      <c r="B35" s="6" t="s">
        <v>81</v>
      </c>
      <c r="C35" s="5" t="s">
        <v>50</v>
      </c>
      <c r="D35" s="4"/>
      <c r="E35" s="7" t="str">
        <f t="shared" si="3"/>
        <v/>
      </c>
      <c r="F35" s="7" t="str">
        <f t="shared" si="4"/>
        <v/>
      </c>
      <c r="G35" s="7" t="str">
        <f t="shared" si="5"/>
        <v/>
      </c>
      <c r="H35" s="4" t="str">
        <f>_xlfn.XLOOKUP($H$1,BaseUrl!$B:$B,BaseUrl!$C:$C,"",0)</f>
        <v>https://www.gps-speedsurfing.com/UserDetails?Id=</v>
      </c>
      <c r="I35" s="4" t="str">
        <f>_xlfn.XLOOKUP($I$1,BaseUrl!$B:$B,BaseUrl!$C:$C,"",0)</f>
        <v>https://www.gps-speedsurfing.com/sessions/userequipment?userid=</v>
      </c>
      <c r="J35" s="4" t="str">
        <f>_xlfn.XLOOKUP($J$1,BaseUrl!$B:$B,BaseUrl!$C:$C,"",0)</f>
        <v>https://www.gps-speedsurfing.com/sessions/usersessions?userid=</v>
      </c>
      <c r="K35" s="4"/>
      <c r="L35" s="4"/>
    </row>
    <row r="36" spans="1:12" x14ac:dyDescent="0.3">
      <c r="A36" s="4">
        <v>34</v>
      </c>
      <c r="B36" s="6" t="s">
        <v>83</v>
      </c>
      <c r="C36" s="5" t="s">
        <v>82</v>
      </c>
      <c r="D36" s="4">
        <v>48391</v>
      </c>
      <c r="E36" s="7" t="str">
        <f t="shared" si="3"/>
        <v>Distner</v>
      </c>
      <c r="F36" s="7" t="str">
        <f t="shared" si="4"/>
        <v>Distner</v>
      </c>
      <c r="G36" s="7" t="str">
        <f t="shared" si="5"/>
        <v>Distner</v>
      </c>
      <c r="H36" s="4" t="str">
        <f>_xlfn.XLOOKUP($H$1,BaseUrl!$B:$B,BaseUrl!$C:$C,"",0)</f>
        <v>https://www.gps-speedsurfing.com/UserDetails?Id=</v>
      </c>
      <c r="I36" s="4" t="str">
        <f>_xlfn.XLOOKUP($I$1,BaseUrl!$B:$B,BaseUrl!$C:$C,"",0)</f>
        <v>https://www.gps-speedsurfing.com/sessions/userequipment?userid=</v>
      </c>
      <c r="J36" s="4" t="str">
        <f>_xlfn.XLOOKUP($J$1,BaseUrl!$B:$B,BaseUrl!$C:$C,"",0)</f>
        <v>https://www.gps-speedsurfing.com/sessions/usersessions?userid=</v>
      </c>
      <c r="K36" s="4"/>
      <c r="L36" s="4"/>
    </row>
    <row r="37" spans="1:12" x14ac:dyDescent="0.3">
      <c r="A37" s="4">
        <v>35</v>
      </c>
      <c r="B37" s="6"/>
      <c r="C37" s="5" t="s">
        <v>51</v>
      </c>
      <c r="D37" s="4"/>
      <c r="E37" s="7" t="str">
        <f t="shared" si="3"/>
        <v/>
      </c>
      <c r="F37" s="7" t="str">
        <f t="shared" si="4"/>
        <v/>
      </c>
      <c r="G37" s="7" t="str">
        <f t="shared" si="5"/>
        <v/>
      </c>
      <c r="H37" s="4" t="str">
        <f>_xlfn.XLOOKUP($H$1,BaseUrl!$B:$B,BaseUrl!$C:$C,"",0)</f>
        <v>https://www.gps-speedsurfing.com/UserDetails?Id=</v>
      </c>
      <c r="I37" s="4" t="str">
        <f>_xlfn.XLOOKUP($I$1,BaseUrl!$B:$B,BaseUrl!$C:$C,"",0)</f>
        <v>https://www.gps-speedsurfing.com/sessions/userequipment?userid=</v>
      </c>
      <c r="J37" s="4" t="str">
        <f>_xlfn.XLOOKUP($J$1,BaseUrl!$B:$B,BaseUrl!$C:$C,"",0)</f>
        <v>https://www.gps-speedsurfing.com/sessions/usersessions?userid=</v>
      </c>
      <c r="K37" s="4"/>
      <c r="L37" s="4"/>
    </row>
    <row r="38" spans="1:12" x14ac:dyDescent="0.3">
      <c r="A38" s="4">
        <v>36</v>
      </c>
      <c r="B38" s="6"/>
      <c r="C38" s="5" t="s">
        <v>52</v>
      </c>
      <c r="D38" s="4"/>
      <c r="E38" s="7" t="str">
        <f t="shared" si="3"/>
        <v/>
      </c>
      <c r="F38" s="7" t="str">
        <f t="shared" si="4"/>
        <v/>
      </c>
      <c r="G38" s="7" t="str">
        <f t="shared" si="5"/>
        <v/>
      </c>
      <c r="H38" s="4" t="str">
        <f>_xlfn.XLOOKUP($H$1,BaseUrl!$B:$B,BaseUrl!$C:$C,"",0)</f>
        <v>https://www.gps-speedsurfing.com/UserDetails?Id=</v>
      </c>
      <c r="I38" s="4" t="str">
        <f>_xlfn.XLOOKUP($I$1,BaseUrl!$B:$B,BaseUrl!$C:$C,"",0)</f>
        <v>https://www.gps-speedsurfing.com/sessions/userequipment?userid=</v>
      </c>
      <c r="J38" s="4" t="str">
        <f>_xlfn.XLOOKUP($J$1,BaseUrl!$B:$B,BaseUrl!$C:$C,"",0)</f>
        <v>https://www.gps-speedsurfing.com/sessions/usersessions?userid=</v>
      </c>
      <c r="K38" s="4"/>
      <c r="L38" s="4"/>
    </row>
    <row r="39" spans="1:12" x14ac:dyDescent="0.3">
      <c r="A39" s="4">
        <v>37</v>
      </c>
      <c r="B39" s="6" t="s">
        <v>92</v>
      </c>
      <c r="C39" s="10" t="s">
        <v>65</v>
      </c>
      <c r="D39" s="4">
        <v>4774</v>
      </c>
      <c r="E39" s="7" t="str">
        <f t="shared" si="3"/>
        <v>M Dahlberg</v>
      </c>
      <c r="F39" s="7" t="str">
        <f t="shared" si="4"/>
        <v>M Dahlberg</v>
      </c>
      <c r="G39" s="7" t="str">
        <f t="shared" si="5"/>
        <v>M Dahlberg</v>
      </c>
      <c r="H39" s="4" t="str">
        <f>_xlfn.XLOOKUP($H$1,BaseUrl!$B:$B,BaseUrl!$C:$C,"",0)</f>
        <v>https://www.gps-speedsurfing.com/UserDetails?Id=</v>
      </c>
      <c r="I39" s="4" t="str">
        <f>_xlfn.XLOOKUP($I$1,BaseUrl!$B:$B,BaseUrl!$C:$C,"",0)</f>
        <v>https://www.gps-speedsurfing.com/sessions/userequipment?userid=</v>
      </c>
      <c r="J39" s="4" t="str">
        <f>_xlfn.XLOOKUP($J$1,BaseUrl!$B:$B,BaseUrl!$C:$C,"",0)</f>
        <v>https://www.gps-speedsurfing.com/sessions/usersessions?userid=</v>
      </c>
      <c r="K39" s="4"/>
      <c r="L39" s="4"/>
    </row>
    <row r="40" spans="1:12" x14ac:dyDescent="0.3">
      <c r="A40" s="4">
        <v>38</v>
      </c>
      <c r="B40" s="6" t="s">
        <v>7</v>
      </c>
      <c r="C40" s="10" t="s">
        <v>53</v>
      </c>
      <c r="D40" s="4">
        <v>494474</v>
      </c>
      <c r="E40" s="7" t="str">
        <f t="shared" si="3"/>
        <v>Räkan</v>
      </c>
      <c r="F40" s="7" t="str">
        <f t="shared" si="4"/>
        <v>Räkan</v>
      </c>
      <c r="G40" s="7" t="str">
        <f t="shared" si="5"/>
        <v>Räkan</v>
      </c>
      <c r="H40" s="4" t="str">
        <f>_xlfn.XLOOKUP($H$1,BaseUrl!$B:$B,BaseUrl!$C:$C,"",0)</f>
        <v>https://www.gps-speedsurfing.com/UserDetails?Id=</v>
      </c>
      <c r="I40" s="4" t="str">
        <f>_xlfn.XLOOKUP($I$1,BaseUrl!$B:$B,BaseUrl!$C:$C,"",0)</f>
        <v>https://www.gps-speedsurfing.com/sessions/userequipment?userid=</v>
      </c>
      <c r="J40" s="4" t="str">
        <f>_xlfn.XLOOKUP($J$1,BaseUrl!$B:$B,BaseUrl!$C:$C,"",0)</f>
        <v>https://www.gps-speedsurfing.com/sessions/usersessions?userid=</v>
      </c>
      <c r="K40" s="4"/>
      <c r="L40" s="4"/>
    </row>
    <row r="41" spans="1:12" x14ac:dyDescent="0.3">
      <c r="A41" s="4">
        <v>39</v>
      </c>
      <c r="B41" s="6"/>
      <c r="C41" s="5" t="s">
        <v>84</v>
      </c>
      <c r="D41" s="4">
        <v>483871</v>
      </c>
      <c r="E41" s="7" t="str">
        <f t="shared" si="3"/>
        <v>Mattias Berggren</v>
      </c>
      <c r="F41" s="7" t="str">
        <f t="shared" si="4"/>
        <v>Mattias Berggren</v>
      </c>
      <c r="G41" s="7" t="str">
        <f t="shared" si="5"/>
        <v>Mattias Berggren</v>
      </c>
      <c r="H41" s="4" t="str">
        <f>_xlfn.XLOOKUP($H$1,BaseUrl!$B:$B,BaseUrl!$C:$C,"",0)</f>
        <v>https://www.gps-speedsurfing.com/UserDetails?Id=</v>
      </c>
      <c r="I41" s="4" t="str">
        <f>_xlfn.XLOOKUP($I$1,BaseUrl!$B:$B,BaseUrl!$C:$C,"",0)</f>
        <v>https://www.gps-speedsurfing.com/sessions/userequipment?userid=</v>
      </c>
      <c r="J41" s="4" t="str">
        <f>_xlfn.XLOOKUP($J$1,BaseUrl!$B:$B,BaseUrl!$C:$C,"",0)</f>
        <v>https://www.gps-speedsurfing.com/sessions/usersessions?userid=</v>
      </c>
      <c r="K41" s="4"/>
      <c r="L41" s="4"/>
    </row>
    <row r="42" spans="1:12" x14ac:dyDescent="0.3">
      <c r="A42" s="4">
        <v>40</v>
      </c>
      <c r="B42" s="6"/>
      <c r="C42" s="10" t="s">
        <v>54</v>
      </c>
      <c r="D42" s="4"/>
      <c r="E42" s="7" t="str">
        <f t="shared" si="3"/>
        <v/>
      </c>
      <c r="F42" s="7" t="str">
        <f t="shared" si="4"/>
        <v/>
      </c>
      <c r="G42" s="7" t="str">
        <f t="shared" si="5"/>
        <v/>
      </c>
      <c r="H42" s="4" t="str">
        <f>_xlfn.XLOOKUP($H$1,BaseUrl!$B:$B,BaseUrl!$C:$C,"",0)</f>
        <v>https://www.gps-speedsurfing.com/UserDetails?Id=</v>
      </c>
      <c r="I42" s="4" t="str">
        <f>_xlfn.XLOOKUP($I$1,BaseUrl!$B:$B,BaseUrl!$C:$C,"",0)</f>
        <v>https://www.gps-speedsurfing.com/sessions/userequipment?userid=</v>
      </c>
      <c r="J42" s="4" t="str">
        <f>_xlfn.XLOOKUP($J$1,BaseUrl!$B:$B,BaseUrl!$C:$C,"",0)</f>
        <v>https://www.gps-speedsurfing.com/sessions/usersessions?userid=</v>
      </c>
      <c r="K42" s="4"/>
      <c r="L42" s="4"/>
    </row>
    <row r="43" spans="1:12" x14ac:dyDescent="0.3">
      <c r="A43" s="4">
        <v>41</v>
      </c>
      <c r="B43" s="6" t="s">
        <v>12</v>
      </c>
      <c r="C43" s="5" t="s">
        <v>55</v>
      </c>
      <c r="D43" s="4">
        <v>26370</v>
      </c>
      <c r="E43" s="7" t="str">
        <f t="shared" si="3"/>
        <v>Mogge</v>
      </c>
      <c r="F43" s="7" t="str">
        <f t="shared" si="4"/>
        <v>Mogge</v>
      </c>
      <c r="G43" s="7" t="str">
        <f t="shared" si="5"/>
        <v>Mogge</v>
      </c>
      <c r="H43" s="4" t="str">
        <f>_xlfn.XLOOKUP($H$1,BaseUrl!$B:$B,BaseUrl!$C:$C,"",0)</f>
        <v>https://www.gps-speedsurfing.com/UserDetails?Id=</v>
      </c>
      <c r="I43" s="4" t="str">
        <f>_xlfn.XLOOKUP($I$1,BaseUrl!$B:$B,BaseUrl!$C:$C,"",0)</f>
        <v>https://www.gps-speedsurfing.com/sessions/userequipment?userid=</v>
      </c>
      <c r="J43" s="4" t="str">
        <f>_xlfn.XLOOKUP($J$1,BaseUrl!$B:$B,BaseUrl!$C:$C,"",0)</f>
        <v>https://www.gps-speedsurfing.com/sessions/usersessions?userid=</v>
      </c>
      <c r="K43" s="4"/>
      <c r="L43" s="4"/>
    </row>
    <row r="44" spans="1:12" x14ac:dyDescent="0.3">
      <c r="A44" s="4">
        <v>42</v>
      </c>
      <c r="B44" s="6" t="s">
        <v>2</v>
      </c>
      <c r="C44" s="10" t="s">
        <v>56</v>
      </c>
      <c r="D44" s="4">
        <v>449191</v>
      </c>
      <c r="E44" s="7" t="str">
        <f t="shared" si="3"/>
        <v>Örjan</v>
      </c>
      <c r="F44" s="7" t="str">
        <f t="shared" si="4"/>
        <v>Örjan</v>
      </c>
      <c r="G44" s="7" t="str">
        <f t="shared" si="5"/>
        <v>Örjan</v>
      </c>
      <c r="H44" s="4" t="str">
        <f>_xlfn.XLOOKUP($H$1,BaseUrl!$B:$B,BaseUrl!$C:$C,"",0)</f>
        <v>https://www.gps-speedsurfing.com/UserDetails?Id=</v>
      </c>
      <c r="I44" s="4" t="str">
        <f>_xlfn.XLOOKUP($I$1,BaseUrl!$B:$B,BaseUrl!$C:$C,"",0)</f>
        <v>https://www.gps-speedsurfing.com/sessions/userequipment?userid=</v>
      </c>
      <c r="J44" s="4" t="str">
        <f>_xlfn.XLOOKUP($J$1,BaseUrl!$B:$B,BaseUrl!$C:$C,"",0)</f>
        <v>https://www.gps-speedsurfing.com/sessions/usersessions?userid=</v>
      </c>
      <c r="K44" s="4"/>
      <c r="L44" s="4"/>
    </row>
    <row r="45" spans="1:12" x14ac:dyDescent="0.3">
      <c r="A45" s="4">
        <v>43</v>
      </c>
      <c r="B45" s="6" t="s">
        <v>13</v>
      </c>
      <c r="C45" s="10" t="s">
        <v>57</v>
      </c>
      <c r="D45" s="4">
        <v>4642</v>
      </c>
      <c r="E45" s="7" t="str">
        <f t="shared" si="3"/>
        <v>Ove</v>
      </c>
      <c r="F45" s="7" t="str">
        <f t="shared" si="4"/>
        <v>Ove</v>
      </c>
      <c r="G45" s="7" t="str">
        <f t="shared" si="5"/>
        <v>Ove</v>
      </c>
      <c r="H45" s="4" t="str">
        <f>_xlfn.XLOOKUP($H$1,BaseUrl!$B:$B,BaseUrl!$C:$C,"",0)</f>
        <v>https://www.gps-speedsurfing.com/UserDetails?Id=</v>
      </c>
      <c r="I45" s="4" t="str">
        <f>_xlfn.XLOOKUP($I$1,BaseUrl!$B:$B,BaseUrl!$C:$C,"",0)</f>
        <v>https://www.gps-speedsurfing.com/sessions/userequipment?userid=</v>
      </c>
      <c r="J45" s="4" t="str">
        <f>_xlfn.XLOOKUP($J$1,BaseUrl!$B:$B,BaseUrl!$C:$C,"",0)</f>
        <v>https://www.gps-speedsurfing.com/sessions/usersessions?userid=</v>
      </c>
      <c r="K45" s="4"/>
      <c r="L45" s="4"/>
    </row>
    <row r="46" spans="1:12" x14ac:dyDescent="0.3">
      <c r="A46" s="4">
        <v>44</v>
      </c>
      <c r="B46" s="6" t="s">
        <v>9</v>
      </c>
      <c r="C46" s="5" t="s">
        <v>58</v>
      </c>
      <c r="D46" s="4">
        <v>25129</v>
      </c>
      <c r="E46" s="7" t="str">
        <f t="shared" si="3"/>
        <v>Ungtuppen</v>
      </c>
      <c r="F46" s="7" t="str">
        <f t="shared" si="4"/>
        <v>Ungtuppen</v>
      </c>
      <c r="G46" s="7" t="str">
        <f t="shared" si="5"/>
        <v>Ungtuppen</v>
      </c>
      <c r="H46" s="4" t="str">
        <f>_xlfn.XLOOKUP($H$1,BaseUrl!$B:$B,BaseUrl!$C:$C,"",0)</f>
        <v>https://www.gps-speedsurfing.com/UserDetails?Id=</v>
      </c>
      <c r="I46" s="4" t="str">
        <f>_xlfn.XLOOKUP($I$1,BaseUrl!$B:$B,BaseUrl!$C:$C,"",0)</f>
        <v>https://www.gps-speedsurfing.com/sessions/userequipment?userid=</v>
      </c>
      <c r="J46" s="4" t="str">
        <f>_xlfn.XLOOKUP($J$1,BaseUrl!$B:$B,BaseUrl!$C:$C,"",0)</f>
        <v>https://www.gps-speedsurfing.com/sessions/usersessions?userid=</v>
      </c>
      <c r="K46" s="4"/>
      <c r="L46" s="4"/>
    </row>
    <row r="47" spans="1:12" x14ac:dyDescent="0.3">
      <c r="A47" s="4">
        <v>45</v>
      </c>
      <c r="B47" s="6" t="s">
        <v>8</v>
      </c>
      <c r="C47" s="5" t="s">
        <v>59</v>
      </c>
      <c r="D47" s="4">
        <v>24134</v>
      </c>
      <c r="E47" s="7" t="str">
        <f t="shared" si="3"/>
        <v>Ultraräkan</v>
      </c>
      <c r="F47" s="7" t="str">
        <f t="shared" si="4"/>
        <v>Ultraräkan</v>
      </c>
      <c r="G47" s="7" t="str">
        <f t="shared" si="5"/>
        <v>Ultraräkan</v>
      </c>
      <c r="H47" s="4" t="str">
        <f>_xlfn.XLOOKUP($H$1,BaseUrl!$B:$B,BaseUrl!$C:$C,"",0)</f>
        <v>https://www.gps-speedsurfing.com/UserDetails?Id=</v>
      </c>
      <c r="I47" s="4" t="str">
        <f>_xlfn.XLOOKUP($I$1,BaseUrl!$B:$B,BaseUrl!$C:$C,"",0)</f>
        <v>https://www.gps-speedsurfing.com/sessions/userequipment?userid=</v>
      </c>
      <c r="J47" s="4" t="str">
        <f>_xlfn.XLOOKUP($J$1,BaseUrl!$B:$B,BaseUrl!$C:$C,"",0)</f>
        <v>https://www.gps-speedsurfing.com/sessions/usersessions?userid=</v>
      </c>
      <c r="K47" s="4"/>
      <c r="L47" s="4"/>
    </row>
    <row r="48" spans="1:12" x14ac:dyDescent="0.3">
      <c r="A48" s="4">
        <v>46</v>
      </c>
      <c r="B48" s="6"/>
      <c r="C48" s="5" t="s">
        <v>91</v>
      </c>
      <c r="D48" s="4">
        <v>473617</v>
      </c>
      <c r="E48" s="7" t="str">
        <f t="shared" si="3"/>
        <v>Peter Windeman</v>
      </c>
      <c r="F48" s="7" t="str">
        <f t="shared" si="4"/>
        <v>Peter Windeman</v>
      </c>
      <c r="G48" s="7" t="str">
        <f t="shared" si="5"/>
        <v>Peter Windeman</v>
      </c>
      <c r="H48" s="4" t="str">
        <f>_xlfn.XLOOKUP($H$1,BaseUrl!$B:$B,BaseUrl!$C:$C,"",0)</f>
        <v>https://www.gps-speedsurfing.com/UserDetails?Id=</v>
      </c>
      <c r="I48" s="4" t="str">
        <f>_xlfn.XLOOKUP($I$1,BaseUrl!$B:$B,BaseUrl!$C:$C,"",0)</f>
        <v>https://www.gps-speedsurfing.com/sessions/userequipment?userid=</v>
      </c>
      <c r="J48" s="4" t="str">
        <f>_xlfn.XLOOKUP($J$1,BaseUrl!$B:$B,BaseUrl!$C:$C,"",0)</f>
        <v>https://www.gps-speedsurfing.com/sessions/usersessions?userid=</v>
      </c>
      <c r="K48" s="4"/>
      <c r="L48" s="4"/>
    </row>
    <row r="49" spans="1:12" x14ac:dyDescent="0.3">
      <c r="A49" s="4">
        <v>47</v>
      </c>
      <c r="B49" s="6" t="s">
        <v>90</v>
      </c>
      <c r="C49" s="5" t="s">
        <v>60</v>
      </c>
      <c r="D49" s="4"/>
      <c r="E49" s="7" t="str">
        <f t="shared" si="3"/>
        <v/>
      </c>
      <c r="F49" s="7" t="str">
        <f t="shared" si="4"/>
        <v/>
      </c>
      <c r="G49" s="7" t="str">
        <f t="shared" si="5"/>
        <v/>
      </c>
      <c r="H49" s="4" t="str">
        <f>_xlfn.XLOOKUP($H$1,BaseUrl!$B:$B,BaseUrl!$C:$C,"",0)</f>
        <v>https://www.gps-speedsurfing.com/UserDetails?Id=</v>
      </c>
      <c r="I49" s="4" t="str">
        <f>_xlfn.XLOOKUP($I$1,BaseUrl!$B:$B,BaseUrl!$C:$C,"",0)</f>
        <v>https://www.gps-speedsurfing.com/sessions/userequipment?userid=</v>
      </c>
      <c r="J49" s="4" t="str">
        <f>_xlfn.XLOOKUP($J$1,BaseUrl!$B:$B,BaseUrl!$C:$C,"",0)</f>
        <v>https://www.gps-speedsurfing.com/sessions/usersessions?userid=</v>
      </c>
      <c r="K49" s="4"/>
      <c r="L49" s="4"/>
    </row>
    <row r="50" spans="1:12" x14ac:dyDescent="0.3">
      <c r="A50" s="4">
        <v>48</v>
      </c>
      <c r="B50" s="6" t="s">
        <v>97</v>
      </c>
      <c r="C50" s="5" t="s">
        <v>96</v>
      </c>
      <c r="D50" s="4">
        <v>26404</v>
      </c>
      <c r="E50" s="7"/>
      <c r="F50" s="7"/>
      <c r="G50" s="7"/>
      <c r="H50" s="4" t="str">
        <f>_xlfn.XLOOKUP($H$1,BaseUrl!$B:$B,BaseUrl!$C:$C,"",0)</f>
        <v>https://www.gps-speedsurfing.com/UserDetails?Id=</v>
      </c>
      <c r="I50" s="4" t="str">
        <f>_xlfn.XLOOKUP($I$1,BaseUrl!$B:$B,BaseUrl!$C:$C,"",0)</f>
        <v>https://www.gps-speedsurfing.com/sessions/userequipment?userid=</v>
      </c>
      <c r="J50" s="4" t="str">
        <f>_xlfn.XLOOKUP($J$1,BaseUrl!$B:$B,BaseUrl!$C:$C,"",0)</f>
        <v>https://www.gps-speedsurfing.com/sessions/usersessions?userid=</v>
      </c>
      <c r="K50" s="4"/>
      <c r="L50" s="4"/>
    </row>
    <row r="51" spans="1:12" x14ac:dyDescent="0.3">
      <c r="A51" s="4">
        <v>49</v>
      </c>
      <c r="B51" s="6"/>
      <c r="C51" s="5" t="s">
        <v>61</v>
      </c>
      <c r="D51" s="4"/>
      <c r="E51" s="7" t="str">
        <f>IF(D51&gt;0,HYPERLINK(_xlfn.CONCAT(H51,D51),IF(B51="",C51,B51)),"")</f>
        <v/>
      </c>
      <c r="F51" s="7" t="str">
        <f>IF(D51&gt;0,HYPERLINK(_xlfn.CONCAT(I51,D51),IF(B51="",C51,B51)),"")</f>
        <v/>
      </c>
      <c r="G51" s="7" t="str">
        <f>IF(D51&gt;0,HYPERLINK(_xlfn.CONCAT(J51,D51),IF(B51="",C51,B51)),"")</f>
        <v/>
      </c>
      <c r="H51" s="4" t="str">
        <f>_xlfn.XLOOKUP($H$1,BaseUrl!$B:$B,BaseUrl!$C:$C,"",0)</f>
        <v>https://www.gps-speedsurfing.com/UserDetails?Id=</v>
      </c>
      <c r="I51" s="4" t="str">
        <f>_xlfn.XLOOKUP($I$1,BaseUrl!$B:$B,BaseUrl!$C:$C,"",0)</f>
        <v>https://www.gps-speedsurfing.com/sessions/userequipment?userid=</v>
      </c>
      <c r="J51" s="4" t="str">
        <f>_xlfn.XLOOKUP($J$1,BaseUrl!$B:$B,BaseUrl!$C:$C,"",0)</f>
        <v>https://www.gps-speedsurfing.com/sessions/usersessions?userid=</v>
      </c>
      <c r="K51" s="4"/>
      <c r="L51" s="4"/>
    </row>
    <row r="52" spans="1:12" x14ac:dyDescent="0.3">
      <c r="A52" s="4">
        <v>50</v>
      </c>
      <c r="B52" s="6"/>
      <c r="C52" s="5"/>
      <c r="D52" s="4"/>
      <c r="E52" s="7" t="str">
        <f>IF(D52&gt;0,HYPERLINK(_xlfn.CONCAT(H52,D52),IF(B52="",C52,B52)),"")</f>
        <v/>
      </c>
      <c r="F52" s="7" t="str">
        <f>IF(D52&gt;0,HYPERLINK(_xlfn.CONCAT(I52,D52),IF(B52="",C52,B52)),"")</f>
        <v/>
      </c>
      <c r="G52" s="7" t="str">
        <f>IF(D52&gt;0,HYPERLINK(_xlfn.CONCAT(J52,D52),IF(B52="",C52,B52)),"")</f>
        <v/>
      </c>
      <c r="H52" s="4" t="str">
        <f>_xlfn.XLOOKUP($H$1,BaseUrl!$B:$B,BaseUrl!$C:$C,"",0)</f>
        <v>https://www.gps-speedsurfing.com/UserDetails?Id=</v>
      </c>
      <c r="I52" s="4" t="str">
        <f>_xlfn.XLOOKUP($I$1,BaseUrl!$B:$B,BaseUrl!$C:$C,"",0)</f>
        <v>https://www.gps-speedsurfing.com/sessions/userequipment?userid=</v>
      </c>
      <c r="J52" s="4" t="str">
        <f>_xlfn.XLOOKUP($J$1,BaseUrl!$B:$B,BaseUrl!$C:$C,"",0)</f>
        <v>https://www.gps-speedsurfing.com/sessions/usersessions?userid=</v>
      </c>
      <c r="K52" s="4"/>
      <c r="L52" s="4"/>
    </row>
    <row r="53" spans="1:12" x14ac:dyDescent="0.3">
      <c r="A53" s="4">
        <v>51</v>
      </c>
      <c r="B53" s="6"/>
      <c r="C53" s="5"/>
      <c r="D53" s="4"/>
      <c r="E53" s="7" t="str">
        <f>IF(D53&gt;0,HYPERLINK(_xlfn.CONCAT(H53,D53),IF(B53="",C53,B53)),"")</f>
        <v/>
      </c>
      <c r="F53" s="7" t="str">
        <f>IF(D53&gt;0,HYPERLINK(_xlfn.CONCAT(I53,D53),IF(B53="",C53,B53)),"")</f>
        <v/>
      </c>
      <c r="G53" s="7" t="str">
        <f>IF(D53&gt;0,HYPERLINK(_xlfn.CONCAT(J53,D53),IF(B53="",C53,B53)),"")</f>
        <v/>
      </c>
      <c r="H53" s="4" t="str">
        <f>_xlfn.XLOOKUP($H$1,BaseUrl!$B:$B,BaseUrl!$C:$C,"",0)</f>
        <v>https://www.gps-speedsurfing.com/UserDetails?Id=</v>
      </c>
      <c r="I53" s="4" t="str">
        <f>_xlfn.XLOOKUP($I$1,BaseUrl!$B:$B,BaseUrl!$C:$C,"",0)</f>
        <v>https://www.gps-speedsurfing.com/sessions/userequipment?userid=</v>
      </c>
      <c r="J53" s="4" t="str">
        <f>_xlfn.XLOOKUP($J$1,BaseUrl!$B:$B,BaseUrl!$C:$C,"",0)</f>
        <v>https://www.gps-speedsurfing.com/sessions/usersessions?userid=</v>
      </c>
      <c r="K53" s="4"/>
      <c r="L53" s="4"/>
    </row>
  </sheetData>
  <autoFilter ref="A1:L53" xr:uid="{00000000-0001-0000-0000-000000000000}">
    <sortState xmlns:xlrd2="http://schemas.microsoft.com/office/spreadsheetml/2017/richdata2" ref="A2:L53">
      <sortCondition ref="C1:C5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8E445-90B6-496D-AEB6-772532BC7A87}">
  <sheetPr codeName="Sheet2"/>
  <dimension ref="A1:C4"/>
  <sheetViews>
    <sheetView workbookViewId="0">
      <selection activeCell="C3" sqref="C3"/>
    </sheetView>
  </sheetViews>
  <sheetFormatPr defaultRowHeight="14.4" x14ac:dyDescent="0.3"/>
  <cols>
    <col min="1" max="1" width="7.44140625" customWidth="1"/>
    <col min="2" max="2" width="13.33203125" bestFit="1" customWidth="1"/>
    <col min="3" max="3" width="58.109375" bestFit="1" customWidth="1"/>
  </cols>
  <sheetData>
    <row r="1" spans="1:3" x14ac:dyDescent="0.3">
      <c r="A1" t="s">
        <v>19</v>
      </c>
      <c r="B1" t="s">
        <v>20</v>
      </c>
      <c r="C1" t="s">
        <v>21</v>
      </c>
    </row>
    <row r="2" spans="1:3" x14ac:dyDescent="0.3">
      <c r="A2">
        <v>1</v>
      </c>
      <c r="B2" t="s">
        <v>68</v>
      </c>
      <c r="C2" t="s">
        <v>4</v>
      </c>
    </row>
    <row r="3" spans="1:3" x14ac:dyDescent="0.3">
      <c r="A3">
        <v>3</v>
      </c>
      <c r="B3" t="s">
        <v>64</v>
      </c>
      <c r="C3" t="s">
        <v>73</v>
      </c>
    </row>
    <row r="4" spans="1:3" x14ac:dyDescent="0.3">
      <c r="A4">
        <v>4</v>
      </c>
      <c r="B4" t="s">
        <v>67</v>
      </c>
      <c r="C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</vt:lpstr>
      <vt:lpstr>BaseUrl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Björn Johansson</dc:creator>
  <cp:lastModifiedBy>Björn Johansson</cp:lastModifiedBy>
  <dcterms:created xsi:type="dcterms:W3CDTF">2015-06-05T18:17:20Z</dcterms:created>
  <dcterms:modified xsi:type="dcterms:W3CDTF">2026-05-13T21:28:55Z</dcterms:modified>
</cp:coreProperties>
</file>