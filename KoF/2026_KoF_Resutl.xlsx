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35" documentId="8_{F6A8042A-A5D6-416C-8B5E-22EF3D2F3C7D}" xr6:coauthVersionLast="47" xr6:coauthVersionMax="47" xr10:uidLastSave="{449F65B3-6083-45C4-B30B-F10117D303F3}"/>
  <bookViews>
    <workbookView xWindow="-108" yWindow="-108" windowWidth="23256" windowHeight="12456" activeTab="1" xr2:uid="{521ED91F-5C26-4B0E-8403-9E93154C70E8}"/>
  </bookViews>
  <sheets>
    <sheet name="Guide" sheetId="9" r:id="rId1"/>
    <sheet name="Totalt" sheetId="8" r:id="rId2"/>
    <sheet name="Resultat" sheetId="1" r:id="rId3"/>
    <sheet name="Results_of_the_day" sheetId="4" r:id="rId4"/>
    <sheet name="Results_of_the_day_old (2)" sheetId="12" r:id="rId5"/>
    <sheet name="Regler" sheetId="2" r:id="rId6"/>
    <sheet name="Temp" sheetId="5" r:id="rId7"/>
    <sheet name="Sheet2" sheetId="11" r:id="rId8"/>
  </sheets>
  <definedNames>
    <definedName name="_xlnm._FilterDatabase" localSheetId="2" hidden="1">Resultat!$A$4:$AZ$4</definedName>
    <definedName name="_xlnm._FilterDatabase" localSheetId="3" hidden="1">Results_of_the_day!$A$1:$H$1</definedName>
    <definedName name="_xlnm._FilterDatabase" localSheetId="4" hidden="1">'Results_of_the_day_old (2)'!$A$1:$H$1</definedName>
    <definedName name="_xlnm._FilterDatabase" localSheetId="1" hidden="1">Totalt!$A$3:$AG$4</definedName>
    <definedName name="_Poängställning_01">"$#REF!.$A$302"</definedName>
    <definedName name="_poängställning_rekord">"$#REF!.$A$249"</definedName>
    <definedName name="Abborre_01">"$#REF!.$J$3"</definedName>
    <definedName name="Abborre_Rekord">"$#REF!.$B$1"</definedName>
    <definedName name="Ål_01">"$#REF!.$J$257"</definedName>
    <definedName name="Ål_rekord">"$#REF!.$B$217"</definedName>
    <definedName name="Asp_01">"$#REF!.$J$16"</definedName>
    <definedName name="Asp_rekord">"$#REF!.$B$9"</definedName>
    <definedName name="Björkna_01">"$#REF!.$J$29"</definedName>
    <definedName name="Björkna_rekord">"$#REF!.$B$17"</definedName>
    <definedName name="Brax_01">"$#REF!.$J$41"</definedName>
    <definedName name="Brax_rekord">"$#REF!.$B$25"</definedName>
    <definedName name="Faren_01">"$#REF!.$J$54"</definedName>
    <definedName name="Faren_rekord">"$#REF!.$B$33"</definedName>
    <definedName name="Färna_01">"$#REF!.$J$67"</definedName>
    <definedName name="Färna_rekord">"$#REF!.$B$41"</definedName>
    <definedName name="Gädda_01">"$#REF!.$J$79"</definedName>
    <definedName name="Gädda_rekord">"$#REF!.$B$57"</definedName>
    <definedName name="Gös_01">"$#REF!.$J$92"</definedName>
    <definedName name="Gös_rekord">"$#REF!.$B$65"</definedName>
    <definedName name="Gräskarp_rekord">"$#REF!.$B$49"</definedName>
    <definedName name="Harr_rekord">"$#REF!.$B$73"</definedName>
    <definedName name="Havsöring_rekord">"$#REF!.$B$81"</definedName>
    <definedName name="Id_01">"$#REF!.$J$105"</definedName>
    <definedName name="Id_rekord">"$#REF!.$B$89"</definedName>
    <definedName name="Insjö.lax_rekord">"$#REF!.$B$105"</definedName>
    <definedName name="Insjö.öring_rekord">"$#REF!.$B$97"</definedName>
    <definedName name="Karp_01">"$#REF!.$J$117"</definedName>
    <definedName name="Karp_rekord">"$#REF!.$B$113"</definedName>
    <definedName name="Lake_01">"$#REF!.$J$130"</definedName>
    <definedName name="Lake_rekord">"$#REF!.$B$121"</definedName>
    <definedName name="Lax_01">"$#REF!.$J$143"</definedName>
    <definedName name="Lax_rekord">"$#REF!.$B$129"</definedName>
    <definedName name="Mal_rekord">"$#REF!.$B$137"</definedName>
    <definedName name="Mört_01">"$#REF!.$J$155"</definedName>
    <definedName name="Mört_rekord">"$#REF!.$B$145"</definedName>
    <definedName name="Öring_01">"$#REF!.$J$269"</definedName>
    <definedName name="Röding_01">"$#REF!.$J$181"</definedName>
    <definedName name="Röding_rekord">"$#REF!.$B$169"</definedName>
    <definedName name="rPoints">#REF!</definedName>
    <definedName name="rPts">#REF!,#REF!,#REF!,#REF!,#REF!,#REF!,#REF!,#REF!,#REF!,#REF!,#REF!,#REF!,#REF!,#REF!,#REF!</definedName>
    <definedName name="Ruda_01">"$#REF!.$J$168"</definedName>
    <definedName name="Ruda_rekord">"$#REF!.$B$161"</definedName>
    <definedName name="Sarv_01">"$#REF!.$J$193"</definedName>
    <definedName name="Sarv_rekord">"$#REF!.$B$177"</definedName>
    <definedName name="Sik_01">"$#REF!.$J$206"</definedName>
    <definedName name="Sik_rekord">"$#REF!.$B$185"</definedName>
    <definedName name="Stäm_01">"$#REF!.$J$219"</definedName>
    <definedName name="Stäm_rekord">"$#REF!.$B$193"</definedName>
    <definedName name="Sutare_01">"$#REF!.$J$231"</definedName>
    <definedName name="Sutare_rekord">"$#REF!.$B$201"</definedName>
    <definedName name="Vimma_01">"$#REF!.$J$244"</definedName>
    <definedName name="Vimma_rekord">"$#REF!.$B$209"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 a="1"/>
  <c r="E30" i="1" s="1"/>
  <c r="E30" i="8" s="1"/>
  <c r="F30" i="1" a="1"/>
  <c r="F30" i="1" s="1"/>
  <c r="G30" i="8" s="1"/>
  <c r="G30" i="1" a="1"/>
  <c r="G30" i="1" s="1"/>
  <c r="I30" i="8" s="1"/>
  <c r="H30" i="1" a="1"/>
  <c r="H30" i="1" s="1"/>
  <c r="K30" i="8" s="1"/>
  <c r="I30" i="1" a="1"/>
  <c r="I30" i="1" s="1"/>
  <c r="M30" i="8" s="1"/>
  <c r="J30" i="1" a="1"/>
  <c r="J30" i="1" s="1"/>
  <c r="O30" i="8" s="1"/>
  <c r="K30" i="1" a="1"/>
  <c r="K30" i="1" s="1"/>
  <c r="Q30" i="8" s="1"/>
  <c r="L30" i="1" a="1"/>
  <c r="L30" i="1" s="1"/>
  <c r="S30" i="8" s="1"/>
  <c r="M30" i="1" a="1"/>
  <c r="M30" i="1" s="1"/>
  <c r="U30" i="8" s="1"/>
  <c r="N30" i="1" a="1"/>
  <c r="N30" i="1" s="1"/>
  <c r="W30" i="8" s="1"/>
  <c r="O30" i="1" a="1"/>
  <c r="O30" i="1" s="1"/>
  <c r="Y30" i="8" s="1"/>
  <c r="P30" i="1" a="1"/>
  <c r="P30" i="1" s="1"/>
  <c r="AA30" i="8" s="1"/>
  <c r="Q30" i="1" a="1"/>
  <c r="Q30" i="1" s="1"/>
  <c r="AC30" i="8" s="1"/>
  <c r="R30" i="1" a="1"/>
  <c r="R30" i="1" s="1"/>
  <c r="AE30" i="8" s="1"/>
  <c r="S30" i="1" a="1"/>
  <c r="S30" i="1" s="1"/>
  <c r="AG30" i="8" s="1"/>
  <c r="E32" i="1" a="1"/>
  <c r="E32" i="1" s="1"/>
  <c r="F32" i="1" a="1"/>
  <c r="F32" i="1" s="1"/>
  <c r="G32" i="1" a="1"/>
  <c r="G32" i="1" s="1"/>
  <c r="H32" i="1" a="1"/>
  <c r="H32" i="1" s="1"/>
  <c r="I32" i="1" a="1"/>
  <c r="I32" i="1" s="1"/>
  <c r="J32" i="1" a="1"/>
  <c r="J32" i="1" s="1"/>
  <c r="O29" i="8" s="1"/>
  <c r="K32" i="1" a="1"/>
  <c r="K32" i="1" s="1"/>
  <c r="Q29" i="8" s="1"/>
  <c r="L32" i="1" a="1"/>
  <c r="L32" i="1" s="1"/>
  <c r="M32" i="1" a="1"/>
  <c r="M32" i="1" s="1"/>
  <c r="N32" i="1" a="1"/>
  <c r="N32" i="1" s="1"/>
  <c r="O32" i="1" a="1"/>
  <c r="O32" i="1" s="1"/>
  <c r="P32" i="1" a="1"/>
  <c r="P32" i="1" s="1"/>
  <c r="Q32" i="1" a="1"/>
  <c r="Q32" i="1" s="1"/>
  <c r="R32" i="1" a="1"/>
  <c r="R32" i="1" s="1"/>
  <c r="S32" i="1" a="1"/>
  <c r="S32" i="1" s="1"/>
  <c r="E18" i="1" a="1"/>
  <c r="E18" i="1" s="1"/>
  <c r="E28" i="8" s="1"/>
  <c r="F18" i="1" a="1"/>
  <c r="F18" i="1" s="1"/>
  <c r="G28" i="8" s="1"/>
  <c r="G18" i="1" a="1"/>
  <c r="G18" i="1" s="1"/>
  <c r="I28" i="8" s="1"/>
  <c r="H18" i="1" a="1"/>
  <c r="H18" i="1" s="1"/>
  <c r="K28" i="8" s="1"/>
  <c r="I18" i="1" a="1"/>
  <c r="I18" i="1" s="1"/>
  <c r="M28" i="8" s="1"/>
  <c r="J18" i="1" a="1"/>
  <c r="J18" i="1" s="1"/>
  <c r="O28" i="8" s="1"/>
  <c r="K18" i="1" a="1"/>
  <c r="K18" i="1" s="1"/>
  <c r="Q28" i="8" s="1"/>
  <c r="L18" i="1" a="1"/>
  <c r="L18" i="1" s="1"/>
  <c r="S28" i="8" s="1"/>
  <c r="M18" i="1" a="1"/>
  <c r="M18" i="1" s="1"/>
  <c r="U28" i="8" s="1"/>
  <c r="N18" i="1" a="1"/>
  <c r="N18" i="1" s="1"/>
  <c r="W28" i="8" s="1"/>
  <c r="O18" i="1" a="1"/>
  <c r="O18" i="1" s="1"/>
  <c r="Y28" i="8" s="1"/>
  <c r="P18" i="1" a="1"/>
  <c r="P18" i="1" s="1"/>
  <c r="AA28" i="8" s="1"/>
  <c r="Q18" i="1" a="1"/>
  <c r="Q18" i="1" s="1"/>
  <c r="AC28" i="8" s="1"/>
  <c r="R18" i="1" a="1"/>
  <c r="R18" i="1" s="1"/>
  <c r="AE28" i="8" s="1"/>
  <c r="S18" i="1" a="1"/>
  <c r="S18" i="1" s="1"/>
  <c r="AG28" i="8" s="1"/>
  <c r="F22" i="1" a="1"/>
  <c r="F22" i="1" s="1"/>
  <c r="E22" i="1" a="1"/>
  <c r="E22" i="1" s="1"/>
  <c r="E35" i="1" a="1"/>
  <c r="E35" i="1" s="1"/>
  <c r="F35" i="1" a="1"/>
  <c r="F35" i="1" s="1"/>
  <c r="G35" i="1" a="1"/>
  <c r="G35" i="1" s="1"/>
  <c r="H35" i="1" a="1"/>
  <c r="H35" i="1" s="1"/>
  <c r="K32" i="8" s="1"/>
  <c r="I35" i="1" a="1"/>
  <c r="I35" i="1" s="1"/>
  <c r="M32" i="8" s="1"/>
  <c r="J35" i="1" a="1"/>
  <c r="J35" i="1" s="1"/>
  <c r="O32" i="8" s="1"/>
  <c r="K35" i="1" a="1"/>
  <c r="K35" i="1" s="1"/>
  <c r="Q32" i="8" s="1"/>
  <c r="L35" i="1" a="1"/>
  <c r="L35" i="1" s="1"/>
  <c r="S32" i="8" s="1"/>
  <c r="M35" i="1" a="1"/>
  <c r="M35" i="1" s="1"/>
  <c r="U32" i="8" s="1"/>
  <c r="N35" i="1" a="1"/>
  <c r="N35" i="1" s="1"/>
  <c r="W32" i="8" s="1"/>
  <c r="O35" i="1" a="1"/>
  <c r="O35" i="1" s="1"/>
  <c r="Y32" i="8" s="1"/>
  <c r="P35" i="1" a="1"/>
  <c r="P35" i="1" s="1"/>
  <c r="AA32" i="8" s="1"/>
  <c r="Q35" i="1" a="1"/>
  <c r="Q35" i="1" s="1"/>
  <c r="AC32" i="8" s="1"/>
  <c r="R35" i="1" a="1"/>
  <c r="R35" i="1" s="1"/>
  <c r="AE32" i="8" s="1"/>
  <c r="S35" i="1" a="1"/>
  <c r="S35" i="1" s="1"/>
  <c r="AG32" i="8" s="1"/>
  <c r="E11" i="1" a="1"/>
  <c r="E11" i="1" s="1"/>
  <c r="F11" i="1" a="1"/>
  <c r="F11" i="1" s="1"/>
  <c r="G11" i="1" a="1"/>
  <c r="G11" i="1" s="1"/>
  <c r="H11" i="1" a="1"/>
  <c r="H11" i="1" s="1"/>
  <c r="K34" i="8" s="1"/>
  <c r="I11" i="1" a="1"/>
  <c r="I11" i="1" s="1"/>
  <c r="M34" i="8" s="1"/>
  <c r="J11" i="1" a="1"/>
  <c r="J11" i="1" s="1"/>
  <c r="O34" i="8" s="1"/>
  <c r="K11" i="1" a="1"/>
  <c r="K11" i="1" s="1"/>
  <c r="Q34" i="8" s="1"/>
  <c r="L11" i="1" a="1"/>
  <c r="L11" i="1" s="1"/>
  <c r="S34" i="8" s="1"/>
  <c r="M11" i="1" a="1"/>
  <c r="M11" i="1" s="1"/>
  <c r="U34" i="8" s="1"/>
  <c r="N11" i="1" a="1"/>
  <c r="N11" i="1" s="1"/>
  <c r="W34" i="8" s="1"/>
  <c r="O11" i="1" a="1"/>
  <c r="O11" i="1" s="1"/>
  <c r="Y34" i="8" s="1"/>
  <c r="P11" i="1" a="1"/>
  <c r="P11" i="1" s="1"/>
  <c r="AA34" i="8" s="1"/>
  <c r="Q11" i="1" a="1"/>
  <c r="Q11" i="1" s="1"/>
  <c r="AC34" i="8" s="1"/>
  <c r="R11" i="1" a="1"/>
  <c r="R11" i="1" s="1"/>
  <c r="AE34" i="8" s="1"/>
  <c r="S11" i="1" a="1"/>
  <c r="S11" i="1" s="1"/>
  <c r="AG34" i="8" s="1"/>
  <c r="E24" i="1" a="1"/>
  <c r="E24" i="1" s="1"/>
  <c r="F24" i="1" a="1"/>
  <c r="F24" i="1" s="1"/>
  <c r="G24" i="1" a="1"/>
  <c r="G24" i="1" s="1"/>
  <c r="H24" i="1" a="1"/>
  <c r="H24" i="1" s="1"/>
  <c r="K35" i="8" s="1"/>
  <c r="I24" i="1" a="1"/>
  <c r="I24" i="1" s="1"/>
  <c r="M35" i="8" s="1"/>
  <c r="J24" i="1" a="1"/>
  <c r="J24" i="1" s="1"/>
  <c r="O35" i="8" s="1"/>
  <c r="K24" i="1" a="1"/>
  <c r="K24" i="1" s="1"/>
  <c r="Q35" i="8" s="1"/>
  <c r="L24" i="1" a="1"/>
  <c r="L24" i="1" s="1"/>
  <c r="S35" i="8" s="1"/>
  <c r="M24" i="1" a="1"/>
  <c r="M24" i="1" s="1"/>
  <c r="U35" i="8" s="1"/>
  <c r="N24" i="1" a="1"/>
  <c r="N24" i="1" s="1"/>
  <c r="W35" i="8" s="1"/>
  <c r="O24" i="1" a="1"/>
  <c r="O24" i="1" s="1"/>
  <c r="Y35" i="8" s="1"/>
  <c r="P24" i="1" a="1"/>
  <c r="P24" i="1" s="1"/>
  <c r="AA35" i="8" s="1"/>
  <c r="Q24" i="1" a="1"/>
  <c r="Q24" i="1" s="1"/>
  <c r="AC35" i="8" s="1"/>
  <c r="R24" i="1" a="1"/>
  <c r="R24" i="1" s="1"/>
  <c r="AE35" i="8" s="1"/>
  <c r="S24" i="1" a="1"/>
  <c r="S24" i="1" s="1"/>
  <c r="AG35" i="8" s="1"/>
  <c r="Y29" i="8" l="1"/>
  <c r="I29" i="8"/>
  <c r="W29" i="8"/>
  <c r="G29" i="8"/>
  <c r="U29" i="8"/>
  <c r="E29" i="8"/>
  <c r="S29" i="8"/>
  <c r="AG29" i="8"/>
  <c r="AE29" i="8"/>
  <c r="AC29" i="8"/>
  <c r="M29" i="8"/>
  <c r="AA29" i="8"/>
  <c r="K29" i="8"/>
  <c r="I34" i="8"/>
  <c r="G34" i="8"/>
  <c r="E34" i="8"/>
  <c r="E16" i="1" a="1"/>
  <c r="E16" i="1" s="1"/>
  <c r="E11" i="8" s="1"/>
  <c r="E23" i="1" a="1"/>
  <c r="E23" i="1" s="1"/>
  <c r="E5" i="8" s="1"/>
  <c r="E20" i="1" a="1"/>
  <c r="E20" i="1" s="1"/>
  <c r="E6" i="8" s="1"/>
  <c r="E31" i="1" a="1"/>
  <c r="E31" i="1" s="1"/>
  <c r="E7" i="8" s="1"/>
  <c r="E19" i="1" a="1"/>
  <c r="E19" i="1" s="1"/>
  <c r="E8" i="8" s="1"/>
  <c r="E34" i="1" a="1"/>
  <c r="E34" i="1" s="1"/>
  <c r="E9" i="8" s="1"/>
  <c r="E28" i="1" a="1"/>
  <c r="E28" i="1" s="1"/>
  <c r="E10" i="8" s="1"/>
  <c r="E26" i="1" a="1"/>
  <c r="E26" i="1" s="1"/>
  <c r="E12" i="8" s="1"/>
  <c r="E15" i="1" a="1"/>
  <c r="E15" i="1" s="1"/>
  <c r="E13" i="8" s="1"/>
  <c r="E7" i="1" a="1"/>
  <c r="E7" i="1" s="1"/>
  <c r="E14" i="8" s="1"/>
  <c r="E8" i="1" a="1"/>
  <c r="E8" i="1" s="1"/>
  <c r="E15" i="8" s="1"/>
  <c r="E27" i="1" a="1"/>
  <c r="E27" i="1" s="1"/>
  <c r="E16" i="8" s="1"/>
  <c r="E9" i="1" a="1"/>
  <c r="E9" i="1" s="1"/>
  <c r="E17" i="8" s="1"/>
  <c r="E29" i="1" a="1"/>
  <c r="E29" i="1" s="1"/>
  <c r="E18" i="8" s="1"/>
  <c r="E5" i="1" a="1"/>
  <c r="E5" i="1" s="1"/>
  <c r="E33" i="1" a="1"/>
  <c r="E33" i="1" s="1"/>
  <c r="E20" i="8" s="1"/>
  <c r="E12" i="1" a="1"/>
  <c r="E12" i="1" s="1"/>
  <c r="E23" i="8" s="1"/>
  <c r="E25" i="1" a="1"/>
  <c r="E25" i="1" s="1"/>
  <c r="E24" i="8" s="1"/>
  <c r="E17" i="1" a="1"/>
  <c r="E17" i="1" s="1"/>
  <c r="E26" i="8" s="1"/>
  <c r="E21" i="1" a="1"/>
  <c r="E21" i="1" s="1"/>
  <c r="E27" i="8" s="1"/>
  <c r="E22" i="8"/>
  <c r="E14" i="1" a="1"/>
  <c r="E14" i="1" s="1"/>
  <c r="E21" i="8" s="1"/>
  <c r="E13" i="1" a="1"/>
  <c r="E13" i="1" s="1"/>
  <c r="E31" i="8" s="1"/>
  <c r="E6" i="1" a="1"/>
  <c r="E6" i="1" s="1"/>
  <c r="E25" i="8" s="1"/>
  <c r="E36" i="1" a="1"/>
  <c r="E36" i="1" s="1"/>
  <c r="E32" i="8" s="1"/>
  <c r="E10" i="1" a="1"/>
  <c r="E10" i="1" s="1"/>
  <c r="E33" i="8" s="1"/>
  <c r="F20" i="1" a="1"/>
  <c r="F20" i="1" s="1"/>
  <c r="G6" i="8" s="1"/>
  <c r="G20" i="1" a="1"/>
  <c r="G20" i="1" s="1"/>
  <c r="I6" i="8" s="1"/>
  <c r="H20" i="1" a="1"/>
  <c r="H20" i="1" s="1"/>
  <c r="K6" i="8" s="1"/>
  <c r="I20" i="1" a="1"/>
  <c r="I20" i="1" s="1"/>
  <c r="M6" i="8" s="1"/>
  <c r="J20" i="1" a="1"/>
  <c r="J20" i="1" s="1"/>
  <c r="O6" i="8" s="1"/>
  <c r="K20" i="1" a="1"/>
  <c r="K20" i="1" s="1"/>
  <c r="Q6" i="8" s="1"/>
  <c r="L20" i="1" a="1"/>
  <c r="L20" i="1" s="1"/>
  <c r="S6" i="8" s="1"/>
  <c r="M20" i="1" a="1"/>
  <c r="M20" i="1" s="1"/>
  <c r="U6" i="8" s="1"/>
  <c r="N20" i="1" a="1"/>
  <c r="N20" i="1" s="1"/>
  <c r="W6" i="8" s="1"/>
  <c r="O20" i="1" a="1"/>
  <c r="O20" i="1" s="1"/>
  <c r="Y6" i="8" s="1"/>
  <c r="P20" i="1" a="1"/>
  <c r="P20" i="1" s="1"/>
  <c r="AA6" i="8" s="1"/>
  <c r="Q20" i="1" a="1"/>
  <c r="Q20" i="1" s="1"/>
  <c r="AC6" i="8" s="1"/>
  <c r="R20" i="1" a="1"/>
  <c r="R20" i="1" s="1"/>
  <c r="AE6" i="8" s="1"/>
  <c r="S20" i="1" a="1"/>
  <c r="S20" i="1" s="1"/>
  <c r="AG6" i="8" s="1"/>
  <c r="F31" i="1" a="1"/>
  <c r="F31" i="1" s="1"/>
  <c r="G7" i="8" s="1"/>
  <c r="G31" i="1" a="1"/>
  <c r="G31" i="1" s="1"/>
  <c r="I7" i="8" s="1"/>
  <c r="H31" i="1" a="1"/>
  <c r="H31" i="1" s="1"/>
  <c r="K7" i="8" s="1"/>
  <c r="I31" i="1" a="1"/>
  <c r="I31" i="1" s="1"/>
  <c r="M7" i="8" s="1"/>
  <c r="J31" i="1" a="1"/>
  <c r="J31" i="1" s="1"/>
  <c r="O7" i="8" s="1"/>
  <c r="K31" i="1" a="1"/>
  <c r="K31" i="1" s="1"/>
  <c r="Q7" i="8" s="1"/>
  <c r="L31" i="1" a="1"/>
  <c r="L31" i="1" s="1"/>
  <c r="S7" i="8" s="1"/>
  <c r="M31" i="1" a="1"/>
  <c r="M31" i="1" s="1"/>
  <c r="U7" i="8" s="1"/>
  <c r="N31" i="1" a="1"/>
  <c r="N31" i="1" s="1"/>
  <c r="W7" i="8" s="1"/>
  <c r="O31" i="1" a="1"/>
  <c r="O31" i="1" s="1"/>
  <c r="Y7" i="8" s="1"/>
  <c r="P31" i="1" a="1"/>
  <c r="P31" i="1" s="1"/>
  <c r="AA7" i="8" s="1"/>
  <c r="Q31" i="1" a="1"/>
  <c r="Q31" i="1" s="1"/>
  <c r="AC7" i="8" s="1"/>
  <c r="R31" i="1" a="1"/>
  <c r="R31" i="1" s="1"/>
  <c r="AE7" i="8" s="1"/>
  <c r="S31" i="1" a="1"/>
  <c r="S31" i="1" s="1"/>
  <c r="AG7" i="8" s="1"/>
  <c r="F19" i="1" a="1"/>
  <c r="F19" i="1" s="1"/>
  <c r="G8" i="8" s="1"/>
  <c r="G19" i="1" a="1"/>
  <c r="G19" i="1" s="1"/>
  <c r="I8" i="8" s="1"/>
  <c r="H19" i="1" a="1"/>
  <c r="H19" i="1" s="1"/>
  <c r="K8" i="8" s="1"/>
  <c r="I19" i="1" a="1"/>
  <c r="I19" i="1" s="1"/>
  <c r="M8" i="8" s="1"/>
  <c r="J19" i="1" a="1"/>
  <c r="J19" i="1" s="1"/>
  <c r="O8" i="8" s="1"/>
  <c r="K19" i="1" a="1"/>
  <c r="K19" i="1" s="1"/>
  <c r="Q8" i="8" s="1"/>
  <c r="L19" i="1" a="1"/>
  <c r="L19" i="1" s="1"/>
  <c r="S8" i="8" s="1"/>
  <c r="M19" i="1" a="1"/>
  <c r="M19" i="1" s="1"/>
  <c r="U8" i="8" s="1"/>
  <c r="N19" i="1" a="1"/>
  <c r="N19" i="1" s="1"/>
  <c r="W8" i="8" s="1"/>
  <c r="O19" i="1" a="1"/>
  <c r="O19" i="1" s="1"/>
  <c r="Y8" i="8" s="1"/>
  <c r="P19" i="1" a="1"/>
  <c r="P19" i="1" s="1"/>
  <c r="AA8" i="8" s="1"/>
  <c r="Q19" i="1" a="1"/>
  <c r="Q19" i="1" s="1"/>
  <c r="AC8" i="8" s="1"/>
  <c r="R19" i="1" a="1"/>
  <c r="R19" i="1" s="1"/>
  <c r="AE8" i="8" s="1"/>
  <c r="S19" i="1" a="1"/>
  <c r="S19" i="1" s="1"/>
  <c r="AG8" i="8" s="1"/>
  <c r="F34" i="1" a="1"/>
  <c r="F34" i="1" s="1"/>
  <c r="G9" i="8" s="1"/>
  <c r="G34" i="1" a="1"/>
  <c r="G34" i="1" s="1"/>
  <c r="I9" i="8" s="1"/>
  <c r="H34" i="1" a="1"/>
  <c r="H34" i="1" s="1"/>
  <c r="K9" i="8" s="1"/>
  <c r="I34" i="1" a="1"/>
  <c r="I34" i="1" s="1"/>
  <c r="M9" i="8" s="1"/>
  <c r="J34" i="1" a="1"/>
  <c r="J34" i="1" s="1"/>
  <c r="O9" i="8" s="1"/>
  <c r="K34" i="1" a="1"/>
  <c r="K34" i="1" s="1"/>
  <c r="Q9" i="8" s="1"/>
  <c r="L34" i="1" a="1"/>
  <c r="L34" i="1" s="1"/>
  <c r="S9" i="8" s="1"/>
  <c r="M34" i="1" a="1"/>
  <c r="M34" i="1" s="1"/>
  <c r="U9" i="8" s="1"/>
  <c r="N34" i="1" a="1"/>
  <c r="N34" i="1" s="1"/>
  <c r="W9" i="8" s="1"/>
  <c r="O34" i="1" a="1"/>
  <c r="O34" i="1" s="1"/>
  <c r="Y9" i="8" s="1"/>
  <c r="P34" i="1" a="1"/>
  <c r="P34" i="1" s="1"/>
  <c r="AA9" i="8" s="1"/>
  <c r="Q34" i="1" a="1"/>
  <c r="Q34" i="1" s="1"/>
  <c r="AC9" i="8" s="1"/>
  <c r="R34" i="1" a="1"/>
  <c r="R34" i="1" s="1"/>
  <c r="AE9" i="8" s="1"/>
  <c r="S34" i="1" a="1"/>
  <c r="S34" i="1" s="1"/>
  <c r="AG9" i="8" s="1"/>
  <c r="F28" i="1" a="1"/>
  <c r="F28" i="1" s="1"/>
  <c r="G10" i="8" s="1"/>
  <c r="G28" i="1" a="1"/>
  <c r="G28" i="1" s="1"/>
  <c r="I10" i="8" s="1"/>
  <c r="H28" i="1" a="1"/>
  <c r="H28" i="1" s="1"/>
  <c r="K10" i="8" s="1"/>
  <c r="I28" i="1" a="1"/>
  <c r="I28" i="1" s="1"/>
  <c r="M10" i="8" s="1"/>
  <c r="J28" i="1" a="1"/>
  <c r="J28" i="1" s="1"/>
  <c r="O10" i="8" s="1"/>
  <c r="K28" i="1" a="1"/>
  <c r="K28" i="1" s="1"/>
  <c r="Q10" i="8" s="1"/>
  <c r="L28" i="1" a="1"/>
  <c r="L28" i="1" s="1"/>
  <c r="S10" i="8" s="1"/>
  <c r="M28" i="1" a="1"/>
  <c r="M28" i="1" s="1"/>
  <c r="U10" i="8" s="1"/>
  <c r="N28" i="1" a="1"/>
  <c r="N28" i="1" s="1"/>
  <c r="W10" i="8" s="1"/>
  <c r="O28" i="1" a="1"/>
  <c r="O28" i="1" s="1"/>
  <c r="Y10" i="8" s="1"/>
  <c r="P28" i="1" a="1"/>
  <c r="P28" i="1" s="1"/>
  <c r="AA10" i="8" s="1"/>
  <c r="Q28" i="1" a="1"/>
  <c r="Q28" i="1" s="1"/>
  <c r="AC10" i="8" s="1"/>
  <c r="R28" i="1" a="1"/>
  <c r="R28" i="1" s="1"/>
  <c r="AE10" i="8" s="1"/>
  <c r="S28" i="1" a="1"/>
  <c r="S28" i="1" s="1"/>
  <c r="AG10" i="8" s="1"/>
  <c r="F16" i="1" a="1"/>
  <c r="F16" i="1" s="1"/>
  <c r="G11" i="8" s="1"/>
  <c r="G16" i="1" a="1"/>
  <c r="G16" i="1" s="1"/>
  <c r="I11" i="8" s="1"/>
  <c r="H16" i="1" a="1"/>
  <c r="H16" i="1" s="1"/>
  <c r="K11" i="8" s="1"/>
  <c r="I16" i="1" a="1"/>
  <c r="I16" i="1" s="1"/>
  <c r="M11" i="8" s="1"/>
  <c r="J16" i="1" a="1"/>
  <c r="J16" i="1" s="1"/>
  <c r="O11" i="8" s="1"/>
  <c r="K16" i="1" a="1"/>
  <c r="K16" i="1" s="1"/>
  <c r="Q11" i="8" s="1"/>
  <c r="L16" i="1" a="1"/>
  <c r="L16" i="1" s="1"/>
  <c r="S11" i="8" s="1"/>
  <c r="M16" i="1" a="1"/>
  <c r="M16" i="1" s="1"/>
  <c r="U11" i="8" s="1"/>
  <c r="N16" i="1" a="1"/>
  <c r="N16" i="1" s="1"/>
  <c r="W11" i="8" s="1"/>
  <c r="O16" i="1" a="1"/>
  <c r="O16" i="1" s="1"/>
  <c r="Y11" i="8" s="1"/>
  <c r="P16" i="1" a="1"/>
  <c r="P16" i="1" s="1"/>
  <c r="AA11" i="8" s="1"/>
  <c r="Q16" i="1" a="1"/>
  <c r="Q16" i="1" s="1"/>
  <c r="AC11" i="8" s="1"/>
  <c r="R16" i="1" a="1"/>
  <c r="R16" i="1" s="1"/>
  <c r="AE11" i="8" s="1"/>
  <c r="S16" i="1" a="1"/>
  <c r="S16" i="1" s="1"/>
  <c r="AG11" i="8" s="1"/>
  <c r="F26" i="1" a="1"/>
  <c r="F26" i="1" s="1"/>
  <c r="G12" i="8" s="1"/>
  <c r="G26" i="1" a="1"/>
  <c r="G26" i="1" s="1"/>
  <c r="I12" i="8" s="1"/>
  <c r="H26" i="1" a="1"/>
  <c r="H26" i="1" s="1"/>
  <c r="K12" i="8" s="1"/>
  <c r="I26" i="1" a="1"/>
  <c r="I26" i="1" s="1"/>
  <c r="M12" i="8" s="1"/>
  <c r="J26" i="1" a="1"/>
  <c r="J26" i="1" s="1"/>
  <c r="O12" i="8" s="1"/>
  <c r="K26" i="1" a="1"/>
  <c r="K26" i="1" s="1"/>
  <c r="Q12" i="8" s="1"/>
  <c r="L26" i="1" a="1"/>
  <c r="L26" i="1" s="1"/>
  <c r="S12" i="8" s="1"/>
  <c r="M26" i="1" a="1"/>
  <c r="M26" i="1" s="1"/>
  <c r="U12" i="8" s="1"/>
  <c r="N26" i="1" a="1"/>
  <c r="N26" i="1" s="1"/>
  <c r="W12" i="8" s="1"/>
  <c r="O26" i="1" a="1"/>
  <c r="O26" i="1" s="1"/>
  <c r="Y12" i="8" s="1"/>
  <c r="P26" i="1" a="1"/>
  <c r="P26" i="1" s="1"/>
  <c r="AA12" i="8" s="1"/>
  <c r="Q26" i="1" a="1"/>
  <c r="Q26" i="1" s="1"/>
  <c r="AC12" i="8" s="1"/>
  <c r="R26" i="1" a="1"/>
  <c r="R26" i="1" s="1"/>
  <c r="AE12" i="8" s="1"/>
  <c r="S26" i="1" a="1"/>
  <c r="S26" i="1" s="1"/>
  <c r="AG12" i="8" s="1"/>
  <c r="F15" i="1" a="1"/>
  <c r="F15" i="1" s="1"/>
  <c r="G13" i="8" s="1"/>
  <c r="G15" i="1" a="1"/>
  <c r="G15" i="1" s="1"/>
  <c r="I13" i="8" s="1"/>
  <c r="H15" i="1" a="1"/>
  <c r="H15" i="1" s="1"/>
  <c r="K13" i="8" s="1"/>
  <c r="I15" i="1" a="1"/>
  <c r="I15" i="1" s="1"/>
  <c r="M13" i="8" s="1"/>
  <c r="J15" i="1" a="1"/>
  <c r="J15" i="1" s="1"/>
  <c r="O13" i="8" s="1"/>
  <c r="K15" i="1" a="1"/>
  <c r="K15" i="1" s="1"/>
  <c r="Q13" i="8" s="1"/>
  <c r="L15" i="1" a="1"/>
  <c r="L15" i="1" s="1"/>
  <c r="S13" i="8" s="1"/>
  <c r="M15" i="1" a="1"/>
  <c r="M15" i="1" s="1"/>
  <c r="U13" i="8" s="1"/>
  <c r="N15" i="1" a="1"/>
  <c r="N15" i="1" s="1"/>
  <c r="W13" i="8" s="1"/>
  <c r="O15" i="1" a="1"/>
  <c r="O15" i="1" s="1"/>
  <c r="Y13" i="8" s="1"/>
  <c r="P15" i="1" a="1"/>
  <c r="P15" i="1" s="1"/>
  <c r="AA13" i="8" s="1"/>
  <c r="Q15" i="1" a="1"/>
  <c r="Q15" i="1" s="1"/>
  <c r="AC13" i="8" s="1"/>
  <c r="R15" i="1" a="1"/>
  <c r="R15" i="1" s="1"/>
  <c r="AE13" i="8" s="1"/>
  <c r="S15" i="1" a="1"/>
  <c r="S15" i="1" s="1"/>
  <c r="AG13" i="8" s="1"/>
  <c r="F7" i="1" a="1"/>
  <c r="F7" i="1" s="1"/>
  <c r="G14" i="8" s="1"/>
  <c r="G7" i="1" a="1"/>
  <c r="G7" i="1" s="1"/>
  <c r="I14" i="8" s="1"/>
  <c r="H7" i="1" a="1"/>
  <c r="H7" i="1" s="1"/>
  <c r="K14" i="8" s="1"/>
  <c r="I7" i="1" a="1"/>
  <c r="I7" i="1" s="1"/>
  <c r="M14" i="8" s="1"/>
  <c r="J7" i="1" a="1"/>
  <c r="J7" i="1" s="1"/>
  <c r="O14" i="8" s="1"/>
  <c r="K7" i="1" a="1"/>
  <c r="K7" i="1" s="1"/>
  <c r="Q14" i="8" s="1"/>
  <c r="L7" i="1" a="1"/>
  <c r="L7" i="1" s="1"/>
  <c r="S14" i="8" s="1"/>
  <c r="M7" i="1" a="1"/>
  <c r="M7" i="1" s="1"/>
  <c r="U14" i="8" s="1"/>
  <c r="N7" i="1" a="1"/>
  <c r="N7" i="1" s="1"/>
  <c r="W14" i="8" s="1"/>
  <c r="O7" i="1" a="1"/>
  <c r="O7" i="1" s="1"/>
  <c r="Y14" i="8" s="1"/>
  <c r="P7" i="1" a="1"/>
  <c r="P7" i="1" s="1"/>
  <c r="AA14" i="8" s="1"/>
  <c r="Q7" i="1" a="1"/>
  <c r="Q7" i="1" s="1"/>
  <c r="AC14" i="8" s="1"/>
  <c r="R7" i="1" a="1"/>
  <c r="R7" i="1" s="1"/>
  <c r="AE14" i="8" s="1"/>
  <c r="S7" i="1" a="1"/>
  <c r="S7" i="1" s="1"/>
  <c r="AG14" i="8" s="1"/>
  <c r="F8" i="1" a="1"/>
  <c r="F8" i="1" s="1"/>
  <c r="G15" i="8" s="1"/>
  <c r="G8" i="1" a="1"/>
  <c r="G8" i="1" s="1"/>
  <c r="I15" i="8" s="1"/>
  <c r="H8" i="1" a="1"/>
  <c r="H8" i="1" s="1"/>
  <c r="K15" i="8" s="1"/>
  <c r="I8" i="1" a="1"/>
  <c r="I8" i="1" s="1"/>
  <c r="M15" i="8" s="1"/>
  <c r="J8" i="1" a="1"/>
  <c r="J8" i="1" s="1"/>
  <c r="O15" i="8" s="1"/>
  <c r="K8" i="1" a="1"/>
  <c r="K8" i="1" s="1"/>
  <c r="Q15" i="8" s="1"/>
  <c r="L8" i="1" a="1"/>
  <c r="L8" i="1" s="1"/>
  <c r="S15" i="8" s="1"/>
  <c r="M8" i="1" a="1"/>
  <c r="M8" i="1" s="1"/>
  <c r="U15" i="8" s="1"/>
  <c r="N8" i="1" a="1"/>
  <c r="N8" i="1" s="1"/>
  <c r="W15" i="8" s="1"/>
  <c r="O8" i="1" a="1"/>
  <c r="O8" i="1" s="1"/>
  <c r="Y15" i="8" s="1"/>
  <c r="P8" i="1" a="1"/>
  <c r="P8" i="1" s="1"/>
  <c r="AA15" i="8" s="1"/>
  <c r="Q8" i="1" a="1"/>
  <c r="Q8" i="1" s="1"/>
  <c r="AC15" i="8" s="1"/>
  <c r="R8" i="1" a="1"/>
  <c r="R8" i="1" s="1"/>
  <c r="AE15" i="8" s="1"/>
  <c r="S8" i="1" a="1"/>
  <c r="S8" i="1" s="1"/>
  <c r="AG15" i="8" s="1"/>
  <c r="F27" i="1" a="1"/>
  <c r="F27" i="1" s="1"/>
  <c r="G16" i="8" s="1"/>
  <c r="G27" i="1" a="1"/>
  <c r="G27" i="1" s="1"/>
  <c r="I16" i="8" s="1"/>
  <c r="H27" i="1" a="1"/>
  <c r="H27" i="1" s="1"/>
  <c r="K16" i="8" s="1"/>
  <c r="I27" i="1" a="1"/>
  <c r="I27" i="1" s="1"/>
  <c r="M16" i="8" s="1"/>
  <c r="J27" i="1" a="1"/>
  <c r="J27" i="1" s="1"/>
  <c r="O16" i="8" s="1"/>
  <c r="K27" i="1" a="1"/>
  <c r="K27" i="1" s="1"/>
  <c r="Q16" i="8" s="1"/>
  <c r="L27" i="1" a="1"/>
  <c r="L27" i="1" s="1"/>
  <c r="S16" i="8" s="1"/>
  <c r="M27" i="1" a="1"/>
  <c r="M27" i="1" s="1"/>
  <c r="U16" i="8" s="1"/>
  <c r="N27" i="1" a="1"/>
  <c r="N27" i="1" s="1"/>
  <c r="W16" i="8" s="1"/>
  <c r="O27" i="1" a="1"/>
  <c r="O27" i="1" s="1"/>
  <c r="Y16" i="8" s="1"/>
  <c r="P27" i="1" a="1"/>
  <c r="P27" i="1" s="1"/>
  <c r="AA16" i="8" s="1"/>
  <c r="Q27" i="1" a="1"/>
  <c r="Q27" i="1" s="1"/>
  <c r="AC16" i="8" s="1"/>
  <c r="R27" i="1" a="1"/>
  <c r="R27" i="1" s="1"/>
  <c r="AE16" i="8" s="1"/>
  <c r="S27" i="1" a="1"/>
  <c r="S27" i="1" s="1"/>
  <c r="AG16" i="8" s="1"/>
  <c r="F9" i="1" a="1"/>
  <c r="F9" i="1" s="1"/>
  <c r="G17" i="8" s="1"/>
  <c r="G9" i="1" a="1"/>
  <c r="G9" i="1" s="1"/>
  <c r="I17" i="8" s="1"/>
  <c r="H9" i="1" a="1"/>
  <c r="H9" i="1" s="1"/>
  <c r="K17" i="8" s="1"/>
  <c r="I9" i="1" a="1"/>
  <c r="I9" i="1" s="1"/>
  <c r="M17" i="8" s="1"/>
  <c r="J9" i="1" a="1"/>
  <c r="J9" i="1" s="1"/>
  <c r="O17" i="8" s="1"/>
  <c r="K9" i="1" a="1"/>
  <c r="K9" i="1" s="1"/>
  <c r="Q17" i="8" s="1"/>
  <c r="L9" i="1" a="1"/>
  <c r="L9" i="1" s="1"/>
  <c r="S17" i="8" s="1"/>
  <c r="M9" i="1" a="1"/>
  <c r="M9" i="1" s="1"/>
  <c r="U17" i="8" s="1"/>
  <c r="N9" i="1" a="1"/>
  <c r="N9" i="1" s="1"/>
  <c r="W17" i="8" s="1"/>
  <c r="O9" i="1" a="1"/>
  <c r="O9" i="1" s="1"/>
  <c r="Y17" i="8" s="1"/>
  <c r="P9" i="1" a="1"/>
  <c r="P9" i="1" s="1"/>
  <c r="AA17" i="8" s="1"/>
  <c r="Q9" i="1" a="1"/>
  <c r="Q9" i="1" s="1"/>
  <c r="AC17" i="8" s="1"/>
  <c r="R9" i="1" a="1"/>
  <c r="R9" i="1" s="1"/>
  <c r="AE17" i="8" s="1"/>
  <c r="S9" i="1" a="1"/>
  <c r="S9" i="1" s="1"/>
  <c r="AG17" i="8" s="1"/>
  <c r="F29" i="1" a="1"/>
  <c r="F29" i="1" s="1"/>
  <c r="G18" i="8" s="1"/>
  <c r="G29" i="1" a="1"/>
  <c r="G29" i="1" s="1"/>
  <c r="I18" i="8" s="1"/>
  <c r="H29" i="1" a="1"/>
  <c r="H29" i="1" s="1"/>
  <c r="K18" i="8" s="1"/>
  <c r="I29" i="1" a="1"/>
  <c r="I29" i="1" s="1"/>
  <c r="M18" i="8" s="1"/>
  <c r="J29" i="1" a="1"/>
  <c r="J29" i="1" s="1"/>
  <c r="O18" i="8" s="1"/>
  <c r="K29" i="1" a="1"/>
  <c r="K29" i="1" s="1"/>
  <c r="Q18" i="8" s="1"/>
  <c r="L29" i="1" a="1"/>
  <c r="L29" i="1" s="1"/>
  <c r="S18" i="8" s="1"/>
  <c r="M29" i="1" a="1"/>
  <c r="M29" i="1" s="1"/>
  <c r="U18" i="8" s="1"/>
  <c r="N29" i="1" a="1"/>
  <c r="N29" i="1" s="1"/>
  <c r="W18" i="8" s="1"/>
  <c r="O29" i="1" a="1"/>
  <c r="O29" i="1" s="1"/>
  <c r="Y18" i="8" s="1"/>
  <c r="P29" i="1" a="1"/>
  <c r="P29" i="1" s="1"/>
  <c r="AA18" i="8" s="1"/>
  <c r="Q29" i="1" a="1"/>
  <c r="Q29" i="1" s="1"/>
  <c r="AC18" i="8" s="1"/>
  <c r="R29" i="1" a="1"/>
  <c r="R29" i="1" s="1"/>
  <c r="AE18" i="8" s="1"/>
  <c r="S29" i="1" a="1"/>
  <c r="S29" i="1" s="1"/>
  <c r="AG18" i="8" s="1"/>
  <c r="F5" i="1" a="1"/>
  <c r="F5" i="1" s="1"/>
  <c r="G5" i="1" a="1"/>
  <c r="G5" i="1" s="1"/>
  <c r="H5" i="1" a="1"/>
  <c r="H5" i="1" s="1"/>
  <c r="K19" i="8" s="1"/>
  <c r="I5" i="1" a="1"/>
  <c r="I5" i="1" s="1"/>
  <c r="M19" i="8" s="1"/>
  <c r="J5" i="1" a="1"/>
  <c r="J5" i="1" s="1"/>
  <c r="O19" i="8" s="1"/>
  <c r="K5" i="1" a="1"/>
  <c r="K5" i="1" s="1"/>
  <c r="Q19" i="8" s="1"/>
  <c r="L5" i="1" a="1"/>
  <c r="L5" i="1" s="1"/>
  <c r="S19" i="8" s="1"/>
  <c r="M5" i="1" a="1"/>
  <c r="M5" i="1" s="1"/>
  <c r="U19" i="8" s="1"/>
  <c r="N5" i="1" a="1"/>
  <c r="N5" i="1" s="1"/>
  <c r="W19" i="8" s="1"/>
  <c r="O5" i="1" a="1"/>
  <c r="O5" i="1" s="1"/>
  <c r="Y19" i="8" s="1"/>
  <c r="P5" i="1" a="1"/>
  <c r="P5" i="1" s="1"/>
  <c r="AA19" i="8" s="1"/>
  <c r="Q5" i="1" a="1"/>
  <c r="Q5" i="1" s="1"/>
  <c r="AC19" i="8" s="1"/>
  <c r="R5" i="1" a="1"/>
  <c r="R5" i="1" s="1"/>
  <c r="AE19" i="8" s="1"/>
  <c r="S5" i="1" a="1"/>
  <c r="S5" i="1" s="1"/>
  <c r="AG19" i="8" s="1"/>
  <c r="F33" i="1" a="1"/>
  <c r="F33" i="1" s="1"/>
  <c r="G20" i="8" s="1"/>
  <c r="G33" i="1" a="1"/>
  <c r="G33" i="1" s="1"/>
  <c r="I20" i="8" s="1"/>
  <c r="H33" i="1" a="1"/>
  <c r="H33" i="1" s="1"/>
  <c r="K20" i="8" s="1"/>
  <c r="I33" i="1" a="1"/>
  <c r="I33" i="1" s="1"/>
  <c r="M20" i="8" s="1"/>
  <c r="J33" i="1" a="1"/>
  <c r="J33" i="1" s="1"/>
  <c r="O20" i="8" s="1"/>
  <c r="K33" i="1" a="1"/>
  <c r="K33" i="1" s="1"/>
  <c r="Q20" i="8" s="1"/>
  <c r="L33" i="1" a="1"/>
  <c r="L33" i="1" s="1"/>
  <c r="S20" i="8" s="1"/>
  <c r="M33" i="1" a="1"/>
  <c r="M33" i="1" s="1"/>
  <c r="U20" i="8" s="1"/>
  <c r="N33" i="1" a="1"/>
  <c r="N33" i="1" s="1"/>
  <c r="W20" i="8" s="1"/>
  <c r="O33" i="1" a="1"/>
  <c r="O33" i="1" s="1"/>
  <c r="Y20" i="8" s="1"/>
  <c r="P33" i="1" a="1"/>
  <c r="P33" i="1" s="1"/>
  <c r="AA20" i="8" s="1"/>
  <c r="Q33" i="1" a="1"/>
  <c r="Q33" i="1" s="1"/>
  <c r="AC20" i="8" s="1"/>
  <c r="R33" i="1" a="1"/>
  <c r="R33" i="1" s="1"/>
  <c r="AE20" i="8" s="1"/>
  <c r="S33" i="1" a="1"/>
  <c r="S33" i="1" s="1"/>
  <c r="AG20" i="8" s="1"/>
  <c r="F12" i="1" a="1"/>
  <c r="F12" i="1" s="1"/>
  <c r="G23" i="8" s="1"/>
  <c r="G12" i="1" a="1"/>
  <c r="G12" i="1" s="1"/>
  <c r="I23" i="8" s="1"/>
  <c r="H12" i="1" a="1"/>
  <c r="H12" i="1" s="1"/>
  <c r="K23" i="8" s="1"/>
  <c r="I12" i="1" a="1"/>
  <c r="I12" i="1" s="1"/>
  <c r="M23" i="8" s="1"/>
  <c r="J12" i="1" a="1"/>
  <c r="J12" i="1" s="1"/>
  <c r="O23" i="8" s="1"/>
  <c r="K12" i="1" a="1"/>
  <c r="K12" i="1" s="1"/>
  <c r="Q23" i="8" s="1"/>
  <c r="L12" i="1" a="1"/>
  <c r="L12" i="1" s="1"/>
  <c r="S23" i="8" s="1"/>
  <c r="M12" i="1" a="1"/>
  <c r="M12" i="1" s="1"/>
  <c r="U23" i="8" s="1"/>
  <c r="N12" i="1" a="1"/>
  <c r="N12" i="1" s="1"/>
  <c r="W23" i="8" s="1"/>
  <c r="O12" i="1" a="1"/>
  <c r="O12" i="1" s="1"/>
  <c r="Y23" i="8" s="1"/>
  <c r="P12" i="1" a="1"/>
  <c r="P12" i="1" s="1"/>
  <c r="AA23" i="8" s="1"/>
  <c r="Q12" i="1" a="1"/>
  <c r="Q12" i="1" s="1"/>
  <c r="AC23" i="8" s="1"/>
  <c r="R12" i="1" a="1"/>
  <c r="R12" i="1" s="1"/>
  <c r="AE23" i="8" s="1"/>
  <c r="S12" i="1" a="1"/>
  <c r="S12" i="1" s="1"/>
  <c r="AG23" i="8" s="1"/>
  <c r="F25" i="1" a="1"/>
  <c r="F25" i="1" s="1"/>
  <c r="G24" i="8" s="1"/>
  <c r="G25" i="1" a="1"/>
  <c r="G25" i="1" s="1"/>
  <c r="I24" i="8" s="1"/>
  <c r="H25" i="1" a="1"/>
  <c r="H25" i="1" s="1"/>
  <c r="K24" i="8" s="1"/>
  <c r="I25" i="1" a="1"/>
  <c r="I25" i="1" s="1"/>
  <c r="M24" i="8" s="1"/>
  <c r="J25" i="1" a="1"/>
  <c r="J25" i="1" s="1"/>
  <c r="O24" i="8" s="1"/>
  <c r="K25" i="1" a="1"/>
  <c r="K25" i="1" s="1"/>
  <c r="Q24" i="8" s="1"/>
  <c r="L25" i="1" a="1"/>
  <c r="L25" i="1" s="1"/>
  <c r="S24" i="8" s="1"/>
  <c r="M25" i="1" a="1"/>
  <c r="M25" i="1" s="1"/>
  <c r="U24" i="8" s="1"/>
  <c r="N25" i="1" a="1"/>
  <c r="N25" i="1" s="1"/>
  <c r="W24" i="8" s="1"/>
  <c r="O25" i="1" a="1"/>
  <c r="O25" i="1" s="1"/>
  <c r="Y24" i="8" s="1"/>
  <c r="P25" i="1" a="1"/>
  <c r="P25" i="1" s="1"/>
  <c r="AA24" i="8" s="1"/>
  <c r="Q25" i="1" a="1"/>
  <c r="Q25" i="1" s="1"/>
  <c r="AC24" i="8" s="1"/>
  <c r="R25" i="1" a="1"/>
  <c r="R25" i="1" s="1"/>
  <c r="AE24" i="8" s="1"/>
  <c r="S25" i="1" a="1"/>
  <c r="S25" i="1" s="1"/>
  <c r="AG24" i="8" s="1"/>
  <c r="F17" i="1" a="1"/>
  <c r="F17" i="1" s="1"/>
  <c r="G26" i="8" s="1"/>
  <c r="G17" i="1" a="1"/>
  <c r="G17" i="1" s="1"/>
  <c r="I26" i="8" s="1"/>
  <c r="H17" i="1" a="1"/>
  <c r="H17" i="1" s="1"/>
  <c r="K26" i="8" s="1"/>
  <c r="I17" i="1" a="1"/>
  <c r="I17" i="1" s="1"/>
  <c r="M26" i="8" s="1"/>
  <c r="J17" i="1" a="1"/>
  <c r="J17" i="1" s="1"/>
  <c r="O26" i="8" s="1"/>
  <c r="K17" i="1" a="1"/>
  <c r="K17" i="1" s="1"/>
  <c r="Q26" i="8" s="1"/>
  <c r="L17" i="1" a="1"/>
  <c r="L17" i="1" s="1"/>
  <c r="S26" i="8" s="1"/>
  <c r="M17" i="1" a="1"/>
  <c r="M17" i="1" s="1"/>
  <c r="U26" i="8" s="1"/>
  <c r="N17" i="1" a="1"/>
  <c r="N17" i="1" s="1"/>
  <c r="W26" i="8" s="1"/>
  <c r="O17" i="1" a="1"/>
  <c r="O17" i="1" s="1"/>
  <c r="Y26" i="8" s="1"/>
  <c r="P17" i="1" a="1"/>
  <c r="P17" i="1" s="1"/>
  <c r="AA26" i="8" s="1"/>
  <c r="Q17" i="1" a="1"/>
  <c r="Q17" i="1" s="1"/>
  <c r="AC26" i="8" s="1"/>
  <c r="R17" i="1" a="1"/>
  <c r="R17" i="1" s="1"/>
  <c r="AE26" i="8" s="1"/>
  <c r="S17" i="1" a="1"/>
  <c r="S17" i="1" s="1"/>
  <c r="AG26" i="8" s="1"/>
  <c r="F21" i="1" a="1"/>
  <c r="F21" i="1" s="1"/>
  <c r="G27" i="8" s="1"/>
  <c r="G21" i="1" a="1"/>
  <c r="G21" i="1" s="1"/>
  <c r="I27" i="8" s="1"/>
  <c r="H21" i="1" a="1"/>
  <c r="H21" i="1" s="1"/>
  <c r="K27" i="8" s="1"/>
  <c r="I21" i="1" a="1"/>
  <c r="I21" i="1" s="1"/>
  <c r="M27" i="8" s="1"/>
  <c r="J21" i="1" a="1"/>
  <c r="J21" i="1" s="1"/>
  <c r="O27" i="8" s="1"/>
  <c r="K21" i="1" a="1"/>
  <c r="K21" i="1" s="1"/>
  <c r="Q27" i="8" s="1"/>
  <c r="L21" i="1" a="1"/>
  <c r="L21" i="1" s="1"/>
  <c r="S27" i="8" s="1"/>
  <c r="M21" i="1" a="1"/>
  <c r="M21" i="1" s="1"/>
  <c r="U27" i="8" s="1"/>
  <c r="N21" i="1" a="1"/>
  <c r="N21" i="1" s="1"/>
  <c r="W27" i="8" s="1"/>
  <c r="O21" i="1" a="1"/>
  <c r="O21" i="1" s="1"/>
  <c r="Y27" i="8" s="1"/>
  <c r="P21" i="1" a="1"/>
  <c r="P21" i="1" s="1"/>
  <c r="AA27" i="8" s="1"/>
  <c r="Q21" i="1" a="1"/>
  <c r="Q21" i="1" s="1"/>
  <c r="AC27" i="8" s="1"/>
  <c r="R21" i="1" a="1"/>
  <c r="R21" i="1" s="1"/>
  <c r="AE27" i="8" s="1"/>
  <c r="S21" i="1" a="1"/>
  <c r="S21" i="1" s="1"/>
  <c r="AG27" i="8" s="1"/>
  <c r="G22" i="8"/>
  <c r="G22" i="1" a="1"/>
  <c r="G22" i="1" s="1"/>
  <c r="I22" i="8" s="1"/>
  <c r="H22" i="1" a="1"/>
  <c r="H22" i="1" s="1"/>
  <c r="K22" i="8" s="1"/>
  <c r="I22" i="1" a="1"/>
  <c r="I22" i="1" s="1"/>
  <c r="M22" i="8" s="1"/>
  <c r="J22" i="1" a="1"/>
  <c r="J22" i="1" s="1"/>
  <c r="O22" i="8" s="1"/>
  <c r="K22" i="1" a="1"/>
  <c r="K22" i="1" s="1"/>
  <c r="Q22" i="8" s="1"/>
  <c r="L22" i="1" a="1"/>
  <c r="L22" i="1" s="1"/>
  <c r="S22" i="8" s="1"/>
  <c r="M22" i="1" a="1"/>
  <c r="M22" i="1" s="1"/>
  <c r="U22" i="8" s="1"/>
  <c r="N22" i="1" a="1"/>
  <c r="N22" i="1" s="1"/>
  <c r="W22" i="8" s="1"/>
  <c r="O22" i="1" a="1"/>
  <c r="O22" i="1" s="1"/>
  <c r="Y22" i="8" s="1"/>
  <c r="P22" i="1" a="1"/>
  <c r="P22" i="1" s="1"/>
  <c r="AA22" i="8" s="1"/>
  <c r="Q22" i="1" a="1"/>
  <c r="Q22" i="1" s="1"/>
  <c r="AC22" i="8" s="1"/>
  <c r="R22" i="1" a="1"/>
  <c r="R22" i="1" s="1"/>
  <c r="AE22" i="8" s="1"/>
  <c r="S22" i="1" a="1"/>
  <c r="S22" i="1" s="1"/>
  <c r="AG22" i="8" s="1"/>
  <c r="F14" i="1" a="1"/>
  <c r="F14" i="1" s="1"/>
  <c r="G21" i="8" s="1"/>
  <c r="G14" i="1" a="1"/>
  <c r="G14" i="1" s="1"/>
  <c r="I21" i="8" s="1"/>
  <c r="H14" i="1" a="1"/>
  <c r="H14" i="1" s="1"/>
  <c r="K21" i="8" s="1"/>
  <c r="I14" i="1" a="1"/>
  <c r="I14" i="1" s="1"/>
  <c r="M21" i="8" s="1"/>
  <c r="J14" i="1" a="1"/>
  <c r="J14" i="1" s="1"/>
  <c r="O21" i="8" s="1"/>
  <c r="K14" i="1" a="1"/>
  <c r="K14" i="1" s="1"/>
  <c r="Q21" i="8" s="1"/>
  <c r="L14" i="1" a="1"/>
  <c r="L14" i="1" s="1"/>
  <c r="S21" i="8" s="1"/>
  <c r="M14" i="1" a="1"/>
  <c r="M14" i="1" s="1"/>
  <c r="U21" i="8" s="1"/>
  <c r="N14" i="1" a="1"/>
  <c r="N14" i="1" s="1"/>
  <c r="W21" i="8" s="1"/>
  <c r="O14" i="1" a="1"/>
  <c r="O14" i="1" s="1"/>
  <c r="Y21" i="8" s="1"/>
  <c r="P14" i="1" a="1"/>
  <c r="P14" i="1" s="1"/>
  <c r="AA21" i="8" s="1"/>
  <c r="Q14" i="1" a="1"/>
  <c r="Q14" i="1" s="1"/>
  <c r="AC21" i="8" s="1"/>
  <c r="R14" i="1" a="1"/>
  <c r="R14" i="1" s="1"/>
  <c r="AE21" i="8" s="1"/>
  <c r="S14" i="1" a="1"/>
  <c r="S14" i="1" s="1"/>
  <c r="AG21" i="8" s="1"/>
  <c r="F13" i="1" a="1"/>
  <c r="F13" i="1" s="1"/>
  <c r="G31" i="8" s="1"/>
  <c r="G13" i="1" a="1"/>
  <c r="G13" i="1" s="1"/>
  <c r="I31" i="8" s="1"/>
  <c r="H13" i="1" a="1"/>
  <c r="H13" i="1" s="1"/>
  <c r="K31" i="8" s="1"/>
  <c r="I13" i="1" a="1"/>
  <c r="I13" i="1" s="1"/>
  <c r="M31" i="8" s="1"/>
  <c r="J13" i="1" a="1"/>
  <c r="J13" i="1" s="1"/>
  <c r="O31" i="8" s="1"/>
  <c r="K13" i="1" a="1"/>
  <c r="K13" i="1" s="1"/>
  <c r="Q31" i="8" s="1"/>
  <c r="L13" i="1" a="1"/>
  <c r="L13" i="1" s="1"/>
  <c r="S31" i="8" s="1"/>
  <c r="M13" i="1" a="1"/>
  <c r="M13" i="1" s="1"/>
  <c r="U31" i="8" s="1"/>
  <c r="N13" i="1" a="1"/>
  <c r="N13" i="1" s="1"/>
  <c r="W31" i="8" s="1"/>
  <c r="O13" i="1" a="1"/>
  <c r="O13" i="1" s="1"/>
  <c r="Y31" i="8" s="1"/>
  <c r="P13" i="1" a="1"/>
  <c r="P13" i="1" s="1"/>
  <c r="AA31" i="8" s="1"/>
  <c r="Q13" i="1" a="1"/>
  <c r="Q13" i="1" s="1"/>
  <c r="AC31" i="8" s="1"/>
  <c r="R13" i="1" a="1"/>
  <c r="R13" i="1" s="1"/>
  <c r="AE31" i="8" s="1"/>
  <c r="S13" i="1" a="1"/>
  <c r="S13" i="1" s="1"/>
  <c r="AG31" i="8" s="1"/>
  <c r="F6" i="1" a="1"/>
  <c r="F6" i="1" s="1"/>
  <c r="G25" i="8" s="1"/>
  <c r="G6" i="1" a="1"/>
  <c r="G6" i="1" s="1"/>
  <c r="I25" i="8" s="1"/>
  <c r="H6" i="1" a="1"/>
  <c r="H6" i="1" s="1"/>
  <c r="K25" i="8" s="1"/>
  <c r="I6" i="1" a="1"/>
  <c r="I6" i="1" s="1"/>
  <c r="M25" i="8" s="1"/>
  <c r="J6" i="1" a="1"/>
  <c r="J6" i="1" s="1"/>
  <c r="O25" i="8" s="1"/>
  <c r="K6" i="1" a="1"/>
  <c r="K6" i="1" s="1"/>
  <c r="Q25" i="8" s="1"/>
  <c r="L6" i="1" a="1"/>
  <c r="L6" i="1" s="1"/>
  <c r="S25" i="8" s="1"/>
  <c r="M6" i="1" a="1"/>
  <c r="M6" i="1" s="1"/>
  <c r="U25" i="8" s="1"/>
  <c r="N6" i="1" a="1"/>
  <c r="N6" i="1" s="1"/>
  <c r="W25" i="8" s="1"/>
  <c r="O6" i="1" a="1"/>
  <c r="O6" i="1" s="1"/>
  <c r="Y25" i="8" s="1"/>
  <c r="P6" i="1" a="1"/>
  <c r="P6" i="1" s="1"/>
  <c r="AA25" i="8" s="1"/>
  <c r="Q6" i="1" a="1"/>
  <c r="Q6" i="1" s="1"/>
  <c r="AC25" i="8" s="1"/>
  <c r="R6" i="1" a="1"/>
  <c r="R6" i="1" s="1"/>
  <c r="AE25" i="8" s="1"/>
  <c r="S6" i="1" a="1"/>
  <c r="S6" i="1" s="1"/>
  <c r="AG25" i="8" s="1"/>
  <c r="F36" i="1" a="1"/>
  <c r="F36" i="1" s="1"/>
  <c r="G32" i="8" s="1"/>
  <c r="G36" i="1" a="1"/>
  <c r="G36" i="1" s="1"/>
  <c r="I32" i="8" s="1"/>
  <c r="H36" i="1" a="1"/>
  <c r="H36" i="1" s="1"/>
  <c r="K36" i="8" s="1"/>
  <c r="I36" i="1" a="1"/>
  <c r="I36" i="1" s="1"/>
  <c r="M36" i="8" s="1"/>
  <c r="J36" i="1" a="1"/>
  <c r="J36" i="1" s="1"/>
  <c r="O36" i="8" s="1"/>
  <c r="K36" i="1" a="1"/>
  <c r="K36" i="1" s="1"/>
  <c r="Q36" i="8" s="1"/>
  <c r="L36" i="1" a="1"/>
  <c r="L36" i="1" s="1"/>
  <c r="S36" i="8" s="1"/>
  <c r="M36" i="1" a="1"/>
  <c r="M36" i="1" s="1"/>
  <c r="U36" i="8" s="1"/>
  <c r="N36" i="1" a="1"/>
  <c r="N36" i="1" s="1"/>
  <c r="W36" i="8" s="1"/>
  <c r="O36" i="1" a="1"/>
  <c r="O36" i="1" s="1"/>
  <c r="Y36" i="8" s="1"/>
  <c r="P36" i="1" a="1"/>
  <c r="P36" i="1" s="1"/>
  <c r="AA36" i="8" s="1"/>
  <c r="Q36" i="1" a="1"/>
  <c r="Q36" i="1" s="1"/>
  <c r="AC36" i="8" s="1"/>
  <c r="R36" i="1" a="1"/>
  <c r="R36" i="1" s="1"/>
  <c r="AE36" i="8" s="1"/>
  <c r="S36" i="1" a="1"/>
  <c r="S36" i="1" s="1"/>
  <c r="AG36" i="8" s="1"/>
  <c r="F10" i="1" a="1"/>
  <c r="F10" i="1" s="1"/>
  <c r="G33" i="8" s="1"/>
  <c r="G10" i="1" a="1"/>
  <c r="G10" i="1" s="1"/>
  <c r="I33" i="8" s="1"/>
  <c r="H10" i="1" a="1"/>
  <c r="H10" i="1" s="1"/>
  <c r="K33" i="8" s="1"/>
  <c r="I10" i="1" a="1"/>
  <c r="I10" i="1" s="1"/>
  <c r="M33" i="8" s="1"/>
  <c r="J10" i="1" a="1"/>
  <c r="J10" i="1" s="1"/>
  <c r="O33" i="8" s="1"/>
  <c r="K10" i="1" a="1"/>
  <c r="K10" i="1" s="1"/>
  <c r="Q33" i="8" s="1"/>
  <c r="L10" i="1" a="1"/>
  <c r="L10" i="1" s="1"/>
  <c r="S33" i="8" s="1"/>
  <c r="M10" i="1" a="1"/>
  <c r="M10" i="1" s="1"/>
  <c r="U33" i="8" s="1"/>
  <c r="N10" i="1" a="1"/>
  <c r="N10" i="1" s="1"/>
  <c r="W33" i="8" s="1"/>
  <c r="O10" i="1" a="1"/>
  <c r="O10" i="1" s="1"/>
  <c r="Y33" i="8" s="1"/>
  <c r="P10" i="1" a="1"/>
  <c r="P10" i="1" s="1"/>
  <c r="AA33" i="8" s="1"/>
  <c r="Q10" i="1" a="1"/>
  <c r="Q10" i="1" s="1"/>
  <c r="AC33" i="8" s="1"/>
  <c r="R10" i="1" a="1"/>
  <c r="R10" i="1" s="1"/>
  <c r="AE33" i="8" s="1"/>
  <c r="S10" i="1" a="1"/>
  <c r="S10" i="1" s="1"/>
  <c r="AG33" i="8" s="1"/>
  <c r="F23" i="1" a="1"/>
  <c r="F23" i="1" s="1"/>
  <c r="G5" i="8" s="1"/>
  <c r="G23" i="1" a="1"/>
  <c r="G23" i="1" s="1"/>
  <c r="I5" i="8" s="1"/>
  <c r="H23" i="1" a="1"/>
  <c r="H23" i="1" s="1"/>
  <c r="K5" i="8" s="1"/>
  <c r="I23" i="1" a="1"/>
  <c r="I23" i="1" s="1"/>
  <c r="M5" i="8" s="1"/>
  <c r="J23" i="1" a="1"/>
  <c r="J23" i="1" s="1"/>
  <c r="O5" i="8" s="1"/>
  <c r="K23" i="1" a="1"/>
  <c r="K23" i="1" s="1"/>
  <c r="Q5" i="8" s="1"/>
  <c r="L23" i="1" a="1"/>
  <c r="L23" i="1" s="1"/>
  <c r="S5" i="8" s="1"/>
  <c r="M23" i="1" a="1"/>
  <c r="M23" i="1" s="1"/>
  <c r="U5" i="8" s="1"/>
  <c r="N23" i="1" a="1"/>
  <c r="N23" i="1" s="1"/>
  <c r="W5" i="8" s="1"/>
  <c r="O23" i="1" a="1"/>
  <c r="O23" i="1" s="1"/>
  <c r="Y5" i="8" s="1"/>
  <c r="P23" i="1" a="1"/>
  <c r="P23" i="1" s="1"/>
  <c r="AA5" i="8" s="1"/>
  <c r="Q23" i="1" a="1"/>
  <c r="Q23" i="1" s="1"/>
  <c r="AC5" i="8" s="1"/>
  <c r="R23" i="1" a="1"/>
  <c r="R23" i="1" s="1"/>
  <c r="AE5" i="8" s="1"/>
  <c r="S23" i="1" a="1"/>
  <c r="S23" i="1" s="1"/>
  <c r="AG5" i="8" s="1"/>
  <c r="S2" i="1" l="1"/>
  <c r="K2" i="1"/>
  <c r="R2" i="1"/>
  <c r="J2" i="1"/>
  <c r="AQ2" i="1" s="1"/>
  <c r="Q2" i="1"/>
  <c r="I2" i="1"/>
  <c r="AP2" i="1" s="1"/>
  <c r="P2" i="1"/>
  <c r="H2" i="1"/>
  <c r="AO2" i="1" s="1"/>
  <c r="O2" i="1"/>
  <c r="I19" i="8"/>
  <c r="G2" i="1"/>
  <c r="AN2" i="1" s="1"/>
  <c r="N2" i="1"/>
  <c r="G19" i="8"/>
  <c r="F2" i="1"/>
  <c r="AM2" i="1" s="1"/>
  <c r="M2" i="1"/>
  <c r="L2" i="1"/>
  <c r="E19" i="8"/>
  <c r="E2" i="1"/>
  <c r="I35" i="8"/>
  <c r="I36" i="8"/>
  <c r="G36" i="8"/>
  <c r="G35" i="8"/>
  <c r="E35" i="8"/>
  <c r="E36" i="8"/>
  <c r="AR2" i="1" l="1"/>
  <c r="AT2" i="1" l="1"/>
  <c r="AS2" i="1"/>
  <c r="AV2" i="1" l="1"/>
  <c r="AU2" i="1"/>
  <c r="AX2" i="1" l="1"/>
  <c r="AW2" i="1"/>
  <c r="AZ2" i="1" l="1"/>
  <c r="AY2" i="1"/>
  <c r="BB2" i="1" l="1"/>
  <c r="BA2" i="1"/>
  <c r="BC2" i="1" l="1"/>
  <c r="BD2" i="1" l="1"/>
  <c r="BE2" i="1" l="1"/>
  <c r="AL2" i="1" l="1"/>
  <c r="AL26" i="1" l="1"/>
  <c r="AL8" i="1"/>
  <c r="AL19" i="1"/>
  <c r="AL28" i="1"/>
  <c r="AL31" i="1"/>
  <c r="AL15" i="1"/>
  <c r="AL9" i="1"/>
  <c r="AL27" i="1"/>
  <c r="AL20" i="1"/>
  <c r="AL7" i="1"/>
  <c r="AL29" i="1"/>
  <c r="AL16" i="1"/>
  <c r="AL23" i="1"/>
  <c r="AL34" i="1"/>
  <c r="A2" i="1"/>
  <c r="C30" i="1" s="1"/>
  <c r="B30" i="1" s="1"/>
  <c r="C18" i="1" l="1"/>
  <c r="B18" i="1" s="1"/>
  <c r="C32" i="1"/>
  <c r="B32" i="1" s="1"/>
  <c r="C35" i="1"/>
  <c r="B35" i="1" s="1"/>
  <c r="D17" i="8"/>
  <c r="D16" i="8"/>
  <c r="D13" i="8"/>
  <c r="D5" i="8"/>
  <c r="D11" i="8"/>
  <c r="D10" i="8"/>
  <c r="D7" i="8"/>
  <c r="D18" i="8"/>
  <c r="D8" i="8"/>
  <c r="D9" i="8"/>
  <c r="D14" i="8"/>
  <c r="D15" i="8"/>
  <c r="D6" i="8"/>
  <c r="D12" i="8"/>
  <c r="C33" i="1"/>
  <c r="B33" i="1" s="1"/>
  <c r="C7" i="1"/>
  <c r="B7" i="1" s="1"/>
  <c r="C28" i="1"/>
  <c r="B28" i="1" s="1"/>
  <c r="C10" i="1"/>
  <c r="B10" i="1" s="1"/>
  <c r="C26" i="1"/>
  <c r="B26" i="1" s="1"/>
  <c r="C36" i="1"/>
  <c r="B36" i="1" s="1"/>
  <c r="C20" i="1"/>
  <c r="B20" i="1" s="1"/>
  <c r="C27" i="1"/>
  <c r="B27" i="1" s="1"/>
  <c r="C21" i="1"/>
  <c r="B21" i="1" s="1"/>
  <c r="C11" i="1"/>
  <c r="B11" i="1" s="1"/>
  <c r="AA11" i="1" s="1"/>
  <c r="C22" i="1"/>
  <c r="B22" i="1" s="1"/>
  <c r="C31" i="1"/>
  <c r="B31" i="1" s="1"/>
  <c r="C9" i="1"/>
  <c r="B9" i="1" s="1"/>
  <c r="C25" i="1"/>
  <c r="B25" i="1" s="1"/>
  <c r="C24" i="1"/>
  <c r="B24" i="1" s="1"/>
  <c r="AA24" i="1" s="1"/>
  <c r="C17" i="1"/>
  <c r="B17" i="1" s="1"/>
  <c r="C19" i="1"/>
  <c r="B19" i="1" s="1"/>
  <c r="C29" i="1"/>
  <c r="B29" i="1" s="1"/>
  <c r="C13" i="1"/>
  <c r="B13" i="1" s="1"/>
  <c r="C6" i="1"/>
  <c r="B6" i="1" s="1"/>
  <c r="C16" i="1"/>
  <c r="B16" i="1" s="1"/>
  <c r="C12" i="1"/>
  <c r="B12" i="1" s="1"/>
  <c r="C15" i="1"/>
  <c r="B15" i="1" s="1"/>
  <c r="C8" i="1"/>
  <c r="B8" i="1" s="1"/>
  <c r="C5" i="1"/>
  <c r="B5" i="1" s="1"/>
  <c r="C23" i="1"/>
  <c r="B23" i="1" s="1"/>
  <c r="C14" i="1"/>
  <c r="B14" i="1" s="1"/>
  <c r="C34" i="1"/>
  <c r="B34" i="1" s="1"/>
  <c r="B2" i="1"/>
  <c r="A3" i="1" l="1"/>
  <c r="AO30" i="1" s="1"/>
  <c r="J30" i="8" s="1"/>
  <c r="AS30" i="1"/>
  <c r="R30" i="8" s="1"/>
  <c r="AT30" i="1"/>
  <c r="T30" i="8" s="1"/>
  <c r="AX30" i="1"/>
  <c r="AB30" i="8" s="1"/>
  <c r="AL30" i="1"/>
  <c r="D30" i="8" s="1"/>
  <c r="AM32" i="1"/>
  <c r="F29" i="8" s="1"/>
  <c r="AN32" i="1"/>
  <c r="H29" i="8" s="1"/>
  <c r="AU32" i="1"/>
  <c r="AV32" i="1"/>
  <c r="X29" i="8" s="1"/>
  <c r="AY32" i="1"/>
  <c r="AD29" i="8" s="1"/>
  <c r="AP18" i="1"/>
  <c r="L28" i="8" s="1"/>
  <c r="AQ18" i="1"/>
  <c r="N28" i="8" s="1"/>
  <c r="AT18" i="1"/>
  <c r="T28" i="8" s="1"/>
  <c r="AX18" i="1"/>
  <c r="AB28" i="8" s="1"/>
  <c r="AW18" i="1"/>
  <c r="Z28" i="8" s="1"/>
  <c r="AL18" i="1"/>
  <c r="D28" i="8" s="1"/>
  <c r="AL35" i="1"/>
  <c r="AN36" i="1"/>
  <c r="AQ35" i="1"/>
  <c r="N32" i="8" s="1"/>
  <c r="AR35" i="1"/>
  <c r="P32" i="8" s="1"/>
  <c r="AS35" i="1"/>
  <c r="R32" i="8" s="1"/>
  <c r="AT35" i="1"/>
  <c r="T32" i="8" s="1"/>
  <c r="AU35" i="1"/>
  <c r="V32" i="8" s="1"/>
  <c r="AX35" i="1"/>
  <c r="AB32" i="8" s="1"/>
  <c r="AY35" i="1"/>
  <c r="AD32" i="8" s="1"/>
  <c r="AZ35" i="1"/>
  <c r="AF32" i="8" s="1"/>
  <c r="AO11" i="1"/>
  <c r="J34" i="8" s="1"/>
  <c r="AM24" i="1"/>
  <c r="AM11" i="1"/>
  <c r="F34" i="8" s="1"/>
  <c r="AW24" i="1"/>
  <c r="Z35" i="8" s="1"/>
  <c r="AZ11" i="1"/>
  <c r="AF34" i="8" s="1"/>
  <c r="AT24" i="1"/>
  <c r="T35" i="8" s="1"/>
  <c r="AX11" i="1"/>
  <c r="AB34" i="8" s="1"/>
  <c r="AO24" i="1"/>
  <c r="AR11" i="1"/>
  <c r="P34" i="8" s="1"/>
  <c r="AV11" i="1"/>
  <c r="X34" i="8" s="1"/>
  <c r="AQ24" i="1"/>
  <c r="N35" i="8" s="1"/>
  <c r="AY11" i="1"/>
  <c r="AD34" i="8" s="1"/>
  <c r="AL11" i="1"/>
  <c r="AZ24" i="1"/>
  <c r="AF35" i="8" s="1"/>
  <c r="AX24" i="1"/>
  <c r="AB35" i="8" s="1"/>
  <c r="AQ11" i="1"/>
  <c r="N34" i="8" s="1"/>
  <c r="AR24" i="1"/>
  <c r="P35" i="8" s="1"/>
  <c r="AP24" i="1"/>
  <c r="L35" i="8" s="1"/>
  <c r="AN24" i="1"/>
  <c r="AW11" i="1"/>
  <c r="Z34" i="8" s="1"/>
  <c r="AU11" i="1"/>
  <c r="V34" i="8" s="1"/>
  <c r="AN11" i="1"/>
  <c r="H34" i="8" s="1"/>
  <c r="AM23" i="1"/>
  <c r="AM9" i="1"/>
  <c r="AM28" i="1"/>
  <c r="AM13" i="1"/>
  <c r="F31" i="8" s="1"/>
  <c r="AQ36" i="1"/>
  <c r="N36" i="8" s="1"/>
  <c r="AQ16" i="1"/>
  <c r="N11" i="8" s="1"/>
  <c r="AP20" i="1"/>
  <c r="L6" i="8" s="1"/>
  <c r="AP29" i="1"/>
  <c r="L18" i="8" s="1"/>
  <c r="AO8" i="1"/>
  <c r="J15" i="8" s="1"/>
  <c r="AO16" i="1"/>
  <c r="AO22" i="1"/>
  <c r="J22" i="8" s="1"/>
  <c r="AO10" i="1"/>
  <c r="J33" i="8" s="1"/>
  <c r="AQ27" i="1"/>
  <c r="N16" i="8" s="1"/>
  <c r="AQ21" i="1"/>
  <c r="N27" i="8" s="1"/>
  <c r="AP5" i="1"/>
  <c r="L19" i="8" s="1"/>
  <c r="AP31" i="1"/>
  <c r="L7" i="8" s="1"/>
  <c r="AO15" i="1"/>
  <c r="J13" i="8" s="1"/>
  <c r="AO19" i="1"/>
  <c r="AM34" i="1"/>
  <c r="AQ22" i="1"/>
  <c r="N22" i="8" s="1"/>
  <c r="AQ25" i="1"/>
  <c r="N24" i="8" s="1"/>
  <c r="AP22" i="1"/>
  <c r="L22" i="8" s="1"/>
  <c r="AP17" i="1"/>
  <c r="L26" i="8" s="1"/>
  <c r="AO6" i="1"/>
  <c r="J25" i="8" s="1"/>
  <c r="AO25" i="1"/>
  <c r="J24" i="8" s="1"/>
  <c r="AM36" i="1"/>
  <c r="AQ29" i="1"/>
  <c r="N18" i="8" s="1"/>
  <c r="AQ17" i="1"/>
  <c r="N26" i="8" s="1"/>
  <c r="AQ15" i="1"/>
  <c r="N13" i="8" s="1"/>
  <c r="AP16" i="1"/>
  <c r="L11" i="8" s="1"/>
  <c r="AP25" i="1"/>
  <c r="L24" i="8" s="1"/>
  <c r="AP26" i="1"/>
  <c r="L12" i="8" s="1"/>
  <c r="AO31" i="1"/>
  <c r="AO34" i="1"/>
  <c r="J9" i="8" s="1"/>
  <c r="AN28" i="1"/>
  <c r="H10" i="8" s="1"/>
  <c r="AO27" i="1"/>
  <c r="J16" i="8" s="1"/>
  <c r="AM15" i="1"/>
  <c r="AP12" i="1"/>
  <c r="L23" i="8" s="1"/>
  <c r="AP13" i="1"/>
  <c r="L31" i="8" s="1"/>
  <c r="AO12" i="1"/>
  <c r="J23" i="8" s="1"/>
  <c r="AM10" i="1"/>
  <c r="F33" i="8" s="1"/>
  <c r="AM20" i="1"/>
  <c r="AQ19" i="1"/>
  <c r="N8" i="8" s="1"/>
  <c r="AQ14" i="1"/>
  <c r="N21" i="8" s="1"/>
  <c r="AQ13" i="1"/>
  <c r="N31" i="8" s="1"/>
  <c r="AQ33" i="1"/>
  <c r="N20" i="8" s="1"/>
  <c r="AP6" i="1"/>
  <c r="L25" i="8" s="1"/>
  <c r="AP10" i="1"/>
  <c r="L33" i="8" s="1"/>
  <c r="AO33" i="1"/>
  <c r="J20" i="8" s="1"/>
  <c r="AO23" i="1"/>
  <c r="J5" i="8" s="1"/>
  <c r="AO5" i="1"/>
  <c r="J19" i="8" s="1"/>
  <c r="AN25" i="1"/>
  <c r="H24" i="8" s="1"/>
  <c r="AN23" i="1"/>
  <c r="H5" i="8" s="1"/>
  <c r="AM6" i="1"/>
  <c r="F25" i="8" s="1"/>
  <c r="AQ34" i="1"/>
  <c r="N9" i="8" s="1"/>
  <c r="AQ31" i="1"/>
  <c r="N7" i="8" s="1"/>
  <c r="AQ7" i="1"/>
  <c r="N14" i="8" s="1"/>
  <c r="AP23" i="1"/>
  <c r="L5" i="8" s="1"/>
  <c r="AP33" i="1"/>
  <c r="L20" i="8" s="1"/>
  <c r="AP14" i="1"/>
  <c r="L21" i="8" s="1"/>
  <c r="AP7" i="1"/>
  <c r="L14" i="8" s="1"/>
  <c r="AO13" i="1"/>
  <c r="J31" i="8" s="1"/>
  <c r="AO9" i="1"/>
  <c r="J17" i="8" s="1"/>
  <c r="AQ20" i="1"/>
  <c r="N6" i="8" s="1"/>
  <c r="AQ23" i="1"/>
  <c r="N5" i="8" s="1"/>
  <c r="AQ5" i="1"/>
  <c r="N19" i="8" s="1"/>
  <c r="AP15" i="1"/>
  <c r="L13" i="8" s="1"/>
  <c r="AP21" i="1"/>
  <c r="L27" i="8" s="1"/>
  <c r="AO17" i="1"/>
  <c r="J26" i="8" s="1"/>
  <c r="AM8" i="1"/>
  <c r="AM14" i="1"/>
  <c r="F21" i="8" s="1"/>
  <c r="AQ10" i="1"/>
  <c r="N33" i="8" s="1"/>
  <c r="AQ8" i="1"/>
  <c r="N15" i="8" s="1"/>
  <c r="AQ9" i="1"/>
  <c r="N17" i="8" s="1"/>
  <c r="AP8" i="1"/>
  <c r="L15" i="8" s="1"/>
  <c r="AP9" i="1"/>
  <c r="L17" i="8" s="1"/>
  <c r="AP28" i="1"/>
  <c r="L10" i="8" s="1"/>
  <c r="AP27" i="1"/>
  <c r="L16" i="8" s="1"/>
  <c r="AO36" i="1"/>
  <c r="AO26" i="1"/>
  <c r="AN8" i="1"/>
  <c r="H15" i="8" s="1"/>
  <c r="AP36" i="1"/>
  <c r="L36" i="8" s="1"/>
  <c r="AO29" i="1"/>
  <c r="AO21" i="1"/>
  <c r="J27" i="8" s="1"/>
  <c r="AN27" i="1"/>
  <c r="AM22" i="1"/>
  <c r="F22" i="8" s="1"/>
  <c r="AQ26" i="1"/>
  <c r="N12" i="8" s="1"/>
  <c r="AP34" i="1"/>
  <c r="L9" i="8" s="1"/>
  <c r="AO7" i="1"/>
  <c r="AO28" i="1"/>
  <c r="J10" i="8" s="1"/>
  <c r="AR17" i="1"/>
  <c r="P26" i="8" s="1"/>
  <c r="AR19" i="1"/>
  <c r="P8" i="8" s="1"/>
  <c r="AR27" i="1"/>
  <c r="P16" i="8" s="1"/>
  <c r="AR7" i="1"/>
  <c r="P14" i="8" s="1"/>
  <c r="AR16" i="1"/>
  <c r="P11" i="8" s="1"/>
  <c r="AR20" i="1"/>
  <c r="P6" i="8" s="1"/>
  <c r="AR15" i="1"/>
  <c r="P13" i="8" s="1"/>
  <c r="AR33" i="1"/>
  <c r="P20" i="8" s="1"/>
  <c r="AR14" i="1"/>
  <c r="P21" i="8" s="1"/>
  <c r="AR26" i="1"/>
  <c r="P12" i="8" s="1"/>
  <c r="AR36" i="1"/>
  <c r="P36" i="8" s="1"/>
  <c r="AR25" i="1"/>
  <c r="P24" i="8" s="1"/>
  <c r="AR5" i="1"/>
  <c r="P19" i="8" s="1"/>
  <c r="AR9" i="1"/>
  <c r="P17" i="8" s="1"/>
  <c r="AR29" i="1"/>
  <c r="P18" i="8" s="1"/>
  <c r="AR31" i="1"/>
  <c r="P7" i="8" s="1"/>
  <c r="AR13" i="1"/>
  <c r="P31" i="8" s="1"/>
  <c r="AR28" i="1"/>
  <c r="P10" i="8" s="1"/>
  <c r="AR23" i="1"/>
  <c r="P5" i="8" s="1"/>
  <c r="AR6" i="1"/>
  <c r="P25" i="8" s="1"/>
  <c r="AR10" i="1"/>
  <c r="P33" i="8" s="1"/>
  <c r="AR12" i="1"/>
  <c r="P23" i="8" s="1"/>
  <c r="AR22" i="1"/>
  <c r="P22" i="8" s="1"/>
  <c r="AR21" i="1"/>
  <c r="P27" i="8" s="1"/>
  <c r="AR8" i="1"/>
  <c r="P15" i="8" s="1"/>
  <c r="AR34" i="1"/>
  <c r="P9" i="8" s="1"/>
  <c r="AS15" i="1"/>
  <c r="R13" i="8" s="1"/>
  <c r="AS17" i="1"/>
  <c r="R26" i="8" s="1"/>
  <c r="AS29" i="1"/>
  <c r="R18" i="8" s="1"/>
  <c r="AS12" i="1"/>
  <c r="R23" i="8" s="1"/>
  <c r="AT28" i="1"/>
  <c r="T10" i="8" s="1"/>
  <c r="AT33" i="1"/>
  <c r="T20" i="8" s="1"/>
  <c r="AT6" i="1"/>
  <c r="T25" i="8" s="1"/>
  <c r="AS19" i="1"/>
  <c r="R8" i="8" s="1"/>
  <c r="AS22" i="1"/>
  <c r="R22" i="8" s="1"/>
  <c r="AS23" i="1"/>
  <c r="R5" i="8" s="1"/>
  <c r="AS16" i="1"/>
  <c r="R11" i="8" s="1"/>
  <c r="AT26" i="1"/>
  <c r="T12" i="8" s="1"/>
  <c r="AT9" i="1"/>
  <c r="T17" i="8" s="1"/>
  <c r="AT19" i="1"/>
  <c r="T8" i="8" s="1"/>
  <c r="AS14" i="1"/>
  <c r="R21" i="8" s="1"/>
  <c r="AS20" i="1"/>
  <c r="R6" i="8" s="1"/>
  <c r="AS5" i="1"/>
  <c r="R19" i="8" s="1"/>
  <c r="AS6" i="1"/>
  <c r="R25" i="8" s="1"/>
  <c r="AT29" i="1"/>
  <c r="T18" i="8" s="1"/>
  <c r="AT20" i="1"/>
  <c r="T6" i="8" s="1"/>
  <c r="AT12" i="1"/>
  <c r="T23" i="8" s="1"/>
  <c r="AS13" i="1"/>
  <c r="R31" i="8" s="1"/>
  <c r="AT36" i="1"/>
  <c r="T36" i="8" s="1"/>
  <c r="AT22" i="1"/>
  <c r="T22" i="8" s="1"/>
  <c r="AS8" i="1"/>
  <c r="R15" i="8" s="1"/>
  <c r="AT8" i="1"/>
  <c r="T15" i="8" s="1"/>
  <c r="AS34" i="1"/>
  <c r="R9" i="8" s="1"/>
  <c r="AS21" i="1"/>
  <c r="R27" i="8" s="1"/>
  <c r="AT14" i="1"/>
  <c r="T21" i="8" s="1"/>
  <c r="AT7" i="1"/>
  <c r="T14" i="8" s="1"/>
  <c r="AS31" i="1"/>
  <c r="R7" i="8" s="1"/>
  <c r="AT13" i="1"/>
  <c r="T31" i="8" s="1"/>
  <c r="AS28" i="1"/>
  <c r="R10" i="8" s="1"/>
  <c r="AS25" i="1"/>
  <c r="R24" i="8" s="1"/>
  <c r="AS26" i="1"/>
  <c r="R12" i="8" s="1"/>
  <c r="AT23" i="1"/>
  <c r="T5" i="8" s="1"/>
  <c r="AT27" i="1"/>
  <c r="T16" i="8" s="1"/>
  <c r="AT10" i="1"/>
  <c r="T33" i="8" s="1"/>
  <c r="AT15" i="1"/>
  <c r="T13" i="8" s="1"/>
  <c r="AS10" i="1"/>
  <c r="R33" i="8" s="1"/>
  <c r="AS33" i="1"/>
  <c r="R20" i="8" s="1"/>
  <c r="AT34" i="1"/>
  <c r="T9" i="8" s="1"/>
  <c r="AT16" i="1"/>
  <c r="T11" i="8" s="1"/>
  <c r="AT21" i="1"/>
  <c r="T27" i="8" s="1"/>
  <c r="AT17" i="1"/>
  <c r="T26" i="8" s="1"/>
  <c r="AS9" i="1"/>
  <c r="R17" i="8" s="1"/>
  <c r="AS36" i="1"/>
  <c r="R36" i="8" s="1"/>
  <c r="AS27" i="1"/>
  <c r="R16" i="8" s="1"/>
  <c r="AS7" i="1"/>
  <c r="R14" i="8" s="1"/>
  <c r="AT25" i="1"/>
  <c r="T24" i="8" s="1"/>
  <c r="AT5" i="1"/>
  <c r="T19" i="8" s="1"/>
  <c r="AT31" i="1"/>
  <c r="T7" i="8" s="1"/>
  <c r="AU21" i="1"/>
  <c r="V27" i="8" s="1"/>
  <c r="AU36" i="1"/>
  <c r="V36" i="8" s="1"/>
  <c r="AU22" i="1"/>
  <c r="V22" i="8" s="1"/>
  <c r="AU8" i="1"/>
  <c r="V15" i="8" s="1"/>
  <c r="AV10" i="1"/>
  <c r="X33" i="8" s="1"/>
  <c r="AV23" i="1"/>
  <c r="X5" i="8" s="1"/>
  <c r="AU13" i="1"/>
  <c r="V31" i="8" s="1"/>
  <c r="AV9" i="1"/>
  <c r="X17" i="8" s="1"/>
  <c r="AU33" i="1"/>
  <c r="V20" i="8" s="1"/>
  <c r="AV7" i="1"/>
  <c r="X14" i="8" s="1"/>
  <c r="AV5" i="1"/>
  <c r="X19" i="8" s="1"/>
  <c r="AV36" i="1"/>
  <c r="X36" i="8" s="1"/>
  <c r="AV14" i="1"/>
  <c r="X21" i="8" s="1"/>
  <c r="AV29" i="1"/>
  <c r="X18" i="8" s="1"/>
  <c r="AU34" i="1"/>
  <c r="V9" i="8" s="1"/>
  <c r="AV17" i="1"/>
  <c r="X26" i="8" s="1"/>
  <c r="AU23" i="1"/>
  <c r="V5" i="8" s="1"/>
  <c r="AU27" i="1"/>
  <c r="V16" i="8" s="1"/>
  <c r="AU10" i="1"/>
  <c r="V33" i="8" s="1"/>
  <c r="AV12" i="1"/>
  <c r="X23" i="8" s="1"/>
  <c r="AV15" i="1"/>
  <c r="X13" i="8" s="1"/>
  <c r="AV19" i="1"/>
  <c r="X8" i="8" s="1"/>
  <c r="AU31" i="1"/>
  <c r="V7" i="8" s="1"/>
  <c r="AV20" i="1"/>
  <c r="X6" i="8" s="1"/>
  <c r="AU7" i="1"/>
  <c r="V14" i="8" s="1"/>
  <c r="AV8" i="1"/>
  <c r="X15" i="8" s="1"/>
  <c r="AV21" i="1"/>
  <c r="X27" i="8" s="1"/>
  <c r="AV22" i="1"/>
  <c r="X22" i="8" s="1"/>
  <c r="AU12" i="1"/>
  <c r="V23" i="8" s="1"/>
  <c r="AU5" i="1"/>
  <c r="V19" i="8" s="1"/>
  <c r="AU19" i="1"/>
  <c r="V8" i="8" s="1"/>
  <c r="AV34" i="1"/>
  <c r="X9" i="8" s="1"/>
  <c r="AU20" i="1"/>
  <c r="V6" i="8" s="1"/>
  <c r="AV31" i="1"/>
  <c r="X7" i="8" s="1"/>
  <c r="AU16" i="1"/>
  <c r="V11" i="8" s="1"/>
  <c r="AV25" i="1"/>
  <c r="X24" i="8" s="1"/>
  <c r="AV28" i="1"/>
  <c r="X10" i="8" s="1"/>
  <c r="AU14" i="1"/>
  <c r="V21" i="8" s="1"/>
  <c r="AU26" i="1"/>
  <c r="V12" i="8" s="1"/>
  <c r="AU25" i="1"/>
  <c r="V24" i="8" s="1"/>
  <c r="AU6" i="1"/>
  <c r="V25" i="8" s="1"/>
  <c r="AV27" i="1"/>
  <c r="X16" i="8" s="1"/>
  <c r="AV13" i="1"/>
  <c r="X31" i="8" s="1"/>
  <c r="AV6" i="1"/>
  <c r="X25" i="8" s="1"/>
  <c r="AV33" i="1"/>
  <c r="X20" i="8" s="1"/>
  <c r="AU9" i="1"/>
  <c r="V17" i="8" s="1"/>
  <c r="AU28" i="1"/>
  <c r="V10" i="8" s="1"/>
  <c r="AU17" i="1"/>
  <c r="V26" i="8" s="1"/>
  <c r="AV26" i="1"/>
  <c r="X12" i="8" s="1"/>
  <c r="AV16" i="1"/>
  <c r="X11" i="8" s="1"/>
  <c r="AU29" i="1"/>
  <c r="V18" i="8" s="1"/>
  <c r="AU15" i="1"/>
  <c r="V13" i="8" s="1"/>
  <c r="AX26" i="1"/>
  <c r="AB12" i="8" s="1"/>
  <c r="AX8" i="1"/>
  <c r="AB15" i="8" s="1"/>
  <c r="AX9" i="1"/>
  <c r="AB17" i="8" s="1"/>
  <c r="AX15" i="1"/>
  <c r="AB13" i="8" s="1"/>
  <c r="AW25" i="1"/>
  <c r="Z24" i="8" s="1"/>
  <c r="AW36" i="1"/>
  <c r="Z36" i="8" s="1"/>
  <c r="AW19" i="1"/>
  <c r="Z8" i="8" s="1"/>
  <c r="AW28" i="1"/>
  <c r="Z10" i="8" s="1"/>
  <c r="AW34" i="1"/>
  <c r="Z9" i="8" s="1"/>
  <c r="AW5" i="1"/>
  <c r="Z19" i="8" s="1"/>
  <c r="AW14" i="1"/>
  <c r="Z21" i="8" s="1"/>
  <c r="AX31" i="1"/>
  <c r="AB7" i="8" s="1"/>
  <c r="AW29" i="1"/>
  <c r="Z18" i="8" s="1"/>
  <c r="AW13" i="1"/>
  <c r="Z31" i="8" s="1"/>
  <c r="AX29" i="1"/>
  <c r="AB18" i="8" s="1"/>
  <c r="AW20" i="1"/>
  <c r="Z6" i="8" s="1"/>
  <c r="AX7" i="1"/>
  <c r="AB14" i="8" s="1"/>
  <c r="AX20" i="1"/>
  <c r="AB6" i="8" s="1"/>
  <c r="AX10" i="1"/>
  <c r="AB33" i="8" s="1"/>
  <c r="AX36" i="1"/>
  <c r="AB36" i="8" s="1"/>
  <c r="AW21" i="1"/>
  <c r="Z27" i="8" s="1"/>
  <c r="AW16" i="1"/>
  <c r="Z11" i="8" s="1"/>
  <c r="AX5" i="1"/>
  <c r="AB19" i="8" s="1"/>
  <c r="AW22" i="1"/>
  <c r="Z22" i="8" s="1"/>
  <c r="AW7" i="1"/>
  <c r="Z14" i="8" s="1"/>
  <c r="AX12" i="1"/>
  <c r="AB23" i="8" s="1"/>
  <c r="AW9" i="1"/>
  <c r="Z17" i="8" s="1"/>
  <c r="AX19" i="1"/>
  <c r="AB8" i="8" s="1"/>
  <c r="AW10" i="1"/>
  <c r="Z33" i="8" s="1"/>
  <c r="AX22" i="1"/>
  <c r="AB22" i="8" s="1"/>
  <c r="AX16" i="1"/>
  <c r="AB11" i="8" s="1"/>
  <c r="AW26" i="1"/>
  <c r="Z12" i="8" s="1"/>
  <c r="AX21" i="1"/>
  <c r="AB27" i="8" s="1"/>
  <c r="AW23" i="1"/>
  <c r="Z5" i="8" s="1"/>
  <c r="AW8" i="1"/>
  <c r="Z15" i="8" s="1"/>
  <c r="AW33" i="1"/>
  <c r="Z20" i="8" s="1"/>
  <c r="AW31" i="1"/>
  <c r="Z7" i="8" s="1"/>
  <c r="AW12" i="1"/>
  <c r="Z23" i="8" s="1"/>
  <c r="AX33" i="1"/>
  <c r="AB20" i="8" s="1"/>
  <c r="AX6" i="1"/>
  <c r="AB25" i="8" s="1"/>
  <c r="AX17" i="1"/>
  <c r="AB26" i="8" s="1"/>
  <c r="AX28" i="1"/>
  <c r="AB10" i="8" s="1"/>
  <c r="AW17" i="1"/>
  <c r="Z26" i="8" s="1"/>
  <c r="AW15" i="1"/>
  <c r="Z13" i="8" s="1"/>
  <c r="AX14" i="1"/>
  <c r="AB21" i="8" s="1"/>
  <c r="AX27" i="1"/>
  <c r="AB16" i="8" s="1"/>
  <c r="AX34" i="1"/>
  <c r="AB9" i="8" s="1"/>
  <c r="AX25" i="1"/>
  <c r="AB24" i="8" s="1"/>
  <c r="AX13" i="1"/>
  <c r="AB31" i="8" s="1"/>
  <c r="AW6" i="1"/>
  <c r="Z25" i="8" s="1"/>
  <c r="AX23" i="1"/>
  <c r="AB5" i="8" s="1"/>
  <c r="AW27" i="1"/>
  <c r="Z16" i="8" s="1"/>
  <c r="AZ27" i="1"/>
  <c r="AF16" i="8" s="1"/>
  <c r="AZ25" i="1"/>
  <c r="AF24" i="8" s="1"/>
  <c r="AZ10" i="1"/>
  <c r="AF33" i="8" s="1"/>
  <c r="AZ22" i="1"/>
  <c r="AF22" i="8" s="1"/>
  <c r="AY7" i="1"/>
  <c r="AD14" i="8" s="1"/>
  <c r="AY12" i="1"/>
  <c r="AD23" i="8" s="1"/>
  <c r="AY33" i="1"/>
  <c r="AD20" i="8" s="1"/>
  <c r="AY34" i="1"/>
  <c r="AD9" i="8" s="1"/>
  <c r="AY27" i="1"/>
  <c r="AD16" i="8" s="1"/>
  <c r="AZ7" i="1"/>
  <c r="AF14" i="8" s="1"/>
  <c r="AY22" i="1"/>
  <c r="AD22" i="8" s="1"/>
  <c r="AZ16" i="1"/>
  <c r="AF11" i="8" s="1"/>
  <c r="AY25" i="1"/>
  <c r="AD24" i="8" s="1"/>
  <c r="AZ26" i="1"/>
  <c r="AF12" i="8" s="1"/>
  <c r="AY6" i="1"/>
  <c r="AD25" i="8" s="1"/>
  <c r="AZ17" i="1"/>
  <c r="AF26" i="8" s="1"/>
  <c r="AZ20" i="1"/>
  <c r="AF6" i="8" s="1"/>
  <c r="AZ13" i="1"/>
  <c r="AF31" i="8" s="1"/>
  <c r="AZ14" i="1"/>
  <c r="AF21" i="8" s="1"/>
  <c r="AY31" i="1"/>
  <c r="AD7" i="8" s="1"/>
  <c r="AY19" i="1"/>
  <c r="AD8" i="8" s="1"/>
  <c r="AY17" i="1"/>
  <c r="AD26" i="8" s="1"/>
  <c r="AZ23" i="1"/>
  <c r="AF5" i="8" s="1"/>
  <c r="AY13" i="1"/>
  <c r="AD31" i="8" s="1"/>
  <c r="AY15" i="1"/>
  <c r="AD13" i="8" s="1"/>
  <c r="AY21" i="1"/>
  <c r="AD27" i="8" s="1"/>
  <c r="AZ34" i="1"/>
  <c r="AF9" i="8" s="1"/>
  <c r="AY28" i="1"/>
  <c r="AD10" i="8" s="1"/>
  <c r="AY5" i="1"/>
  <c r="AD19" i="8" s="1"/>
  <c r="AZ31" i="1"/>
  <c r="AF7" i="8" s="1"/>
  <c r="AZ29" i="1"/>
  <c r="AF18" i="8" s="1"/>
  <c r="AZ6" i="1"/>
  <c r="AF25" i="8" s="1"/>
  <c r="AY10" i="1"/>
  <c r="AD33" i="8" s="1"/>
  <c r="AZ15" i="1"/>
  <c r="AF13" i="8" s="1"/>
  <c r="AY23" i="1"/>
  <c r="AD5" i="8" s="1"/>
  <c r="AZ21" i="1"/>
  <c r="AF27" i="8" s="1"/>
  <c r="AY9" i="1"/>
  <c r="AD17" i="8" s="1"/>
  <c r="AY16" i="1"/>
  <c r="AD11" i="8" s="1"/>
  <c r="AY14" i="1"/>
  <c r="AD21" i="8" s="1"/>
  <c r="AZ19" i="1"/>
  <c r="AF8" i="8" s="1"/>
  <c r="AZ12" i="1"/>
  <c r="AF23" i="8" s="1"/>
  <c r="AY36" i="1"/>
  <c r="AD36" i="8" s="1"/>
  <c r="AY29" i="1"/>
  <c r="AD18" i="8" s="1"/>
  <c r="AY8" i="1"/>
  <c r="AD15" i="8" s="1"/>
  <c r="AY26" i="1"/>
  <c r="AD12" i="8" s="1"/>
  <c r="AZ28" i="1"/>
  <c r="AF10" i="8" s="1"/>
  <c r="AZ9" i="1"/>
  <c r="AF17" i="8" s="1"/>
  <c r="AZ8" i="1"/>
  <c r="AF15" i="8" s="1"/>
  <c r="AZ36" i="1"/>
  <c r="AF36" i="8" s="1"/>
  <c r="AZ5" i="1"/>
  <c r="AF19" i="8" s="1"/>
  <c r="AY20" i="1"/>
  <c r="AD6" i="8" s="1"/>
  <c r="AZ33" i="1"/>
  <c r="AF20" i="8" s="1"/>
  <c r="AL6" i="1"/>
  <c r="AL36" i="1"/>
  <c r="AL12" i="1"/>
  <c r="AL33" i="1"/>
  <c r="AL22" i="1"/>
  <c r="AL10" i="1"/>
  <c r="AL17" i="1"/>
  <c r="AL25" i="1"/>
  <c r="AL14" i="1"/>
  <c r="AL5" i="1"/>
  <c r="AL21" i="1"/>
  <c r="AU18" i="1" l="1"/>
  <c r="V28" i="8" s="1"/>
  <c r="AM18" i="1"/>
  <c r="F28" i="8" s="1"/>
  <c r="AT32" i="1"/>
  <c r="T29" i="8" s="1"/>
  <c r="AY30" i="1"/>
  <c r="AD30" i="8" s="1"/>
  <c r="AR30" i="1"/>
  <c r="P30" i="8" s="1"/>
  <c r="AV18" i="1"/>
  <c r="X28" i="8" s="1"/>
  <c r="AL32" i="1"/>
  <c r="AS32" i="1"/>
  <c r="R29" i="8" s="1"/>
  <c r="AZ30" i="1"/>
  <c r="AF30" i="8" s="1"/>
  <c r="AN30" i="1"/>
  <c r="H30" i="8" s="1"/>
  <c r="AO35" i="1"/>
  <c r="AL13" i="1"/>
  <c r="AS18" i="1"/>
  <c r="R28" i="8" s="1"/>
  <c r="AZ32" i="1"/>
  <c r="AF29" i="8" s="1"/>
  <c r="AR32" i="1"/>
  <c r="P29" i="8" s="1"/>
  <c r="AW30" i="1"/>
  <c r="Z30" i="8" s="1"/>
  <c r="AQ30" i="1"/>
  <c r="N30" i="8" s="1"/>
  <c r="AP30" i="1"/>
  <c r="L30" i="8" s="1"/>
  <c r="AS11" i="1"/>
  <c r="R34" i="8" s="1"/>
  <c r="AV24" i="1"/>
  <c r="X35" i="8" s="1"/>
  <c r="AP11" i="1"/>
  <c r="L34" i="8" s="1"/>
  <c r="AY24" i="1"/>
  <c r="AD35" i="8" s="1"/>
  <c r="AW35" i="1"/>
  <c r="Z32" i="8" s="1"/>
  <c r="AP35" i="1"/>
  <c r="L32" i="8" s="1"/>
  <c r="AY18" i="1"/>
  <c r="AD28" i="8" s="1"/>
  <c r="AR18" i="1"/>
  <c r="P28" i="8" s="1"/>
  <c r="AX32" i="1"/>
  <c r="AQ32" i="1"/>
  <c r="AV30" i="1"/>
  <c r="X30" i="8" s="1"/>
  <c r="AM30" i="1"/>
  <c r="F30" i="8" s="1"/>
  <c r="AP19" i="1"/>
  <c r="L8" i="8" s="1"/>
  <c r="AO14" i="1"/>
  <c r="J21" i="8" s="1"/>
  <c r="AO20" i="1"/>
  <c r="J6" i="8" s="1"/>
  <c r="AQ12" i="1"/>
  <c r="N23" i="8" s="1"/>
  <c r="AQ6" i="1"/>
  <c r="N25" i="8" s="1"/>
  <c r="AN17" i="1"/>
  <c r="H26" i="8" s="1"/>
  <c r="AQ28" i="1"/>
  <c r="N10" i="8" s="1"/>
  <c r="AU24" i="1"/>
  <c r="V35" i="8" s="1"/>
  <c r="AT11" i="1"/>
  <c r="T34" i="8" s="1"/>
  <c r="AL24" i="1"/>
  <c r="AK24" i="1" s="1"/>
  <c r="AJ24" i="1" s="1"/>
  <c r="AI24" i="1" s="1"/>
  <c r="AH24" i="1" s="1"/>
  <c r="AS24" i="1"/>
  <c r="R35" i="8" s="1"/>
  <c r="AV35" i="1"/>
  <c r="X32" i="8" s="1"/>
  <c r="AM35" i="1"/>
  <c r="AZ18" i="1"/>
  <c r="AF28" i="8" s="1"/>
  <c r="AN18" i="1"/>
  <c r="H28" i="8" s="1"/>
  <c r="AW32" i="1"/>
  <c r="AP32" i="1"/>
  <c r="AU30" i="1"/>
  <c r="V30" i="8" s="1"/>
  <c r="AO32" i="1"/>
  <c r="J29" i="8" s="1"/>
  <c r="AM27" i="1"/>
  <c r="F16" i="8" s="1"/>
  <c r="AN35" i="1"/>
  <c r="H32" i="8" s="1"/>
  <c r="AM5" i="1"/>
  <c r="F19" i="8" s="1"/>
  <c r="AN12" i="1"/>
  <c r="H23" i="8" s="1"/>
  <c r="AN29" i="1"/>
  <c r="H18" i="8" s="1"/>
  <c r="AN9" i="1"/>
  <c r="H17" i="8" s="1"/>
  <c r="AM26" i="1"/>
  <c r="F12" i="8" s="1"/>
  <c r="AM31" i="1"/>
  <c r="F7" i="8" s="1"/>
  <c r="AN20" i="1"/>
  <c r="H6" i="8" s="1"/>
  <c r="AN16" i="1"/>
  <c r="H11" i="8" s="1"/>
  <c r="AM21" i="1"/>
  <c r="F27" i="8" s="1"/>
  <c r="AN14" i="1"/>
  <c r="H21" i="8" s="1"/>
  <c r="AN19" i="1"/>
  <c r="H8" i="8" s="1"/>
  <c r="AM12" i="1"/>
  <c r="F23" i="8" s="1"/>
  <c r="AN5" i="1"/>
  <c r="H19" i="8" s="1"/>
  <c r="AN7" i="1"/>
  <c r="H14" i="8" s="1"/>
  <c r="AM29" i="1"/>
  <c r="F18" i="8" s="1"/>
  <c r="AM19" i="1"/>
  <c r="F8" i="8" s="1"/>
  <c r="AN34" i="1"/>
  <c r="H9" i="8" s="1"/>
  <c r="AM16" i="1"/>
  <c r="F11" i="8" s="1"/>
  <c r="AM7" i="1"/>
  <c r="F14" i="8" s="1"/>
  <c r="AN21" i="1"/>
  <c r="H27" i="8" s="1"/>
  <c r="AN13" i="1"/>
  <c r="H31" i="8" s="1"/>
  <c r="AM25" i="1"/>
  <c r="F24" i="8" s="1"/>
  <c r="AM33" i="1"/>
  <c r="F20" i="8" s="1"/>
  <c r="AN6" i="1"/>
  <c r="H25" i="8" s="1"/>
  <c r="AN31" i="1"/>
  <c r="H7" i="8" s="1"/>
  <c r="AM17" i="1"/>
  <c r="F26" i="8" s="1"/>
  <c r="AN15" i="1"/>
  <c r="H13" i="8" s="1"/>
  <c r="AN22" i="1"/>
  <c r="H22" i="8" s="1"/>
  <c r="AN26" i="1"/>
  <c r="H12" i="8" s="1"/>
  <c r="AO18" i="1"/>
  <c r="J28" i="8" s="1"/>
  <c r="AN33" i="1"/>
  <c r="H20" i="8" s="1"/>
  <c r="AN10" i="1"/>
  <c r="H33" i="8" s="1"/>
  <c r="AB29" i="8"/>
  <c r="N29" i="8"/>
  <c r="AK32" i="1"/>
  <c r="AJ32" i="1" s="1"/>
  <c r="AI32" i="1" s="1"/>
  <c r="AH32" i="1" s="1"/>
  <c r="AG32" i="1" s="1"/>
  <c r="AF32" i="1" s="1"/>
  <c r="AE32" i="1" s="1"/>
  <c r="AD32" i="1" s="1"/>
  <c r="AC32" i="1" s="1"/>
  <c r="AB32" i="1" s="1"/>
  <c r="V29" i="8"/>
  <c r="Z29" i="8"/>
  <c r="L29" i="8"/>
  <c r="D29" i="8"/>
  <c r="J32" i="8"/>
  <c r="F32" i="8"/>
  <c r="AK28" i="1"/>
  <c r="AJ28" i="1" s="1"/>
  <c r="AI28" i="1" s="1"/>
  <c r="AH28" i="1" s="1"/>
  <c r="AG28" i="1" s="1"/>
  <c r="AF28" i="1" s="1"/>
  <c r="AE28" i="1" s="1"/>
  <c r="AD28" i="1" s="1"/>
  <c r="AC28" i="1" s="1"/>
  <c r="AB28" i="1" s="1"/>
  <c r="D32" i="8"/>
  <c r="AK36" i="1"/>
  <c r="AJ36" i="1" s="1"/>
  <c r="AI36" i="1" s="1"/>
  <c r="AH36" i="1" s="1"/>
  <c r="D24" i="8"/>
  <c r="AK25" i="1"/>
  <c r="AJ25" i="1" s="1"/>
  <c r="AI25" i="1" s="1"/>
  <c r="AH25" i="1" s="1"/>
  <c r="D25" i="8"/>
  <c r="AK6" i="1"/>
  <c r="AJ6" i="1" s="1"/>
  <c r="J12" i="8"/>
  <c r="F17" i="8"/>
  <c r="H16" i="8"/>
  <c r="AK27" i="1"/>
  <c r="AJ27" i="1" s="1"/>
  <c r="AI27" i="1" s="1"/>
  <c r="AH27" i="1" s="1"/>
  <c r="F5" i="8"/>
  <c r="AK23" i="1"/>
  <c r="AJ23" i="1" s="1"/>
  <c r="AI23" i="1" s="1"/>
  <c r="AH23" i="1" s="1"/>
  <c r="AK10" i="1"/>
  <c r="AJ10" i="1" s="1"/>
  <c r="AI10" i="1" s="1"/>
  <c r="AH10" i="1" s="1"/>
  <c r="F15" i="8"/>
  <c r="AK8" i="1"/>
  <c r="AJ8" i="1" s="1"/>
  <c r="AI8" i="1" s="1"/>
  <c r="AH8" i="1" s="1"/>
  <c r="D26" i="8"/>
  <c r="AK17" i="1"/>
  <c r="AJ17" i="1" s="1"/>
  <c r="AI17" i="1" s="1"/>
  <c r="AH17" i="1" s="1"/>
  <c r="J7" i="8"/>
  <c r="AK31" i="1"/>
  <c r="AJ31" i="1" s="1"/>
  <c r="AI31" i="1" s="1"/>
  <c r="AH31" i="1" s="1"/>
  <c r="F9" i="8"/>
  <c r="AK34" i="1"/>
  <c r="AJ34" i="1" s="1"/>
  <c r="AI34" i="1" s="1"/>
  <c r="AH34" i="1" s="1"/>
  <c r="D27" i="8"/>
  <c r="J18" i="8"/>
  <c r="AK29" i="1"/>
  <c r="AJ29" i="1" s="1"/>
  <c r="AI29" i="1" s="1"/>
  <c r="AH29" i="1" s="1"/>
  <c r="J8" i="8"/>
  <c r="AK19" i="1"/>
  <c r="AJ19" i="1" s="1"/>
  <c r="AI19" i="1" s="1"/>
  <c r="AH19" i="1" s="1"/>
  <c r="J14" i="8"/>
  <c r="AK7" i="1"/>
  <c r="AJ7" i="1" s="1"/>
  <c r="AI7" i="1" s="1"/>
  <c r="AH7" i="1" s="1"/>
  <c r="D19" i="8"/>
  <c r="AK5" i="1"/>
  <c r="AJ5" i="1" s="1"/>
  <c r="D31" i="8"/>
  <c r="AK13" i="1"/>
  <c r="AJ13" i="1" s="1"/>
  <c r="AI13" i="1" s="1"/>
  <c r="AH13" i="1" s="1"/>
  <c r="D23" i="8"/>
  <c r="F13" i="8"/>
  <c r="AK15" i="1"/>
  <c r="AJ15" i="1" s="1"/>
  <c r="AI15" i="1" s="1"/>
  <c r="AH15" i="1" s="1"/>
  <c r="J11" i="8"/>
  <c r="AK16" i="1"/>
  <c r="AJ16" i="1" s="1"/>
  <c r="AI16" i="1" s="1"/>
  <c r="AH16" i="1" s="1"/>
  <c r="D20" i="8"/>
  <c r="AK33" i="1"/>
  <c r="AJ33" i="1" s="1"/>
  <c r="AI33" i="1" s="1"/>
  <c r="AH33" i="1" s="1"/>
  <c r="D21" i="8"/>
  <c r="F6" i="8"/>
  <c r="AK20" i="1"/>
  <c r="AJ20" i="1" s="1"/>
  <c r="AI20" i="1" s="1"/>
  <c r="AH20" i="1" s="1"/>
  <c r="F10" i="8"/>
  <c r="AK11" i="1"/>
  <c r="AJ11" i="1" s="1"/>
  <c r="AI11" i="1" s="1"/>
  <c r="AH11" i="1" s="1"/>
  <c r="D34" i="8"/>
  <c r="AA36" i="1"/>
  <c r="H35" i="8"/>
  <c r="H36" i="8"/>
  <c r="D33" i="8"/>
  <c r="D22" i="8"/>
  <c r="D36" i="8"/>
  <c r="J35" i="8"/>
  <c r="J36" i="8"/>
  <c r="F35" i="8"/>
  <c r="F36" i="8"/>
  <c r="AK18" i="1" l="1"/>
  <c r="AJ18" i="1" s="1"/>
  <c r="AI18" i="1" s="1"/>
  <c r="AK9" i="1"/>
  <c r="AJ9" i="1" s="1"/>
  <c r="AK30" i="1"/>
  <c r="AJ30" i="1" s="1"/>
  <c r="AI30" i="1" s="1"/>
  <c r="AH30" i="1" s="1"/>
  <c r="AG30" i="1" s="1"/>
  <c r="AF30" i="1" s="1"/>
  <c r="AE30" i="1" s="1"/>
  <c r="AD30" i="1" s="1"/>
  <c r="AC30" i="1" s="1"/>
  <c r="AB30" i="1" s="1"/>
  <c r="AK21" i="1"/>
  <c r="AJ21" i="1" s="1"/>
  <c r="AI21" i="1" s="1"/>
  <c r="AH21" i="1" s="1"/>
  <c r="D35" i="8"/>
  <c r="AK26" i="1"/>
  <c r="AJ26" i="1" s="1"/>
  <c r="AI26" i="1" s="1"/>
  <c r="AH26" i="1" s="1"/>
  <c r="AK35" i="1"/>
  <c r="AJ35" i="1" s="1"/>
  <c r="AI35" i="1" s="1"/>
  <c r="AH35" i="1" s="1"/>
  <c r="AK22" i="1"/>
  <c r="AJ22" i="1" s="1"/>
  <c r="AI22" i="1" s="1"/>
  <c r="AH22" i="1" s="1"/>
  <c r="AG22" i="1" s="1"/>
  <c r="AF22" i="1" s="1"/>
  <c r="AK14" i="1"/>
  <c r="AJ14" i="1" s="1"/>
  <c r="AK12" i="1"/>
  <c r="AJ12" i="1" s="1"/>
  <c r="AI12" i="1" s="1"/>
  <c r="AH12" i="1" s="1"/>
  <c r="AA32" i="1"/>
  <c r="C29" i="8" s="1"/>
  <c r="AH18" i="1"/>
  <c r="AG18" i="1" s="1"/>
  <c r="AF18" i="1" s="1"/>
  <c r="AE18" i="1" s="1"/>
  <c r="AD18" i="1" s="1"/>
  <c r="AC18" i="1" s="1"/>
  <c r="AB18" i="1" s="1"/>
  <c r="AI5" i="1"/>
  <c r="AH5" i="1" s="1"/>
  <c r="AG5" i="1" s="1"/>
  <c r="AF5" i="1" s="1"/>
  <c r="AI9" i="1"/>
  <c r="AH9" i="1" s="1"/>
  <c r="AG9" i="1" s="1"/>
  <c r="AF9" i="1" s="1"/>
  <c r="AI14" i="1"/>
  <c r="AH14" i="1" s="1"/>
  <c r="AI6" i="1"/>
  <c r="AH6" i="1" s="1"/>
  <c r="AG10" i="1"/>
  <c r="AF10" i="1" s="1"/>
  <c r="AE10" i="1" s="1"/>
  <c r="AD10" i="1" s="1"/>
  <c r="AC10" i="1" s="1"/>
  <c r="AB10" i="1" s="1"/>
  <c r="AG21" i="1"/>
  <c r="AF21" i="1" s="1"/>
  <c r="AG24" i="1"/>
  <c r="AF24" i="1" s="1"/>
  <c r="AG33" i="1"/>
  <c r="AF33" i="1" s="1"/>
  <c r="AG11" i="1"/>
  <c r="AF11" i="1" s="1"/>
  <c r="AG29" i="1"/>
  <c r="AF29" i="1" s="1"/>
  <c r="AG13" i="1"/>
  <c r="AF13" i="1" s="1"/>
  <c r="AG12" i="1"/>
  <c r="AF12" i="1" s="1"/>
  <c r="AA10" i="1"/>
  <c r="C33" i="8" s="1"/>
  <c r="AA28" i="1"/>
  <c r="C10" i="8" s="1"/>
  <c r="AA18" i="1" l="1"/>
  <c r="C28" i="8" s="1"/>
  <c r="AA30" i="1"/>
  <c r="C30" i="8" s="1"/>
  <c r="AE13" i="1"/>
  <c r="AE29" i="1"/>
  <c r="AE11" i="1"/>
  <c r="AD11" i="1" s="1"/>
  <c r="AC11" i="1" s="1"/>
  <c r="AB11" i="1" s="1"/>
  <c r="AE33" i="1"/>
  <c r="AE24" i="1"/>
  <c r="AD24" i="1" s="1"/>
  <c r="AC24" i="1" s="1"/>
  <c r="AB24" i="1" s="1"/>
  <c r="AE9" i="1"/>
  <c r="AD9" i="1" s="1"/>
  <c r="AC9" i="1" s="1"/>
  <c r="AB9" i="1" s="1"/>
  <c r="AE21" i="1"/>
  <c r="AE12" i="1"/>
  <c r="AE22" i="1"/>
  <c r="AE5" i="1"/>
  <c r="AD5" i="1" s="1"/>
  <c r="AC5" i="1" s="1"/>
  <c r="AB5" i="1" s="1"/>
  <c r="AG31" i="1"/>
  <c r="AF31" i="1" s="1"/>
  <c r="AE31" i="1" s="1"/>
  <c r="AG19" i="1"/>
  <c r="AF19" i="1" s="1"/>
  <c r="AG16" i="1"/>
  <c r="AF16" i="1" s="1"/>
  <c r="AG6" i="1"/>
  <c r="AF6" i="1" s="1"/>
  <c r="AG14" i="1"/>
  <c r="AF14" i="1" s="1"/>
  <c r="AG35" i="1"/>
  <c r="AF35" i="1" s="1"/>
  <c r="AG26" i="1"/>
  <c r="AF26" i="1" s="1"/>
  <c r="AG23" i="1"/>
  <c r="AF23" i="1" s="1"/>
  <c r="AG20" i="1"/>
  <c r="AF20" i="1" s="1"/>
  <c r="AG8" i="1"/>
  <c r="AF8" i="1" s="1"/>
  <c r="AG34" i="1"/>
  <c r="AF34" i="1" s="1"/>
  <c r="AG7" i="1"/>
  <c r="AF7" i="1" s="1"/>
  <c r="AG25" i="1"/>
  <c r="AF25" i="1" s="1"/>
  <c r="AG36" i="1"/>
  <c r="AF36" i="1" s="1"/>
  <c r="AG27" i="1"/>
  <c r="AF27" i="1" s="1"/>
  <c r="AG15" i="1"/>
  <c r="AF15" i="1" s="1"/>
  <c r="AE15" i="1" s="1"/>
  <c r="AG17" i="1"/>
  <c r="AF17" i="1" s="1"/>
  <c r="C34" i="8"/>
  <c r="C35" i="8"/>
  <c r="C36" i="8"/>
  <c r="AD29" i="1" l="1"/>
  <c r="AC29" i="1" s="1"/>
  <c r="AB29" i="1" s="1"/>
  <c r="AA29" i="1"/>
  <c r="C18" i="8" s="1"/>
  <c r="AD22" i="1"/>
  <c r="AC22" i="1" s="1"/>
  <c r="AB22" i="1" s="1"/>
  <c r="AA22" i="1"/>
  <c r="C22" i="8" s="1"/>
  <c r="AD13" i="1"/>
  <c r="AC13" i="1" s="1"/>
  <c r="AB13" i="1" s="1"/>
  <c r="AA13" i="1"/>
  <c r="C31" i="8" s="1"/>
  <c r="AD31" i="1"/>
  <c r="AC31" i="1" s="1"/>
  <c r="AB31" i="1" s="1"/>
  <c r="AA31" i="1"/>
  <c r="C7" i="8" s="1"/>
  <c r="AD15" i="1"/>
  <c r="AC15" i="1" s="1"/>
  <c r="AB15" i="1" s="1"/>
  <c r="AA15" i="1"/>
  <c r="C13" i="8" s="1"/>
  <c r="AD12" i="1"/>
  <c r="AC12" i="1" s="1"/>
  <c r="AB12" i="1" s="1"/>
  <c r="AA12" i="1"/>
  <c r="C23" i="8" s="1"/>
  <c r="AD21" i="1"/>
  <c r="AC21" i="1" s="1"/>
  <c r="AB21" i="1" s="1"/>
  <c r="AA21" i="1"/>
  <c r="C27" i="8" s="1"/>
  <c r="AA5" i="1"/>
  <c r="C19" i="8" s="1"/>
  <c r="AA9" i="1"/>
  <c r="C17" i="8" s="1"/>
  <c r="AD33" i="1"/>
  <c r="AC33" i="1" s="1"/>
  <c r="AB33" i="1" s="1"/>
  <c r="AA33" i="1"/>
  <c r="C20" i="8" s="1"/>
  <c r="AE23" i="1"/>
  <c r="AE34" i="1"/>
  <c r="AE16" i="1"/>
  <c r="AE17" i="1"/>
  <c r="AE8" i="1"/>
  <c r="AE19" i="1"/>
  <c r="AE20" i="1"/>
  <c r="AE27" i="1"/>
  <c r="AE26" i="1"/>
  <c r="AE36" i="1"/>
  <c r="AD36" i="1" s="1"/>
  <c r="AC36" i="1" s="1"/>
  <c r="AB36" i="1" s="1"/>
  <c r="AE35" i="1"/>
  <c r="AE25" i="1"/>
  <c r="AE14" i="1"/>
  <c r="AE7" i="1"/>
  <c r="AE6" i="1"/>
  <c r="AD25" i="1" l="1"/>
  <c r="AC25" i="1" s="1"/>
  <c r="AB25" i="1" s="1"/>
  <c r="AA25" i="1"/>
  <c r="AD17" i="1"/>
  <c r="AC17" i="1" s="1"/>
  <c r="AB17" i="1" s="1"/>
  <c r="AA17" i="1"/>
  <c r="AD8" i="1"/>
  <c r="AC8" i="1" s="1"/>
  <c r="AB8" i="1" s="1"/>
  <c r="AA8" i="1"/>
  <c r="AD35" i="1"/>
  <c r="AC35" i="1" s="1"/>
  <c r="AB35" i="1" s="1"/>
  <c r="AA35" i="1"/>
  <c r="AD16" i="1"/>
  <c r="AC16" i="1" s="1"/>
  <c r="AB16" i="1" s="1"/>
  <c r="AA16" i="1"/>
  <c r="AD14" i="1"/>
  <c r="AC14" i="1" s="1"/>
  <c r="AB14" i="1" s="1"/>
  <c r="AA14" i="1"/>
  <c r="AD34" i="1"/>
  <c r="AC34" i="1" s="1"/>
  <c r="AB34" i="1" s="1"/>
  <c r="AA34" i="1"/>
  <c r="AD19" i="1"/>
  <c r="AC19" i="1" s="1"/>
  <c r="AB19" i="1" s="1"/>
  <c r="AA19" i="1"/>
  <c r="AD23" i="1"/>
  <c r="AC23" i="1" s="1"/>
  <c r="AB23" i="1" s="1"/>
  <c r="AA23" i="1"/>
  <c r="AD27" i="1"/>
  <c r="AC27" i="1" s="1"/>
  <c r="AB27" i="1" s="1"/>
  <c r="AA27" i="1"/>
  <c r="AD7" i="1"/>
  <c r="AC7" i="1" s="1"/>
  <c r="AB7" i="1" s="1"/>
  <c r="AA7" i="1"/>
  <c r="AD26" i="1"/>
  <c r="AC26" i="1" s="1"/>
  <c r="AB26" i="1" s="1"/>
  <c r="AA26" i="1"/>
  <c r="AD6" i="1"/>
  <c r="AC6" i="1" s="1"/>
  <c r="AB6" i="1" s="1"/>
  <c r="AA6" i="1"/>
  <c r="AD20" i="1"/>
  <c r="AC20" i="1" s="1"/>
  <c r="AB20" i="1" s="1"/>
  <c r="AA20" i="1"/>
  <c r="Z22" i="1" l="1"/>
  <c r="A22" i="8" s="1"/>
  <c r="Z31" i="1"/>
  <c r="A7" i="8" s="1"/>
  <c r="C9" i="8"/>
  <c r="Z34" i="1"/>
  <c r="A9" i="8" s="1"/>
  <c r="C16" i="8"/>
  <c r="Z27" i="1"/>
  <c r="A16" i="8" s="1"/>
  <c r="C21" i="8"/>
  <c r="Z14" i="1"/>
  <c r="A21" i="8" s="1"/>
  <c r="C26" i="8"/>
  <c r="Z17" i="1"/>
  <c r="A26" i="8" s="1"/>
  <c r="C11" i="8"/>
  <c r="Z16" i="1"/>
  <c r="A11" i="8" s="1"/>
  <c r="C6" i="8"/>
  <c r="Z20" i="1"/>
  <c r="A6" i="8" s="1"/>
  <c r="Z36" i="1"/>
  <c r="A36" i="8" s="1"/>
  <c r="C15" i="8"/>
  <c r="Z8" i="1"/>
  <c r="A15" i="8" s="1"/>
  <c r="C25" i="8"/>
  <c r="Z13" i="1"/>
  <c r="A31" i="8" s="1"/>
  <c r="Z5" i="1"/>
  <c r="A19" i="8" s="1"/>
  <c r="Z12" i="1"/>
  <c r="A23" i="8" s="1"/>
  <c r="Z29" i="1"/>
  <c r="A18" i="8" s="1"/>
  <c r="Z11" i="1"/>
  <c r="A34" i="8" s="1"/>
  <c r="Z33" i="1"/>
  <c r="A20" i="8" s="1"/>
  <c r="Z32" i="1"/>
  <c r="A29" i="8" s="1"/>
  <c r="Z21" i="1"/>
  <c r="A27" i="8" s="1"/>
  <c r="Z28" i="1"/>
  <c r="A10" i="8" s="1"/>
  <c r="Z6" i="1"/>
  <c r="A25" i="8" s="1"/>
  <c r="Z10" i="1"/>
  <c r="A33" i="8" s="1"/>
  <c r="Z18" i="1"/>
  <c r="A28" i="8" s="1"/>
  <c r="Z24" i="1"/>
  <c r="A35" i="8" s="1"/>
  <c r="Z15" i="1"/>
  <c r="A13" i="8" s="1"/>
  <c r="C12" i="8"/>
  <c r="Z26" i="1"/>
  <c r="A12" i="8" s="1"/>
  <c r="C5" i="8"/>
  <c r="Z23" i="1"/>
  <c r="A5" i="8" s="1"/>
  <c r="C14" i="8"/>
  <c r="Z7" i="1"/>
  <c r="A14" i="8" s="1"/>
  <c r="C24" i="8"/>
  <c r="Z25" i="1"/>
  <c r="A24" i="8" s="1"/>
  <c r="Z9" i="1"/>
  <c r="A17" i="8" s="1"/>
  <c r="C8" i="8"/>
  <c r="Z19" i="1"/>
  <c r="A8" i="8" s="1"/>
  <c r="C32" i="8"/>
  <c r="Z35" i="1"/>
  <c r="A32" i="8" s="1"/>
  <c r="Z30" i="1"/>
  <c r="A30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<sst xmlns="http://schemas.openxmlformats.org/spreadsheetml/2006/main" count="360" uniqueCount="112">
  <si>
    <t>Rank</t>
  </si>
  <si>
    <t>Surf Dude</t>
  </si>
  <si>
    <t>Sum</t>
  </si>
  <si>
    <t>1-2 seglingar borträknas 0</t>
  </si>
  <si>
    <t>3 seglingar borträknas 1</t>
  </si>
  <si>
    <t>4-6 seglingar borträknas 2</t>
  </si>
  <si>
    <t>7-8 seglingar borträknas 3</t>
  </si>
  <si>
    <t>9-11 seglingar borträknas 4</t>
  </si>
  <si>
    <t>12-14 seglingar borträknas 5</t>
  </si>
  <si>
    <t>15-16 seglingar borträknas 6</t>
  </si>
  <si>
    <t>17-19 seglingar borträknas 7</t>
  </si>
  <si>
    <t>20-22 seglingar borträknas 8</t>
  </si>
  <si>
    <t>23+ borträknas 9</t>
  </si>
  <si>
    <t>Antal 
KoF:ar</t>
  </si>
  <si>
    <t>Antal som 
borträknas</t>
  </si>
  <si>
    <t>All KoF 
AVG</t>
  </si>
  <si>
    <t xml:space="preserve">Avg of 5 10s </t>
  </si>
  <si>
    <t>Sum-1</t>
  </si>
  <si>
    <t>Sum-2</t>
  </si>
  <si>
    <t>Sum-9</t>
  </si>
  <si>
    <t>Sum-8</t>
  </si>
  <si>
    <t>Sum-7</t>
  </si>
  <si>
    <t>Sum-6</t>
  </si>
  <si>
    <t>Sum-5</t>
  </si>
  <si>
    <t>Sum-4</t>
  </si>
  <si>
    <t>Sum-3</t>
  </si>
  <si>
    <t>Sum-X</t>
  </si>
  <si>
    <t>Nbr Kof</t>
  </si>
  <si>
    <t>Borträknat</t>
  </si>
  <si>
    <t>Kommentar</t>
  </si>
  <si>
    <t>Namn</t>
  </si>
  <si>
    <t>Score</t>
  </si>
  <si>
    <t>Morgan Ruudh</t>
  </si>
  <si>
    <t>Marcus Richardson</t>
  </si>
  <si>
    <t>Per Högberg</t>
  </si>
  <si>
    <t>Jonas Bergström</t>
  </si>
  <si>
    <t>Joko Mrnjavac</t>
  </si>
  <si>
    <t>Rickard Fossum</t>
  </si>
  <si>
    <t>Mats Morén</t>
  </si>
  <si>
    <t>Francois Pettorelli</t>
  </si>
  <si>
    <t>Jesper Kropp Axelsson</t>
  </si>
  <si>
    <t>Arne Samuelsson</t>
  </si>
  <si>
    <t>Björn Johansson</t>
  </si>
  <si>
    <t>Örjan Olsson</t>
  </si>
  <si>
    <t>August Thelin</t>
  </si>
  <si>
    <t>Michael Nordström</t>
  </si>
  <si>
    <t>Erik Larsson</t>
  </si>
  <si>
    <t>Anders Björkqvist</t>
  </si>
  <si>
    <t>Ove Jansson</t>
  </si>
  <si>
    <t>Henrick Schill</t>
  </si>
  <si>
    <t>Mats Moren</t>
  </si>
  <si>
    <t>Erik Ryden</t>
  </si>
  <si>
    <t>Joakim Hansson</t>
  </si>
  <si>
    <t>Anders Nilsson</t>
  </si>
  <si>
    <t>Daniel EA Gustafsson</t>
  </si>
  <si>
    <t>Daniel Tobiasson</t>
  </si>
  <si>
    <t>Daniel Hoffmann</t>
  </si>
  <si>
    <t>Markus Emanuelsson</t>
  </si>
  <si>
    <t>Daniel Borgelind</t>
  </si>
  <si>
    <t>Peter Modeer</t>
  </si>
  <si>
    <t>Mats Abrahamsson</t>
  </si>
  <si>
    <t>David Giaina</t>
  </si>
  <si>
    <t>Jonas Göransson</t>
  </si>
  <si>
    <t>Johan Gelander</t>
  </si>
  <si>
    <t>Kim Born</t>
  </si>
  <si>
    <t>Fredrk Wettervik Lööf</t>
  </si>
  <si>
    <t>Carl Ribbegaardh</t>
  </si>
  <si>
    <t>Martin Hultman</t>
  </si>
  <si>
    <t>Teodor Andersson</t>
  </si>
  <si>
    <t>#</t>
  </si>
  <si>
    <t>Naam</t>
  </si>
  <si>
    <t>Avg</t>
  </si>
  <si>
    <t>Run</t>
  </si>
  <si>
    <t>2 sec</t>
  </si>
  <si>
    <t>Alpha</t>
  </si>
  <si>
    <t>Peter Modéer</t>
  </si>
  <si>
    <t>Anders Bjorkqvist</t>
  </si>
  <si>
    <t>Daniel E.A. Gustafsson</t>
  </si>
  <si>
    <t>Date</t>
  </si>
  <si>
    <t>Olsson Orjan</t>
  </si>
  <si>
    <t>François Pettorelli</t>
  </si>
  <si>
    <t>Bjorn Sandberg</t>
  </si>
  <si>
    <t>Jonas Sörensen</t>
  </si>
  <si>
    <t>Johan Millbergs</t>
  </si>
  <si>
    <t>Kate Christensen</t>
  </si>
  <si>
    <t>Radical Ronald</t>
  </si>
  <si>
    <r>
      <t xml:space="preserve">King of the Fjord 2025 </t>
    </r>
    <r>
      <rPr>
        <sz val="11"/>
        <color theme="1"/>
        <rFont val="Aptos Narrow"/>
        <family val="2"/>
        <scheme val="minor"/>
      </rPr>
      <t>(5x10s)</t>
    </r>
  </si>
  <si>
    <t>Poäng</t>
  </si>
  <si>
    <t>Average</t>
  </si>
  <si>
    <t>e.g</t>
  </si>
  <si>
    <t>https://www.gps-speedsurfing.com/default.aspx?mnu=forum&amp;forum=2&amp;val=230014</t>
  </si>
  <si>
    <t>Got to "Result of  the day"</t>
  </si>
  <si>
    <t>Step</t>
  </si>
  <si>
    <t>Go ot Resuts of the day tab and paste ("match destination format") copied date to the end of the table</t>
  </si>
  <si>
    <t>mark data then Ctrl+  C</t>
  </si>
  <si>
    <t>Remove header row and add date in column B</t>
  </si>
  <si>
    <r>
      <t xml:space="preserve">Go to </t>
    </r>
    <r>
      <rPr>
        <b/>
        <sz val="11"/>
        <color theme="1"/>
        <rFont val="Aptos Narrow"/>
        <family val="2"/>
        <scheme val="minor"/>
      </rPr>
      <t>Resultat</t>
    </r>
    <r>
      <rPr>
        <sz val="11"/>
        <color theme="1"/>
        <rFont val="Aptos Narrow"/>
        <family val="2"/>
        <scheme val="minor"/>
      </rPr>
      <t xml:space="preserve"> tab and add more rows above "Radical Ronald" if needed.</t>
    </r>
  </si>
  <si>
    <t>Is
 incl.</t>
  </si>
  <si>
    <t xml:space="preserve">Total
Rank </t>
  </si>
  <si>
    <t>Add  date in 1st row</t>
  </si>
  <si>
    <t>Open Total tab and add date in 3rd row</t>
  </si>
  <si>
    <t>Sort by Rank in Column A</t>
  </si>
  <si>
    <t>Per Larsson</t>
  </si>
  <si>
    <t>Mattias Berggren</t>
  </si>
  <si>
    <t>Tomas Brattberg</t>
  </si>
  <si>
    <t>Jesse Sobovitch</t>
  </si>
  <si>
    <t>Rider</t>
  </si>
  <si>
    <t>2 Sec</t>
  </si>
  <si>
    <t>500m</t>
  </si>
  <si>
    <t>Mile</t>
  </si>
  <si>
    <t>Hour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</si>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</sst>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Consolas"/>
      <family val="3"/>
    </font>
    <font>
      <sz val="11"/>
      <color theme="1"/>
      <name val="Consolas"/>
      <family val="3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330E33"/>
      <name val="Trebuchet MS"/>
      <family val="2"/>
    </font>
    <font>
      <b/>
      <i/>
      <sz val="11"/>
      <color rgb="FF330E33"/>
      <name val="Trebuchet MS"/>
      <family val="2"/>
    </font>
    <font>
      <b/>
      <i/>
      <sz val="11"/>
      <color theme="1"/>
      <name val="Aptos Narrow"/>
      <family val="2"/>
      <scheme val="minor"/>
    </font>
    <font>
      <sz val="10"/>
      <name val="Arial"/>
      <family val="2"/>
    </font>
    <font>
      <b/>
      <sz val="15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color indexed="38"/>
      <name val="Arial"/>
      <family val="2"/>
    </font>
    <font>
      <sz val="8"/>
      <name val="Arial"/>
      <family val="2"/>
    </font>
    <font>
      <sz val="10"/>
      <color indexed="30"/>
      <name val="Arial"/>
      <family val="2"/>
    </font>
    <font>
      <b/>
      <sz val="8"/>
      <color indexed="2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64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21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1" fillId="0" borderId="0" xfId="0" applyFont="1"/>
    <xf numFmtId="0" fontId="1" fillId="3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1" xfId="0" applyFont="1" applyBorder="1"/>
    <xf numFmtId="0" fontId="7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2" xfId="0" applyFont="1" applyBorder="1"/>
    <xf numFmtId="0" fontId="0" fillId="4" borderId="4" xfId="0" applyFill="1" applyBorder="1"/>
    <xf numFmtId="0" fontId="1" fillId="5" borderId="6" xfId="0" applyFont="1" applyFill="1" applyBorder="1"/>
    <xf numFmtId="16" fontId="12" fillId="0" borderId="0" xfId="1" applyNumberFormat="1" applyFont="1" applyAlignment="1">
      <alignment horizontal="center" vertical="center"/>
    </xf>
    <xf numFmtId="0" fontId="12" fillId="0" borderId="0" xfId="1" applyFont="1"/>
    <xf numFmtId="0" fontId="11" fillId="0" borderId="0" xfId="1" applyAlignment="1">
      <alignment horizontal="center" vertical="center"/>
    </xf>
    <xf numFmtId="0" fontId="11" fillId="0" borderId="0" xfId="1"/>
    <xf numFmtId="0" fontId="16" fillId="0" borderId="0" xfId="1" applyFont="1"/>
    <xf numFmtId="1" fontId="13" fillId="0" borderId="8" xfId="1" applyNumberFormat="1" applyFont="1" applyBorder="1" applyAlignment="1" applyProtection="1">
      <alignment horizontal="center"/>
      <protection hidden="1"/>
    </xf>
    <xf numFmtId="0" fontId="11" fillId="0" borderId="0" xfId="1" applyAlignment="1">
      <alignment horizontal="center"/>
    </xf>
    <xf numFmtId="14" fontId="0" fillId="0" borderId="0" xfId="0" applyNumberFormat="1"/>
    <xf numFmtId="0" fontId="1" fillId="7" borderId="0" xfId="0" applyFont="1" applyFill="1"/>
    <xf numFmtId="0" fontId="1" fillId="8" borderId="0" xfId="0" applyFont="1" applyFill="1"/>
    <xf numFmtId="0" fontId="1" fillId="7" borderId="0" xfId="0" applyFont="1" applyFill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1" fillId="0" borderId="9" xfId="1" applyBorder="1" applyAlignment="1" applyProtection="1">
      <alignment horizontal="center"/>
      <protection hidden="1"/>
    </xf>
    <xf numFmtId="0" fontId="11" fillId="0" borderId="8" xfId="1" applyBorder="1" applyAlignment="1">
      <alignment horizontal="center"/>
    </xf>
    <xf numFmtId="0" fontId="11" fillId="0" borderId="17" xfId="1" applyBorder="1" applyAlignment="1" applyProtection="1">
      <alignment horizontal="center"/>
      <protection hidden="1"/>
    </xf>
    <xf numFmtId="0" fontId="11" fillId="0" borderId="21" xfId="1" applyBorder="1" applyAlignment="1" applyProtection="1">
      <alignment horizontal="center"/>
      <protection hidden="1"/>
    </xf>
    <xf numFmtId="0" fontId="17" fillId="0" borderId="20" xfId="1" applyFont="1" applyBorder="1" applyAlignment="1" applyProtection="1">
      <alignment horizontal="center"/>
      <protection hidden="1"/>
    </xf>
    <xf numFmtId="0" fontId="11" fillId="0" borderId="22" xfId="1" applyBorder="1" applyAlignment="1" applyProtection="1">
      <alignment horizontal="center"/>
      <protection hidden="1"/>
    </xf>
    <xf numFmtId="0" fontId="14" fillId="9" borderId="24" xfId="1" applyFont="1" applyFill="1" applyBorder="1" applyAlignment="1">
      <alignment horizontal="center"/>
    </xf>
    <xf numFmtId="0" fontId="15" fillId="9" borderId="23" xfId="1" applyFont="1" applyFill="1" applyBorder="1" applyAlignment="1">
      <alignment horizontal="center"/>
    </xf>
    <xf numFmtId="0" fontId="18" fillId="9" borderId="25" xfId="1" applyFont="1" applyFill="1" applyBorder="1" applyAlignment="1">
      <alignment horizontal="center"/>
    </xf>
    <xf numFmtId="0" fontId="14" fillId="9" borderId="23" xfId="1" applyFont="1" applyFill="1" applyBorder="1" applyAlignment="1">
      <alignment horizontal="center"/>
    </xf>
    <xf numFmtId="0" fontId="18" fillId="9" borderId="26" xfId="1" applyFont="1" applyFill="1" applyBorder="1" applyAlignment="1">
      <alignment horizontal="center"/>
    </xf>
    <xf numFmtId="0" fontId="14" fillId="9" borderId="18" xfId="1" applyFont="1" applyFill="1" applyBorder="1" applyAlignment="1">
      <alignment horizontal="center"/>
    </xf>
    <xf numFmtId="0" fontId="18" fillId="9" borderId="19" xfId="1" applyFont="1" applyFill="1" applyBorder="1" applyAlignment="1">
      <alignment horizontal="center"/>
    </xf>
    <xf numFmtId="0" fontId="14" fillId="9" borderId="27" xfId="1" applyFont="1" applyFill="1" applyBorder="1" applyAlignment="1">
      <alignment horizontal="center"/>
    </xf>
    <xf numFmtId="0" fontId="18" fillId="9" borderId="23" xfId="1" applyFont="1" applyFill="1" applyBorder="1" applyAlignment="1">
      <alignment horizontal="center"/>
    </xf>
    <xf numFmtId="1" fontId="13" fillId="0" borderId="20" xfId="1" applyNumberFormat="1" applyFont="1" applyBorder="1" applyAlignment="1" applyProtection="1">
      <alignment horizontal="center"/>
      <protection hidden="1"/>
    </xf>
    <xf numFmtId="1" fontId="19" fillId="6" borderId="20" xfId="1" applyNumberFormat="1" applyFont="1" applyFill="1" applyBorder="1" applyAlignment="1" applyProtection="1">
      <alignment horizontal="center"/>
      <protection hidden="1"/>
    </xf>
    <xf numFmtId="1" fontId="11" fillId="0" borderId="0" xfId="1" applyNumberFormat="1" applyAlignment="1" applyProtection="1">
      <alignment horizontal="center"/>
      <protection hidden="1"/>
    </xf>
    <xf numFmtId="0" fontId="0" fillId="0" borderId="0" xfId="0" applyAlignment="1">
      <alignment horizontal="left" vertical="center"/>
    </xf>
    <xf numFmtId="0" fontId="11" fillId="0" borderId="0" xfId="1" applyAlignment="1">
      <alignment horizontal="left" vertical="center"/>
    </xf>
    <xf numFmtId="1" fontId="11" fillId="0" borderId="8" xfId="1" applyNumberFormat="1" applyBorder="1" applyAlignment="1" applyProtection="1">
      <alignment horizontal="left" vertical="center"/>
      <protection hidden="1"/>
    </xf>
    <xf numFmtId="0" fontId="11" fillId="0" borderId="8" xfId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1" fontId="11" fillId="0" borderId="0" xfId="1" applyNumberFormat="1" applyAlignment="1" applyProtection="1">
      <alignment horizontal="left" vertical="center"/>
      <protection hidden="1"/>
    </xf>
    <xf numFmtId="0" fontId="21" fillId="0" borderId="0" xfId="2"/>
    <xf numFmtId="0" fontId="0" fillId="11" borderId="0" xfId="0" applyFill="1"/>
    <xf numFmtId="0" fontId="0" fillId="12" borderId="0" xfId="0" applyFill="1"/>
    <xf numFmtId="14" fontId="0" fillId="12" borderId="0" xfId="0" applyNumberFormat="1" applyFill="1"/>
    <xf numFmtId="14" fontId="1" fillId="2" borderId="0" xfId="0" applyNumberFormat="1" applyFont="1" applyFill="1"/>
    <xf numFmtId="0" fontId="0" fillId="2" borderId="0" xfId="0" applyFill="1"/>
    <xf numFmtId="0" fontId="3" fillId="10" borderId="0" xfId="0" applyFont="1" applyFill="1" applyAlignment="1">
      <alignment horizontal="center"/>
    </xf>
    <xf numFmtId="2" fontId="5" fillId="0" borderId="1" xfId="0" applyNumberFormat="1" applyFont="1" applyBorder="1"/>
    <xf numFmtId="0" fontId="22" fillId="0" borderId="1" xfId="0" applyFont="1" applyBorder="1"/>
    <xf numFmtId="0" fontId="10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wrapText="1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" fillId="0" borderId="0" xfId="0" applyFont="1" applyAlignment="1">
      <alignment wrapText="1"/>
    </xf>
    <xf numFmtId="2" fontId="0" fillId="0" borderId="1" xfId="0" applyNumberFormat="1" applyBorder="1"/>
    <xf numFmtId="0" fontId="0" fillId="13" borderId="0" xfId="0" applyFill="1"/>
    <xf numFmtId="0" fontId="1" fillId="3" borderId="0" xfId="0" applyFont="1" applyFill="1"/>
    <xf numFmtId="0" fontId="13" fillId="9" borderId="8" xfId="1" applyFont="1" applyFill="1" applyBorder="1" applyAlignment="1">
      <alignment horizontal="center" vertical="center" wrapText="1"/>
    </xf>
    <xf numFmtId="0" fontId="13" fillId="9" borderId="23" xfId="1" applyFont="1" applyFill="1" applyBorder="1" applyAlignment="1">
      <alignment horizontal="center" vertical="center" wrapText="1"/>
    </xf>
    <xf numFmtId="0" fontId="13" fillId="9" borderId="8" xfId="1" applyFont="1" applyFill="1" applyBorder="1" applyAlignment="1">
      <alignment horizontal="center" vertical="center"/>
    </xf>
    <xf numFmtId="0" fontId="13" fillId="9" borderId="23" xfId="1" applyFont="1" applyFill="1" applyBorder="1" applyAlignment="1">
      <alignment horizontal="center" vertical="center"/>
    </xf>
    <xf numFmtId="0" fontId="20" fillId="0" borderId="12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16" fontId="13" fillId="9" borderId="15" xfId="1" applyNumberFormat="1" applyFont="1" applyFill="1" applyBorder="1" applyAlignment="1">
      <alignment horizontal="center" vertical="center"/>
    </xf>
    <xf numFmtId="16" fontId="13" fillId="9" borderId="16" xfId="1" applyNumberFormat="1" applyFont="1" applyFill="1" applyBorder="1" applyAlignment="1">
      <alignment horizontal="center" vertical="center"/>
    </xf>
    <xf numFmtId="16" fontId="13" fillId="9" borderId="14" xfId="1" applyNumberFormat="1" applyFont="1" applyFill="1" applyBorder="1" applyAlignment="1">
      <alignment horizontal="center" vertical="center"/>
    </xf>
    <xf numFmtId="16" fontId="13" fillId="9" borderId="8" xfId="1" applyNumberFormat="1" applyFont="1" applyFill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16" fontId="13" fillId="9" borderId="9" xfId="1" applyNumberFormat="1" applyFont="1" applyFill="1" applyBorder="1" applyAlignment="1">
      <alignment horizontal="center" vertical="center"/>
    </xf>
    <xf numFmtId="16" fontId="13" fillId="9" borderId="11" xfId="1" applyNumberFormat="1" applyFont="1" applyFill="1" applyBorder="1" applyAlignment="1">
      <alignment horizontal="center" vertical="center"/>
    </xf>
    <xf numFmtId="16" fontId="13" fillId="9" borderId="10" xfId="1" applyNumberFormat="1" applyFont="1" applyFill="1" applyBorder="1" applyAlignment="1">
      <alignment horizontal="center" vertical="center"/>
    </xf>
    <xf numFmtId="16" fontId="13" fillId="9" borderId="13" xfId="1" applyNumberFormat="1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9242046F-85C0-4EEC-A55A-B3C529593B99}"/>
  </cellStyles>
  <dxfs count="2">
    <dxf>
      <font>
        <color theme="0" tint="-0.24994659260841701"/>
      </font>
      <fill>
        <patternFill>
          <bgColor theme="0" tint="-0.14996795556505021"/>
        </patternFill>
      </fill>
    </dxf>
    <dxf>
      <fill>
        <patternFill patternType="solid">
          <bgColor rgb="FFFFFF99"/>
        </patternFill>
      </fill>
    </dxf>
  </dxfs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2</xdr:row>
      <xdr:rowOff>104775</xdr:rowOff>
    </xdr:from>
    <xdr:to>
      <xdr:col>3</xdr:col>
      <xdr:colOff>4897003</xdr:colOff>
      <xdr:row>16</xdr:row>
      <xdr:rowOff>135614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9E1ED2-C183-22AC-A749-041398A15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466725"/>
          <a:ext cx="8255518" cy="2572109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19</xdr:row>
      <xdr:rowOff>114300</xdr:rowOff>
    </xdr:from>
    <xdr:to>
      <xdr:col>3</xdr:col>
      <xdr:colOff>4931277</xdr:colOff>
      <xdr:row>38</xdr:row>
      <xdr:rowOff>171937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7AEA53-16AB-82C4-93CA-D0EBA2973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3552825"/>
          <a:ext cx="8141202" cy="3488542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41</xdr:row>
      <xdr:rowOff>135255</xdr:rowOff>
    </xdr:from>
    <xdr:to>
      <xdr:col>1</xdr:col>
      <xdr:colOff>1387018</xdr:colOff>
      <xdr:row>49</xdr:row>
      <xdr:rowOff>34477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AEE0186-9455-70FB-975D-D5BCAA8FE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75" y="7555230"/>
          <a:ext cx="1272718" cy="13470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3</xdr:col>
      <xdr:colOff>1369633</xdr:colOff>
      <xdr:row>47</xdr:row>
      <xdr:rowOff>135325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90D878E-BA6D-D748-60BA-A0A19887F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71725" y="7600950"/>
          <a:ext cx="2931733" cy="10459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3</xdr:col>
      <xdr:colOff>419622</xdr:colOff>
      <xdr:row>82</xdr:row>
      <xdr:rowOff>131920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2ABE093-DF92-92C0-CFE0-ECF4EE859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11582400"/>
          <a:ext cx="3743847" cy="3400900"/>
        </a:xfrm>
        <a:prstGeom prst="rect">
          <a:avLst/>
        </a:prstGeom>
      </xdr:spPr>
    </xdr:pic>
    <xdr:clientData/>
  </xdr:twoCellAnchor>
  <xdr:twoCellAnchor editAs="oneCell">
    <xdr:from>
      <xdr:col>3</xdr:col>
      <xdr:colOff>800100</xdr:colOff>
      <xdr:row>64</xdr:row>
      <xdr:rowOff>38100</xdr:rowOff>
    </xdr:from>
    <xdr:to>
      <xdr:col>3</xdr:col>
      <xdr:colOff>4098116</xdr:colOff>
      <xdr:row>67</xdr:row>
      <xdr:rowOff>114386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6AADC4C-08F7-09A7-C6B1-0F12F91D0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33925" y="11620500"/>
          <a:ext cx="3303731" cy="619211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419100</xdr:colOff>
      <xdr:row>85</xdr:row>
      <xdr:rowOff>28575</xdr:rowOff>
    </xdr:from>
    <xdr:to>
      <xdr:col>3</xdr:col>
      <xdr:colOff>1577965</xdr:colOff>
      <xdr:row>93</xdr:row>
      <xdr:rowOff>169767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A67FE7E-991E-A853-87CF-EBC008D02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28700" y="15411450"/>
          <a:ext cx="4473565" cy="1588992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177165</xdr:colOff>
      <xdr:row>101</xdr:row>
      <xdr:rowOff>102870</xdr:rowOff>
    </xdr:from>
    <xdr:to>
      <xdr:col>3</xdr:col>
      <xdr:colOff>4750267</xdr:colOff>
      <xdr:row>108</xdr:row>
      <xdr:rowOff>55415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CBBF23-F5F2-13E5-2739-12FF5ED8B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6765" y="18381345"/>
          <a:ext cx="7897327" cy="121937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96</xdr:row>
      <xdr:rowOff>163830</xdr:rowOff>
    </xdr:from>
    <xdr:to>
      <xdr:col>2</xdr:col>
      <xdr:colOff>1000477</xdr:colOff>
      <xdr:row>100</xdr:row>
      <xdr:rowOff>106773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325CFC6-CE16-EFBB-8BE2-864913B87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38200" y="17537430"/>
          <a:ext cx="2534002" cy="6668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1714739</xdr:colOff>
      <xdr:row>119</xdr:row>
      <xdr:rowOff>114468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ED36BB6-7450-D9C3-7958-C1C2B5B03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20450175"/>
          <a:ext cx="1714739" cy="1200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gps-speedsurfing.com/default.aspx?mnu=forum&amp;forum=2&amp;val=23001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E274D-2BF3-4D22-9870-110EB5896FA4}">
  <dimension ref="A1:J112"/>
  <sheetViews>
    <sheetView topLeftCell="A100" workbookViewId="0">
      <selection activeCell="B112" sqref="B112"/>
    </sheetView>
  </sheetViews>
  <sheetFormatPr defaultRowHeight="14.4" x14ac:dyDescent="0.3"/>
  <cols>
    <col min="2" max="2" width="25.6640625" customWidth="1"/>
    <col min="3" max="3" width="22.6640625" customWidth="1"/>
    <col min="4" max="4" width="74.44140625" bestFit="1" customWidth="1"/>
  </cols>
  <sheetData>
    <row r="1" spans="1:4" x14ac:dyDescent="0.3">
      <c r="A1" t="s">
        <v>92</v>
      </c>
    </row>
    <row r="2" spans="1:4" x14ac:dyDescent="0.3">
      <c r="A2" s="2">
        <v>1</v>
      </c>
      <c r="B2" t="s">
        <v>91</v>
      </c>
      <c r="C2" t="s">
        <v>89</v>
      </c>
      <c r="D2" s="52" t="s">
        <v>90</v>
      </c>
    </row>
    <row r="19" spans="1:2" x14ac:dyDescent="0.3">
      <c r="A19" s="2">
        <v>2</v>
      </c>
      <c r="B19" t="s">
        <v>94</v>
      </c>
    </row>
    <row r="41" spans="1:2" x14ac:dyDescent="0.3">
      <c r="A41" s="2">
        <v>3</v>
      </c>
      <c r="B41" t="s">
        <v>93</v>
      </c>
    </row>
    <row r="51" spans="1:10" x14ac:dyDescent="0.3">
      <c r="A51" s="2">
        <v>4</v>
      </c>
      <c r="B51" t="s">
        <v>95</v>
      </c>
    </row>
    <row r="52" spans="1:10" x14ac:dyDescent="0.3">
      <c r="A52" s="54" t="s">
        <v>69</v>
      </c>
      <c r="B52" s="54"/>
      <c r="C52" s="54" t="s">
        <v>70</v>
      </c>
      <c r="D52" s="54" t="s">
        <v>71</v>
      </c>
      <c r="E52" s="54" t="s">
        <v>72</v>
      </c>
      <c r="F52" s="54" t="s">
        <v>73</v>
      </c>
      <c r="G52" s="54">
        <v>500</v>
      </c>
      <c r="H52" s="54" t="s">
        <v>74</v>
      </c>
      <c r="I52" s="54"/>
      <c r="J52" s="54"/>
    </row>
    <row r="53" spans="1:10" x14ac:dyDescent="0.3">
      <c r="A53" s="53">
        <v>1</v>
      </c>
      <c r="B53" s="55">
        <v>45817</v>
      </c>
      <c r="C53" s="53" t="s">
        <v>75</v>
      </c>
      <c r="D53" s="53">
        <v>34.68</v>
      </c>
      <c r="E53" s="53">
        <v>35.17</v>
      </c>
      <c r="F53" s="53">
        <v>36.6</v>
      </c>
      <c r="G53" s="53">
        <v>33.520000000000003</v>
      </c>
      <c r="H53" s="53">
        <v>20.75</v>
      </c>
      <c r="I53" s="53"/>
      <c r="J53" s="53"/>
    </row>
    <row r="54" spans="1:10" x14ac:dyDescent="0.3">
      <c r="A54" s="53">
        <v>2</v>
      </c>
      <c r="B54" s="55">
        <v>45817</v>
      </c>
      <c r="C54" s="53" t="s">
        <v>76</v>
      </c>
      <c r="D54" s="53">
        <v>34.47</v>
      </c>
      <c r="E54" s="53">
        <v>35.26</v>
      </c>
      <c r="F54" s="53">
        <v>36.869999999999997</v>
      </c>
      <c r="G54" s="53">
        <v>30.38</v>
      </c>
      <c r="H54" s="53">
        <v>0</v>
      </c>
      <c r="I54" s="53"/>
      <c r="J54" s="53"/>
    </row>
    <row r="55" spans="1:10" x14ac:dyDescent="0.3">
      <c r="A55" s="53">
        <v>3</v>
      </c>
      <c r="B55" s="55">
        <v>45817</v>
      </c>
      <c r="C55" s="53" t="s">
        <v>64</v>
      </c>
      <c r="D55" s="53">
        <v>33.729999999999997</v>
      </c>
      <c r="E55" s="53">
        <v>34.46</v>
      </c>
      <c r="F55" s="53">
        <v>35.130000000000003</v>
      </c>
      <c r="G55" s="53">
        <v>28.18</v>
      </c>
      <c r="H55" s="53">
        <v>0</v>
      </c>
      <c r="I55" s="53"/>
      <c r="J55" s="53"/>
    </row>
    <row r="56" spans="1:10" x14ac:dyDescent="0.3">
      <c r="A56" s="53">
        <v>4</v>
      </c>
      <c r="B56" s="55">
        <v>45817</v>
      </c>
      <c r="C56" s="53" t="s">
        <v>35</v>
      </c>
      <c r="D56" s="53">
        <v>33.619999999999997</v>
      </c>
      <c r="E56" s="53">
        <v>33.83</v>
      </c>
      <c r="F56" s="53">
        <v>34.74</v>
      </c>
      <c r="G56" s="53">
        <v>31.19</v>
      </c>
      <c r="H56" s="53">
        <v>0</v>
      </c>
      <c r="I56" s="53"/>
      <c r="J56" s="53"/>
    </row>
    <row r="57" spans="1:10" x14ac:dyDescent="0.3">
      <c r="A57" s="53">
        <v>5</v>
      </c>
      <c r="B57" s="55">
        <v>45817</v>
      </c>
      <c r="C57" s="53" t="s">
        <v>46</v>
      </c>
      <c r="D57" s="53">
        <v>32.880000000000003</v>
      </c>
      <c r="E57" s="53">
        <v>34.090000000000003</v>
      </c>
      <c r="F57" s="53">
        <v>34.799999999999997</v>
      </c>
      <c r="G57" s="53">
        <v>33.72</v>
      </c>
      <c r="H57" s="53">
        <v>0</v>
      </c>
      <c r="I57" s="53"/>
      <c r="J57" s="53"/>
    </row>
    <row r="58" spans="1:10" x14ac:dyDescent="0.3">
      <c r="A58" s="53">
        <v>6</v>
      </c>
      <c r="B58" s="55">
        <v>45817</v>
      </c>
      <c r="C58" s="53" t="s">
        <v>77</v>
      </c>
      <c r="D58" s="53">
        <v>32.64</v>
      </c>
      <c r="E58" s="53">
        <v>33.520000000000003</v>
      </c>
      <c r="F58" s="53">
        <v>34.42</v>
      </c>
      <c r="G58" s="53">
        <v>29.72</v>
      </c>
      <c r="H58" s="53">
        <v>0</v>
      </c>
      <c r="I58" s="53"/>
      <c r="J58" s="53"/>
    </row>
    <row r="59" spans="1:10" x14ac:dyDescent="0.3">
      <c r="A59" s="53">
        <v>7</v>
      </c>
      <c r="B59" s="55">
        <v>45817</v>
      </c>
      <c r="C59" s="53" t="s">
        <v>34</v>
      </c>
      <c r="D59" s="53">
        <v>32.07</v>
      </c>
      <c r="E59" s="53">
        <v>33.15</v>
      </c>
      <c r="F59" s="53">
        <v>34.299999999999997</v>
      </c>
      <c r="G59" s="53">
        <v>27.16</v>
      </c>
      <c r="H59" s="53">
        <v>16.62</v>
      </c>
      <c r="I59" s="53"/>
      <c r="J59" s="53"/>
    </row>
    <row r="60" spans="1:10" x14ac:dyDescent="0.3">
      <c r="A60" s="53">
        <v>8</v>
      </c>
      <c r="B60" s="55">
        <v>45817</v>
      </c>
      <c r="C60" s="53" t="s">
        <v>55</v>
      </c>
      <c r="D60" s="53">
        <v>31.96</v>
      </c>
      <c r="E60" s="53">
        <v>33.65</v>
      </c>
      <c r="F60" s="53">
        <v>35.36</v>
      </c>
      <c r="G60" s="53">
        <v>25</v>
      </c>
      <c r="H60" s="53">
        <v>0</v>
      </c>
      <c r="I60" s="53"/>
      <c r="J60" s="53"/>
    </row>
    <row r="61" spans="1:10" x14ac:dyDescent="0.3">
      <c r="A61" s="53">
        <v>9</v>
      </c>
      <c r="B61" s="55">
        <v>45817</v>
      </c>
      <c r="C61" s="53" t="s">
        <v>37</v>
      </c>
      <c r="D61" s="53">
        <v>30.72</v>
      </c>
      <c r="E61" s="53">
        <v>31.36</v>
      </c>
      <c r="F61" s="53">
        <v>33.409999999999997</v>
      </c>
      <c r="G61" s="53">
        <v>29.11</v>
      </c>
      <c r="H61" s="53">
        <v>20.22</v>
      </c>
      <c r="I61" s="53"/>
      <c r="J61" s="53"/>
    </row>
    <row r="63" spans="1:10" x14ac:dyDescent="0.3">
      <c r="A63" s="2">
        <v>5</v>
      </c>
      <c r="B63" t="s">
        <v>96</v>
      </c>
    </row>
    <row r="85" spans="1:2" x14ac:dyDescent="0.3">
      <c r="A85" s="2">
        <v>6</v>
      </c>
      <c r="B85" t="s">
        <v>99</v>
      </c>
    </row>
    <row r="97" spans="1:2" x14ac:dyDescent="0.3">
      <c r="A97" s="2">
        <v>7</v>
      </c>
      <c r="B97" t="s">
        <v>100</v>
      </c>
    </row>
    <row r="112" spans="1:2" x14ac:dyDescent="0.3">
      <c r="A112" s="2">
        <v>8</v>
      </c>
      <c r="B112" t="s">
        <v>101</v>
      </c>
    </row>
  </sheetData>
  <hyperlinks>
    <hyperlink ref="D2" r:id="rId1" xr:uid="{9DAA8712-71B6-46AB-9B58-44B50B167684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4006C-A30F-48BB-AC5A-74613F52BA4E}">
  <sheetPr>
    <pageSetUpPr fitToPage="1"/>
  </sheetPr>
  <dimension ref="A1:AG89"/>
  <sheetViews>
    <sheetView tabSelected="1" zoomScale="75" zoomScaleNormal="115" workbookViewId="0">
      <selection activeCell="B35" sqref="B5:B35"/>
    </sheetView>
  </sheetViews>
  <sheetFormatPr defaultColWidth="11.5546875" defaultRowHeight="13.2" x14ac:dyDescent="0.25"/>
  <cols>
    <col min="1" max="1" width="11.5546875" style="19" customWidth="1"/>
    <col min="2" max="2" width="22.44140625" style="19" customWidth="1"/>
    <col min="3" max="3" width="9.88671875" style="19" customWidth="1"/>
    <col min="4" max="33" width="6.6640625" style="19" customWidth="1"/>
    <col min="34" max="16384" width="11.5546875" style="19"/>
  </cols>
  <sheetData>
    <row r="1" spans="1:33" s="17" customFormat="1" ht="19.2" x14ac:dyDescent="0.35">
      <c r="B1" s="83" t="s">
        <v>86</v>
      </c>
      <c r="C1" s="83"/>
      <c r="D1" s="83"/>
      <c r="E1" s="83"/>
      <c r="F1" s="83"/>
      <c r="G1" s="83"/>
      <c r="H1" s="83"/>
      <c r="I1" s="27"/>
      <c r="J1" s="16"/>
      <c r="K1" s="27"/>
      <c r="L1" s="16"/>
      <c r="M1" s="27"/>
      <c r="N1" s="16"/>
      <c r="O1" s="27"/>
      <c r="P1" s="16"/>
      <c r="Q1" s="27"/>
      <c r="R1" s="16"/>
      <c r="S1" s="27"/>
      <c r="T1" s="16"/>
      <c r="U1" s="27"/>
      <c r="V1" s="16"/>
      <c r="W1" s="27"/>
      <c r="X1" s="16"/>
      <c r="Y1" s="27"/>
      <c r="Z1" s="16"/>
      <c r="AA1" s="27"/>
      <c r="AB1" s="16"/>
      <c r="AC1" s="27"/>
    </row>
    <row r="2" spans="1:33" ht="19.2" customHeight="1" x14ac:dyDescent="0.25">
      <c r="B2" s="18"/>
      <c r="C2" s="18"/>
      <c r="D2" s="77">
        <v>1</v>
      </c>
      <c r="E2" s="77"/>
      <c r="F2" s="77">
        <v>2</v>
      </c>
      <c r="G2" s="77"/>
      <c r="H2" s="77">
        <v>3</v>
      </c>
      <c r="I2" s="77"/>
      <c r="J2" s="78">
        <v>4</v>
      </c>
      <c r="K2" s="78"/>
      <c r="L2" s="77">
        <v>5</v>
      </c>
      <c r="M2" s="77"/>
      <c r="N2" s="77">
        <v>6</v>
      </c>
      <c r="O2" s="77"/>
      <c r="P2" s="77">
        <v>7</v>
      </c>
      <c r="Q2" s="77"/>
      <c r="R2" s="77">
        <v>8</v>
      </c>
      <c r="S2" s="77"/>
      <c r="T2" s="77">
        <v>9</v>
      </c>
      <c r="U2" s="77"/>
      <c r="V2" s="77">
        <v>10</v>
      </c>
      <c r="W2" s="77"/>
      <c r="X2" s="77">
        <v>11</v>
      </c>
      <c r="Y2" s="77"/>
      <c r="Z2" s="77">
        <v>12</v>
      </c>
      <c r="AA2" s="77"/>
      <c r="AB2" s="77">
        <v>13</v>
      </c>
      <c r="AC2" s="77"/>
      <c r="AD2" s="77">
        <v>14</v>
      </c>
      <c r="AE2" s="77"/>
      <c r="AF2" s="77">
        <v>15</v>
      </c>
      <c r="AG2" s="77"/>
    </row>
    <row r="3" spans="1:33" ht="12.75" customHeight="1" x14ac:dyDescent="0.25">
      <c r="A3" s="73" t="s">
        <v>0</v>
      </c>
      <c r="B3" s="75" t="s">
        <v>30</v>
      </c>
      <c r="C3" s="75" t="s">
        <v>31</v>
      </c>
      <c r="D3" s="84">
        <v>45802</v>
      </c>
      <c r="E3" s="84"/>
      <c r="F3" s="85">
        <v>45815</v>
      </c>
      <c r="G3" s="85"/>
      <c r="H3" s="86">
        <v>45817</v>
      </c>
      <c r="I3" s="87"/>
      <c r="J3" s="79">
        <v>45837</v>
      </c>
      <c r="K3" s="80"/>
      <c r="L3" s="81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</row>
    <row r="4" spans="1:33" s="20" customFormat="1" ht="10.199999999999999" x14ac:dyDescent="0.2">
      <c r="A4" s="74"/>
      <c r="B4" s="76"/>
      <c r="C4" s="76"/>
      <c r="D4" s="34" t="s">
        <v>87</v>
      </c>
      <c r="E4" s="35" t="s">
        <v>88</v>
      </c>
      <c r="F4" s="34" t="s">
        <v>87</v>
      </c>
      <c r="G4" s="36" t="s">
        <v>88</v>
      </c>
      <c r="H4" s="37" t="s">
        <v>87</v>
      </c>
      <c r="I4" s="38" t="s">
        <v>88</v>
      </c>
      <c r="J4" s="39" t="s">
        <v>87</v>
      </c>
      <c r="K4" s="40" t="s">
        <v>88</v>
      </c>
      <c r="L4" s="41" t="s">
        <v>87</v>
      </c>
      <c r="M4" s="42" t="s">
        <v>88</v>
      </c>
      <c r="N4" s="37" t="s">
        <v>87</v>
      </c>
      <c r="O4" s="42" t="s">
        <v>88</v>
      </c>
      <c r="P4" s="37" t="s">
        <v>87</v>
      </c>
      <c r="Q4" s="42" t="s">
        <v>88</v>
      </c>
      <c r="R4" s="37" t="s">
        <v>87</v>
      </c>
      <c r="S4" s="42" t="s">
        <v>88</v>
      </c>
      <c r="T4" s="37" t="s">
        <v>87</v>
      </c>
      <c r="U4" s="42" t="s">
        <v>88</v>
      </c>
      <c r="V4" s="37" t="s">
        <v>87</v>
      </c>
      <c r="W4" s="42" t="s">
        <v>88</v>
      </c>
      <c r="X4" s="37" t="s">
        <v>87</v>
      </c>
      <c r="Y4" s="42" t="s">
        <v>88</v>
      </c>
      <c r="Z4" s="37" t="s">
        <v>87</v>
      </c>
      <c r="AA4" s="42" t="s">
        <v>88</v>
      </c>
      <c r="AB4" s="37" t="s">
        <v>87</v>
      </c>
      <c r="AC4" s="42" t="s">
        <v>88</v>
      </c>
      <c r="AD4" s="37" t="s">
        <v>87</v>
      </c>
      <c r="AE4" s="42" t="s">
        <v>88</v>
      </c>
      <c r="AF4" s="37" t="s">
        <v>87</v>
      </c>
      <c r="AG4" s="42" t="s">
        <v>88</v>
      </c>
    </row>
    <row r="5" spans="1:33" s="22" customFormat="1" ht="15.6" customHeight="1" x14ac:dyDescent="0.25">
      <c r="A5" s="44">
        <f ca="1">_xlfn.XLOOKUP($B5,Resultat!$D:$D,Resultat!$Z:$Z,-1,0)</f>
        <v>1</v>
      </c>
      <c r="B5" s="43" t="s">
        <v>33</v>
      </c>
      <c r="C5" s="43">
        <f ca="1">_xlfn.XLOOKUP($B5,Resultat!$D:$D,Resultat!$AA:$AA,-1,0)</f>
        <v>1</v>
      </c>
      <c r="D5" s="31">
        <f ca="1">OFFSET(_xlfn.XLOOKUP($B5,Resultat!$D:$D,Resultat!$AL:$AL,-1,0),0,D$2-1)</f>
        <v>1</v>
      </c>
      <c r="E5" s="32">
        <f ca="1">OFFSET(_xlfn.XLOOKUP($B5,Resultat!$D:$D,Resultat!$E:$E,-1,0),0,D$2-1)</f>
        <v>34.75</v>
      </c>
      <c r="F5" s="31">
        <f ca="1">OFFSET(_xlfn.XLOOKUP($B5,Resultat!$D:$D,Resultat!$AL:$AL,-1,0),0,F$2-1)</f>
        <v>0</v>
      </c>
      <c r="G5" s="32">
        <f ca="1">OFFSET(_xlfn.XLOOKUP($B5,Resultat!$D:$D,Resultat!$E:$E,-1,0),0,F$2-1)</f>
        <v>0</v>
      </c>
      <c r="H5" s="31">
        <f ca="1">OFFSET(_xlfn.XLOOKUP($B5,Resultat!$D:$D,Resultat!$AL:$AL,-1,0),0,H$2-1)</f>
        <v>0</v>
      </c>
      <c r="I5" s="32">
        <f ca="1">OFFSET(_xlfn.XLOOKUP($B5,Resultat!$D:$D,Resultat!$E:$E,-1,0),0,H$2-1)</f>
        <v>0</v>
      </c>
      <c r="J5" s="33">
        <f ca="1">OFFSET(_xlfn.XLOOKUP($B5,Resultat!$D:$D,Resultat!$AL:$AL,-1,0),0,J$2-1)</f>
        <v>0</v>
      </c>
      <c r="K5" s="32">
        <f ca="1">OFFSET(_xlfn.XLOOKUP($B5,Resultat!$D:$D,Resultat!$E:$E,-1,0),0,J$2-1)</f>
        <v>0</v>
      </c>
      <c r="L5" s="33">
        <f ca="1">OFFSET(_xlfn.XLOOKUP($B5,Resultat!$D:$D,Resultat!$AL:$AL,-1,0),0,L$2-1)</f>
        <v>0</v>
      </c>
      <c r="M5" s="32">
        <f ca="1">OFFSET(_xlfn.XLOOKUP($B5,Resultat!$D:$D,Resultat!$E:$E,-1,0),0,L$2-1)</f>
        <v>0</v>
      </c>
      <c r="N5" s="33">
        <f ca="1">OFFSET(_xlfn.XLOOKUP($B5,Resultat!$D:$D,Resultat!$AL:$AL,-1,0),0,N$2-1)</f>
        <v>0</v>
      </c>
      <c r="O5" s="32">
        <f ca="1">OFFSET(_xlfn.XLOOKUP($B5,Resultat!$D:$D,Resultat!$E:$E,-1,0),0,N$2-1)</f>
        <v>0</v>
      </c>
      <c r="P5" s="33">
        <f ca="1">OFFSET(_xlfn.XLOOKUP($B5,Resultat!$D:$D,Resultat!$AL:$AL,-1,0),0,P$2-1)</f>
        <v>0</v>
      </c>
      <c r="Q5" s="32">
        <f ca="1">OFFSET(_xlfn.XLOOKUP($B5,Resultat!$D:$D,Resultat!$E:$E,-1,0),0,P$2-1)</f>
        <v>0</v>
      </c>
      <c r="R5" s="33">
        <f ca="1">OFFSET(_xlfn.XLOOKUP($B5,Resultat!$D:$D,Resultat!$AL:$AL,-1,0),0,R$2-1)</f>
        <v>0</v>
      </c>
      <c r="S5" s="32">
        <f ca="1">OFFSET(_xlfn.XLOOKUP($B5,Resultat!$D:$D,Resultat!$E:$E,-1,0),0,R$2-1)</f>
        <v>0</v>
      </c>
      <c r="T5" s="33">
        <f ca="1">OFFSET(_xlfn.XLOOKUP($B5,Resultat!$D:$D,Resultat!$AL:$AL,-1,0),0,T$2-1)</f>
        <v>0</v>
      </c>
      <c r="U5" s="32">
        <f ca="1">OFFSET(_xlfn.XLOOKUP($B5,Resultat!$D:$D,Resultat!$E:$E,-1,0),0,T$2-1)</f>
        <v>0</v>
      </c>
      <c r="V5" s="33">
        <f ca="1">OFFSET(_xlfn.XLOOKUP($B5,Resultat!$D:$D,Resultat!$AL:$AL,-1,0),0,V$2-1)</f>
        <v>0</v>
      </c>
      <c r="W5" s="32">
        <f ca="1">OFFSET(_xlfn.XLOOKUP($B5,Resultat!$D:$D,Resultat!$E:$E,-1,0),0,V$2-1)</f>
        <v>0</v>
      </c>
      <c r="X5" s="33">
        <f ca="1">OFFSET(_xlfn.XLOOKUP($B5,Resultat!$D:$D,Resultat!$AL:$AL,-1,0),0,X$2-1)</f>
        <v>0</v>
      </c>
      <c r="Y5" s="32">
        <f ca="1">OFFSET(_xlfn.XLOOKUP($B5,Resultat!$D:$D,Resultat!$E:$E,-1,0),0,X$2-1)</f>
        <v>0</v>
      </c>
      <c r="Z5" s="33">
        <f ca="1">OFFSET(_xlfn.XLOOKUP($B5,Resultat!$D:$D,Resultat!$AL:$AL,-1,0),0,Z$2-1)</f>
        <v>0</v>
      </c>
      <c r="AA5" s="32">
        <f ca="1">OFFSET(_xlfn.XLOOKUP($B5,Resultat!$D:$D,Resultat!$E:$E,-1,0),0,Z$2-1)</f>
        <v>0</v>
      </c>
      <c r="AB5" s="33">
        <f ca="1">OFFSET(_xlfn.XLOOKUP($B5,Resultat!$D:$D,Resultat!$AL:$AL,-1,0),0,AB$2-1)</f>
        <v>0</v>
      </c>
      <c r="AC5" s="32">
        <f ca="1">OFFSET(_xlfn.XLOOKUP($B5,Resultat!$D:$D,Resultat!$E:$E,-1,0),0,AB$2-1)</f>
        <v>0</v>
      </c>
      <c r="AD5" s="33">
        <f ca="1">OFFSET(_xlfn.XLOOKUP($B5,Resultat!$D:$D,Resultat!$AL:$AL,-1,0),0,AD$2-1)</f>
        <v>0</v>
      </c>
      <c r="AE5" s="32">
        <f ca="1">OFFSET(_xlfn.XLOOKUP($B5,Resultat!$D:$D,Resultat!$E:$E,-1,0),0,AD$2-1)</f>
        <v>0</v>
      </c>
      <c r="AF5" s="33">
        <f ca="1">OFFSET(_xlfn.XLOOKUP($B5,Resultat!$D:$D,Resultat!$AL:$AL,-1,0),0,AF$2-1)</f>
        <v>0</v>
      </c>
      <c r="AG5" s="32">
        <f ca="1">OFFSET(_xlfn.XLOOKUP($B5,Resultat!$D:$D,Resultat!$E:$E,-1,0),0,AF$2-1)</f>
        <v>0</v>
      </c>
    </row>
    <row r="6" spans="1:33" s="22" customFormat="1" ht="15.6" customHeight="1" x14ac:dyDescent="0.25">
      <c r="A6" s="44">
        <f ca="1">_xlfn.XLOOKUP($B6,Resultat!$D:$D,Resultat!$Z:$Z,-1,0)</f>
        <v>2</v>
      </c>
      <c r="B6" s="21" t="s">
        <v>35</v>
      </c>
      <c r="C6" s="43">
        <f ca="1">_xlfn.XLOOKUP($B6,Resultat!$D:$D,Resultat!$AA:$AA,-1,0)</f>
        <v>2</v>
      </c>
      <c r="D6" s="28">
        <f ca="1">OFFSET(_xlfn.XLOOKUP($B6,Resultat!$D:$D,Resultat!$AL:$AL,-1,0),0,D$2-1)</f>
        <v>2</v>
      </c>
      <c r="E6" s="32">
        <f ca="1">OFFSET(_xlfn.XLOOKUP($B6,Resultat!$D:$D,Resultat!$E:$E,-1,0),0,D$2-1)</f>
        <v>31.2</v>
      </c>
      <c r="F6" s="28">
        <f ca="1">OFFSET(_xlfn.XLOOKUP($B6,Resultat!$D:$D,Resultat!$AL:$AL,-1,0),0,F$2-1)</f>
        <v>0</v>
      </c>
      <c r="G6" s="32">
        <f ca="1">OFFSET(_xlfn.XLOOKUP($B6,Resultat!$D:$D,Resultat!$E:$E,-1,0),0,F$2-1)</f>
        <v>0</v>
      </c>
      <c r="H6" s="31">
        <f ca="1">OFFSET(_xlfn.XLOOKUP($B6,Resultat!$D:$D,Resultat!$AL:$AL,-1,0),0,H$2-1)</f>
        <v>0</v>
      </c>
      <c r="I6" s="32">
        <f ca="1">OFFSET(_xlfn.XLOOKUP($B6,Resultat!$D:$D,Resultat!$E:$E,-1,0),0,H$2-1)</f>
        <v>0</v>
      </c>
      <c r="J6" s="30">
        <f ca="1">OFFSET(_xlfn.XLOOKUP($B6,Resultat!$D:$D,Resultat!$AL:$AL,-1,0),0,J$2-1)</f>
        <v>0</v>
      </c>
      <c r="K6" s="32">
        <f ca="1">OFFSET(_xlfn.XLOOKUP($B6,Resultat!$D:$D,Resultat!$E:$E,-1,0),0,J$2-1)</f>
        <v>0</v>
      </c>
      <c r="L6" s="33">
        <f ca="1">OFFSET(_xlfn.XLOOKUP($B6,Resultat!$D:$D,Resultat!$AL:$AL,-1,0),0,L$2-1)</f>
        <v>0</v>
      </c>
      <c r="M6" s="32">
        <f ca="1">OFFSET(_xlfn.XLOOKUP($B6,Resultat!$D:$D,Resultat!$E:$E,-1,0),0,L$2-1)</f>
        <v>0</v>
      </c>
      <c r="N6" s="33">
        <f ca="1">OFFSET(_xlfn.XLOOKUP($B6,Resultat!$D:$D,Resultat!$AL:$AL,-1,0),0,N$2-1)</f>
        <v>0</v>
      </c>
      <c r="O6" s="32">
        <f ca="1">OFFSET(_xlfn.XLOOKUP($B6,Resultat!$D:$D,Resultat!$E:$E,-1,0),0,N$2-1)</f>
        <v>0</v>
      </c>
      <c r="P6" s="33">
        <f ca="1">OFFSET(_xlfn.XLOOKUP($B6,Resultat!$D:$D,Resultat!$AL:$AL,-1,0),0,P$2-1)</f>
        <v>0</v>
      </c>
      <c r="Q6" s="32">
        <f ca="1">OFFSET(_xlfn.XLOOKUP($B6,Resultat!$D:$D,Resultat!$E:$E,-1,0),0,P$2-1)</f>
        <v>0</v>
      </c>
      <c r="R6" s="33">
        <f ca="1">OFFSET(_xlfn.XLOOKUP($B6,Resultat!$D:$D,Resultat!$AL:$AL,-1,0),0,R$2-1)</f>
        <v>0</v>
      </c>
      <c r="S6" s="32">
        <f ca="1">OFFSET(_xlfn.XLOOKUP($B6,Resultat!$D:$D,Resultat!$E:$E,-1,0),0,R$2-1)</f>
        <v>0</v>
      </c>
      <c r="T6" s="33">
        <f ca="1">OFFSET(_xlfn.XLOOKUP($B6,Resultat!$D:$D,Resultat!$AL:$AL,-1,0),0,T$2-1)</f>
        <v>0</v>
      </c>
      <c r="U6" s="32">
        <f ca="1">OFFSET(_xlfn.XLOOKUP($B6,Resultat!$D:$D,Resultat!$E:$E,-1,0),0,T$2-1)</f>
        <v>0</v>
      </c>
      <c r="V6" s="33">
        <f ca="1">OFFSET(_xlfn.XLOOKUP($B6,Resultat!$D:$D,Resultat!$AL:$AL,-1,0),0,V$2-1)</f>
        <v>0</v>
      </c>
      <c r="W6" s="32">
        <f ca="1">OFFSET(_xlfn.XLOOKUP($B6,Resultat!$D:$D,Resultat!$E:$E,-1,0),0,V$2-1)</f>
        <v>0</v>
      </c>
      <c r="X6" s="33">
        <f ca="1">OFFSET(_xlfn.XLOOKUP($B6,Resultat!$D:$D,Resultat!$AL:$AL,-1,0),0,X$2-1)</f>
        <v>0</v>
      </c>
      <c r="Y6" s="32">
        <f ca="1">OFFSET(_xlfn.XLOOKUP($B6,Resultat!$D:$D,Resultat!$E:$E,-1,0),0,X$2-1)</f>
        <v>0</v>
      </c>
      <c r="Z6" s="33">
        <f ca="1">OFFSET(_xlfn.XLOOKUP($B6,Resultat!$D:$D,Resultat!$AL:$AL,-1,0),0,Z$2-1)</f>
        <v>0</v>
      </c>
      <c r="AA6" s="32">
        <f ca="1">OFFSET(_xlfn.XLOOKUP($B6,Resultat!$D:$D,Resultat!$E:$E,-1,0),0,Z$2-1)</f>
        <v>0</v>
      </c>
      <c r="AB6" s="33">
        <f ca="1">OFFSET(_xlfn.XLOOKUP($B6,Resultat!$D:$D,Resultat!$AL:$AL,-1,0),0,AB$2-1)</f>
        <v>0</v>
      </c>
      <c r="AC6" s="32">
        <f ca="1">OFFSET(_xlfn.XLOOKUP($B6,Resultat!$D:$D,Resultat!$E:$E,-1,0),0,AB$2-1)</f>
        <v>0</v>
      </c>
      <c r="AD6" s="33">
        <f ca="1">OFFSET(_xlfn.XLOOKUP($B6,Resultat!$D:$D,Resultat!$AL:$AL,-1,0),0,AD$2-1)</f>
        <v>0</v>
      </c>
      <c r="AE6" s="32">
        <f ca="1">OFFSET(_xlfn.XLOOKUP($B6,Resultat!$D:$D,Resultat!$E:$E,-1,0),0,AD$2-1)</f>
        <v>0</v>
      </c>
      <c r="AF6" s="33">
        <f ca="1">OFFSET(_xlfn.XLOOKUP($B6,Resultat!$D:$D,Resultat!$AL:$AL,-1,0),0,AF$2-1)</f>
        <v>0</v>
      </c>
      <c r="AG6" s="32">
        <f ca="1">OFFSET(_xlfn.XLOOKUP($B6,Resultat!$D:$D,Resultat!$E:$E,-1,0),0,AF$2-1)</f>
        <v>0</v>
      </c>
    </row>
    <row r="7" spans="1:33" s="22" customFormat="1" ht="15.6" customHeight="1" x14ac:dyDescent="0.25">
      <c r="A7" s="44">
        <f ca="1">_xlfn.XLOOKUP($B7,Resultat!$D:$D,Resultat!$Z:$Z,-1,0)</f>
        <v>3</v>
      </c>
      <c r="B7" s="21" t="s">
        <v>34</v>
      </c>
      <c r="C7" s="43">
        <f ca="1">_xlfn.XLOOKUP($B7,Resultat!$D:$D,Resultat!$AA:$AA,-1,0)</f>
        <v>3</v>
      </c>
      <c r="D7" s="28">
        <f ca="1">OFFSET(_xlfn.XLOOKUP($B7,Resultat!$D:$D,Resultat!$AL:$AL,-1,0),0,D$2-1)</f>
        <v>3</v>
      </c>
      <c r="E7" s="32">
        <f ca="1">OFFSET(_xlfn.XLOOKUP($B7,Resultat!$D:$D,Resultat!$E:$E,-1,0),0,D$2-1)</f>
        <v>31.1</v>
      </c>
      <c r="F7" s="28">
        <f ca="1">OFFSET(_xlfn.XLOOKUP($B7,Resultat!$D:$D,Resultat!$AL:$AL,-1,0),0,F$2-1)</f>
        <v>0</v>
      </c>
      <c r="G7" s="32">
        <f ca="1">OFFSET(_xlfn.XLOOKUP($B7,Resultat!$D:$D,Resultat!$E:$E,-1,0),0,F$2-1)</f>
        <v>0</v>
      </c>
      <c r="H7" s="31">
        <f ca="1">OFFSET(_xlfn.XLOOKUP($B7,Resultat!$D:$D,Resultat!$AL:$AL,-1,0),0,H$2-1)</f>
        <v>0</v>
      </c>
      <c r="I7" s="32">
        <f ca="1">OFFSET(_xlfn.XLOOKUP($B7,Resultat!$D:$D,Resultat!$E:$E,-1,0),0,H$2-1)</f>
        <v>0</v>
      </c>
      <c r="J7" s="30">
        <f ca="1">OFFSET(_xlfn.XLOOKUP($B7,Resultat!$D:$D,Resultat!$AL:$AL,-1,0),0,J$2-1)</f>
        <v>0</v>
      </c>
      <c r="K7" s="32">
        <f ca="1">OFFSET(_xlfn.XLOOKUP($B7,Resultat!$D:$D,Resultat!$E:$E,-1,0),0,J$2-1)</f>
        <v>0</v>
      </c>
      <c r="L7" s="33">
        <f ca="1">OFFSET(_xlfn.XLOOKUP($B7,Resultat!$D:$D,Resultat!$AL:$AL,-1,0),0,L$2-1)</f>
        <v>0</v>
      </c>
      <c r="M7" s="32">
        <f ca="1">OFFSET(_xlfn.XLOOKUP($B7,Resultat!$D:$D,Resultat!$E:$E,-1,0),0,L$2-1)</f>
        <v>0</v>
      </c>
      <c r="N7" s="33">
        <f ca="1">OFFSET(_xlfn.XLOOKUP($B7,Resultat!$D:$D,Resultat!$AL:$AL,-1,0),0,N$2-1)</f>
        <v>0</v>
      </c>
      <c r="O7" s="32">
        <f ca="1">OFFSET(_xlfn.XLOOKUP($B7,Resultat!$D:$D,Resultat!$E:$E,-1,0),0,N$2-1)</f>
        <v>0</v>
      </c>
      <c r="P7" s="33">
        <f ca="1">OFFSET(_xlfn.XLOOKUP($B7,Resultat!$D:$D,Resultat!$AL:$AL,-1,0),0,P$2-1)</f>
        <v>0</v>
      </c>
      <c r="Q7" s="32">
        <f ca="1">OFFSET(_xlfn.XLOOKUP($B7,Resultat!$D:$D,Resultat!$E:$E,-1,0),0,P$2-1)</f>
        <v>0</v>
      </c>
      <c r="R7" s="33">
        <f ca="1">OFFSET(_xlfn.XLOOKUP($B7,Resultat!$D:$D,Resultat!$AL:$AL,-1,0),0,R$2-1)</f>
        <v>0</v>
      </c>
      <c r="S7" s="32">
        <f ca="1">OFFSET(_xlfn.XLOOKUP($B7,Resultat!$D:$D,Resultat!$E:$E,-1,0),0,R$2-1)</f>
        <v>0</v>
      </c>
      <c r="T7" s="33">
        <f ca="1">OFFSET(_xlfn.XLOOKUP($B7,Resultat!$D:$D,Resultat!$AL:$AL,-1,0),0,T$2-1)</f>
        <v>0</v>
      </c>
      <c r="U7" s="32">
        <f ca="1">OFFSET(_xlfn.XLOOKUP($B7,Resultat!$D:$D,Resultat!$E:$E,-1,0),0,T$2-1)</f>
        <v>0</v>
      </c>
      <c r="V7" s="33">
        <f ca="1">OFFSET(_xlfn.XLOOKUP($B7,Resultat!$D:$D,Resultat!$AL:$AL,-1,0),0,V$2-1)</f>
        <v>0</v>
      </c>
      <c r="W7" s="32">
        <f ca="1">OFFSET(_xlfn.XLOOKUP($B7,Resultat!$D:$D,Resultat!$E:$E,-1,0),0,V$2-1)</f>
        <v>0</v>
      </c>
      <c r="X7" s="33">
        <f ca="1">OFFSET(_xlfn.XLOOKUP($B7,Resultat!$D:$D,Resultat!$AL:$AL,-1,0),0,X$2-1)</f>
        <v>0</v>
      </c>
      <c r="Y7" s="32">
        <f ca="1">OFFSET(_xlfn.XLOOKUP($B7,Resultat!$D:$D,Resultat!$E:$E,-1,0),0,X$2-1)</f>
        <v>0</v>
      </c>
      <c r="Z7" s="33">
        <f ca="1">OFFSET(_xlfn.XLOOKUP($B7,Resultat!$D:$D,Resultat!$AL:$AL,-1,0),0,Z$2-1)</f>
        <v>0</v>
      </c>
      <c r="AA7" s="32">
        <f ca="1">OFFSET(_xlfn.XLOOKUP($B7,Resultat!$D:$D,Resultat!$E:$E,-1,0),0,Z$2-1)</f>
        <v>0</v>
      </c>
      <c r="AB7" s="33">
        <f ca="1">OFFSET(_xlfn.XLOOKUP($B7,Resultat!$D:$D,Resultat!$AL:$AL,-1,0),0,AB$2-1)</f>
        <v>0</v>
      </c>
      <c r="AC7" s="32">
        <f ca="1">OFFSET(_xlfn.XLOOKUP($B7,Resultat!$D:$D,Resultat!$E:$E,-1,0),0,AB$2-1)</f>
        <v>0</v>
      </c>
      <c r="AD7" s="33">
        <f ca="1">OFFSET(_xlfn.XLOOKUP($B7,Resultat!$D:$D,Resultat!$AL:$AL,-1,0),0,AD$2-1)</f>
        <v>0</v>
      </c>
      <c r="AE7" s="32">
        <f ca="1">OFFSET(_xlfn.XLOOKUP($B7,Resultat!$D:$D,Resultat!$E:$E,-1,0),0,AD$2-1)</f>
        <v>0</v>
      </c>
      <c r="AF7" s="33">
        <f ca="1">OFFSET(_xlfn.XLOOKUP($B7,Resultat!$D:$D,Resultat!$AL:$AL,-1,0),0,AF$2-1)</f>
        <v>0</v>
      </c>
      <c r="AG7" s="32">
        <f ca="1">OFFSET(_xlfn.XLOOKUP($B7,Resultat!$D:$D,Resultat!$E:$E,-1,0),0,AF$2-1)</f>
        <v>0</v>
      </c>
    </row>
    <row r="8" spans="1:33" s="22" customFormat="1" ht="15.6" customHeight="1" x14ac:dyDescent="0.25">
      <c r="A8" s="44">
        <f ca="1">_xlfn.XLOOKUP($B8,Resultat!$D:$D,Resultat!$Z:$Z,-1,0)</f>
        <v>4</v>
      </c>
      <c r="B8" s="21" t="s">
        <v>36</v>
      </c>
      <c r="C8" s="43">
        <f ca="1">_xlfn.XLOOKUP($B8,Resultat!$D:$D,Resultat!$AA:$AA,-1,0)</f>
        <v>4</v>
      </c>
      <c r="D8" s="28">
        <f ca="1">OFFSET(_xlfn.XLOOKUP($B8,Resultat!$D:$D,Resultat!$AL:$AL,-1,0),0,D$2-1)</f>
        <v>4</v>
      </c>
      <c r="E8" s="32">
        <f ca="1">OFFSET(_xlfn.XLOOKUP($B8,Resultat!$D:$D,Resultat!$E:$E,-1,0),0,D$2-1)</f>
        <v>31.01</v>
      </c>
      <c r="F8" s="28">
        <f ca="1">OFFSET(_xlfn.XLOOKUP($B8,Resultat!$D:$D,Resultat!$AL:$AL,-1,0),0,F$2-1)</f>
        <v>0</v>
      </c>
      <c r="G8" s="32">
        <f ca="1">OFFSET(_xlfn.XLOOKUP($B8,Resultat!$D:$D,Resultat!$E:$E,-1,0),0,F$2-1)</f>
        <v>0</v>
      </c>
      <c r="H8" s="31">
        <f ca="1">OFFSET(_xlfn.XLOOKUP($B8,Resultat!$D:$D,Resultat!$AL:$AL,-1,0),0,H$2-1)</f>
        <v>0</v>
      </c>
      <c r="I8" s="32">
        <f ca="1">OFFSET(_xlfn.XLOOKUP($B8,Resultat!$D:$D,Resultat!$E:$E,-1,0),0,H$2-1)</f>
        <v>0</v>
      </c>
      <c r="J8" s="30">
        <f ca="1">OFFSET(_xlfn.XLOOKUP($B8,Resultat!$D:$D,Resultat!$AL:$AL,-1,0),0,J$2-1)</f>
        <v>0</v>
      </c>
      <c r="K8" s="32">
        <f ca="1">OFFSET(_xlfn.XLOOKUP($B8,Resultat!$D:$D,Resultat!$E:$E,-1,0),0,J$2-1)</f>
        <v>0</v>
      </c>
      <c r="L8" s="33">
        <f ca="1">OFFSET(_xlfn.XLOOKUP($B8,Resultat!$D:$D,Resultat!$AL:$AL,-1,0),0,L$2-1)</f>
        <v>0</v>
      </c>
      <c r="M8" s="32">
        <f ca="1">OFFSET(_xlfn.XLOOKUP($B8,Resultat!$D:$D,Resultat!$E:$E,-1,0),0,L$2-1)</f>
        <v>0</v>
      </c>
      <c r="N8" s="33">
        <f ca="1">OFFSET(_xlfn.XLOOKUP($B8,Resultat!$D:$D,Resultat!$AL:$AL,-1,0),0,N$2-1)</f>
        <v>0</v>
      </c>
      <c r="O8" s="32">
        <f ca="1">OFFSET(_xlfn.XLOOKUP($B8,Resultat!$D:$D,Resultat!$E:$E,-1,0),0,N$2-1)</f>
        <v>0</v>
      </c>
      <c r="P8" s="33">
        <f ca="1">OFFSET(_xlfn.XLOOKUP($B8,Resultat!$D:$D,Resultat!$AL:$AL,-1,0),0,P$2-1)</f>
        <v>0</v>
      </c>
      <c r="Q8" s="32">
        <f ca="1">OFFSET(_xlfn.XLOOKUP($B8,Resultat!$D:$D,Resultat!$E:$E,-1,0),0,P$2-1)</f>
        <v>0</v>
      </c>
      <c r="R8" s="33">
        <f ca="1">OFFSET(_xlfn.XLOOKUP($B8,Resultat!$D:$D,Resultat!$AL:$AL,-1,0),0,R$2-1)</f>
        <v>0</v>
      </c>
      <c r="S8" s="32">
        <f ca="1">OFFSET(_xlfn.XLOOKUP($B8,Resultat!$D:$D,Resultat!$E:$E,-1,0),0,R$2-1)</f>
        <v>0</v>
      </c>
      <c r="T8" s="33">
        <f ca="1">OFFSET(_xlfn.XLOOKUP($B8,Resultat!$D:$D,Resultat!$AL:$AL,-1,0),0,T$2-1)</f>
        <v>0</v>
      </c>
      <c r="U8" s="32">
        <f ca="1">OFFSET(_xlfn.XLOOKUP($B8,Resultat!$D:$D,Resultat!$E:$E,-1,0),0,T$2-1)</f>
        <v>0</v>
      </c>
      <c r="V8" s="33">
        <f ca="1">OFFSET(_xlfn.XLOOKUP($B8,Resultat!$D:$D,Resultat!$AL:$AL,-1,0),0,V$2-1)</f>
        <v>0</v>
      </c>
      <c r="W8" s="32">
        <f ca="1">OFFSET(_xlfn.XLOOKUP($B8,Resultat!$D:$D,Resultat!$E:$E,-1,0),0,V$2-1)</f>
        <v>0</v>
      </c>
      <c r="X8" s="33">
        <f ca="1">OFFSET(_xlfn.XLOOKUP($B8,Resultat!$D:$D,Resultat!$AL:$AL,-1,0),0,X$2-1)</f>
        <v>0</v>
      </c>
      <c r="Y8" s="32">
        <f ca="1">OFFSET(_xlfn.XLOOKUP($B8,Resultat!$D:$D,Resultat!$E:$E,-1,0),0,X$2-1)</f>
        <v>0</v>
      </c>
      <c r="Z8" s="33">
        <f ca="1">OFFSET(_xlfn.XLOOKUP($B8,Resultat!$D:$D,Resultat!$AL:$AL,-1,0),0,Z$2-1)</f>
        <v>0</v>
      </c>
      <c r="AA8" s="32">
        <f ca="1">OFFSET(_xlfn.XLOOKUP($B8,Resultat!$D:$D,Resultat!$E:$E,-1,0),0,Z$2-1)</f>
        <v>0</v>
      </c>
      <c r="AB8" s="33">
        <f ca="1">OFFSET(_xlfn.XLOOKUP($B8,Resultat!$D:$D,Resultat!$AL:$AL,-1,0),0,AB$2-1)</f>
        <v>0</v>
      </c>
      <c r="AC8" s="32">
        <f ca="1">OFFSET(_xlfn.XLOOKUP($B8,Resultat!$D:$D,Resultat!$E:$E,-1,0),0,AB$2-1)</f>
        <v>0</v>
      </c>
      <c r="AD8" s="33">
        <f ca="1">OFFSET(_xlfn.XLOOKUP($B8,Resultat!$D:$D,Resultat!$AL:$AL,-1,0),0,AD$2-1)</f>
        <v>0</v>
      </c>
      <c r="AE8" s="32">
        <f ca="1">OFFSET(_xlfn.XLOOKUP($B8,Resultat!$D:$D,Resultat!$E:$E,-1,0),0,AD$2-1)</f>
        <v>0</v>
      </c>
      <c r="AF8" s="33">
        <f ca="1">OFFSET(_xlfn.XLOOKUP($B8,Resultat!$D:$D,Resultat!$AL:$AL,-1,0),0,AF$2-1)</f>
        <v>0</v>
      </c>
      <c r="AG8" s="32">
        <f ca="1">OFFSET(_xlfn.XLOOKUP($B8,Resultat!$D:$D,Resultat!$E:$E,-1,0),0,AF$2-1)</f>
        <v>0</v>
      </c>
    </row>
    <row r="9" spans="1:33" s="22" customFormat="1" ht="15.6" customHeight="1" x14ac:dyDescent="0.25">
      <c r="A9" s="44">
        <f ca="1">_xlfn.XLOOKUP($B9,Resultat!$D:$D,Resultat!$Z:$Z,-1,0)</f>
        <v>5</v>
      </c>
      <c r="B9" s="21" t="s">
        <v>37</v>
      </c>
      <c r="C9" s="43">
        <f ca="1">_xlfn.XLOOKUP($B9,Resultat!$D:$D,Resultat!$AA:$AA,-1,0)</f>
        <v>5</v>
      </c>
      <c r="D9" s="28">
        <f ca="1">OFFSET(_xlfn.XLOOKUP($B9,Resultat!$D:$D,Resultat!$AL:$AL,-1,0),0,D$2-1)</f>
        <v>5</v>
      </c>
      <c r="E9" s="32">
        <f ca="1">OFFSET(_xlfn.XLOOKUP($B9,Resultat!$D:$D,Resultat!$E:$E,-1,0),0,D$2-1)</f>
        <v>30.05</v>
      </c>
      <c r="F9" s="28">
        <f ca="1">OFFSET(_xlfn.XLOOKUP($B9,Resultat!$D:$D,Resultat!$AL:$AL,-1,0),0,F$2-1)</f>
        <v>0</v>
      </c>
      <c r="G9" s="32">
        <f ca="1">OFFSET(_xlfn.XLOOKUP($B9,Resultat!$D:$D,Resultat!$E:$E,-1,0),0,F$2-1)</f>
        <v>0</v>
      </c>
      <c r="H9" s="31">
        <f ca="1">OFFSET(_xlfn.XLOOKUP($B9,Resultat!$D:$D,Resultat!$AL:$AL,-1,0),0,H$2-1)</f>
        <v>0</v>
      </c>
      <c r="I9" s="32">
        <f ca="1">OFFSET(_xlfn.XLOOKUP($B9,Resultat!$D:$D,Resultat!$E:$E,-1,0),0,H$2-1)</f>
        <v>0</v>
      </c>
      <c r="J9" s="30">
        <f ca="1">OFFSET(_xlfn.XLOOKUP($B9,Resultat!$D:$D,Resultat!$AL:$AL,-1,0),0,J$2-1)</f>
        <v>0</v>
      </c>
      <c r="K9" s="32">
        <f ca="1">OFFSET(_xlfn.XLOOKUP($B9,Resultat!$D:$D,Resultat!$E:$E,-1,0),0,J$2-1)</f>
        <v>0</v>
      </c>
      <c r="L9" s="33">
        <f ca="1">OFFSET(_xlfn.XLOOKUP($B9,Resultat!$D:$D,Resultat!$AL:$AL,-1,0),0,L$2-1)</f>
        <v>0</v>
      </c>
      <c r="M9" s="32">
        <f ca="1">OFFSET(_xlfn.XLOOKUP($B9,Resultat!$D:$D,Resultat!$E:$E,-1,0),0,L$2-1)</f>
        <v>0</v>
      </c>
      <c r="N9" s="33">
        <f ca="1">OFFSET(_xlfn.XLOOKUP($B9,Resultat!$D:$D,Resultat!$AL:$AL,-1,0),0,N$2-1)</f>
        <v>0</v>
      </c>
      <c r="O9" s="32">
        <f ca="1">OFFSET(_xlfn.XLOOKUP($B9,Resultat!$D:$D,Resultat!$E:$E,-1,0),0,N$2-1)</f>
        <v>0</v>
      </c>
      <c r="P9" s="33">
        <f ca="1">OFFSET(_xlfn.XLOOKUP($B9,Resultat!$D:$D,Resultat!$AL:$AL,-1,0),0,P$2-1)</f>
        <v>0</v>
      </c>
      <c r="Q9" s="32">
        <f ca="1">OFFSET(_xlfn.XLOOKUP($B9,Resultat!$D:$D,Resultat!$E:$E,-1,0),0,P$2-1)</f>
        <v>0</v>
      </c>
      <c r="R9" s="33">
        <f ca="1">OFFSET(_xlfn.XLOOKUP($B9,Resultat!$D:$D,Resultat!$AL:$AL,-1,0),0,R$2-1)</f>
        <v>0</v>
      </c>
      <c r="S9" s="32">
        <f ca="1">OFFSET(_xlfn.XLOOKUP($B9,Resultat!$D:$D,Resultat!$E:$E,-1,0),0,R$2-1)</f>
        <v>0</v>
      </c>
      <c r="T9" s="33">
        <f ca="1">OFFSET(_xlfn.XLOOKUP($B9,Resultat!$D:$D,Resultat!$AL:$AL,-1,0),0,T$2-1)</f>
        <v>0</v>
      </c>
      <c r="U9" s="32">
        <f ca="1">OFFSET(_xlfn.XLOOKUP($B9,Resultat!$D:$D,Resultat!$E:$E,-1,0),0,T$2-1)</f>
        <v>0</v>
      </c>
      <c r="V9" s="33">
        <f ca="1">OFFSET(_xlfn.XLOOKUP($B9,Resultat!$D:$D,Resultat!$AL:$AL,-1,0),0,V$2-1)</f>
        <v>0</v>
      </c>
      <c r="W9" s="32">
        <f ca="1">OFFSET(_xlfn.XLOOKUP($B9,Resultat!$D:$D,Resultat!$E:$E,-1,0),0,V$2-1)</f>
        <v>0</v>
      </c>
      <c r="X9" s="33">
        <f ca="1">OFFSET(_xlfn.XLOOKUP($B9,Resultat!$D:$D,Resultat!$AL:$AL,-1,0),0,X$2-1)</f>
        <v>0</v>
      </c>
      <c r="Y9" s="32">
        <f ca="1">OFFSET(_xlfn.XLOOKUP($B9,Resultat!$D:$D,Resultat!$E:$E,-1,0),0,X$2-1)</f>
        <v>0</v>
      </c>
      <c r="Z9" s="33">
        <f ca="1">OFFSET(_xlfn.XLOOKUP($B9,Resultat!$D:$D,Resultat!$AL:$AL,-1,0),0,Z$2-1)</f>
        <v>0</v>
      </c>
      <c r="AA9" s="32">
        <f ca="1">OFFSET(_xlfn.XLOOKUP($B9,Resultat!$D:$D,Resultat!$E:$E,-1,0),0,Z$2-1)</f>
        <v>0</v>
      </c>
      <c r="AB9" s="33">
        <f ca="1">OFFSET(_xlfn.XLOOKUP($B9,Resultat!$D:$D,Resultat!$AL:$AL,-1,0),0,AB$2-1)</f>
        <v>0</v>
      </c>
      <c r="AC9" s="32">
        <f ca="1">OFFSET(_xlfn.XLOOKUP($B9,Resultat!$D:$D,Resultat!$E:$E,-1,0),0,AB$2-1)</f>
        <v>0</v>
      </c>
      <c r="AD9" s="33">
        <f ca="1">OFFSET(_xlfn.XLOOKUP($B9,Resultat!$D:$D,Resultat!$AL:$AL,-1,0),0,AD$2-1)</f>
        <v>0</v>
      </c>
      <c r="AE9" s="32">
        <f ca="1">OFFSET(_xlfn.XLOOKUP($B9,Resultat!$D:$D,Resultat!$E:$E,-1,0),0,AD$2-1)</f>
        <v>0</v>
      </c>
      <c r="AF9" s="33">
        <f ca="1">OFFSET(_xlfn.XLOOKUP($B9,Resultat!$D:$D,Resultat!$AL:$AL,-1,0),0,AF$2-1)</f>
        <v>0</v>
      </c>
      <c r="AG9" s="32">
        <f ca="1">OFFSET(_xlfn.XLOOKUP($B9,Resultat!$D:$D,Resultat!$E:$E,-1,0),0,AF$2-1)</f>
        <v>0</v>
      </c>
    </row>
    <row r="10" spans="1:33" s="22" customFormat="1" ht="15.6" customHeight="1" x14ac:dyDescent="0.25">
      <c r="A10" s="44">
        <f ca="1">_xlfn.XLOOKUP($B10,Resultat!$D:$D,Resultat!$Z:$Z,-1,0)</f>
        <v>6</v>
      </c>
      <c r="B10" s="21" t="s">
        <v>32</v>
      </c>
      <c r="C10" s="43">
        <f ca="1">_xlfn.XLOOKUP($B10,Resultat!$D:$D,Resultat!$AA:$AA,-1,0)</f>
        <v>6</v>
      </c>
      <c r="D10" s="28">
        <f ca="1">OFFSET(_xlfn.XLOOKUP($B10,Resultat!$D:$D,Resultat!$AL:$AL,-1,0),0,D$2-1)</f>
        <v>6</v>
      </c>
      <c r="E10" s="32">
        <f ca="1">OFFSET(_xlfn.XLOOKUP($B10,Resultat!$D:$D,Resultat!$E:$E,-1,0),0,D$2-1)</f>
        <v>29.71</v>
      </c>
      <c r="F10" s="28">
        <f ca="1">OFFSET(_xlfn.XLOOKUP($B10,Resultat!$D:$D,Resultat!$AL:$AL,-1,0),0,F$2-1)</f>
        <v>0</v>
      </c>
      <c r="G10" s="32">
        <f ca="1">OFFSET(_xlfn.XLOOKUP($B10,Resultat!$D:$D,Resultat!$E:$E,-1,0),0,F$2-1)</f>
        <v>0</v>
      </c>
      <c r="H10" s="31">
        <f ca="1">OFFSET(_xlfn.XLOOKUP($B10,Resultat!$D:$D,Resultat!$AL:$AL,-1,0),0,H$2-1)</f>
        <v>0</v>
      </c>
      <c r="I10" s="32">
        <f ca="1">OFFSET(_xlfn.XLOOKUP($B10,Resultat!$D:$D,Resultat!$E:$E,-1,0),0,H$2-1)</f>
        <v>0</v>
      </c>
      <c r="J10" s="30">
        <f ca="1">OFFSET(_xlfn.XLOOKUP($B10,Resultat!$D:$D,Resultat!$AL:$AL,-1,0),0,J$2-1)</f>
        <v>0</v>
      </c>
      <c r="K10" s="32">
        <f ca="1">OFFSET(_xlfn.XLOOKUP($B10,Resultat!$D:$D,Resultat!$E:$E,-1,0),0,J$2-1)</f>
        <v>0</v>
      </c>
      <c r="L10" s="33">
        <f ca="1">OFFSET(_xlfn.XLOOKUP($B10,Resultat!$D:$D,Resultat!$AL:$AL,-1,0),0,L$2-1)</f>
        <v>0</v>
      </c>
      <c r="M10" s="32">
        <f ca="1">OFFSET(_xlfn.XLOOKUP($B10,Resultat!$D:$D,Resultat!$E:$E,-1,0),0,L$2-1)</f>
        <v>0</v>
      </c>
      <c r="N10" s="33">
        <f ca="1">OFFSET(_xlfn.XLOOKUP($B10,Resultat!$D:$D,Resultat!$AL:$AL,-1,0),0,N$2-1)</f>
        <v>0</v>
      </c>
      <c r="O10" s="32">
        <f ca="1">OFFSET(_xlfn.XLOOKUP($B10,Resultat!$D:$D,Resultat!$E:$E,-1,0),0,N$2-1)</f>
        <v>0</v>
      </c>
      <c r="P10" s="33">
        <f ca="1">OFFSET(_xlfn.XLOOKUP($B10,Resultat!$D:$D,Resultat!$AL:$AL,-1,0),0,P$2-1)</f>
        <v>0</v>
      </c>
      <c r="Q10" s="32">
        <f ca="1">OFFSET(_xlfn.XLOOKUP($B10,Resultat!$D:$D,Resultat!$E:$E,-1,0),0,P$2-1)</f>
        <v>0</v>
      </c>
      <c r="R10" s="33">
        <f ca="1">OFFSET(_xlfn.XLOOKUP($B10,Resultat!$D:$D,Resultat!$AL:$AL,-1,0),0,R$2-1)</f>
        <v>0</v>
      </c>
      <c r="S10" s="32">
        <f ca="1">OFFSET(_xlfn.XLOOKUP($B10,Resultat!$D:$D,Resultat!$E:$E,-1,0),0,R$2-1)</f>
        <v>0</v>
      </c>
      <c r="T10" s="33">
        <f ca="1">OFFSET(_xlfn.XLOOKUP($B10,Resultat!$D:$D,Resultat!$AL:$AL,-1,0),0,T$2-1)</f>
        <v>0</v>
      </c>
      <c r="U10" s="32">
        <f ca="1">OFFSET(_xlfn.XLOOKUP($B10,Resultat!$D:$D,Resultat!$E:$E,-1,0),0,T$2-1)</f>
        <v>0</v>
      </c>
      <c r="V10" s="33">
        <f ca="1">OFFSET(_xlfn.XLOOKUP($B10,Resultat!$D:$D,Resultat!$AL:$AL,-1,0),0,V$2-1)</f>
        <v>0</v>
      </c>
      <c r="W10" s="32">
        <f ca="1">OFFSET(_xlfn.XLOOKUP($B10,Resultat!$D:$D,Resultat!$E:$E,-1,0),0,V$2-1)</f>
        <v>0</v>
      </c>
      <c r="X10" s="33">
        <f ca="1">OFFSET(_xlfn.XLOOKUP($B10,Resultat!$D:$D,Resultat!$AL:$AL,-1,0),0,X$2-1)</f>
        <v>0</v>
      </c>
      <c r="Y10" s="32">
        <f ca="1">OFFSET(_xlfn.XLOOKUP($B10,Resultat!$D:$D,Resultat!$E:$E,-1,0),0,X$2-1)</f>
        <v>0</v>
      </c>
      <c r="Z10" s="33">
        <f ca="1">OFFSET(_xlfn.XLOOKUP($B10,Resultat!$D:$D,Resultat!$AL:$AL,-1,0),0,Z$2-1)</f>
        <v>0</v>
      </c>
      <c r="AA10" s="32">
        <f ca="1">OFFSET(_xlfn.XLOOKUP($B10,Resultat!$D:$D,Resultat!$E:$E,-1,0),0,Z$2-1)</f>
        <v>0</v>
      </c>
      <c r="AB10" s="33">
        <f ca="1">OFFSET(_xlfn.XLOOKUP($B10,Resultat!$D:$D,Resultat!$AL:$AL,-1,0),0,AB$2-1)</f>
        <v>0</v>
      </c>
      <c r="AC10" s="32">
        <f ca="1">OFFSET(_xlfn.XLOOKUP($B10,Resultat!$D:$D,Resultat!$E:$E,-1,0),0,AB$2-1)</f>
        <v>0</v>
      </c>
      <c r="AD10" s="33">
        <f ca="1">OFFSET(_xlfn.XLOOKUP($B10,Resultat!$D:$D,Resultat!$AL:$AL,-1,0),0,AD$2-1)</f>
        <v>0</v>
      </c>
      <c r="AE10" s="32">
        <f ca="1">OFFSET(_xlfn.XLOOKUP($B10,Resultat!$D:$D,Resultat!$E:$E,-1,0),0,AD$2-1)</f>
        <v>0</v>
      </c>
      <c r="AF10" s="33">
        <f ca="1">OFFSET(_xlfn.XLOOKUP($B10,Resultat!$D:$D,Resultat!$AL:$AL,-1,0),0,AF$2-1)</f>
        <v>0</v>
      </c>
      <c r="AG10" s="32">
        <f ca="1">OFFSET(_xlfn.XLOOKUP($B10,Resultat!$D:$D,Resultat!$E:$E,-1,0),0,AF$2-1)</f>
        <v>0</v>
      </c>
    </row>
    <row r="11" spans="1:33" s="22" customFormat="1" ht="15.6" customHeight="1" x14ac:dyDescent="0.25">
      <c r="A11" s="44">
        <f ca="1">_xlfn.XLOOKUP($B11,Resultat!$D:$D,Resultat!$Z:$Z,-1,0)</f>
        <v>7</v>
      </c>
      <c r="B11" s="21" t="s">
        <v>40</v>
      </c>
      <c r="C11" s="43">
        <f ca="1">_xlfn.XLOOKUP($B11,Resultat!$D:$D,Resultat!$AA:$AA,-1,0)</f>
        <v>7</v>
      </c>
      <c r="D11" s="28">
        <f ca="1">OFFSET(_xlfn.XLOOKUP($B11,Resultat!$D:$D,Resultat!$AL:$AL,-1,0),0,D$2-1)</f>
        <v>7</v>
      </c>
      <c r="E11" s="32">
        <f ca="1">OFFSET(_xlfn.XLOOKUP($B11,Resultat!$D:$D,Resultat!$E:$E,-1,0),0,D$2-1)</f>
        <v>29.7</v>
      </c>
      <c r="F11" s="28">
        <f ca="1">OFFSET(_xlfn.XLOOKUP($B11,Resultat!$D:$D,Resultat!$AL:$AL,-1,0),0,F$2-1)</f>
        <v>0</v>
      </c>
      <c r="G11" s="32">
        <f ca="1">OFFSET(_xlfn.XLOOKUP($B11,Resultat!$D:$D,Resultat!$E:$E,-1,0),0,F$2-1)</f>
        <v>0</v>
      </c>
      <c r="H11" s="31">
        <f ca="1">OFFSET(_xlfn.XLOOKUP($B11,Resultat!$D:$D,Resultat!$AL:$AL,-1,0),0,H$2-1)</f>
        <v>0</v>
      </c>
      <c r="I11" s="32">
        <f ca="1">OFFSET(_xlfn.XLOOKUP($B11,Resultat!$D:$D,Resultat!$E:$E,-1,0),0,H$2-1)</f>
        <v>0</v>
      </c>
      <c r="J11" s="30">
        <f ca="1">OFFSET(_xlfn.XLOOKUP($B11,Resultat!$D:$D,Resultat!$AL:$AL,-1,0),0,J$2-1)</f>
        <v>0</v>
      </c>
      <c r="K11" s="32">
        <f ca="1">OFFSET(_xlfn.XLOOKUP($B11,Resultat!$D:$D,Resultat!$E:$E,-1,0),0,J$2-1)</f>
        <v>0</v>
      </c>
      <c r="L11" s="33">
        <f ca="1">OFFSET(_xlfn.XLOOKUP($B11,Resultat!$D:$D,Resultat!$AL:$AL,-1,0),0,L$2-1)</f>
        <v>0</v>
      </c>
      <c r="M11" s="32">
        <f ca="1">OFFSET(_xlfn.XLOOKUP($B11,Resultat!$D:$D,Resultat!$E:$E,-1,0),0,L$2-1)</f>
        <v>0</v>
      </c>
      <c r="N11" s="33">
        <f ca="1">OFFSET(_xlfn.XLOOKUP($B11,Resultat!$D:$D,Resultat!$AL:$AL,-1,0),0,N$2-1)</f>
        <v>0</v>
      </c>
      <c r="O11" s="32">
        <f ca="1">OFFSET(_xlfn.XLOOKUP($B11,Resultat!$D:$D,Resultat!$E:$E,-1,0),0,N$2-1)</f>
        <v>0</v>
      </c>
      <c r="P11" s="33">
        <f ca="1">OFFSET(_xlfn.XLOOKUP($B11,Resultat!$D:$D,Resultat!$AL:$AL,-1,0),0,P$2-1)</f>
        <v>0</v>
      </c>
      <c r="Q11" s="32">
        <f ca="1">OFFSET(_xlfn.XLOOKUP($B11,Resultat!$D:$D,Resultat!$E:$E,-1,0),0,P$2-1)</f>
        <v>0</v>
      </c>
      <c r="R11" s="33">
        <f ca="1">OFFSET(_xlfn.XLOOKUP($B11,Resultat!$D:$D,Resultat!$AL:$AL,-1,0),0,R$2-1)</f>
        <v>0</v>
      </c>
      <c r="S11" s="32">
        <f ca="1">OFFSET(_xlfn.XLOOKUP($B11,Resultat!$D:$D,Resultat!$E:$E,-1,0),0,R$2-1)</f>
        <v>0</v>
      </c>
      <c r="T11" s="33">
        <f ca="1">OFFSET(_xlfn.XLOOKUP($B11,Resultat!$D:$D,Resultat!$AL:$AL,-1,0),0,T$2-1)</f>
        <v>0</v>
      </c>
      <c r="U11" s="32">
        <f ca="1">OFFSET(_xlfn.XLOOKUP($B11,Resultat!$D:$D,Resultat!$E:$E,-1,0),0,T$2-1)</f>
        <v>0</v>
      </c>
      <c r="V11" s="33">
        <f ca="1">OFFSET(_xlfn.XLOOKUP($B11,Resultat!$D:$D,Resultat!$AL:$AL,-1,0),0,V$2-1)</f>
        <v>0</v>
      </c>
      <c r="W11" s="32">
        <f ca="1">OFFSET(_xlfn.XLOOKUP($B11,Resultat!$D:$D,Resultat!$E:$E,-1,0),0,V$2-1)</f>
        <v>0</v>
      </c>
      <c r="X11" s="33">
        <f ca="1">OFFSET(_xlfn.XLOOKUP($B11,Resultat!$D:$D,Resultat!$AL:$AL,-1,0),0,X$2-1)</f>
        <v>0</v>
      </c>
      <c r="Y11" s="32">
        <f ca="1">OFFSET(_xlfn.XLOOKUP($B11,Resultat!$D:$D,Resultat!$E:$E,-1,0),0,X$2-1)</f>
        <v>0</v>
      </c>
      <c r="Z11" s="33">
        <f ca="1">OFFSET(_xlfn.XLOOKUP($B11,Resultat!$D:$D,Resultat!$AL:$AL,-1,0),0,Z$2-1)</f>
        <v>0</v>
      </c>
      <c r="AA11" s="32">
        <f ca="1">OFFSET(_xlfn.XLOOKUP($B11,Resultat!$D:$D,Resultat!$E:$E,-1,0),0,Z$2-1)</f>
        <v>0</v>
      </c>
      <c r="AB11" s="33">
        <f ca="1">OFFSET(_xlfn.XLOOKUP($B11,Resultat!$D:$D,Resultat!$AL:$AL,-1,0),0,AB$2-1)</f>
        <v>0</v>
      </c>
      <c r="AC11" s="32">
        <f ca="1">OFFSET(_xlfn.XLOOKUP($B11,Resultat!$D:$D,Resultat!$E:$E,-1,0),0,AB$2-1)</f>
        <v>0</v>
      </c>
      <c r="AD11" s="33">
        <f ca="1">OFFSET(_xlfn.XLOOKUP($B11,Resultat!$D:$D,Resultat!$AL:$AL,-1,0),0,AD$2-1)</f>
        <v>0</v>
      </c>
      <c r="AE11" s="32">
        <f ca="1">OFFSET(_xlfn.XLOOKUP($B11,Resultat!$D:$D,Resultat!$E:$E,-1,0),0,AD$2-1)</f>
        <v>0</v>
      </c>
      <c r="AF11" s="33">
        <f ca="1">OFFSET(_xlfn.XLOOKUP($B11,Resultat!$D:$D,Resultat!$AL:$AL,-1,0),0,AF$2-1)</f>
        <v>0</v>
      </c>
      <c r="AG11" s="32">
        <f ca="1">OFFSET(_xlfn.XLOOKUP($B11,Resultat!$D:$D,Resultat!$E:$E,-1,0),0,AF$2-1)</f>
        <v>0</v>
      </c>
    </row>
    <row r="12" spans="1:33" s="22" customFormat="1" ht="15.6" customHeight="1" x14ac:dyDescent="0.25">
      <c r="A12" s="44">
        <f ca="1">_xlfn.XLOOKUP($B12,Resultat!$D:$D,Resultat!$Z:$Z,-1,0)</f>
        <v>8</v>
      </c>
      <c r="B12" s="21" t="s">
        <v>50</v>
      </c>
      <c r="C12" s="43">
        <f ca="1">_xlfn.XLOOKUP($B12,Resultat!$D:$D,Resultat!$AA:$AA,-1,0)</f>
        <v>8</v>
      </c>
      <c r="D12" s="28">
        <f ca="1">OFFSET(_xlfn.XLOOKUP($B12,Resultat!$D:$D,Resultat!$AL:$AL,-1,0),0,D$2-1)</f>
        <v>8</v>
      </c>
      <c r="E12" s="32">
        <f ca="1">OFFSET(_xlfn.XLOOKUP($B12,Resultat!$D:$D,Resultat!$E:$E,-1,0),0,D$2-1)</f>
        <v>29.41</v>
      </c>
      <c r="F12" s="28">
        <f ca="1">OFFSET(_xlfn.XLOOKUP($B12,Resultat!$D:$D,Resultat!$AL:$AL,-1,0),0,F$2-1)</f>
        <v>0</v>
      </c>
      <c r="G12" s="32">
        <f ca="1">OFFSET(_xlfn.XLOOKUP($B12,Resultat!$D:$D,Resultat!$E:$E,-1,0),0,F$2-1)</f>
        <v>0</v>
      </c>
      <c r="H12" s="31">
        <f ca="1">OFFSET(_xlfn.XLOOKUP($B12,Resultat!$D:$D,Resultat!$AL:$AL,-1,0),0,H$2-1)</f>
        <v>0</v>
      </c>
      <c r="I12" s="32">
        <f ca="1">OFFSET(_xlfn.XLOOKUP($B12,Resultat!$D:$D,Resultat!$E:$E,-1,0),0,H$2-1)</f>
        <v>0</v>
      </c>
      <c r="J12" s="30">
        <f ca="1">OFFSET(_xlfn.XLOOKUP($B12,Resultat!$D:$D,Resultat!$AL:$AL,-1,0),0,J$2-1)</f>
        <v>0</v>
      </c>
      <c r="K12" s="32">
        <f ca="1">OFFSET(_xlfn.XLOOKUP($B12,Resultat!$D:$D,Resultat!$E:$E,-1,0),0,J$2-1)</f>
        <v>0</v>
      </c>
      <c r="L12" s="33">
        <f ca="1">OFFSET(_xlfn.XLOOKUP($B12,Resultat!$D:$D,Resultat!$AL:$AL,-1,0),0,L$2-1)</f>
        <v>0</v>
      </c>
      <c r="M12" s="32">
        <f ca="1">OFFSET(_xlfn.XLOOKUP($B12,Resultat!$D:$D,Resultat!$E:$E,-1,0),0,L$2-1)</f>
        <v>0</v>
      </c>
      <c r="N12" s="33">
        <f ca="1">OFFSET(_xlfn.XLOOKUP($B12,Resultat!$D:$D,Resultat!$AL:$AL,-1,0),0,N$2-1)</f>
        <v>0</v>
      </c>
      <c r="O12" s="32">
        <f ca="1">OFFSET(_xlfn.XLOOKUP($B12,Resultat!$D:$D,Resultat!$E:$E,-1,0),0,N$2-1)</f>
        <v>0</v>
      </c>
      <c r="P12" s="33">
        <f ca="1">OFFSET(_xlfn.XLOOKUP($B12,Resultat!$D:$D,Resultat!$AL:$AL,-1,0),0,P$2-1)</f>
        <v>0</v>
      </c>
      <c r="Q12" s="32">
        <f ca="1">OFFSET(_xlfn.XLOOKUP($B12,Resultat!$D:$D,Resultat!$E:$E,-1,0),0,P$2-1)</f>
        <v>0</v>
      </c>
      <c r="R12" s="33">
        <f ca="1">OFFSET(_xlfn.XLOOKUP($B12,Resultat!$D:$D,Resultat!$AL:$AL,-1,0),0,R$2-1)</f>
        <v>0</v>
      </c>
      <c r="S12" s="32">
        <f ca="1">OFFSET(_xlfn.XLOOKUP($B12,Resultat!$D:$D,Resultat!$E:$E,-1,0),0,R$2-1)</f>
        <v>0</v>
      </c>
      <c r="T12" s="33">
        <f ca="1">OFFSET(_xlfn.XLOOKUP($B12,Resultat!$D:$D,Resultat!$AL:$AL,-1,0),0,T$2-1)</f>
        <v>0</v>
      </c>
      <c r="U12" s="32">
        <f ca="1">OFFSET(_xlfn.XLOOKUP($B12,Resultat!$D:$D,Resultat!$E:$E,-1,0),0,T$2-1)</f>
        <v>0</v>
      </c>
      <c r="V12" s="33">
        <f ca="1">OFFSET(_xlfn.XLOOKUP($B12,Resultat!$D:$D,Resultat!$AL:$AL,-1,0),0,V$2-1)</f>
        <v>0</v>
      </c>
      <c r="W12" s="32">
        <f ca="1">OFFSET(_xlfn.XLOOKUP($B12,Resultat!$D:$D,Resultat!$E:$E,-1,0),0,V$2-1)</f>
        <v>0</v>
      </c>
      <c r="X12" s="33">
        <f ca="1">OFFSET(_xlfn.XLOOKUP($B12,Resultat!$D:$D,Resultat!$AL:$AL,-1,0),0,X$2-1)</f>
        <v>0</v>
      </c>
      <c r="Y12" s="32">
        <f ca="1">OFFSET(_xlfn.XLOOKUP($B12,Resultat!$D:$D,Resultat!$E:$E,-1,0),0,X$2-1)</f>
        <v>0</v>
      </c>
      <c r="Z12" s="33">
        <f ca="1">OFFSET(_xlfn.XLOOKUP($B12,Resultat!$D:$D,Resultat!$AL:$AL,-1,0),0,Z$2-1)</f>
        <v>0</v>
      </c>
      <c r="AA12" s="32">
        <f ca="1">OFFSET(_xlfn.XLOOKUP($B12,Resultat!$D:$D,Resultat!$E:$E,-1,0),0,Z$2-1)</f>
        <v>0</v>
      </c>
      <c r="AB12" s="33">
        <f ca="1">OFFSET(_xlfn.XLOOKUP($B12,Resultat!$D:$D,Resultat!$AL:$AL,-1,0),0,AB$2-1)</f>
        <v>0</v>
      </c>
      <c r="AC12" s="32">
        <f ca="1">OFFSET(_xlfn.XLOOKUP($B12,Resultat!$D:$D,Resultat!$E:$E,-1,0),0,AB$2-1)</f>
        <v>0</v>
      </c>
      <c r="AD12" s="33">
        <f ca="1">OFFSET(_xlfn.XLOOKUP($B12,Resultat!$D:$D,Resultat!$AL:$AL,-1,0),0,AD$2-1)</f>
        <v>0</v>
      </c>
      <c r="AE12" s="32">
        <f ca="1">OFFSET(_xlfn.XLOOKUP($B12,Resultat!$D:$D,Resultat!$E:$E,-1,0),0,AD$2-1)</f>
        <v>0</v>
      </c>
      <c r="AF12" s="33">
        <f ca="1">OFFSET(_xlfn.XLOOKUP($B12,Resultat!$D:$D,Resultat!$AL:$AL,-1,0),0,AF$2-1)</f>
        <v>0</v>
      </c>
      <c r="AG12" s="32">
        <f ca="1">OFFSET(_xlfn.XLOOKUP($B12,Resultat!$D:$D,Resultat!$E:$E,-1,0),0,AF$2-1)</f>
        <v>0</v>
      </c>
    </row>
    <row r="13" spans="1:33" s="22" customFormat="1" ht="15.6" customHeight="1" x14ac:dyDescent="0.25">
      <c r="A13" s="44">
        <f ca="1">_xlfn.XLOOKUP($B13,Resultat!$D:$D,Resultat!$Z:$Z,-1,0)</f>
        <v>9</v>
      </c>
      <c r="B13" s="21" t="s">
        <v>80</v>
      </c>
      <c r="C13" s="43">
        <f ca="1">_xlfn.XLOOKUP($B13,Resultat!$D:$D,Resultat!$AA:$AA,-1,0)</f>
        <v>9</v>
      </c>
      <c r="D13" s="28">
        <f ca="1">OFFSET(_xlfn.XLOOKUP($B13,Resultat!$D:$D,Resultat!$AL:$AL,-1,0),0,D$2-1)</f>
        <v>9</v>
      </c>
      <c r="E13" s="32">
        <f ca="1">OFFSET(_xlfn.XLOOKUP($B13,Resultat!$D:$D,Resultat!$E:$E,-1,0),0,D$2-1)</f>
        <v>29.12</v>
      </c>
      <c r="F13" s="28">
        <f ca="1">OFFSET(_xlfn.XLOOKUP($B13,Resultat!$D:$D,Resultat!$AL:$AL,-1,0),0,F$2-1)</f>
        <v>0</v>
      </c>
      <c r="G13" s="32">
        <f ca="1">OFFSET(_xlfn.XLOOKUP($B13,Resultat!$D:$D,Resultat!$E:$E,-1,0),0,F$2-1)</f>
        <v>0</v>
      </c>
      <c r="H13" s="31">
        <f ca="1">OFFSET(_xlfn.XLOOKUP($B13,Resultat!$D:$D,Resultat!$AL:$AL,-1,0),0,H$2-1)</f>
        <v>0</v>
      </c>
      <c r="I13" s="32">
        <f ca="1">OFFSET(_xlfn.XLOOKUP($B13,Resultat!$D:$D,Resultat!$E:$E,-1,0),0,H$2-1)</f>
        <v>0</v>
      </c>
      <c r="J13" s="30">
        <f ca="1">OFFSET(_xlfn.XLOOKUP($B13,Resultat!$D:$D,Resultat!$AL:$AL,-1,0),0,J$2-1)</f>
        <v>0</v>
      </c>
      <c r="K13" s="32">
        <f ca="1">OFFSET(_xlfn.XLOOKUP($B13,Resultat!$D:$D,Resultat!$E:$E,-1,0),0,J$2-1)</f>
        <v>0</v>
      </c>
      <c r="L13" s="33">
        <f ca="1">OFFSET(_xlfn.XLOOKUP($B13,Resultat!$D:$D,Resultat!$AL:$AL,-1,0),0,L$2-1)</f>
        <v>0</v>
      </c>
      <c r="M13" s="32">
        <f ca="1">OFFSET(_xlfn.XLOOKUP($B13,Resultat!$D:$D,Resultat!$E:$E,-1,0),0,L$2-1)</f>
        <v>0</v>
      </c>
      <c r="N13" s="33">
        <f ca="1">OFFSET(_xlfn.XLOOKUP($B13,Resultat!$D:$D,Resultat!$AL:$AL,-1,0),0,N$2-1)</f>
        <v>0</v>
      </c>
      <c r="O13" s="32">
        <f ca="1">OFFSET(_xlfn.XLOOKUP($B13,Resultat!$D:$D,Resultat!$E:$E,-1,0),0,N$2-1)</f>
        <v>0</v>
      </c>
      <c r="P13" s="33">
        <f ca="1">OFFSET(_xlfn.XLOOKUP($B13,Resultat!$D:$D,Resultat!$AL:$AL,-1,0),0,P$2-1)</f>
        <v>0</v>
      </c>
      <c r="Q13" s="32">
        <f ca="1">OFFSET(_xlfn.XLOOKUP($B13,Resultat!$D:$D,Resultat!$E:$E,-1,0),0,P$2-1)</f>
        <v>0</v>
      </c>
      <c r="R13" s="33">
        <f ca="1">OFFSET(_xlfn.XLOOKUP($B13,Resultat!$D:$D,Resultat!$AL:$AL,-1,0),0,R$2-1)</f>
        <v>0</v>
      </c>
      <c r="S13" s="32">
        <f ca="1">OFFSET(_xlfn.XLOOKUP($B13,Resultat!$D:$D,Resultat!$E:$E,-1,0),0,R$2-1)</f>
        <v>0</v>
      </c>
      <c r="T13" s="33">
        <f ca="1">OFFSET(_xlfn.XLOOKUP($B13,Resultat!$D:$D,Resultat!$AL:$AL,-1,0),0,T$2-1)</f>
        <v>0</v>
      </c>
      <c r="U13" s="32">
        <f ca="1">OFFSET(_xlfn.XLOOKUP($B13,Resultat!$D:$D,Resultat!$E:$E,-1,0),0,T$2-1)</f>
        <v>0</v>
      </c>
      <c r="V13" s="33">
        <f ca="1">OFFSET(_xlfn.XLOOKUP($B13,Resultat!$D:$D,Resultat!$AL:$AL,-1,0),0,V$2-1)</f>
        <v>0</v>
      </c>
      <c r="W13" s="32">
        <f ca="1">OFFSET(_xlfn.XLOOKUP($B13,Resultat!$D:$D,Resultat!$E:$E,-1,0),0,V$2-1)</f>
        <v>0</v>
      </c>
      <c r="X13" s="33">
        <f ca="1">OFFSET(_xlfn.XLOOKUP($B13,Resultat!$D:$D,Resultat!$AL:$AL,-1,0),0,X$2-1)</f>
        <v>0</v>
      </c>
      <c r="Y13" s="32">
        <f ca="1">OFFSET(_xlfn.XLOOKUP($B13,Resultat!$D:$D,Resultat!$E:$E,-1,0),0,X$2-1)</f>
        <v>0</v>
      </c>
      <c r="Z13" s="33">
        <f ca="1">OFFSET(_xlfn.XLOOKUP($B13,Resultat!$D:$D,Resultat!$AL:$AL,-1,0),0,Z$2-1)</f>
        <v>0</v>
      </c>
      <c r="AA13" s="32">
        <f ca="1">OFFSET(_xlfn.XLOOKUP($B13,Resultat!$D:$D,Resultat!$E:$E,-1,0),0,Z$2-1)</f>
        <v>0</v>
      </c>
      <c r="AB13" s="33">
        <f ca="1">OFFSET(_xlfn.XLOOKUP($B13,Resultat!$D:$D,Resultat!$AL:$AL,-1,0),0,AB$2-1)</f>
        <v>0</v>
      </c>
      <c r="AC13" s="32">
        <f ca="1">OFFSET(_xlfn.XLOOKUP($B13,Resultat!$D:$D,Resultat!$E:$E,-1,0),0,AB$2-1)</f>
        <v>0</v>
      </c>
      <c r="AD13" s="33">
        <f ca="1">OFFSET(_xlfn.XLOOKUP($B13,Resultat!$D:$D,Resultat!$AL:$AL,-1,0),0,AD$2-1)</f>
        <v>0</v>
      </c>
      <c r="AE13" s="32">
        <f ca="1">OFFSET(_xlfn.XLOOKUP($B13,Resultat!$D:$D,Resultat!$E:$E,-1,0),0,AD$2-1)</f>
        <v>0</v>
      </c>
      <c r="AF13" s="33">
        <f ca="1">OFFSET(_xlfn.XLOOKUP($B13,Resultat!$D:$D,Resultat!$AL:$AL,-1,0),0,AF$2-1)</f>
        <v>0</v>
      </c>
      <c r="AG13" s="32">
        <f ca="1">OFFSET(_xlfn.XLOOKUP($B13,Resultat!$D:$D,Resultat!$E:$E,-1,0),0,AF$2-1)</f>
        <v>0</v>
      </c>
    </row>
    <row r="14" spans="1:33" s="22" customFormat="1" ht="15.6" customHeight="1" x14ac:dyDescent="0.25">
      <c r="A14" s="44">
        <f ca="1">_xlfn.XLOOKUP($B14,Resultat!$D:$D,Resultat!$Z:$Z,-1,0)</f>
        <v>10</v>
      </c>
      <c r="B14" s="21" t="s">
        <v>41</v>
      </c>
      <c r="C14" s="43">
        <f ca="1">_xlfn.XLOOKUP($B14,Resultat!$D:$D,Resultat!$AA:$AA,-1,0)</f>
        <v>10</v>
      </c>
      <c r="D14" s="28">
        <f ca="1">OFFSET(_xlfn.XLOOKUP($B14,Resultat!$D:$D,Resultat!$AL:$AL,-1,0),0,D$2-1)</f>
        <v>10</v>
      </c>
      <c r="E14" s="32">
        <f ca="1">OFFSET(_xlfn.XLOOKUP($B14,Resultat!$D:$D,Resultat!$E:$E,-1,0),0,D$2-1)</f>
        <v>28.9</v>
      </c>
      <c r="F14" s="28">
        <f ca="1">OFFSET(_xlfn.XLOOKUP($B14,Resultat!$D:$D,Resultat!$AL:$AL,-1,0),0,F$2-1)</f>
        <v>0</v>
      </c>
      <c r="G14" s="32">
        <f ca="1">OFFSET(_xlfn.XLOOKUP($B14,Resultat!$D:$D,Resultat!$E:$E,-1,0),0,F$2-1)</f>
        <v>0</v>
      </c>
      <c r="H14" s="31">
        <f ca="1">OFFSET(_xlfn.XLOOKUP($B14,Resultat!$D:$D,Resultat!$AL:$AL,-1,0),0,H$2-1)</f>
        <v>0</v>
      </c>
      <c r="I14" s="32">
        <f ca="1">OFFSET(_xlfn.XLOOKUP($B14,Resultat!$D:$D,Resultat!$E:$E,-1,0),0,H$2-1)</f>
        <v>0</v>
      </c>
      <c r="J14" s="30">
        <f ca="1">OFFSET(_xlfn.XLOOKUP($B14,Resultat!$D:$D,Resultat!$AL:$AL,-1,0),0,J$2-1)</f>
        <v>0</v>
      </c>
      <c r="K14" s="32">
        <f ca="1">OFFSET(_xlfn.XLOOKUP($B14,Resultat!$D:$D,Resultat!$E:$E,-1,0),0,J$2-1)</f>
        <v>0</v>
      </c>
      <c r="L14" s="33">
        <f ca="1">OFFSET(_xlfn.XLOOKUP($B14,Resultat!$D:$D,Resultat!$AL:$AL,-1,0),0,L$2-1)</f>
        <v>0</v>
      </c>
      <c r="M14" s="32">
        <f ca="1">OFFSET(_xlfn.XLOOKUP($B14,Resultat!$D:$D,Resultat!$E:$E,-1,0),0,L$2-1)</f>
        <v>0</v>
      </c>
      <c r="N14" s="33">
        <f ca="1">OFFSET(_xlfn.XLOOKUP($B14,Resultat!$D:$D,Resultat!$AL:$AL,-1,0),0,N$2-1)</f>
        <v>0</v>
      </c>
      <c r="O14" s="32">
        <f ca="1">OFFSET(_xlfn.XLOOKUP($B14,Resultat!$D:$D,Resultat!$E:$E,-1,0),0,N$2-1)</f>
        <v>0</v>
      </c>
      <c r="P14" s="33">
        <f ca="1">OFFSET(_xlfn.XLOOKUP($B14,Resultat!$D:$D,Resultat!$AL:$AL,-1,0),0,P$2-1)</f>
        <v>0</v>
      </c>
      <c r="Q14" s="32">
        <f ca="1">OFFSET(_xlfn.XLOOKUP($B14,Resultat!$D:$D,Resultat!$E:$E,-1,0),0,P$2-1)</f>
        <v>0</v>
      </c>
      <c r="R14" s="33">
        <f ca="1">OFFSET(_xlfn.XLOOKUP($B14,Resultat!$D:$D,Resultat!$AL:$AL,-1,0),0,R$2-1)</f>
        <v>0</v>
      </c>
      <c r="S14" s="32">
        <f ca="1">OFFSET(_xlfn.XLOOKUP($B14,Resultat!$D:$D,Resultat!$E:$E,-1,0),0,R$2-1)</f>
        <v>0</v>
      </c>
      <c r="T14" s="33">
        <f ca="1">OFFSET(_xlfn.XLOOKUP($B14,Resultat!$D:$D,Resultat!$AL:$AL,-1,0),0,T$2-1)</f>
        <v>0</v>
      </c>
      <c r="U14" s="32">
        <f ca="1">OFFSET(_xlfn.XLOOKUP($B14,Resultat!$D:$D,Resultat!$E:$E,-1,0),0,T$2-1)</f>
        <v>0</v>
      </c>
      <c r="V14" s="33">
        <f ca="1">OFFSET(_xlfn.XLOOKUP($B14,Resultat!$D:$D,Resultat!$AL:$AL,-1,0),0,V$2-1)</f>
        <v>0</v>
      </c>
      <c r="W14" s="32">
        <f ca="1">OFFSET(_xlfn.XLOOKUP($B14,Resultat!$D:$D,Resultat!$E:$E,-1,0),0,V$2-1)</f>
        <v>0</v>
      </c>
      <c r="X14" s="33">
        <f ca="1">OFFSET(_xlfn.XLOOKUP($B14,Resultat!$D:$D,Resultat!$AL:$AL,-1,0),0,X$2-1)</f>
        <v>0</v>
      </c>
      <c r="Y14" s="32">
        <f ca="1">OFFSET(_xlfn.XLOOKUP($B14,Resultat!$D:$D,Resultat!$E:$E,-1,0),0,X$2-1)</f>
        <v>0</v>
      </c>
      <c r="Z14" s="33">
        <f ca="1">OFFSET(_xlfn.XLOOKUP($B14,Resultat!$D:$D,Resultat!$AL:$AL,-1,0),0,Z$2-1)</f>
        <v>0</v>
      </c>
      <c r="AA14" s="32">
        <f ca="1">OFFSET(_xlfn.XLOOKUP($B14,Resultat!$D:$D,Resultat!$E:$E,-1,0),0,Z$2-1)</f>
        <v>0</v>
      </c>
      <c r="AB14" s="33">
        <f ca="1">OFFSET(_xlfn.XLOOKUP($B14,Resultat!$D:$D,Resultat!$AL:$AL,-1,0),0,AB$2-1)</f>
        <v>0</v>
      </c>
      <c r="AC14" s="32">
        <f ca="1">OFFSET(_xlfn.XLOOKUP($B14,Resultat!$D:$D,Resultat!$E:$E,-1,0),0,AB$2-1)</f>
        <v>0</v>
      </c>
      <c r="AD14" s="33">
        <f ca="1">OFFSET(_xlfn.XLOOKUP($B14,Resultat!$D:$D,Resultat!$AL:$AL,-1,0),0,AD$2-1)</f>
        <v>0</v>
      </c>
      <c r="AE14" s="32">
        <f ca="1">OFFSET(_xlfn.XLOOKUP($B14,Resultat!$D:$D,Resultat!$E:$E,-1,0),0,AD$2-1)</f>
        <v>0</v>
      </c>
      <c r="AF14" s="33">
        <f ca="1">OFFSET(_xlfn.XLOOKUP($B14,Resultat!$D:$D,Resultat!$AL:$AL,-1,0),0,AF$2-1)</f>
        <v>0</v>
      </c>
      <c r="AG14" s="32">
        <f ca="1">OFFSET(_xlfn.XLOOKUP($B14,Resultat!$D:$D,Resultat!$E:$E,-1,0),0,AF$2-1)</f>
        <v>0</v>
      </c>
    </row>
    <row r="15" spans="1:33" s="22" customFormat="1" ht="15.6" customHeight="1" x14ac:dyDescent="0.25">
      <c r="A15" s="44">
        <f ca="1">_xlfn.XLOOKUP($B15,Resultat!$D:$D,Resultat!$Z:$Z,-1,0)</f>
        <v>11</v>
      </c>
      <c r="B15" s="21" t="s">
        <v>44</v>
      </c>
      <c r="C15" s="43">
        <f ca="1">_xlfn.XLOOKUP($B15,Resultat!$D:$D,Resultat!$AA:$AA,-1,0)</f>
        <v>11</v>
      </c>
      <c r="D15" s="28">
        <f ca="1">OFFSET(_xlfn.XLOOKUP($B15,Resultat!$D:$D,Resultat!$AL:$AL,-1,0),0,D$2-1)</f>
        <v>11</v>
      </c>
      <c r="E15" s="32">
        <f ca="1">OFFSET(_xlfn.XLOOKUP($B15,Resultat!$D:$D,Resultat!$E:$E,-1,0),0,D$2-1)</f>
        <v>28.34</v>
      </c>
      <c r="F15" s="28">
        <f ca="1">OFFSET(_xlfn.XLOOKUP($B15,Resultat!$D:$D,Resultat!$AL:$AL,-1,0),0,F$2-1)</f>
        <v>0</v>
      </c>
      <c r="G15" s="32">
        <f ca="1">OFFSET(_xlfn.XLOOKUP($B15,Resultat!$D:$D,Resultat!$E:$E,-1,0),0,F$2-1)</f>
        <v>0</v>
      </c>
      <c r="H15" s="31">
        <f ca="1">OFFSET(_xlfn.XLOOKUP($B15,Resultat!$D:$D,Resultat!$AL:$AL,-1,0),0,H$2-1)</f>
        <v>0</v>
      </c>
      <c r="I15" s="32">
        <f ca="1">OFFSET(_xlfn.XLOOKUP($B15,Resultat!$D:$D,Resultat!$E:$E,-1,0),0,H$2-1)</f>
        <v>0</v>
      </c>
      <c r="J15" s="30">
        <f ca="1">OFFSET(_xlfn.XLOOKUP($B15,Resultat!$D:$D,Resultat!$AL:$AL,-1,0),0,J$2-1)</f>
        <v>0</v>
      </c>
      <c r="K15" s="32">
        <f ca="1">OFFSET(_xlfn.XLOOKUP($B15,Resultat!$D:$D,Resultat!$E:$E,-1,0),0,J$2-1)</f>
        <v>0</v>
      </c>
      <c r="L15" s="33">
        <f ca="1">OFFSET(_xlfn.XLOOKUP($B15,Resultat!$D:$D,Resultat!$AL:$AL,-1,0),0,L$2-1)</f>
        <v>0</v>
      </c>
      <c r="M15" s="32">
        <f ca="1">OFFSET(_xlfn.XLOOKUP($B15,Resultat!$D:$D,Resultat!$E:$E,-1,0),0,L$2-1)</f>
        <v>0</v>
      </c>
      <c r="N15" s="33">
        <f ca="1">OFFSET(_xlfn.XLOOKUP($B15,Resultat!$D:$D,Resultat!$AL:$AL,-1,0),0,N$2-1)</f>
        <v>0</v>
      </c>
      <c r="O15" s="32">
        <f ca="1">OFFSET(_xlfn.XLOOKUP($B15,Resultat!$D:$D,Resultat!$E:$E,-1,0),0,N$2-1)</f>
        <v>0</v>
      </c>
      <c r="P15" s="33">
        <f ca="1">OFFSET(_xlfn.XLOOKUP($B15,Resultat!$D:$D,Resultat!$AL:$AL,-1,0),0,P$2-1)</f>
        <v>0</v>
      </c>
      <c r="Q15" s="32">
        <f ca="1">OFFSET(_xlfn.XLOOKUP($B15,Resultat!$D:$D,Resultat!$E:$E,-1,0),0,P$2-1)</f>
        <v>0</v>
      </c>
      <c r="R15" s="33">
        <f ca="1">OFFSET(_xlfn.XLOOKUP($B15,Resultat!$D:$D,Resultat!$AL:$AL,-1,0),0,R$2-1)</f>
        <v>0</v>
      </c>
      <c r="S15" s="32">
        <f ca="1">OFFSET(_xlfn.XLOOKUP($B15,Resultat!$D:$D,Resultat!$E:$E,-1,0),0,R$2-1)</f>
        <v>0</v>
      </c>
      <c r="T15" s="33">
        <f ca="1">OFFSET(_xlfn.XLOOKUP($B15,Resultat!$D:$D,Resultat!$AL:$AL,-1,0),0,T$2-1)</f>
        <v>0</v>
      </c>
      <c r="U15" s="32">
        <f ca="1">OFFSET(_xlfn.XLOOKUP($B15,Resultat!$D:$D,Resultat!$E:$E,-1,0),0,T$2-1)</f>
        <v>0</v>
      </c>
      <c r="V15" s="33">
        <f ca="1">OFFSET(_xlfn.XLOOKUP($B15,Resultat!$D:$D,Resultat!$AL:$AL,-1,0),0,V$2-1)</f>
        <v>0</v>
      </c>
      <c r="W15" s="32">
        <f ca="1">OFFSET(_xlfn.XLOOKUP($B15,Resultat!$D:$D,Resultat!$E:$E,-1,0),0,V$2-1)</f>
        <v>0</v>
      </c>
      <c r="X15" s="33">
        <f ca="1">OFFSET(_xlfn.XLOOKUP($B15,Resultat!$D:$D,Resultat!$AL:$AL,-1,0),0,X$2-1)</f>
        <v>0</v>
      </c>
      <c r="Y15" s="32">
        <f ca="1">OFFSET(_xlfn.XLOOKUP($B15,Resultat!$D:$D,Resultat!$E:$E,-1,0),0,X$2-1)</f>
        <v>0</v>
      </c>
      <c r="Z15" s="33">
        <f ca="1">OFFSET(_xlfn.XLOOKUP($B15,Resultat!$D:$D,Resultat!$AL:$AL,-1,0),0,Z$2-1)</f>
        <v>0</v>
      </c>
      <c r="AA15" s="32">
        <f ca="1">OFFSET(_xlfn.XLOOKUP($B15,Resultat!$D:$D,Resultat!$E:$E,-1,0),0,Z$2-1)</f>
        <v>0</v>
      </c>
      <c r="AB15" s="33">
        <f ca="1">OFFSET(_xlfn.XLOOKUP($B15,Resultat!$D:$D,Resultat!$AL:$AL,-1,0),0,AB$2-1)</f>
        <v>0</v>
      </c>
      <c r="AC15" s="32">
        <f ca="1">OFFSET(_xlfn.XLOOKUP($B15,Resultat!$D:$D,Resultat!$E:$E,-1,0),0,AB$2-1)</f>
        <v>0</v>
      </c>
      <c r="AD15" s="33">
        <f ca="1">OFFSET(_xlfn.XLOOKUP($B15,Resultat!$D:$D,Resultat!$AL:$AL,-1,0),0,AD$2-1)</f>
        <v>0</v>
      </c>
      <c r="AE15" s="32">
        <f ca="1">OFFSET(_xlfn.XLOOKUP($B15,Resultat!$D:$D,Resultat!$E:$E,-1,0),0,AD$2-1)</f>
        <v>0</v>
      </c>
      <c r="AF15" s="33">
        <f ca="1">OFFSET(_xlfn.XLOOKUP($B15,Resultat!$D:$D,Resultat!$AL:$AL,-1,0),0,AF$2-1)</f>
        <v>0</v>
      </c>
      <c r="AG15" s="32">
        <f ca="1">OFFSET(_xlfn.XLOOKUP($B15,Resultat!$D:$D,Resultat!$E:$E,-1,0),0,AF$2-1)</f>
        <v>0</v>
      </c>
    </row>
    <row r="16" spans="1:33" s="22" customFormat="1" ht="15.6" customHeight="1" x14ac:dyDescent="0.25">
      <c r="A16" s="44">
        <f ca="1">_xlfn.XLOOKUP($B16,Resultat!$D:$D,Resultat!$Z:$Z,-1,0)</f>
        <v>12</v>
      </c>
      <c r="B16" s="21" t="s">
        <v>45</v>
      </c>
      <c r="C16" s="43">
        <f ca="1">_xlfn.XLOOKUP($B16,Resultat!$D:$D,Resultat!$AA:$AA,-1,0)</f>
        <v>12</v>
      </c>
      <c r="D16" s="28">
        <f ca="1">OFFSET(_xlfn.XLOOKUP($B16,Resultat!$D:$D,Resultat!$AL:$AL,-1,0),0,D$2-1)</f>
        <v>12</v>
      </c>
      <c r="E16" s="32">
        <f ca="1">OFFSET(_xlfn.XLOOKUP($B16,Resultat!$D:$D,Resultat!$E:$E,-1,0),0,D$2-1)</f>
        <v>27.73</v>
      </c>
      <c r="F16" s="28">
        <f ca="1">OFFSET(_xlfn.XLOOKUP($B16,Resultat!$D:$D,Resultat!$AL:$AL,-1,0),0,F$2-1)</f>
        <v>0</v>
      </c>
      <c r="G16" s="32">
        <f ca="1">OFFSET(_xlfn.XLOOKUP($B16,Resultat!$D:$D,Resultat!$E:$E,-1,0),0,F$2-1)</f>
        <v>0</v>
      </c>
      <c r="H16" s="31">
        <f ca="1">OFFSET(_xlfn.XLOOKUP($B16,Resultat!$D:$D,Resultat!$AL:$AL,-1,0),0,H$2-1)</f>
        <v>0</v>
      </c>
      <c r="I16" s="32">
        <f ca="1">OFFSET(_xlfn.XLOOKUP($B16,Resultat!$D:$D,Resultat!$E:$E,-1,0),0,H$2-1)</f>
        <v>0</v>
      </c>
      <c r="J16" s="30">
        <f ca="1">OFFSET(_xlfn.XLOOKUP($B16,Resultat!$D:$D,Resultat!$AL:$AL,-1,0),0,J$2-1)</f>
        <v>0</v>
      </c>
      <c r="K16" s="32">
        <f ca="1">OFFSET(_xlfn.XLOOKUP($B16,Resultat!$D:$D,Resultat!$E:$E,-1,0),0,J$2-1)</f>
        <v>0</v>
      </c>
      <c r="L16" s="33">
        <f ca="1">OFFSET(_xlfn.XLOOKUP($B16,Resultat!$D:$D,Resultat!$AL:$AL,-1,0),0,L$2-1)</f>
        <v>0</v>
      </c>
      <c r="M16" s="32">
        <f ca="1">OFFSET(_xlfn.XLOOKUP($B16,Resultat!$D:$D,Resultat!$E:$E,-1,0),0,L$2-1)</f>
        <v>0</v>
      </c>
      <c r="N16" s="33">
        <f ca="1">OFFSET(_xlfn.XLOOKUP($B16,Resultat!$D:$D,Resultat!$AL:$AL,-1,0),0,N$2-1)</f>
        <v>0</v>
      </c>
      <c r="O16" s="32">
        <f ca="1">OFFSET(_xlfn.XLOOKUP($B16,Resultat!$D:$D,Resultat!$E:$E,-1,0),0,N$2-1)</f>
        <v>0</v>
      </c>
      <c r="P16" s="33">
        <f ca="1">OFFSET(_xlfn.XLOOKUP($B16,Resultat!$D:$D,Resultat!$AL:$AL,-1,0),0,P$2-1)</f>
        <v>0</v>
      </c>
      <c r="Q16" s="32">
        <f ca="1">OFFSET(_xlfn.XLOOKUP($B16,Resultat!$D:$D,Resultat!$E:$E,-1,0),0,P$2-1)</f>
        <v>0</v>
      </c>
      <c r="R16" s="33">
        <f ca="1">OFFSET(_xlfn.XLOOKUP($B16,Resultat!$D:$D,Resultat!$AL:$AL,-1,0),0,R$2-1)</f>
        <v>0</v>
      </c>
      <c r="S16" s="32">
        <f ca="1">OFFSET(_xlfn.XLOOKUP($B16,Resultat!$D:$D,Resultat!$E:$E,-1,0),0,R$2-1)</f>
        <v>0</v>
      </c>
      <c r="T16" s="33">
        <f ca="1">OFFSET(_xlfn.XLOOKUP($B16,Resultat!$D:$D,Resultat!$AL:$AL,-1,0),0,T$2-1)</f>
        <v>0</v>
      </c>
      <c r="U16" s="32">
        <f ca="1">OFFSET(_xlfn.XLOOKUP($B16,Resultat!$D:$D,Resultat!$E:$E,-1,0),0,T$2-1)</f>
        <v>0</v>
      </c>
      <c r="V16" s="33">
        <f ca="1">OFFSET(_xlfn.XLOOKUP($B16,Resultat!$D:$D,Resultat!$AL:$AL,-1,0),0,V$2-1)</f>
        <v>0</v>
      </c>
      <c r="W16" s="32">
        <f ca="1">OFFSET(_xlfn.XLOOKUP($B16,Resultat!$D:$D,Resultat!$E:$E,-1,0),0,V$2-1)</f>
        <v>0</v>
      </c>
      <c r="X16" s="33">
        <f ca="1">OFFSET(_xlfn.XLOOKUP($B16,Resultat!$D:$D,Resultat!$AL:$AL,-1,0),0,X$2-1)</f>
        <v>0</v>
      </c>
      <c r="Y16" s="32">
        <f ca="1">OFFSET(_xlfn.XLOOKUP($B16,Resultat!$D:$D,Resultat!$E:$E,-1,0),0,X$2-1)</f>
        <v>0</v>
      </c>
      <c r="Z16" s="33">
        <f ca="1">OFFSET(_xlfn.XLOOKUP($B16,Resultat!$D:$D,Resultat!$AL:$AL,-1,0),0,Z$2-1)</f>
        <v>0</v>
      </c>
      <c r="AA16" s="32">
        <f ca="1">OFFSET(_xlfn.XLOOKUP($B16,Resultat!$D:$D,Resultat!$E:$E,-1,0),0,Z$2-1)</f>
        <v>0</v>
      </c>
      <c r="AB16" s="33">
        <f ca="1">OFFSET(_xlfn.XLOOKUP($B16,Resultat!$D:$D,Resultat!$AL:$AL,-1,0),0,AB$2-1)</f>
        <v>0</v>
      </c>
      <c r="AC16" s="32">
        <f ca="1">OFFSET(_xlfn.XLOOKUP($B16,Resultat!$D:$D,Resultat!$E:$E,-1,0),0,AB$2-1)</f>
        <v>0</v>
      </c>
      <c r="AD16" s="33">
        <f ca="1">OFFSET(_xlfn.XLOOKUP($B16,Resultat!$D:$D,Resultat!$AL:$AL,-1,0),0,AD$2-1)</f>
        <v>0</v>
      </c>
      <c r="AE16" s="32">
        <f ca="1">OFFSET(_xlfn.XLOOKUP($B16,Resultat!$D:$D,Resultat!$E:$E,-1,0),0,AD$2-1)</f>
        <v>0</v>
      </c>
      <c r="AF16" s="33">
        <f ca="1">OFFSET(_xlfn.XLOOKUP($B16,Resultat!$D:$D,Resultat!$AL:$AL,-1,0),0,AF$2-1)</f>
        <v>0</v>
      </c>
      <c r="AG16" s="32">
        <f ca="1">OFFSET(_xlfn.XLOOKUP($B16,Resultat!$D:$D,Resultat!$E:$E,-1,0),0,AF$2-1)</f>
        <v>0</v>
      </c>
    </row>
    <row r="17" spans="1:33" s="22" customFormat="1" ht="15.6" customHeight="1" x14ac:dyDescent="0.25">
      <c r="A17" s="44">
        <f ca="1">_xlfn.XLOOKUP($B17,Resultat!$D:$D,Resultat!$Z:$Z,-1,0)</f>
        <v>13</v>
      </c>
      <c r="B17" s="21" t="s">
        <v>42</v>
      </c>
      <c r="C17" s="43">
        <f ca="1">_xlfn.XLOOKUP($B17,Resultat!$D:$D,Resultat!$AA:$AA,-1,0)</f>
        <v>13</v>
      </c>
      <c r="D17" s="28">
        <f ca="1">OFFSET(_xlfn.XLOOKUP($B17,Resultat!$D:$D,Resultat!$AL:$AL,-1,0),0,D$2-1)</f>
        <v>13</v>
      </c>
      <c r="E17" s="32">
        <f ca="1">OFFSET(_xlfn.XLOOKUP($B17,Resultat!$D:$D,Resultat!$E:$E,-1,0),0,D$2-1)</f>
        <v>26.47</v>
      </c>
      <c r="F17" s="28">
        <f ca="1">OFFSET(_xlfn.XLOOKUP($B17,Resultat!$D:$D,Resultat!$AL:$AL,-1,0),0,F$2-1)</f>
        <v>0</v>
      </c>
      <c r="G17" s="32">
        <f ca="1">OFFSET(_xlfn.XLOOKUP($B17,Resultat!$D:$D,Resultat!$E:$E,-1,0),0,F$2-1)</f>
        <v>0</v>
      </c>
      <c r="H17" s="31">
        <f ca="1">OFFSET(_xlfn.XLOOKUP($B17,Resultat!$D:$D,Resultat!$AL:$AL,-1,0),0,H$2-1)</f>
        <v>0</v>
      </c>
      <c r="I17" s="32">
        <f ca="1">OFFSET(_xlfn.XLOOKUP($B17,Resultat!$D:$D,Resultat!$E:$E,-1,0),0,H$2-1)</f>
        <v>0</v>
      </c>
      <c r="J17" s="30">
        <f ca="1">OFFSET(_xlfn.XLOOKUP($B17,Resultat!$D:$D,Resultat!$AL:$AL,-1,0),0,J$2-1)</f>
        <v>0</v>
      </c>
      <c r="K17" s="32">
        <f ca="1">OFFSET(_xlfn.XLOOKUP($B17,Resultat!$D:$D,Resultat!$E:$E,-1,0),0,J$2-1)</f>
        <v>0</v>
      </c>
      <c r="L17" s="33">
        <f ca="1">OFFSET(_xlfn.XLOOKUP($B17,Resultat!$D:$D,Resultat!$AL:$AL,-1,0),0,L$2-1)</f>
        <v>0</v>
      </c>
      <c r="M17" s="32">
        <f ca="1">OFFSET(_xlfn.XLOOKUP($B17,Resultat!$D:$D,Resultat!$E:$E,-1,0),0,L$2-1)</f>
        <v>0</v>
      </c>
      <c r="N17" s="33">
        <f ca="1">OFFSET(_xlfn.XLOOKUP($B17,Resultat!$D:$D,Resultat!$AL:$AL,-1,0),0,N$2-1)</f>
        <v>0</v>
      </c>
      <c r="O17" s="32">
        <f ca="1">OFFSET(_xlfn.XLOOKUP($B17,Resultat!$D:$D,Resultat!$E:$E,-1,0),0,N$2-1)</f>
        <v>0</v>
      </c>
      <c r="P17" s="33">
        <f ca="1">OFFSET(_xlfn.XLOOKUP($B17,Resultat!$D:$D,Resultat!$AL:$AL,-1,0),0,P$2-1)</f>
        <v>0</v>
      </c>
      <c r="Q17" s="32">
        <f ca="1">OFFSET(_xlfn.XLOOKUP($B17,Resultat!$D:$D,Resultat!$E:$E,-1,0),0,P$2-1)</f>
        <v>0</v>
      </c>
      <c r="R17" s="33">
        <f ca="1">OFFSET(_xlfn.XLOOKUP($B17,Resultat!$D:$D,Resultat!$AL:$AL,-1,0),0,R$2-1)</f>
        <v>0</v>
      </c>
      <c r="S17" s="32">
        <f ca="1">OFFSET(_xlfn.XLOOKUP($B17,Resultat!$D:$D,Resultat!$E:$E,-1,0),0,R$2-1)</f>
        <v>0</v>
      </c>
      <c r="T17" s="33">
        <f ca="1">OFFSET(_xlfn.XLOOKUP($B17,Resultat!$D:$D,Resultat!$AL:$AL,-1,0),0,T$2-1)</f>
        <v>0</v>
      </c>
      <c r="U17" s="32">
        <f ca="1">OFFSET(_xlfn.XLOOKUP($B17,Resultat!$D:$D,Resultat!$E:$E,-1,0),0,T$2-1)</f>
        <v>0</v>
      </c>
      <c r="V17" s="33">
        <f ca="1">OFFSET(_xlfn.XLOOKUP($B17,Resultat!$D:$D,Resultat!$AL:$AL,-1,0),0,V$2-1)</f>
        <v>0</v>
      </c>
      <c r="W17" s="32">
        <f ca="1">OFFSET(_xlfn.XLOOKUP($B17,Resultat!$D:$D,Resultat!$E:$E,-1,0),0,V$2-1)</f>
        <v>0</v>
      </c>
      <c r="X17" s="33">
        <f ca="1">OFFSET(_xlfn.XLOOKUP($B17,Resultat!$D:$D,Resultat!$AL:$AL,-1,0),0,X$2-1)</f>
        <v>0</v>
      </c>
      <c r="Y17" s="32">
        <f ca="1">OFFSET(_xlfn.XLOOKUP($B17,Resultat!$D:$D,Resultat!$E:$E,-1,0),0,X$2-1)</f>
        <v>0</v>
      </c>
      <c r="Z17" s="33">
        <f ca="1">OFFSET(_xlfn.XLOOKUP($B17,Resultat!$D:$D,Resultat!$AL:$AL,-1,0),0,Z$2-1)</f>
        <v>0</v>
      </c>
      <c r="AA17" s="32">
        <f ca="1">OFFSET(_xlfn.XLOOKUP($B17,Resultat!$D:$D,Resultat!$E:$E,-1,0),0,Z$2-1)</f>
        <v>0</v>
      </c>
      <c r="AB17" s="33">
        <f ca="1">OFFSET(_xlfn.XLOOKUP($B17,Resultat!$D:$D,Resultat!$AL:$AL,-1,0),0,AB$2-1)</f>
        <v>0</v>
      </c>
      <c r="AC17" s="32">
        <f ca="1">OFFSET(_xlfn.XLOOKUP($B17,Resultat!$D:$D,Resultat!$E:$E,-1,0),0,AB$2-1)</f>
        <v>0</v>
      </c>
      <c r="AD17" s="33">
        <f ca="1">OFFSET(_xlfn.XLOOKUP($B17,Resultat!$D:$D,Resultat!$AL:$AL,-1,0),0,AD$2-1)</f>
        <v>0</v>
      </c>
      <c r="AE17" s="32">
        <f ca="1">OFFSET(_xlfn.XLOOKUP($B17,Resultat!$D:$D,Resultat!$E:$E,-1,0),0,AD$2-1)</f>
        <v>0</v>
      </c>
      <c r="AF17" s="33">
        <f ca="1">OFFSET(_xlfn.XLOOKUP($B17,Resultat!$D:$D,Resultat!$AL:$AL,-1,0),0,AF$2-1)</f>
        <v>0</v>
      </c>
      <c r="AG17" s="32">
        <f ca="1">OFFSET(_xlfn.XLOOKUP($B17,Resultat!$D:$D,Resultat!$E:$E,-1,0),0,AF$2-1)</f>
        <v>0</v>
      </c>
    </row>
    <row r="18" spans="1:33" s="22" customFormat="1" ht="15.6" customHeight="1" x14ac:dyDescent="0.25">
      <c r="A18" s="44">
        <f ca="1">_xlfn.XLOOKUP($B18,Resultat!$D:$D,Resultat!$Z:$Z,-1,0)</f>
        <v>14</v>
      </c>
      <c r="B18" s="21" t="s">
        <v>79</v>
      </c>
      <c r="C18" s="43">
        <f ca="1">_xlfn.XLOOKUP($B18,Resultat!$D:$D,Resultat!$AA:$AA,-1,0)</f>
        <v>14</v>
      </c>
      <c r="D18" s="28">
        <f ca="1">OFFSET(_xlfn.XLOOKUP($B18,Resultat!$D:$D,Resultat!$AL:$AL,-1,0),0,D$2-1)</f>
        <v>14</v>
      </c>
      <c r="E18" s="32">
        <f ca="1">OFFSET(_xlfn.XLOOKUP($B18,Resultat!$D:$D,Resultat!$E:$E,-1,0),0,D$2-1)</f>
        <v>25.4</v>
      </c>
      <c r="F18" s="28">
        <f ca="1">OFFSET(_xlfn.XLOOKUP($B18,Resultat!$D:$D,Resultat!$AL:$AL,-1,0),0,F$2-1)</f>
        <v>0</v>
      </c>
      <c r="G18" s="32">
        <f ca="1">OFFSET(_xlfn.XLOOKUP($B18,Resultat!$D:$D,Resultat!$E:$E,-1,0),0,F$2-1)</f>
        <v>0</v>
      </c>
      <c r="H18" s="31">
        <f ca="1">OFFSET(_xlfn.XLOOKUP($B18,Resultat!$D:$D,Resultat!$AL:$AL,-1,0),0,H$2-1)</f>
        <v>0</v>
      </c>
      <c r="I18" s="32">
        <f ca="1">OFFSET(_xlfn.XLOOKUP($B18,Resultat!$D:$D,Resultat!$E:$E,-1,0),0,H$2-1)</f>
        <v>0</v>
      </c>
      <c r="J18" s="30">
        <f ca="1">OFFSET(_xlfn.XLOOKUP($B18,Resultat!$D:$D,Resultat!$AL:$AL,-1,0),0,J$2-1)</f>
        <v>0</v>
      </c>
      <c r="K18" s="32">
        <f ca="1">OFFSET(_xlfn.XLOOKUP($B18,Resultat!$D:$D,Resultat!$E:$E,-1,0),0,J$2-1)</f>
        <v>0</v>
      </c>
      <c r="L18" s="33">
        <f ca="1">OFFSET(_xlfn.XLOOKUP($B18,Resultat!$D:$D,Resultat!$AL:$AL,-1,0),0,L$2-1)</f>
        <v>0</v>
      </c>
      <c r="M18" s="32">
        <f ca="1">OFFSET(_xlfn.XLOOKUP($B18,Resultat!$D:$D,Resultat!$E:$E,-1,0),0,L$2-1)</f>
        <v>0</v>
      </c>
      <c r="N18" s="33">
        <f ca="1">OFFSET(_xlfn.XLOOKUP($B18,Resultat!$D:$D,Resultat!$AL:$AL,-1,0),0,N$2-1)</f>
        <v>0</v>
      </c>
      <c r="O18" s="32">
        <f ca="1">OFFSET(_xlfn.XLOOKUP($B18,Resultat!$D:$D,Resultat!$E:$E,-1,0),0,N$2-1)</f>
        <v>0</v>
      </c>
      <c r="P18" s="33">
        <f ca="1">OFFSET(_xlfn.XLOOKUP($B18,Resultat!$D:$D,Resultat!$AL:$AL,-1,0),0,P$2-1)</f>
        <v>0</v>
      </c>
      <c r="Q18" s="32">
        <f ca="1">OFFSET(_xlfn.XLOOKUP($B18,Resultat!$D:$D,Resultat!$E:$E,-1,0),0,P$2-1)</f>
        <v>0</v>
      </c>
      <c r="R18" s="33">
        <f ca="1">OFFSET(_xlfn.XLOOKUP($B18,Resultat!$D:$D,Resultat!$AL:$AL,-1,0),0,R$2-1)</f>
        <v>0</v>
      </c>
      <c r="S18" s="32">
        <f ca="1">OFFSET(_xlfn.XLOOKUP($B18,Resultat!$D:$D,Resultat!$E:$E,-1,0),0,R$2-1)</f>
        <v>0</v>
      </c>
      <c r="T18" s="33">
        <f ca="1">OFFSET(_xlfn.XLOOKUP($B18,Resultat!$D:$D,Resultat!$AL:$AL,-1,0),0,T$2-1)</f>
        <v>0</v>
      </c>
      <c r="U18" s="32">
        <f ca="1">OFFSET(_xlfn.XLOOKUP($B18,Resultat!$D:$D,Resultat!$E:$E,-1,0),0,T$2-1)</f>
        <v>0</v>
      </c>
      <c r="V18" s="33">
        <f ca="1">OFFSET(_xlfn.XLOOKUP($B18,Resultat!$D:$D,Resultat!$AL:$AL,-1,0),0,V$2-1)</f>
        <v>0</v>
      </c>
      <c r="W18" s="32">
        <f ca="1">OFFSET(_xlfn.XLOOKUP($B18,Resultat!$D:$D,Resultat!$E:$E,-1,0),0,V$2-1)</f>
        <v>0</v>
      </c>
      <c r="X18" s="33">
        <f ca="1">OFFSET(_xlfn.XLOOKUP($B18,Resultat!$D:$D,Resultat!$AL:$AL,-1,0),0,X$2-1)</f>
        <v>0</v>
      </c>
      <c r="Y18" s="32">
        <f ca="1">OFFSET(_xlfn.XLOOKUP($B18,Resultat!$D:$D,Resultat!$E:$E,-1,0),0,X$2-1)</f>
        <v>0</v>
      </c>
      <c r="Z18" s="33">
        <f ca="1">OFFSET(_xlfn.XLOOKUP($B18,Resultat!$D:$D,Resultat!$AL:$AL,-1,0),0,Z$2-1)</f>
        <v>0</v>
      </c>
      <c r="AA18" s="32">
        <f ca="1">OFFSET(_xlfn.XLOOKUP($B18,Resultat!$D:$D,Resultat!$E:$E,-1,0),0,Z$2-1)</f>
        <v>0</v>
      </c>
      <c r="AB18" s="33">
        <f ca="1">OFFSET(_xlfn.XLOOKUP($B18,Resultat!$D:$D,Resultat!$AL:$AL,-1,0),0,AB$2-1)</f>
        <v>0</v>
      </c>
      <c r="AC18" s="32">
        <f ca="1">OFFSET(_xlfn.XLOOKUP($B18,Resultat!$D:$D,Resultat!$E:$E,-1,0),0,AB$2-1)</f>
        <v>0</v>
      </c>
      <c r="AD18" s="33">
        <f ca="1">OFFSET(_xlfn.XLOOKUP($B18,Resultat!$D:$D,Resultat!$AL:$AL,-1,0),0,AD$2-1)</f>
        <v>0</v>
      </c>
      <c r="AE18" s="32">
        <f ca="1">OFFSET(_xlfn.XLOOKUP($B18,Resultat!$D:$D,Resultat!$E:$E,-1,0),0,AD$2-1)</f>
        <v>0</v>
      </c>
      <c r="AF18" s="33">
        <f ca="1">OFFSET(_xlfn.XLOOKUP($B18,Resultat!$D:$D,Resultat!$AL:$AL,-1,0),0,AF$2-1)</f>
        <v>0</v>
      </c>
      <c r="AG18" s="32">
        <f ca="1">OFFSET(_xlfn.XLOOKUP($B18,Resultat!$D:$D,Resultat!$E:$E,-1,0),0,AF$2-1)</f>
        <v>0</v>
      </c>
    </row>
    <row r="19" spans="1:33" s="22" customFormat="1" ht="15.6" customHeight="1" x14ac:dyDescent="0.25">
      <c r="A19" s="44">
        <f ca="1">_xlfn.XLOOKUP($B19,Resultat!$D:$D,Resultat!$Z:$Z,-1,0)</f>
        <v>15</v>
      </c>
      <c r="B19" s="21" t="s">
        <v>76</v>
      </c>
      <c r="C19" s="43">
        <f ca="1">_xlfn.XLOOKUP($B19,Resultat!$D:$D,Resultat!$AA:$AA,-1,0)</f>
        <v>9999</v>
      </c>
      <c r="D19" s="28">
        <f ca="1">OFFSET(_xlfn.XLOOKUP($B19,Resultat!$D:$D,Resultat!$AL:$AL,-1,0),0,D$2-1)</f>
        <v>15</v>
      </c>
      <c r="E19" s="32">
        <f ca="1">OFFSET(_xlfn.XLOOKUP($B19,Resultat!$D:$D,Resultat!$E:$E,-1,0),0,D$2-1)</f>
        <v>0</v>
      </c>
      <c r="F19" s="28">
        <f ca="1">OFFSET(_xlfn.XLOOKUP($B19,Resultat!$D:$D,Resultat!$AL:$AL,-1,0),0,F$2-1)</f>
        <v>0</v>
      </c>
      <c r="G19" s="32">
        <f ca="1">OFFSET(_xlfn.XLOOKUP($B19,Resultat!$D:$D,Resultat!$E:$E,-1,0),0,F$2-1)</f>
        <v>0</v>
      </c>
      <c r="H19" s="31">
        <f ca="1">OFFSET(_xlfn.XLOOKUP($B19,Resultat!$D:$D,Resultat!$AL:$AL,-1,0),0,H$2-1)</f>
        <v>0</v>
      </c>
      <c r="I19" s="32">
        <f ca="1">OFFSET(_xlfn.XLOOKUP($B19,Resultat!$D:$D,Resultat!$E:$E,-1,0),0,H$2-1)</f>
        <v>0</v>
      </c>
      <c r="J19" s="30">
        <f ca="1">OFFSET(_xlfn.XLOOKUP($B19,Resultat!$D:$D,Resultat!$AL:$AL,-1,0),0,J$2-1)</f>
        <v>0</v>
      </c>
      <c r="K19" s="32">
        <f ca="1">OFFSET(_xlfn.XLOOKUP($B19,Resultat!$D:$D,Resultat!$E:$E,-1,0),0,J$2-1)</f>
        <v>0</v>
      </c>
      <c r="L19" s="33">
        <f ca="1">OFFSET(_xlfn.XLOOKUP($B19,Resultat!$D:$D,Resultat!$AL:$AL,-1,0),0,L$2-1)</f>
        <v>0</v>
      </c>
      <c r="M19" s="32">
        <f ca="1">OFFSET(_xlfn.XLOOKUP($B19,Resultat!$D:$D,Resultat!$E:$E,-1,0),0,L$2-1)</f>
        <v>0</v>
      </c>
      <c r="N19" s="33">
        <f ca="1">OFFSET(_xlfn.XLOOKUP($B19,Resultat!$D:$D,Resultat!$AL:$AL,-1,0),0,N$2-1)</f>
        <v>0</v>
      </c>
      <c r="O19" s="32">
        <f ca="1">OFFSET(_xlfn.XLOOKUP($B19,Resultat!$D:$D,Resultat!$E:$E,-1,0),0,N$2-1)</f>
        <v>0</v>
      </c>
      <c r="P19" s="33">
        <f ca="1">OFFSET(_xlfn.XLOOKUP($B19,Resultat!$D:$D,Resultat!$AL:$AL,-1,0),0,P$2-1)</f>
        <v>0</v>
      </c>
      <c r="Q19" s="32">
        <f ca="1">OFFSET(_xlfn.XLOOKUP($B19,Resultat!$D:$D,Resultat!$E:$E,-1,0),0,P$2-1)</f>
        <v>0</v>
      </c>
      <c r="R19" s="33">
        <f ca="1">OFFSET(_xlfn.XLOOKUP($B19,Resultat!$D:$D,Resultat!$AL:$AL,-1,0),0,R$2-1)</f>
        <v>0</v>
      </c>
      <c r="S19" s="32">
        <f ca="1">OFFSET(_xlfn.XLOOKUP($B19,Resultat!$D:$D,Resultat!$E:$E,-1,0),0,R$2-1)</f>
        <v>0</v>
      </c>
      <c r="T19" s="33">
        <f ca="1">OFFSET(_xlfn.XLOOKUP($B19,Resultat!$D:$D,Resultat!$AL:$AL,-1,0),0,T$2-1)</f>
        <v>0</v>
      </c>
      <c r="U19" s="32">
        <f ca="1">OFFSET(_xlfn.XLOOKUP($B19,Resultat!$D:$D,Resultat!$E:$E,-1,0),0,T$2-1)</f>
        <v>0</v>
      </c>
      <c r="V19" s="33">
        <f ca="1">OFFSET(_xlfn.XLOOKUP($B19,Resultat!$D:$D,Resultat!$AL:$AL,-1,0),0,V$2-1)</f>
        <v>0</v>
      </c>
      <c r="W19" s="32">
        <f ca="1">OFFSET(_xlfn.XLOOKUP($B19,Resultat!$D:$D,Resultat!$E:$E,-1,0),0,V$2-1)</f>
        <v>0</v>
      </c>
      <c r="X19" s="33">
        <f ca="1">OFFSET(_xlfn.XLOOKUP($B19,Resultat!$D:$D,Resultat!$AL:$AL,-1,0),0,X$2-1)</f>
        <v>0</v>
      </c>
      <c r="Y19" s="32">
        <f ca="1">OFFSET(_xlfn.XLOOKUP($B19,Resultat!$D:$D,Resultat!$E:$E,-1,0),0,X$2-1)</f>
        <v>0</v>
      </c>
      <c r="Z19" s="33">
        <f ca="1">OFFSET(_xlfn.XLOOKUP($B19,Resultat!$D:$D,Resultat!$AL:$AL,-1,0),0,Z$2-1)</f>
        <v>0</v>
      </c>
      <c r="AA19" s="32">
        <f ca="1">OFFSET(_xlfn.XLOOKUP($B19,Resultat!$D:$D,Resultat!$E:$E,-1,0),0,Z$2-1)</f>
        <v>0</v>
      </c>
      <c r="AB19" s="33">
        <f ca="1">OFFSET(_xlfn.XLOOKUP($B19,Resultat!$D:$D,Resultat!$AL:$AL,-1,0),0,AB$2-1)</f>
        <v>0</v>
      </c>
      <c r="AC19" s="32">
        <f ca="1">OFFSET(_xlfn.XLOOKUP($B19,Resultat!$D:$D,Resultat!$E:$E,-1,0),0,AB$2-1)</f>
        <v>0</v>
      </c>
      <c r="AD19" s="33">
        <f ca="1">OFFSET(_xlfn.XLOOKUP($B19,Resultat!$D:$D,Resultat!$AL:$AL,-1,0),0,AD$2-1)</f>
        <v>0</v>
      </c>
      <c r="AE19" s="32">
        <f ca="1">OFFSET(_xlfn.XLOOKUP($B19,Resultat!$D:$D,Resultat!$E:$E,-1,0),0,AD$2-1)</f>
        <v>0</v>
      </c>
      <c r="AF19" s="33">
        <f ca="1">OFFSET(_xlfn.XLOOKUP($B19,Resultat!$D:$D,Resultat!$AL:$AL,-1,0),0,AF$2-1)</f>
        <v>0</v>
      </c>
      <c r="AG19" s="32">
        <f ca="1">OFFSET(_xlfn.XLOOKUP($B19,Resultat!$D:$D,Resultat!$E:$E,-1,0),0,AF$2-1)</f>
        <v>0</v>
      </c>
    </row>
    <row r="20" spans="1:33" s="22" customFormat="1" ht="15.6" customHeight="1" x14ac:dyDescent="0.25">
      <c r="A20" s="44">
        <f ca="1">_xlfn.XLOOKUP($B20,Resultat!$D:$D,Resultat!$Z:$Z,-1,0)</f>
        <v>15</v>
      </c>
      <c r="B20" s="21" t="s">
        <v>75</v>
      </c>
      <c r="C20" s="43">
        <f ca="1">_xlfn.XLOOKUP($B20,Resultat!$D:$D,Resultat!$AA:$AA,-1,0)</f>
        <v>9999</v>
      </c>
      <c r="D20" s="28">
        <f ca="1">OFFSET(_xlfn.XLOOKUP($B20,Resultat!$D:$D,Resultat!$AL:$AL,-1,0),0,D$2-1)</f>
        <v>15</v>
      </c>
      <c r="E20" s="32">
        <f ca="1">OFFSET(_xlfn.XLOOKUP($B20,Resultat!$D:$D,Resultat!$E:$E,-1,0),0,D$2-1)</f>
        <v>0</v>
      </c>
      <c r="F20" s="28">
        <f ca="1">OFFSET(_xlfn.XLOOKUP($B20,Resultat!$D:$D,Resultat!$AL:$AL,-1,0),0,F$2-1)</f>
        <v>0</v>
      </c>
      <c r="G20" s="32">
        <f ca="1">OFFSET(_xlfn.XLOOKUP($B20,Resultat!$D:$D,Resultat!$E:$E,-1,0),0,F$2-1)</f>
        <v>0</v>
      </c>
      <c r="H20" s="31">
        <f ca="1">OFFSET(_xlfn.XLOOKUP($B20,Resultat!$D:$D,Resultat!$AL:$AL,-1,0),0,H$2-1)</f>
        <v>0</v>
      </c>
      <c r="I20" s="32">
        <f ca="1">OFFSET(_xlfn.XLOOKUP($B20,Resultat!$D:$D,Resultat!$E:$E,-1,0),0,H$2-1)</f>
        <v>0</v>
      </c>
      <c r="J20" s="30">
        <f ca="1">OFFSET(_xlfn.XLOOKUP($B20,Resultat!$D:$D,Resultat!$AL:$AL,-1,0),0,J$2-1)</f>
        <v>0</v>
      </c>
      <c r="K20" s="32">
        <f ca="1">OFFSET(_xlfn.XLOOKUP($B20,Resultat!$D:$D,Resultat!$E:$E,-1,0),0,J$2-1)</f>
        <v>0</v>
      </c>
      <c r="L20" s="33">
        <f ca="1">OFFSET(_xlfn.XLOOKUP($B20,Resultat!$D:$D,Resultat!$AL:$AL,-1,0),0,L$2-1)</f>
        <v>0</v>
      </c>
      <c r="M20" s="32">
        <f ca="1">OFFSET(_xlfn.XLOOKUP($B20,Resultat!$D:$D,Resultat!$E:$E,-1,0),0,L$2-1)</f>
        <v>0</v>
      </c>
      <c r="N20" s="33">
        <f ca="1">OFFSET(_xlfn.XLOOKUP($B20,Resultat!$D:$D,Resultat!$AL:$AL,-1,0),0,N$2-1)</f>
        <v>0</v>
      </c>
      <c r="O20" s="32">
        <f ca="1">OFFSET(_xlfn.XLOOKUP($B20,Resultat!$D:$D,Resultat!$E:$E,-1,0),0,N$2-1)</f>
        <v>0</v>
      </c>
      <c r="P20" s="33">
        <f ca="1">OFFSET(_xlfn.XLOOKUP($B20,Resultat!$D:$D,Resultat!$AL:$AL,-1,0),0,P$2-1)</f>
        <v>0</v>
      </c>
      <c r="Q20" s="32">
        <f ca="1">OFFSET(_xlfn.XLOOKUP($B20,Resultat!$D:$D,Resultat!$E:$E,-1,0),0,P$2-1)</f>
        <v>0</v>
      </c>
      <c r="R20" s="33">
        <f ca="1">OFFSET(_xlfn.XLOOKUP($B20,Resultat!$D:$D,Resultat!$AL:$AL,-1,0),0,R$2-1)</f>
        <v>0</v>
      </c>
      <c r="S20" s="32">
        <f ca="1">OFFSET(_xlfn.XLOOKUP($B20,Resultat!$D:$D,Resultat!$E:$E,-1,0),0,R$2-1)</f>
        <v>0</v>
      </c>
      <c r="T20" s="33">
        <f ca="1">OFFSET(_xlfn.XLOOKUP($B20,Resultat!$D:$D,Resultat!$AL:$AL,-1,0),0,T$2-1)</f>
        <v>0</v>
      </c>
      <c r="U20" s="32">
        <f ca="1">OFFSET(_xlfn.XLOOKUP($B20,Resultat!$D:$D,Resultat!$E:$E,-1,0),0,T$2-1)</f>
        <v>0</v>
      </c>
      <c r="V20" s="33">
        <f ca="1">OFFSET(_xlfn.XLOOKUP($B20,Resultat!$D:$D,Resultat!$AL:$AL,-1,0),0,V$2-1)</f>
        <v>0</v>
      </c>
      <c r="W20" s="32">
        <f ca="1">OFFSET(_xlfn.XLOOKUP($B20,Resultat!$D:$D,Resultat!$E:$E,-1,0),0,V$2-1)</f>
        <v>0</v>
      </c>
      <c r="X20" s="33">
        <f ca="1">OFFSET(_xlfn.XLOOKUP($B20,Resultat!$D:$D,Resultat!$AL:$AL,-1,0),0,X$2-1)</f>
        <v>0</v>
      </c>
      <c r="Y20" s="32">
        <f ca="1">OFFSET(_xlfn.XLOOKUP($B20,Resultat!$D:$D,Resultat!$E:$E,-1,0),0,X$2-1)</f>
        <v>0</v>
      </c>
      <c r="Z20" s="33">
        <f ca="1">OFFSET(_xlfn.XLOOKUP($B20,Resultat!$D:$D,Resultat!$AL:$AL,-1,0),0,Z$2-1)</f>
        <v>0</v>
      </c>
      <c r="AA20" s="32">
        <f ca="1">OFFSET(_xlfn.XLOOKUP($B20,Resultat!$D:$D,Resultat!$E:$E,-1,0),0,Z$2-1)</f>
        <v>0</v>
      </c>
      <c r="AB20" s="33">
        <f ca="1">OFFSET(_xlfn.XLOOKUP($B20,Resultat!$D:$D,Resultat!$AL:$AL,-1,0),0,AB$2-1)</f>
        <v>0</v>
      </c>
      <c r="AC20" s="32">
        <f ca="1">OFFSET(_xlfn.XLOOKUP($B20,Resultat!$D:$D,Resultat!$E:$E,-1,0),0,AB$2-1)</f>
        <v>0</v>
      </c>
      <c r="AD20" s="33">
        <f ca="1">OFFSET(_xlfn.XLOOKUP($B20,Resultat!$D:$D,Resultat!$AL:$AL,-1,0),0,AD$2-1)</f>
        <v>0</v>
      </c>
      <c r="AE20" s="32">
        <f ca="1">OFFSET(_xlfn.XLOOKUP($B20,Resultat!$D:$D,Resultat!$E:$E,-1,0),0,AD$2-1)</f>
        <v>0</v>
      </c>
      <c r="AF20" s="33">
        <f ca="1">OFFSET(_xlfn.XLOOKUP($B20,Resultat!$D:$D,Resultat!$AL:$AL,-1,0),0,AF$2-1)</f>
        <v>0</v>
      </c>
      <c r="AG20" s="32">
        <f ca="1">OFFSET(_xlfn.XLOOKUP($B20,Resultat!$D:$D,Resultat!$E:$E,-1,0),0,AF$2-1)</f>
        <v>0</v>
      </c>
    </row>
    <row r="21" spans="1:33" s="22" customFormat="1" ht="15.6" customHeight="1" x14ac:dyDescent="0.25">
      <c r="A21" s="44">
        <f ca="1">_xlfn.XLOOKUP($B21,Resultat!$D:$D,Resultat!$Z:$Z,-1,0)</f>
        <v>15</v>
      </c>
      <c r="B21" s="21" t="s">
        <v>46</v>
      </c>
      <c r="C21" s="43">
        <f ca="1">_xlfn.XLOOKUP($B21,Resultat!$D:$D,Resultat!$AA:$AA,-1,0)</f>
        <v>9999</v>
      </c>
      <c r="D21" s="28">
        <f ca="1">OFFSET(_xlfn.XLOOKUP($B21,Resultat!$D:$D,Resultat!$AL:$AL,-1,0),0,D$2-1)</f>
        <v>15</v>
      </c>
      <c r="E21" s="32">
        <f ca="1">OFFSET(_xlfn.XLOOKUP($B21,Resultat!$D:$D,Resultat!$E:$E,-1,0),0,D$2-1)</f>
        <v>0</v>
      </c>
      <c r="F21" s="28">
        <f ca="1">OFFSET(_xlfn.XLOOKUP($B21,Resultat!$D:$D,Resultat!$AL:$AL,-1,0),0,F$2-1)</f>
        <v>0</v>
      </c>
      <c r="G21" s="32">
        <f ca="1">OFFSET(_xlfn.XLOOKUP($B21,Resultat!$D:$D,Resultat!$E:$E,-1,0),0,F$2-1)</f>
        <v>0</v>
      </c>
      <c r="H21" s="31">
        <f ca="1">OFFSET(_xlfn.XLOOKUP($B21,Resultat!$D:$D,Resultat!$AL:$AL,-1,0),0,H$2-1)</f>
        <v>0</v>
      </c>
      <c r="I21" s="32">
        <f ca="1">OFFSET(_xlfn.XLOOKUP($B21,Resultat!$D:$D,Resultat!$E:$E,-1,0),0,H$2-1)</f>
        <v>0</v>
      </c>
      <c r="J21" s="30">
        <f ca="1">OFFSET(_xlfn.XLOOKUP($B21,Resultat!$D:$D,Resultat!$AL:$AL,-1,0),0,J$2-1)</f>
        <v>0</v>
      </c>
      <c r="K21" s="32">
        <f ca="1">OFFSET(_xlfn.XLOOKUP($B21,Resultat!$D:$D,Resultat!$E:$E,-1,0),0,J$2-1)</f>
        <v>0</v>
      </c>
      <c r="L21" s="33">
        <f ca="1">OFFSET(_xlfn.XLOOKUP($B21,Resultat!$D:$D,Resultat!$AL:$AL,-1,0),0,L$2-1)</f>
        <v>0</v>
      </c>
      <c r="M21" s="32">
        <f ca="1">OFFSET(_xlfn.XLOOKUP($B21,Resultat!$D:$D,Resultat!$E:$E,-1,0),0,L$2-1)</f>
        <v>0</v>
      </c>
      <c r="N21" s="33">
        <f ca="1">OFFSET(_xlfn.XLOOKUP($B21,Resultat!$D:$D,Resultat!$AL:$AL,-1,0),0,N$2-1)</f>
        <v>0</v>
      </c>
      <c r="O21" s="32">
        <f ca="1">OFFSET(_xlfn.XLOOKUP($B21,Resultat!$D:$D,Resultat!$E:$E,-1,0),0,N$2-1)</f>
        <v>0</v>
      </c>
      <c r="P21" s="33">
        <f ca="1">OFFSET(_xlfn.XLOOKUP($B21,Resultat!$D:$D,Resultat!$AL:$AL,-1,0),0,P$2-1)</f>
        <v>0</v>
      </c>
      <c r="Q21" s="32">
        <f ca="1">OFFSET(_xlfn.XLOOKUP($B21,Resultat!$D:$D,Resultat!$E:$E,-1,0),0,P$2-1)</f>
        <v>0</v>
      </c>
      <c r="R21" s="33">
        <f ca="1">OFFSET(_xlfn.XLOOKUP($B21,Resultat!$D:$D,Resultat!$AL:$AL,-1,0),0,R$2-1)</f>
        <v>0</v>
      </c>
      <c r="S21" s="32">
        <f ca="1">OFFSET(_xlfn.XLOOKUP($B21,Resultat!$D:$D,Resultat!$E:$E,-1,0),0,R$2-1)</f>
        <v>0</v>
      </c>
      <c r="T21" s="33">
        <f ca="1">OFFSET(_xlfn.XLOOKUP($B21,Resultat!$D:$D,Resultat!$AL:$AL,-1,0),0,T$2-1)</f>
        <v>0</v>
      </c>
      <c r="U21" s="32">
        <f ca="1">OFFSET(_xlfn.XLOOKUP($B21,Resultat!$D:$D,Resultat!$E:$E,-1,0),0,T$2-1)</f>
        <v>0</v>
      </c>
      <c r="V21" s="33">
        <f ca="1">OFFSET(_xlfn.XLOOKUP($B21,Resultat!$D:$D,Resultat!$AL:$AL,-1,0),0,V$2-1)</f>
        <v>0</v>
      </c>
      <c r="W21" s="32">
        <f ca="1">OFFSET(_xlfn.XLOOKUP($B21,Resultat!$D:$D,Resultat!$E:$E,-1,0),0,V$2-1)</f>
        <v>0</v>
      </c>
      <c r="X21" s="33">
        <f ca="1">OFFSET(_xlfn.XLOOKUP($B21,Resultat!$D:$D,Resultat!$AL:$AL,-1,0),0,X$2-1)</f>
        <v>0</v>
      </c>
      <c r="Y21" s="32">
        <f ca="1">OFFSET(_xlfn.XLOOKUP($B21,Resultat!$D:$D,Resultat!$E:$E,-1,0),0,X$2-1)</f>
        <v>0</v>
      </c>
      <c r="Z21" s="33">
        <f ca="1">OFFSET(_xlfn.XLOOKUP($B21,Resultat!$D:$D,Resultat!$AL:$AL,-1,0),0,Z$2-1)</f>
        <v>0</v>
      </c>
      <c r="AA21" s="32">
        <f ca="1">OFFSET(_xlfn.XLOOKUP($B21,Resultat!$D:$D,Resultat!$E:$E,-1,0),0,Z$2-1)</f>
        <v>0</v>
      </c>
      <c r="AB21" s="33">
        <f ca="1">OFFSET(_xlfn.XLOOKUP($B21,Resultat!$D:$D,Resultat!$AL:$AL,-1,0),0,AB$2-1)</f>
        <v>0</v>
      </c>
      <c r="AC21" s="32">
        <f ca="1">OFFSET(_xlfn.XLOOKUP($B21,Resultat!$D:$D,Resultat!$E:$E,-1,0),0,AB$2-1)</f>
        <v>0</v>
      </c>
      <c r="AD21" s="33">
        <f ca="1">OFFSET(_xlfn.XLOOKUP($B21,Resultat!$D:$D,Resultat!$AL:$AL,-1,0),0,AD$2-1)</f>
        <v>0</v>
      </c>
      <c r="AE21" s="32">
        <f ca="1">OFFSET(_xlfn.XLOOKUP($B21,Resultat!$D:$D,Resultat!$E:$E,-1,0),0,AD$2-1)</f>
        <v>0</v>
      </c>
      <c r="AF21" s="33">
        <f ca="1">OFFSET(_xlfn.XLOOKUP($B21,Resultat!$D:$D,Resultat!$AL:$AL,-1,0),0,AF$2-1)</f>
        <v>0</v>
      </c>
      <c r="AG21" s="32">
        <f ca="1">OFFSET(_xlfn.XLOOKUP($B21,Resultat!$D:$D,Resultat!$E:$E,-1,0),0,AF$2-1)</f>
        <v>0</v>
      </c>
    </row>
    <row r="22" spans="1:33" s="22" customFormat="1" ht="15.6" customHeight="1" x14ac:dyDescent="0.25">
      <c r="A22" s="44">
        <f ca="1">_xlfn.XLOOKUP($B22,Resultat!$D:$D,Resultat!$Z:$Z,-1,0)</f>
        <v>15</v>
      </c>
      <c r="B22" s="21" t="s">
        <v>64</v>
      </c>
      <c r="C22" s="43">
        <f ca="1">_xlfn.XLOOKUP($B22,Resultat!$D:$D,Resultat!$AA:$AA,-1,0)</f>
        <v>9999</v>
      </c>
      <c r="D22" s="28">
        <f ca="1">OFFSET(_xlfn.XLOOKUP($B22,Resultat!$D:$D,Resultat!$AL:$AL,-1,0),0,D$2-1)</f>
        <v>15</v>
      </c>
      <c r="E22" s="32">
        <f ca="1">OFFSET(_xlfn.XLOOKUP($B22,Resultat!$D:$D,Resultat!$E:$E,-1,0),0,D$2-1)</f>
        <v>0</v>
      </c>
      <c r="F22" s="28">
        <f ca="1">OFFSET(_xlfn.XLOOKUP($B22,Resultat!$D:$D,Resultat!$AL:$AL,-1,0),0,F$2-1)</f>
        <v>0</v>
      </c>
      <c r="G22" s="32">
        <f ca="1">OFFSET(_xlfn.XLOOKUP($B22,Resultat!$D:$D,Resultat!$E:$E,-1,0),0,F$2-1)</f>
        <v>0</v>
      </c>
      <c r="H22" s="31">
        <f ca="1">OFFSET(_xlfn.XLOOKUP($B22,Resultat!$D:$D,Resultat!$AL:$AL,-1,0),0,H$2-1)</f>
        <v>0</v>
      </c>
      <c r="I22" s="32">
        <f ca="1">OFFSET(_xlfn.XLOOKUP($B22,Resultat!$D:$D,Resultat!$E:$E,-1,0),0,H$2-1)</f>
        <v>0</v>
      </c>
      <c r="J22" s="30">
        <f ca="1">OFFSET(_xlfn.XLOOKUP($B22,Resultat!$D:$D,Resultat!$AL:$AL,-1,0),0,J$2-1)</f>
        <v>0</v>
      </c>
      <c r="K22" s="32">
        <f ca="1">OFFSET(_xlfn.XLOOKUP($B22,Resultat!$D:$D,Resultat!$E:$E,-1,0),0,J$2-1)</f>
        <v>0</v>
      </c>
      <c r="L22" s="33">
        <f ca="1">OFFSET(_xlfn.XLOOKUP($B22,Resultat!$D:$D,Resultat!$AL:$AL,-1,0),0,L$2-1)</f>
        <v>0</v>
      </c>
      <c r="M22" s="32">
        <f ca="1">OFFSET(_xlfn.XLOOKUP($B22,Resultat!$D:$D,Resultat!$E:$E,-1,0),0,L$2-1)</f>
        <v>0</v>
      </c>
      <c r="N22" s="33">
        <f ca="1">OFFSET(_xlfn.XLOOKUP($B22,Resultat!$D:$D,Resultat!$AL:$AL,-1,0),0,N$2-1)</f>
        <v>0</v>
      </c>
      <c r="O22" s="32">
        <f ca="1">OFFSET(_xlfn.XLOOKUP($B22,Resultat!$D:$D,Resultat!$E:$E,-1,0),0,N$2-1)</f>
        <v>0</v>
      </c>
      <c r="P22" s="33">
        <f ca="1">OFFSET(_xlfn.XLOOKUP($B22,Resultat!$D:$D,Resultat!$AL:$AL,-1,0),0,P$2-1)</f>
        <v>0</v>
      </c>
      <c r="Q22" s="32">
        <f ca="1">OFFSET(_xlfn.XLOOKUP($B22,Resultat!$D:$D,Resultat!$E:$E,-1,0),0,P$2-1)</f>
        <v>0</v>
      </c>
      <c r="R22" s="33">
        <f ca="1">OFFSET(_xlfn.XLOOKUP($B22,Resultat!$D:$D,Resultat!$AL:$AL,-1,0),0,R$2-1)</f>
        <v>0</v>
      </c>
      <c r="S22" s="32">
        <f ca="1">OFFSET(_xlfn.XLOOKUP($B22,Resultat!$D:$D,Resultat!$E:$E,-1,0),0,R$2-1)</f>
        <v>0</v>
      </c>
      <c r="T22" s="33">
        <f ca="1">OFFSET(_xlfn.XLOOKUP($B22,Resultat!$D:$D,Resultat!$AL:$AL,-1,0),0,T$2-1)</f>
        <v>0</v>
      </c>
      <c r="U22" s="32">
        <f ca="1">OFFSET(_xlfn.XLOOKUP($B22,Resultat!$D:$D,Resultat!$E:$E,-1,0),0,T$2-1)</f>
        <v>0</v>
      </c>
      <c r="V22" s="33">
        <f ca="1">OFFSET(_xlfn.XLOOKUP($B22,Resultat!$D:$D,Resultat!$AL:$AL,-1,0),0,V$2-1)</f>
        <v>0</v>
      </c>
      <c r="W22" s="32">
        <f ca="1">OFFSET(_xlfn.XLOOKUP($B22,Resultat!$D:$D,Resultat!$E:$E,-1,0),0,V$2-1)</f>
        <v>0</v>
      </c>
      <c r="X22" s="33">
        <f ca="1">OFFSET(_xlfn.XLOOKUP($B22,Resultat!$D:$D,Resultat!$AL:$AL,-1,0),0,X$2-1)</f>
        <v>0</v>
      </c>
      <c r="Y22" s="32">
        <f ca="1">OFFSET(_xlfn.XLOOKUP($B22,Resultat!$D:$D,Resultat!$E:$E,-1,0),0,X$2-1)</f>
        <v>0</v>
      </c>
      <c r="Z22" s="33">
        <f ca="1">OFFSET(_xlfn.XLOOKUP($B22,Resultat!$D:$D,Resultat!$AL:$AL,-1,0),0,Z$2-1)</f>
        <v>0</v>
      </c>
      <c r="AA22" s="32">
        <f ca="1">OFFSET(_xlfn.XLOOKUP($B22,Resultat!$D:$D,Resultat!$E:$E,-1,0),0,Z$2-1)</f>
        <v>0</v>
      </c>
      <c r="AB22" s="33">
        <f ca="1">OFFSET(_xlfn.XLOOKUP($B22,Resultat!$D:$D,Resultat!$AL:$AL,-1,0),0,AB$2-1)</f>
        <v>0</v>
      </c>
      <c r="AC22" s="32">
        <f ca="1">OFFSET(_xlfn.XLOOKUP($B22,Resultat!$D:$D,Resultat!$E:$E,-1,0),0,AB$2-1)</f>
        <v>0</v>
      </c>
      <c r="AD22" s="33">
        <f ca="1">OFFSET(_xlfn.XLOOKUP($B22,Resultat!$D:$D,Resultat!$AL:$AL,-1,0),0,AD$2-1)</f>
        <v>0</v>
      </c>
      <c r="AE22" s="32">
        <f ca="1">OFFSET(_xlfn.XLOOKUP($B22,Resultat!$D:$D,Resultat!$E:$E,-1,0),0,AD$2-1)</f>
        <v>0</v>
      </c>
      <c r="AF22" s="33">
        <f ca="1">OFFSET(_xlfn.XLOOKUP($B22,Resultat!$D:$D,Resultat!$AL:$AL,-1,0),0,AF$2-1)</f>
        <v>0</v>
      </c>
      <c r="AG22" s="32">
        <f ca="1">OFFSET(_xlfn.XLOOKUP($B22,Resultat!$D:$D,Resultat!$E:$E,-1,0),0,AF$2-1)</f>
        <v>0</v>
      </c>
    </row>
    <row r="23" spans="1:33" s="22" customFormat="1" ht="15.6" customHeight="1" x14ac:dyDescent="0.25">
      <c r="A23" s="44">
        <f ca="1">_xlfn.XLOOKUP($B23,Resultat!$D:$D,Resultat!$Z:$Z,-1,0)</f>
        <v>15</v>
      </c>
      <c r="B23" s="21" t="s">
        <v>77</v>
      </c>
      <c r="C23" s="43">
        <f ca="1">_xlfn.XLOOKUP($B23,Resultat!$D:$D,Resultat!$AA:$AA,-1,0)</f>
        <v>9999</v>
      </c>
      <c r="D23" s="28">
        <f ca="1">OFFSET(_xlfn.XLOOKUP($B23,Resultat!$D:$D,Resultat!$AL:$AL,-1,0),0,D$2-1)</f>
        <v>15</v>
      </c>
      <c r="E23" s="32">
        <f ca="1">OFFSET(_xlfn.XLOOKUP($B23,Resultat!$D:$D,Resultat!$E:$E,-1,0),0,D$2-1)</f>
        <v>0</v>
      </c>
      <c r="F23" s="28">
        <f ca="1">OFFSET(_xlfn.XLOOKUP($B23,Resultat!$D:$D,Resultat!$AL:$AL,-1,0),0,F$2-1)</f>
        <v>0</v>
      </c>
      <c r="G23" s="32">
        <f ca="1">OFFSET(_xlfn.XLOOKUP($B23,Resultat!$D:$D,Resultat!$E:$E,-1,0),0,F$2-1)</f>
        <v>0</v>
      </c>
      <c r="H23" s="31">
        <f ca="1">OFFSET(_xlfn.XLOOKUP($B23,Resultat!$D:$D,Resultat!$AL:$AL,-1,0),0,H$2-1)</f>
        <v>0</v>
      </c>
      <c r="I23" s="32">
        <f ca="1">OFFSET(_xlfn.XLOOKUP($B23,Resultat!$D:$D,Resultat!$E:$E,-1,0),0,H$2-1)</f>
        <v>0</v>
      </c>
      <c r="J23" s="30">
        <f ca="1">OFFSET(_xlfn.XLOOKUP($B23,Resultat!$D:$D,Resultat!$AL:$AL,-1,0),0,J$2-1)</f>
        <v>0</v>
      </c>
      <c r="K23" s="32">
        <f ca="1">OFFSET(_xlfn.XLOOKUP($B23,Resultat!$D:$D,Resultat!$E:$E,-1,0),0,J$2-1)</f>
        <v>0</v>
      </c>
      <c r="L23" s="33">
        <f ca="1">OFFSET(_xlfn.XLOOKUP($B23,Resultat!$D:$D,Resultat!$AL:$AL,-1,0),0,L$2-1)</f>
        <v>0</v>
      </c>
      <c r="M23" s="32">
        <f ca="1">OFFSET(_xlfn.XLOOKUP($B23,Resultat!$D:$D,Resultat!$E:$E,-1,0),0,L$2-1)</f>
        <v>0</v>
      </c>
      <c r="N23" s="33">
        <f ca="1">OFFSET(_xlfn.XLOOKUP($B23,Resultat!$D:$D,Resultat!$AL:$AL,-1,0),0,N$2-1)</f>
        <v>0</v>
      </c>
      <c r="O23" s="32">
        <f ca="1">OFFSET(_xlfn.XLOOKUP($B23,Resultat!$D:$D,Resultat!$E:$E,-1,0),0,N$2-1)</f>
        <v>0</v>
      </c>
      <c r="P23" s="33">
        <f ca="1">OFFSET(_xlfn.XLOOKUP($B23,Resultat!$D:$D,Resultat!$AL:$AL,-1,0),0,P$2-1)</f>
        <v>0</v>
      </c>
      <c r="Q23" s="32">
        <f ca="1">OFFSET(_xlfn.XLOOKUP($B23,Resultat!$D:$D,Resultat!$E:$E,-1,0),0,P$2-1)</f>
        <v>0</v>
      </c>
      <c r="R23" s="33">
        <f ca="1">OFFSET(_xlfn.XLOOKUP($B23,Resultat!$D:$D,Resultat!$AL:$AL,-1,0),0,R$2-1)</f>
        <v>0</v>
      </c>
      <c r="S23" s="32">
        <f ca="1">OFFSET(_xlfn.XLOOKUP($B23,Resultat!$D:$D,Resultat!$E:$E,-1,0),0,R$2-1)</f>
        <v>0</v>
      </c>
      <c r="T23" s="33">
        <f ca="1">OFFSET(_xlfn.XLOOKUP($B23,Resultat!$D:$D,Resultat!$AL:$AL,-1,0),0,T$2-1)</f>
        <v>0</v>
      </c>
      <c r="U23" s="32">
        <f ca="1">OFFSET(_xlfn.XLOOKUP($B23,Resultat!$D:$D,Resultat!$E:$E,-1,0),0,T$2-1)</f>
        <v>0</v>
      </c>
      <c r="V23" s="33">
        <f ca="1">OFFSET(_xlfn.XLOOKUP($B23,Resultat!$D:$D,Resultat!$AL:$AL,-1,0),0,V$2-1)</f>
        <v>0</v>
      </c>
      <c r="W23" s="32">
        <f ca="1">OFFSET(_xlfn.XLOOKUP($B23,Resultat!$D:$D,Resultat!$E:$E,-1,0),0,V$2-1)</f>
        <v>0</v>
      </c>
      <c r="X23" s="33">
        <f ca="1">OFFSET(_xlfn.XLOOKUP($B23,Resultat!$D:$D,Resultat!$AL:$AL,-1,0),0,X$2-1)</f>
        <v>0</v>
      </c>
      <c r="Y23" s="32">
        <f ca="1">OFFSET(_xlfn.XLOOKUP($B23,Resultat!$D:$D,Resultat!$E:$E,-1,0),0,X$2-1)</f>
        <v>0</v>
      </c>
      <c r="Z23" s="33">
        <f ca="1">OFFSET(_xlfn.XLOOKUP($B23,Resultat!$D:$D,Resultat!$AL:$AL,-1,0),0,Z$2-1)</f>
        <v>0</v>
      </c>
      <c r="AA23" s="32">
        <f ca="1">OFFSET(_xlfn.XLOOKUP($B23,Resultat!$D:$D,Resultat!$E:$E,-1,0),0,Z$2-1)</f>
        <v>0</v>
      </c>
      <c r="AB23" s="33">
        <f ca="1">OFFSET(_xlfn.XLOOKUP($B23,Resultat!$D:$D,Resultat!$AL:$AL,-1,0),0,AB$2-1)</f>
        <v>0</v>
      </c>
      <c r="AC23" s="32">
        <f ca="1">OFFSET(_xlfn.XLOOKUP($B23,Resultat!$D:$D,Resultat!$E:$E,-1,0),0,AB$2-1)</f>
        <v>0</v>
      </c>
      <c r="AD23" s="33">
        <f ca="1">OFFSET(_xlfn.XLOOKUP($B23,Resultat!$D:$D,Resultat!$AL:$AL,-1,0),0,AD$2-1)</f>
        <v>0</v>
      </c>
      <c r="AE23" s="32">
        <f ca="1">OFFSET(_xlfn.XLOOKUP($B23,Resultat!$D:$D,Resultat!$E:$E,-1,0),0,AD$2-1)</f>
        <v>0</v>
      </c>
      <c r="AF23" s="33">
        <f ca="1">OFFSET(_xlfn.XLOOKUP($B23,Resultat!$D:$D,Resultat!$AL:$AL,-1,0),0,AF$2-1)</f>
        <v>0</v>
      </c>
      <c r="AG23" s="32">
        <f ca="1">OFFSET(_xlfn.XLOOKUP($B23,Resultat!$D:$D,Resultat!$E:$E,-1,0),0,AF$2-1)</f>
        <v>0</v>
      </c>
    </row>
    <row r="24" spans="1:33" s="22" customFormat="1" ht="15.6" customHeight="1" x14ac:dyDescent="0.25">
      <c r="A24" s="44">
        <f ca="1">_xlfn.XLOOKUP($B24,Resultat!$D:$D,Resultat!$Z:$Z,-1,0)</f>
        <v>15</v>
      </c>
      <c r="B24" s="21" t="s">
        <v>60</v>
      </c>
      <c r="C24" s="43">
        <f ca="1">_xlfn.XLOOKUP($B24,Resultat!$D:$D,Resultat!$AA:$AA,-1,0)</f>
        <v>9999</v>
      </c>
      <c r="D24" s="28">
        <f ca="1">OFFSET(_xlfn.XLOOKUP($B24,Resultat!$D:$D,Resultat!$AL:$AL,-1,0),0,D$2-1)</f>
        <v>15</v>
      </c>
      <c r="E24" s="32">
        <f ca="1">OFFSET(_xlfn.XLOOKUP($B24,Resultat!$D:$D,Resultat!$E:$E,-1,0),0,D$2-1)</f>
        <v>0</v>
      </c>
      <c r="F24" s="28">
        <f ca="1">OFFSET(_xlfn.XLOOKUP($B24,Resultat!$D:$D,Resultat!$AL:$AL,-1,0),0,F$2-1)</f>
        <v>0</v>
      </c>
      <c r="G24" s="32">
        <f ca="1">OFFSET(_xlfn.XLOOKUP($B24,Resultat!$D:$D,Resultat!$E:$E,-1,0),0,F$2-1)</f>
        <v>0</v>
      </c>
      <c r="H24" s="31">
        <f ca="1">OFFSET(_xlfn.XLOOKUP($B24,Resultat!$D:$D,Resultat!$AL:$AL,-1,0),0,H$2-1)</f>
        <v>0</v>
      </c>
      <c r="I24" s="32">
        <f ca="1">OFFSET(_xlfn.XLOOKUP($B24,Resultat!$D:$D,Resultat!$E:$E,-1,0),0,H$2-1)</f>
        <v>0</v>
      </c>
      <c r="J24" s="30">
        <f ca="1">OFFSET(_xlfn.XLOOKUP($B24,Resultat!$D:$D,Resultat!$AL:$AL,-1,0),0,J$2-1)</f>
        <v>0</v>
      </c>
      <c r="K24" s="32">
        <f ca="1">OFFSET(_xlfn.XLOOKUP($B24,Resultat!$D:$D,Resultat!$E:$E,-1,0),0,J$2-1)</f>
        <v>0</v>
      </c>
      <c r="L24" s="33">
        <f ca="1">OFFSET(_xlfn.XLOOKUP($B24,Resultat!$D:$D,Resultat!$AL:$AL,-1,0),0,L$2-1)</f>
        <v>0</v>
      </c>
      <c r="M24" s="32">
        <f ca="1">OFFSET(_xlfn.XLOOKUP($B24,Resultat!$D:$D,Resultat!$E:$E,-1,0),0,L$2-1)</f>
        <v>0</v>
      </c>
      <c r="N24" s="33">
        <f ca="1">OFFSET(_xlfn.XLOOKUP($B24,Resultat!$D:$D,Resultat!$AL:$AL,-1,0),0,N$2-1)</f>
        <v>0</v>
      </c>
      <c r="O24" s="32">
        <f ca="1">OFFSET(_xlfn.XLOOKUP($B24,Resultat!$D:$D,Resultat!$E:$E,-1,0),0,N$2-1)</f>
        <v>0</v>
      </c>
      <c r="P24" s="33">
        <f ca="1">OFFSET(_xlfn.XLOOKUP($B24,Resultat!$D:$D,Resultat!$AL:$AL,-1,0),0,P$2-1)</f>
        <v>0</v>
      </c>
      <c r="Q24" s="32">
        <f ca="1">OFFSET(_xlfn.XLOOKUP($B24,Resultat!$D:$D,Resultat!$E:$E,-1,0),0,P$2-1)</f>
        <v>0</v>
      </c>
      <c r="R24" s="33">
        <f ca="1">OFFSET(_xlfn.XLOOKUP($B24,Resultat!$D:$D,Resultat!$AL:$AL,-1,0),0,R$2-1)</f>
        <v>0</v>
      </c>
      <c r="S24" s="32">
        <f ca="1">OFFSET(_xlfn.XLOOKUP($B24,Resultat!$D:$D,Resultat!$E:$E,-1,0),0,R$2-1)</f>
        <v>0</v>
      </c>
      <c r="T24" s="33">
        <f ca="1">OFFSET(_xlfn.XLOOKUP($B24,Resultat!$D:$D,Resultat!$AL:$AL,-1,0),0,T$2-1)</f>
        <v>0</v>
      </c>
      <c r="U24" s="32">
        <f ca="1">OFFSET(_xlfn.XLOOKUP($B24,Resultat!$D:$D,Resultat!$E:$E,-1,0),0,T$2-1)</f>
        <v>0</v>
      </c>
      <c r="V24" s="33">
        <f ca="1">OFFSET(_xlfn.XLOOKUP($B24,Resultat!$D:$D,Resultat!$AL:$AL,-1,0),0,V$2-1)</f>
        <v>0</v>
      </c>
      <c r="W24" s="32">
        <f ca="1">OFFSET(_xlfn.XLOOKUP($B24,Resultat!$D:$D,Resultat!$E:$E,-1,0),0,V$2-1)</f>
        <v>0</v>
      </c>
      <c r="X24" s="33">
        <f ca="1">OFFSET(_xlfn.XLOOKUP($B24,Resultat!$D:$D,Resultat!$AL:$AL,-1,0),0,X$2-1)</f>
        <v>0</v>
      </c>
      <c r="Y24" s="32">
        <f ca="1">OFFSET(_xlfn.XLOOKUP($B24,Resultat!$D:$D,Resultat!$E:$E,-1,0),0,X$2-1)</f>
        <v>0</v>
      </c>
      <c r="Z24" s="33">
        <f ca="1">OFFSET(_xlfn.XLOOKUP($B24,Resultat!$D:$D,Resultat!$AL:$AL,-1,0),0,Z$2-1)</f>
        <v>0</v>
      </c>
      <c r="AA24" s="32">
        <f ca="1">OFFSET(_xlfn.XLOOKUP($B24,Resultat!$D:$D,Resultat!$E:$E,-1,0),0,Z$2-1)</f>
        <v>0</v>
      </c>
      <c r="AB24" s="33">
        <f ca="1">OFFSET(_xlfn.XLOOKUP($B24,Resultat!$D:$D,Resultat!$AL:$AL,-1,0),0,AB$2-1)</f>
        <v>0</v>
      </c>
      <c r="AC24" s="32">
        <f ca="1">OFFSET(_xlfn.XLOOKUP($B24,Resultat!$D:$D,Resultat!$E:$E,-1,0),0,AB$2-1)</f>
        <v>0</v>
      </c>
      <c r="AD24" s="33">
        <f ca="1">OFFSET(_xlfn.XLOOKUP($B24,Resultat!$D:$D,Resultat!$AL:$AL,-1,0),0,AD$2-1)</f>
        <v>0</v>
      </c>
      <c r="AE24" s="32">
        <f ca="1">OFFSET(_xlfn.XLOOKUP($B24,Resultat!$D:$D,Resultat!$E:$E,-1,0),0,AD$2-1)</f>
        <v>0</v>
      </c>
      <c r="AF24" s="33">
        <f ca="1">OFFSET(_xlfn.XLOOKUP($B24,Resultat!$D:$D,Resultat!$AL:$AL,-1,0),0,AF$2-1)</f>
        <v>0</v>
      </c>
      <c r="AG24" s="32">
        <f ca="1">OFFSET(_xlfn.XLOOKUP($B24,Resultat!$D:$D,Resultat!$E:$E,-1,0),0,AF$2-1)</f>
        <v>0</v>
      </c>
    </row>
    <row r="25" spans="1:33" s="22" customFormat="1" ht="15.6" customHeight="1" x14ac:dyDescent="0.25">
      <c r="A25" s="44">
        <f ca="1">_xlfn.XLOOKUP($B25,Resultat!$D:$D,Resultat!$Z:$Z,-1,0)</f>
        <v>15</v>
      </c>
      <c r="B25" s="21" t="s">
        <v>53</v>
      </c>
      <c r="C25" s="43">
        <f ca="1">_xlfn.XLOOKUP($B25,Resultat!$D:$D,Resultat!$AA:$AA,-1,0)</f>
        <v>9999</v>
      </c>
      <c r="D25" s="28">
        <f ca="1">OFFSET(_xlfn.XLOOKUP($B25,Resultat!$D:$D,Resultat!$AL:$AL,-1,0),0,D$2-1)</f>
        <v>15</v>
      </c>
      <c r="E25" s="32">
        <f ca="1">OFFSET(_xlfn.XLOOKUP($B25,Resultat!$D:$D,Resultat!$E:$E,-1,0),0,D$2-1)</f>
        <v>0</v>
      </c>
      <c r="F25" s="28">
        <f ca="1">OFFSET(_xlfn.XLOOKUP($B25,Resultat!$D:$D,Resultat!$AL:$AL,-1,0),0,F$2-1)</f>
        <v>0</v>
      </c>
      <c r="G25" s="32">
        <f ca="1">OFFSET(_xlfn.XLOOKUP($B25,Resultat!$D:$D,Resultat!$E:$E,-1,0),0,F$2-1)</f>
        <v>0</v>
      </c>
      <c r="H25" s="31">
        <f ca="1">OFFSET(_xlfn.XLOOKUP($B25,Resultat!$D:$D,Resultat!$AL:$AL,-1,0),0,H$2-1)</f>
        <v>0</v>
      </c>
      <c r="I25" s="32">
        <f ca="1">OFFSET(_xlfn.XLOOKUP($B25,Resultat!$D:$D,Resultat!$E:$E,-1,0),0,H$2-1)</f>
        <v>0</v>
      </c>
      <c r="J25" s="30">
        <f ca="1">OFFSET(_xlfn.XLOOKUP($B25,Resultat!$D:$D,Resultat!$AL:$AL,-1,0),0,J$2-1)</f>
        <v>0</v>
      </c>
      <c r="K25" s="32">
        <f ca="1">OFFSET(_xlfn.XLOOKUP($B25,Resultat!$D:$D,Resultat!$E:$E,-1,0),0,J$2-1)</f>
        <v>0</v>
      </c>
      <c r="L25" s="33">
        <f ca="1">OFFSET(_xlfn.XLOOKUP($B25,Resultat!$D:$D,Resultat!$AL:$AL,-1,0),0,L$2-1)</f>
        <v>0</v>
      </c>
      <c r="M25" s="32">
        <f ca="1">OFFSET(_xlfn.XLOOKUP($B25,Resultat!$D:$D,Resultat!$E:$E,-1,0),0,L$2-1)</f>
        <v>0</v>
      </c>
      <c r="N25" s="33">
        <f ca="1">OFFSET(_xlfn.XLOOKUP($B25,Resultat!$D:$D,Resultat!$AL:$AL,-1,0),0,N$2-1)</f>
        <v>0</v>
      </c>
      <c r="O25" s="32">
        <f ca="1">OFFSET(_xlfn.XLOOKUP($B25,Resultat!$D:$D,Resultat!$E:$E,-1,0),0,N$2-1)</f>
        <v>0</v>
      </c>
      <c r="P25" s="33">
        <f ca="1">OFFSET(_xlfn.XLOOKUP($B25,Resultat!$D:$D,Resultat!$AL:$AL,-1,0),0,P$2-1)</f>
        <v>0</v>
      </c>
      <c r="Q25" s="32">
        <f ca="1">OFFSET(_xlfn.XLOOKUP($B25,Resultat!$D:$D,Resultat!$E:$E,-1,0),0,P$2-1)</f>
        <v>0</v>
      </c>
      <c r="R25" s="33">
        <f ca="1">OFFSET(_xlfn.XLOOKUP($B25,Resultat!$D:$D,Resultat!$AL:$AL,-1,0),0,R$2-1)</f>
        <v>0</v>
      </c>
      <c r="S25" s="32">
        <f ca="1">OFFSET(_xlfn.XLOOKUP($B25,Resultat!$D:$D,Resultat!$E:$E,-1,0),0,R$2-1)</f>
        <v>0</v>
      </c>
      <c r="T25" s="33">
        <f ca="1">OFFSET(_xlfn.XLOOKUP($B25,Resultat!$D:$D,Resultat!$AL:$AL,-1,0),0,T$2-1)</f>
        <v>0</v>
      </c>
      <c r="U25" s="32">
        <f ca="1">OFFSET(_xlfn.XLOOKUP($B25,Resultat!$D:$D,Resultat!$E:$E,-1,0),0,T$2-1)</f>
        <v>0</v>
      </c>
      <c r="V25" s="33">
        <f ca="1">OFFSET(_xlfn.XLOOKUP($B25,Resultat!$D:$D,Resultat!$AL:$AL,-1,0),0,V$2-1)</f>
        <v>0</v>
      </c>
      <c r="W25" s="32">
        <f ca="1">OFFSET(_xlfn.XLOOKUP($B25,Resultat!$D:$D,Resultat!$E:$E,-1,0),0,V$2-1)</f>
        <v>0</v>
      </c>
      <c r="X25" s="33">
        <f ca="1">OFFSET(_xlfn.XLOOKUP($B25,Resultat!$D:$D,Resultat!$AL:$AL,-1,0),0,X$2-1)</f>
        <v>0</v>
      </c>
      <c r="Y25" s="32">
        <f ca="1">OFFSET(_xlfn.XLOOKUP($B25,Resultat!$D:$D,Resultat!$E:$E,-1,0),0,X$2-1)</f>
        <v>0</v>
      </c>
      <c r="Z25" s="33">
        <f ca="1">OFFSET(_xlfn.XLOOKUP($B25,Resultat!$D:$D,Resultat!$AL:$AL,-1,0),0,Z$2-1)</f>
        <v>0</v>
      </c>
      <c r="AA25" s="32">
        <f ca="1">OFFSET(_xlfn.XLOOKUP($B25,Resultat!$D:$D,Resultat!$E:$E,-1,0),0,Z$2-1)</f>
        <v>0</v>
      </c>
      <c r="AB25" s="33">
        <f ca="1">OFFSET(_xlfn.XLOOKUP($B25,Resultat!$D:$D,Resultat!$AL:$AL,-1,0),0,AB$2-1)</f>
        <v>0</v>
      </c>
      <c r="AC25" s="32">
        <f ca="1">OFFSET(_xlfn.XLOOKUP($B25,Resultat!$D:$D,Resultat!$E:$E,-1,0),0,AB$2-1)</f>
        <v>0</v>
      </c>
      <c r="AD25" s="33">
        <f ca="1">OFFSET(_xlfn.XLOOKUP($B25,Resultat!$D:$D,Resultat!$AL:$AL,-1,0),0,AD$2-1)</f>
        <v>0</v>
      </c>
      <c r="AE25" s="32">
        <f ca="1">OFFSET(_xlfn.XLOOKUP($B25,Resultat!$D:$D,Resultat!$E:$E,-1,0),0,AD$2-1)</f>
        <v>0</v>
      </c>
      <c r="AF25" s="33">
        <f ca="1">OFFSET(_xlfn.XLOOKUP($B25,Resultat!$D:$D,Resultat!$AL:$AL,-1,0),0,AF$2-1)</f>
        <v>0</v>
      </c>
      <c r="AG25" s="32">
        <f ca="1">OFFSET(_xlfn.XLOOKUP($B25,Resultat!$D:$D,Resultat!$E:$E,-1,0),0,AF$2-1)</f>
        <v>0</v>
      </c>
    </row>
    <row r="26" spans="1:33" s="22" customFormat="1" ht="15.6" customHeight="1" x14ac:dyDescent="0.25">
      <c r="A26" s="44">
        <f ca="1">_xlfn.XLOOKUP($B26,Resultat!$D:$D,Resultat!$Z:$Z,-1,0)</f>
        <v>15</v>
      </c>
      <c r="B26" s="21" t="s">
        <v>52</v>
      </c>
      <c r="C26" s="43">
        <f ca="1">_xlfn.XLOOKUP($B26,Resultat!$D:$D,Resultat!$AA:$AA,-1,0)</f>
        <v>9999</v>
      </c>
      <c r="D26" s="28">
        <f ca="1">OFFSET(_xlfn.XLOOKUP($B26,Resultat!$D:$D,Resultat!$AL:$AL,-1,0),0,D$2-1)</f>
        <v>15</v>
      </c>
      <c r="E26" s="32">
        <f ca="1">OFFSET(_xlfn.XLOOKUP($B26,Resultat!$D:$D,Resultat!$E:$E,-1,0),0,D$2-1)</f>
        <v>0</v>
      </c>
      <c r="F26" s="28">
        <f ca="1">OFFSET(_xlfn.XLOOKUP($B26,Resultat!$D:$D,Resultat!$AL:$AL,-1,0),0,F$2-1)</f>
        <v>0</v>
      </c>
      <c r="G26" s="32">
        <f ca="1">OFFSET(_xlfn.XLOOKUP($B26,Resultat!$D:$D,Resultat!$E:$E,-1,0),0,F$2-1)</f>
        <v>0</v>
      </c>
      <c r="H26" s="31">
        <f ca="1">OFFSET(_xlfn.XLOOKUP($B26,Resultat!$D:$D,Resultat!$AL:$AL,-1,0),0,H$2-1)</f>
        <v>0</v>
      </c>
      <c r="I26" s="32">
        <f ca="1">OFFSET(_xlfn.XLOOKUP($B26,Resultat!$D:$D,Resultat!$E:$E,-1,0),0,H$2-1)</f>
        <v>0</v>
      </c>
      <c r="J26" s="30">
        <f ca="1">OFFSET(_xlfn.XLOOKUP($B26,Resultat!$D:$D,Resultat!$AL:$AL,-1,0),0,J$2-1)</f>
        <v>0</v>
      </c>
      <c r="K26" s="32">
        <f ca="1">OFFSET(_xlfn.XLOOKUP($B26,Resultat!$D:$D,Resultat!$E:$E,-1,0),0,J$2-1)</f>
        <v>0</v>
      </c>
      <c r="L26" s="33">
        <f ca="1">OFFSET(_xlfn.XLOOKUP($B26,Resultat!$D:$D,Resultat!$AL:$AL,-1,0),0,L$2-1)</f>
        <v>0</v>
      </c>
      <c r="M26" s="32">
        <f ca="1">OFFSET(_xlfn.XLOOKUP($B26,Resultat!$D:$D,Resultat!$E:$E,-1,0),0,L$2-1)</f>
        <v>0</v>
      </c>
      <c r="N26" s="33">
        <f ca="1">OFFSET(_xlfn.XLOOKUP($B26,Resultat!$D:$D,Resultat!$AL:$AL,-1,0),0,N$2-1)</f>
        <v>0</v>
      </c>
      <c r="O26" s="32">
        <f ca="1">OFFSET(_xlfn.XLOOKUP($B26,Resultat!$D:$D,Resultat!$E:$E,-1,0),0,N$2-1)</f>
        <v>0</v>
      </c>
      <c r="P26" s="33">
        <f ca="1">OFFSET(_xlfn.XLOOKUP($B26,Resultat!$D:$D,Resultat!$AL:$AL,-1,0),0,P$2-1)</f>
        <v>0</v>
      </c>
      <c r="Q26" s="32">
        <f ca="1">OFFSET(_xlfn.XLOOKUP($B26,Resultat!$D:$D,Resultat!$E:$E,-1,0),0,P$2-1)</f>
        <v>0</v>
      </c>
      <c r="R26" s="33">
        <f ca="1">OFFSET(_xlfn.XLOOKUP($B26,Resultat!$D:$D,Resultat!$AL:$AL,-1,0),0,R$2-1)</f>
        <v>0</v>
      </c>
      <c r="S26" s="32">
        <f ca="1">OFFSET(_xlfn.XLOOKUP($B26,Resultat!$D:$D,Resultat!$E:$E,-1,0),0,R$2-1)</f>
        <v>0</v>
      </c>
      <c r="T26" s="33">
        <f ca="1">OFFSET(_xlfn.XLOOKUP($B26,Resultat!$D:$D,Resultat!$AL:$AL,-1,0),0,T$2-1)</f>
        <v>0</v>
      </c>
      <c r="U26" s="32">
        <f ca="1">OFFSET(_xlfn.XLOOKUP($B26,Resultat!$D:$D,Resultat!$E:$E,-1,0),0,T$2-1)</f>
        <v>0</v>
      </c>
      <c r="V26" s="33">
        <f ca="1">OFFSET(_xlfn.XLOOKUP($B26,Resultat!$D:$D,Resultat!$AL:$AL,-1,0),0,V$2-1)</f>
        <v>0</v>
      </c>
      <c r="W26" s="32">
        <f ca="1">OFFSET(_xlfn.XLOOKUP($B26,Resultat!$D:$D,Resultat!$E:$E,-1,0),0,V$2-1)</f>
        <v>0</v>
      </c>
      <c r="X26" s="33">
        <f ca="1">OFFSET(_xlfn.XLOOKUP($B26,Resultat!$D:$D,Resultat!$AL:$AL,-1,0),0,X$2-1)</f>
        <v>0</v>
      </c>
      <c r="Y26" s="32">
        <f ca="1">OFFSET(_xlfn.XLOOKUP($B26,Resultat!$D:$D,Resultat!$E:$E,-1,0),0,X$2-1)</f>
        <v>0</v>
      </c>
      <c r="Z26" s="33">
        <f ca="1">OFFSET(_xlfn.XLOOKUP($B26,Resultat!$D:$D,Resultat!$AL:$AL,-1,0),0,Z$2-1)</f>
        <v>0</v>
      </c>
      <c r="AA26" s="32">
        <f ca="1">OFFSET(_xlfn.XLOOKUP($B26,Resultat!$D:$D,Resultat!$E:$E,-1,0),0,Z$2-1)</f>
        <v>0</v>
      </c>
      <c r="AB26" s="33">
        <f ca="1">OFFSET(_xlfn.XLOOKUP($B26,Resultat!$D:$D,Resultat!$AL:$AL,-1,0),0,AB$2-1)</f>
        <v>0</v>
      </c>
      <c r="AC26" s="32">
        <f ca="1">OFFSET(_xlfn.XLOOKUP($B26,Resultat!$D:$D,Resultat!$E:$E,-1,0),0,AB$2-1)</f>
        <v>0</v>
      </c>
      <c r="AD26" s="33">
        <f ca="1">OFFSET(_xlfn.XLOOKUP($B26,Resultat!$D:$D,Resultat!$AL:$AL,-1,0),0,AD$2-1)</f>
        <v>0</v>
      </c>
      <c r="AE26" s="32">
        <f ca="1">OFFSET(_xlfn.XLOOKUP($B26,Resultat!$D:$D,Resultat!$E:$E,-1,0),0,AD$2-1)</f>
        <v>0</v>
      </c>
      <c r="AF26" s="33">
        <f ca="1">OFFSET(_xlfn.XLOOKUP($B26,Resultat!$D:$D,Resultat!$AL:$AL,-1,0),0,AF$2-1)</f>
        <v>0</v>
      </c>
      <c r="AG26" s="32">
        <f ca="1">OFFSET(_xlfn.XLOOKUP($B26,Resultat!$D:$D,Resultat!$E:$E,-1,0),0,AF$2-1)</f>
        <v>0</v>
      </c>
    </row>
    <row r="27" spans="1:33" s="22" customFormat="1" ht="15.6" customHeight="1" x14ac:dyDescent="0.25">
      <c r="A27" s="44">
        <f ca="1">_xlfn.XLOOKUP($B27,Resultat!$D:$D,Resultat!$Z:$Z,-1,0)</f>
        <v>15</v>
      </c>
      <c r="B27" s="21" t="s">
        <v>62</v>
      </c>
      <c r="C27" s="43">
        <f ca="1">_xlfn.XLOOKUP($B27,Resultat!$D:$D,Resultat!$AA:$AA,-1,0)</f>
        <v>9999</v>
      </c>
      <c r="D27" s="28">
        <f ca="1">OFFSET(_xlfn.XLOOKUP($B27,Resultat!$D:$D,Resultat!$AL:$AL,-1,0),0,D$2-1)</f>
        <v>15</v>
      </c>
      <c r="E27" s="32">
        <f ca="1">OFFSET(_xlfn.XLOOKUP($B27,Resultat!$D:$D,Resultat!$E:$E,-1,0),0,D$2-1)</f>
        <v>0</v>
      </c>
      <c r="F27" s="28">
        <f ca="1">OFFSET(_xlfn.XLOOKUP($B27,Resultat!$D:$D,Resultat!$AL:$AL,-1,0),0,F$2-1)</f>
        <v>0</v>
      </c>
      <c r="G27" s="32">
        <f ca="1">OFFSET(_xlfn.XLOOKUP($B27,Resultat!$D:$D,Resultat!$E:$E,-1,0),0,F$2-1)</f>
        <v>0</v>
      </c>
      <c r="H27" s="31">
        <f ca="1">OFFSET(_xlfn.XLOOKUP($B27,Resultat!$D:$D,Resultat!$AL:$AL,-1,0),0,H$2-1)</f>
        <v>0</v>
      </c>
      <c r="I27" s="32">
        <f ca="1">OFFSET(_xlfn.XLOOKUP($B27,Resultat!$D:$D,Resultat!$E:$E,-1,0),0,H$2-1)</f>
        <v>0</v>
      </c>
      <c r="J27" s="30">
        <f ca="1">OFFSET(_xlfn.XLOOKUP($B27,Resultat!$D:$D,Resultat!$AL:$AL,-1,0),0,J$2-1)</f>
        <v>0</v>
      </c>
      <c r="K27" s="32">
        <f ca="1">OFFSET(_xlfn.XLOOKUP($B27,Resultat!$D:$D,Resultat!$E:$E,-1,0),0,J$2-1)</f>
        <v>0</v>
      </c>
      <c r="L27" s="33">
        <f ca="1">OFFSET(_xlfn.XLOOKUP($B27,Resultat!$D:$D,Resultat!$AL:$AL,-1,0),0,L$2-1)</f>
        <v>0</v>
      </c>
      <c r="M27" s="32">
        <f ca="1">OFFSET(_xlfn.XLOOKUP($B27,Resultat!$D:$D,Resultat!$E:$E,-1,0),0,L$2-1)</f>
        <v>0</v>
      </c>
      <c r="N27" s="33">
        <f ca="1">OFFSET(_xlfn.XLOOKUP($B27,Resultat!$D:$D,Resultat!$AL:$AL,-1,0),0,N$2-1)</f>
        <v>0</v>
      </c>
      <c r="O27" s="32">
        <f ca="1">OFFSET(_xlfn.XLOOKUP($B27,Resultat!$D:$D,Resultat!$E:$E,-1,0),0,N$2-1)</f>
        <v>0</v>
      </c>
      <c r="P27" s="33">
        <f ca="1">OFFSET(_xlfn.XLOOKUP($B27,Resultat!$D:$D,Resultat!$AL:$AL,-1,0),0,P$2-1)</f>
        <v>0</v>
      </c>
      <c r="Q27" s="32">
        <f ca="1">OFFSET(_xlfn.XLOOKUP($B27,Resultat!$D:$D,Resultat!$E:$E,-1,0),0,P$2-1)</f>
        <v>0</v>
      </c>
      <c r="R27" s="33">
        <f ca="1">OFFSET(_xlfn.XLOOKUP($B27,Resultat!$D:$D,Resultat!$AL:$AL,-1,0),0,R$2-1)</f>
        <v>0</v>
      </c>
      <c r="S27" s="32">
        <f ca="1">OFFSET(_xlfn.XLOOKUP($B27,Resultat!$D:$D,Resultat!$E:$E,-1,0),0,R$2-1)</f>
        <v>0</v>
      </c>
      <c r="T27" s="33">
        <f ca="1">OFFSET(_xlfn.XLOOKUP($B27,Resultat!$D:$D,Resultat!$AL:$AL,-1,0),0,T$2-1)</f>
        <v>0</v>
      </c>
      <c r="U27" s="32">
        <f ca="1">OFFSET(_xlfn.XLOOKUP($B27,Resultat!$D:$D,Resultat!$E:$E,-1,0),0,T$2-1)</f>
        <v>0</v>
      </c>
      <c r="V27" s="33">
        <f ca="1">OFFSET(_xlfn.XLOOKUP($B27,Resultat!$D:$D,Resultat!$AL:$AL,-1,0),0,V$2-1)</f>
        <v>0</v>
      </c>
      <c r="W27" s="32">
        <f ca="1">OFFSET(_xlfn.XLOOKUP($B27,Resultat!$D:$D,Resultat!$E:$E,-1,0),0,V$2-1)</f>
        <v>0</v>
      </c>
      <c r="X27" s="33">
        <f ca="1">OFFSET(_xlfn.XLOOKUP($B27,Resultat!$D:$D,Resultat!$AL:$AL,-1,0),0,X$2-1)</f>
        <v>0</v>
      </c>
      <c r="Y27" s="32">
        <f ca="1">OFFSET(_xlfn.XLOOKUP($B27,Resultat!$D:$D,Resultat!$E:$E,-1,0),0,X$2-1)</f>
        <v>0</v>
      </c>
      <c r="Z27" s="33">
        <f ca="1">OFFSET(_xlfn.XLOOKUP($B27,Resultat!$D:$D,Resultat!$AL:$AL,-1,0),0,Z$2-1)</f>
        <v>0</v>
      </c>
      <c r="AA27" s="32">
        <f ca="1">OFFSET(_xlfn.XLOOKUP($B27,Resultat!$D:$D,Resultat!$E:$E,-1,0),0,Z$2-1)</f>
        <v>0</v>
      </c>
      <c r="AB27" s="33">
        <f ca="1">OFFSET(_xlfn.XLOOKUP($B27,Resultat!$D:$D,Resultat!$AL:$AL,-1,0),0,AB$2-1)</f>
        <v>0</v>
      </c>
      <c r="AC27" s="32">
        <f ca="1">OFFSET(_xlfn.XLOOKUP($B27,Resultat!$D:$D,Resultat!$E:$E,-1,0),0,AB$2-1)</f>
        <v>0</v>
      </c>
      <c r="AD27" s="33">
        <f ca="1">OFFSET(_xlfn.XLOOKUP($B27,Resultat!$D:$D,Resultat!$AL:$AL,-1,0),0,AD$2-1)</f>
        <v>0</v>
      </c>
      <c r="AE27" s="32">
        <f ca="1">OFFSET(_xlfn.XLOOKUP($B27,Resultat!$D:$D,Resultat!$E:$E,-1,0),0,AD$2-1)</f>
        <v>0</v>
      </c>
      <c r="AF27" s="33">
        <f ca="1">OFFSET(_xlfn.XLOOKUP($B27,Resultat!$D:$D,Resultat!$AL:$AL,-1,0),0,AF$2-1)</f>
        <v>0</v>
      </c>
      <c r="AG27" s="32">
        <f ca="1">OFFSET(_xlfn.XLOOKUP($B27,Resultat!$D:$D,Resultat!$E:$E,-1,0),0,AF$2-1)</f>
        <v>0</v>
      </c>
    </row>
    <row r="28" spans="1:33" s="22" customFormat="1" ht="15.6" customHeight="1" x14ac:dyDescent="0.25">
      <c r="A28" s="44">
        <f ca="1">_xlfn.XLOOKUP($B28,Resultat!$D:$D,Resultat!$Z:$Z,-1,0)</f>
        <v>15</v>
      </c>
      <c r="B28" s="21" t="s">
        <v>63</v>
      </c>
      <c r="C28" s="43">
        <f ca="1">_xlfn.XLOOKUP($B28,Resultat!$D:$D,Resultat!$AA:$AA,-1,0)</f>
        <v>9999</v>
      </c>
      <c r="D28" s="28">
        <f ca="1">OFFSET(_xlfn.XLOOKUP($B28,Resultat!$D:$D,Resultat!$AL:$AL,-1,0),0,D$2-1)</f>
        <v>15</v>
      </c>
      <c r="E28" s="32">
        <f ca="1">OFFSET(_xlfn.XLOOKUP($B28,Resultat!$D:$D,Resultat!$E:$E,-1,0),0,D$2-1)</f>
        <v>0</v>
      </c>
      <c r="F28" s="28">
        <f ca="1">OFFSET(_xlfn.XLOOKUP($B28,Resultat!$D:$D,Resultat!$AL:$AL,-1,0),0,F$2-1)</f>
        <v>0</v>
      </c>
      <c r="G28" s="32">
        <f ca="1">OFFSET(_xlfn.XLOOKUP($B28,Resultat!$D:$D,Resultat!$E:$E,-1,0),0,F$2-1)</f>
        <v>0</v>
      </c>
      <c r="H28" s="31">
        <f ca="1">OFFSET(_xlfn.XLOOKUP($B28,Resultat!$D:$D,Resultat!$AL:$AL,-1,0),0,H$2-1)</f>
        <v>0</v>
      </c>
      <c r="I28" s="32">
        <f ca="1">OFFSET(_xlfn.XLOOKUP($B28,Resultat!$D:$D,Resultat!$E:$E,-1,0),0,H$2-1)</f>
        <v>0</v>
      </c>
      <c r="J28" s="30">
        <f ca="1">OFFSET(_xlfn.XLOOKUP($B28,Resultat!$D:$D,Resultat!$AL:$AL,-1,0),0,J$2-1)</f>
        <v>0</v>
      </c>
      <c r="K28" s="32">
        <f ca="1">OFFSET(_xlfn.XLOOKUP($B28,Resultat!$D:$D,Resultat!$E:$E,-1,0),0,J$2-1)</f>
        <v>0</v>
      </c>
      <c r="L28" s="33">
        <f ca="1">OFFSET(_xlfn.XLOOKUP($B28,Resultat!$D:$D,Resultat!$AL:$AL,-1,0),0,L$2-1)</f>
        <v>0</v>
      </c>
      <c r="M28" s="32">
        <f ca="1">OFFSET(_xlfn.XLOOKUP($B28,Resultat!$D:$D,Resultat!$E:$E,-1,0),0,L$2-1)</f>
        <v>0</v>
      </c>
      <c r="N28" s="33">
        <f ca="1">OFFSET(_xlfn.XLOOKUP($B28,Resultat!$D:$D,Resultat!$AL:$AL,-1,0),0,N$2-1)</f>
        <v>0</v>
      </c>
      <c r="O28" s="32">
        <f ca="1">OFFSET(_xlfn.XLOOKUP($B28,Resultat!$D:$D,Resultat!$E:$E,-1,0),0,N$2-1)</f>
        <v>0</v>
      </c>
      <c r="P28" s="33">
        <f ca="1">OFFSET(_xlfn.XLOOKUP($B28,Resultat!$D:$D,Resultat!$AL:$AL,-1,0),0,P$2-1)</f>
        <v>0</v>
      </c>
      <c r="Q28" s="32">
        <f ca="1">OFFSET(_xlfn.XLOOKUP($B28,Resultat!$D:$D,Resultat!$E:$E,-1,0),0,P$2-1)</f>
        <v>0</v>
      </c>
      <c r="R28" s="33">
        <f ca="1">OFFSET(_xlfn.XLOOKUP($B28,Resultat!$D:$D,Resultat!$AL:$AL,-1,0),0,R$2-1)</f>
        <v>0</v>
      </c>
      <c r="S28" s="32">
        <f ca="1">OFFSET(_xlfn.XLOOKUP($B28,Resultat!$D:$D,Resultat!$E:$E,-1,0),0,R$2-1)</f>
        <v>0</v>
      </c>
      <c r="T28" s="33">
        <f ca="1">OFFSET(_xlfn.XLOOKUP($B28,Resultat!$D:$D,Resultat!$AL:$AL,-1,0),0,T$2-1)</f>
        <v>0</v>
      </c>
      <c r="U28" s="32">
        <f ca="1">OFFSET(_xlfn.XLOOKUP($B28,Resultat!$D:$D,Resultat!$E:$E,-1,0),0,T$2-1)</f>
        <v>0</v>
      </c>
      <c r="V28" s="33">
        <f ca="1">OFFSET(_xlfn.XLOOKUP($B28,Resultat!$D:$D,Resultat!$AL:$AL,-1,0),0,V$2-1)</f>
        <v>0</v>
      </c>
      <c r="W28" s="32">
        <f ca="1">OFFSET(_xlfn.XLOOKUP($B28,Resultat!$D:$D,Resultat!$E:$E,-1,0),0,V$2-1)</f>
        <v>0</v>
      </c>
      <c r="X28" s="33">
        <f ca="1">OFFSET(_xlfn.XLOOKUP($B28,Resultat!$D:$D,Resultat!$AL:$AL,-1,0),0,X$2-1)</f>
        <v>0</v>
      </c>
      <c r="Y28" s="32">
        <f ca="1">OFFSET(_xlfn.XLOOKUP($B28,Resultat!$D:$D,Resultat!$E:$E,-1,0),0,X$2-1)</f>
        <v>0</v>
      </c>
      <c r="Z28" s="33">
        <f ca="1">OFFSET(_xlfn.XLOOKUP($B28,Resultat!$D:$D,Resultat!$AL:$AL,-1,0),0,Z$2-1)</f>
        <v>0</v>
      </c>
      <c r="AA28" s="32">
        <f ca="1">OFFSET(_xlfn.XLOOKUP($B28,Resultat!$D:$D,Resultat!$E:$E,-1,0),0,Z$2-1)</f>
        <v>0</v>
      </c>
      <c r="AB28" s="33">
        <f ca="1">OFFSET(_xlfn.XLOOKUP($B28,Resultat!$D:$D,Resultat!$AL:$AL,-1,0),0,AB$2-1)</f>
        <v>0</v>
      </c>
      <c r="AC28" s="32">
        <f ca="1">OFFSET(_xlfn.XLOOKUP($B28,Resultat!$D:$D,Resultat!$E:$E,-1,0),0,AB$2-1)</f>
        <v>0</v>
      </c>
      <c r="AD28" s="33">
        <f ca="1">OFFSET(_xlfn.XLOOKUP($B28,Resultat!$D:$D,Resultat!$AL:$AL,-1,0),0,AD$2-1)</f>
        <v>0</v>
      </c>
      <c r="AE28" s="32">
        <f ca="1">OFFSET(_xlfn.XLOOKUP($B28,Resultat!$D:$D,Resultat!$E:$E,-1,0),0,AD$2-1)</f>
        <v>0</v>
      </c>
      <c r="AF28" s="33">
        <f ca="1">OFFSET(_xlfn.XLOOKUP($B28,Resultat!$D:$D,Resultat!$AL:$AL,-1,0),0,AF$2-1)</f>
        <v>0</v>
      </c>
      <c r="AG28" s="32">
        <f ca="1">OFFSET(_xlfn.XLOOKUP($B28,Resultat!$D:$D,Resultat!$E:$E,-1,0),0,AF$2-1)</f>
        <v>0</v>
      </c>
    </row>
    <row r="29" spans="1:33" s="22" customFormat="1" ht="15.6" customHeight="1" x14ac:dyDescent="0.25">
      <c r="A29" s="44">
        <f ca="1">_xlfn.XLOOKUP($B29,Resultat!$D:$D,Resultat!$Z:$Z,-1,0)</f>
        <v>15</v>
      </c>
      <c r="B29" s="21" t="s">
        <v>102</v>
      </c>
      <c r="C29" s="43">
        <f ca="1">_xlfn.XLOOKUP($B29,Resultat!$D:$D,Resultat!$AA:$AA,-1,0)</f>
        <v>9999</v>
      </c>
      <c r="D29" s="28">
        <f ca="1">OFFSET(_xlfn.XLOOKUP($B29,Resultat!$D:$D,Resultat!$AL:$AL,-1,0),0,D$2-1)</f>
        <v>15</v>
      </c>
      <c r="E29" s="32">
        <f ca="1">OFFSET(_xlfn.XLOOKUP($B29,Resultat!$D:$D,Resultat!$E:$E,-1,0),0,D$2-1)</f>
        <v>0</v>
      </c>
      <c r="F29" s="28">
        <f ca="1">OFFSET(_xlfn.XLOOKUP($B29,Resultat!$D:$D,Resultat!$AL:$AL,-1,0),0,F$2-1)</f>
        <v>0</v>
      </c>
      <c r="G29" s="32">
        <f ca="1">OFFSET(_xlfn.XLOOKUP($B29,Resultat!$D:$D,Resultat!$E:$E,-1,0),0,F$2-1)</f>
        <v>0</v>
      </c>
      <c r="H29" s="31">
        <f ca="1">OFFSET(_xlfn.XLOOKUP($B29,Resultat!$D:$D,Resultat!$AL:$AL,-1,0),0,H$2-1)</f>
        <v>0</v>
      </c>
      <c r="I29" s="32">
        <f ca="1">OFFSET(_xlfn.XLOOKUP($B29,Resultat!$D:$D,Resultat!$E:$E,-1,0),0,H$2-1)</f>
        <v>0</v>
      </c>
      <c r="J29" s="30">
        <f ca="1">OFFSET(_xlfn.XLOOKUP($B29,Resultat!$D:$D,Resultat!$AL:$AL,-1,0),0,J$2-1)</f>
        <v>0</v>
      </c>
      <c r="K29" s="32">
        <f ca="1">OFFSET(_xlfn.XLOOKUP($B29,Resultat!$D:$D,Resultat!$E:$E,-1,0),0,J$2-1)</f>
        <v>0</v>
      </c>
      <c r="L29" s="33">
        <f ca="1">OFFSET(_xlfn.XLOOKUP($B29,Resultat!$D:$D,Resultat!$AL:$AL,-1,0),0,L$2-1)</f>
        <v>0</v>
      </c>
      <c r="M29" s="32">
        <f ca="1">OFFSET(_xlfn.XLOOKUP($B29,Resultat!$D:$D,Resultat!$E:$E,-1,0),0,L$2-1)</f>
        <v>0</v>
      </c>
      <c r="N29" s="33">
        <f ca="1">OFFSET(_xlfn.XLOOKUP($B29,Resultat!$D:$D,Resultat!$AL:$AL,-1,0),0,N$2-1)</f>
        <v>0</v>
      </c>
      <c r="O29" s="32">
        <f ca="1">OFFSET(_xlfn.XLOOKUP($B29,Resultat!$D:$D,Resultat!$E:$E,-1,0),0,N$2-1)</f>
        <v>0</v>
      </c>
      <c r="P29" s="33">
        <f ca="1">OFFSET(_xlfn.XLOOKUP($B29,Resultat!$D:$D,Resultat!$AL:$AL,-1,0),0,P$2-1)</f>
        <v>0</v>
      </c>
      <c r="Q29" s="32">
        <f ca="1">OFFSET(_xlfn.XLOOKUP($B29,Resultat!$D:$D,Resultat!$E:$E,-1,0),0,P$2-1)</f>
        <v>0</v>
      </c>
      <c r="R29" s="33">
        <f ca="1">OFFSET(_xlfn.XLOOKUP($B29,Resultat!$D:$D,Resultat!$AL:$AL,-1,0),0,R$2-1)</f>
        <v>0</v>
      </c>
      <c r="S29" s="32">
        <f ca="1">OFFSET(_xlfn.XLOOKUP($B29,Resultat!$D:$D,Resultat!$E:$E,-1,0),0,R$2-1)</f>
        <v>0</v>
      </c>
      <c r="T29" s="33">
        <f ca="1">OFFSET(_xlfn.XLOOKUP($B29,Resultat!$D:$D,Resultat!$AL:$AL,-1,0),0,T$2-1)</f>
        <v>0</v>
      </c>
      <c r="U29" s="32">
        <f ca="1">OFFSET(_xlfn.XLOOKUP($B29,Resultat!$D:$D,Resultat!$E:$E,-1,0),0,T$2-1)</f>
        <v>0</v>
      </c>
      <c r="V29" s="33">
        <f ca="1">OFFSET(_xlfn.XLOOKUP($B29,Resultat!$D:$D,Resultat!$AL:$AL,-1,0),0,V$2-1)</f>
        <v>0</v>
      </c>
      <c r="W29" s="32">
        <f ca="1">OFFSET(_xlfn.XLOOKUP($B29,Resultat!$D:$D,Resultat!$E:$E,-1,0),0,V$2-1)</f>
        <v>0</v>
      </c>
      <c r="X29" s="33">
        <f ca="1">OFFSET(_xlfn.XLOOKUP($B29,Resultat!$D:$D,Resultat!$AL:$AL,-1,0),0,X$2-1)</f>
        <v>0</v>
      </c>
      <c r="Y29" s="32">
        <f ca="1">OFFSET(_xlfn.XLOOKUP($B29,Resultat!$D:$D,Resultat!$E:$E,-1,0),0,X$2-1)</f>
        <v>0</v>
      </c>
      <c r="Z29" s="33">
        <f ca="1">OFFSET(_xlfn.XLOOKUP($B29,Resultat!$D:$D,Resultat!$AL:$AL,-1,0),0,Z$2-1)</f>
        <v>0</v>
      </c>
      <c r="AA29" s="32">
        <f ca="1">OFFSET(_xlfn.XLOOKUP($B29,Resultat!$D:$D,Resultat!$E:$E,-1,0),0,Z$2-1)</f>
        <v>0</v>
      </c>
      <c r="AB29" s="33">
        <f ca="1">OFFSET(_xlfn.XLOOKUP($B29,Resultat!$D:$D,Resultat!$AL:$AL,-1,0),0,AB$2-1)</f>
        <v>0</v>
      </c>
      <c r="AC29" s="32">
        <f ca="1">OFFSET(_xlfn.XLOOKUP($B29,Resultat!$D:$D,Resultat!$E:$E,-1,0),0,AB$2-1)</f>
        <v>0</v>
      </c>
      <c r="AD29" s="33">
        <f ca="1">OFFSET(_xlfn.XLOOKUP($B29,Resultat!$D:$D,Resultat!$AL:$AL,-1,0),0,AD$2-1)</f>
        <v>0</v>
      </c>
      <c r="AE29" s="32">
        <f ca="1">OFFSET(_xlfn.XLOOKUP($B29,Resultat!$D:$D,Resultat!$E:$E,-1,0),0,AD$2-1)</f>
        <v>0</v>
      </c>
      <c r="AF29" s="33">
        <f ca="1">OFFSET(_xlfn.XLOOKUP($B29,Resultat!$D:$D,Resultat!$AL:$AL,-1,0),0,AF$2-1)</f>
        <v>0</v>
      </c>
      <c r="AG29" s="32">
        <f ca="1">OFFSET(_xlfn.XLOOKUP($B29,Resultat!$D:$D,Resultat!$E:$E,-1,0),0,AF$2-1)</f>
        <v>0</v>
      </c>
    </row>
    <row r="30" spans="1:33" s="22" customFormat="1" ht="15.6" customHeight="1" x14ac:dyDescent="0.25">
      <c r="A30" s="44">
        <f ca="1">_xlfn.XLOOKUP($B30,Resultat!$D:$D,Resultat!$Z:$Z,-1,0)</f>
        <v>15</v>
      </c>
      <c r="B30" s="21" t="s">
        <v>48</v>
      </c>
      <c r="C30" s="43">
        <f ca="1">_xlfn.XLOOKUP($B30,Resultat!$D:$D,Resultat!$AA:$AA,-1,0)</f>
        <v>9999</v>
      </c>
      <c r="D30" s="28">
        <f ca="1">OFFSET(_xlfn.XLOOKUP($B30,Resultat!$D:$D,Resultat!$AL:$AL,-1,0),0,D$2-1)</f>
        <v>15</v>
      </c>
      <c r="E30" s="32">
        <f ca="1">OFFSET(_xlfn.XLOOKUP($B30,Resultat!$D:$D,Resultat!$E:$E,-1,0),0,D$2-1)</f>
        <v>0</v>
      </c>
      <c r="F30" s="28">
        <f ca="1">OFFSET(_xlfn.XLOOKUP($B30,Resultat!$D:$D,Resultat!$AL:$AL,-1,0),0,F$2-1)</f>
        <v>0</v>
      </c>
      <c r="G30" s="32">
        <f ca="1">OFFSET(_xlfn.XLOOKUP($B30,Resultat!$D:$D,Resultat!$E:$E,-1,0),0,F$2-1)</f>
        <v>0</v>
      </c>
      <c r="H30" s="31">
        <f ca="1">OFFSET(_xlfn.XLOOKUP($B30,Resultat!$D:$D,Resultat!$AL:$AL,-1,0),0,H$2-1)</f>
        <v>0</v>
      </c>
      <c r="I30" s="32">
        <f ca="1">OFFSET(_xlfn.XLOOKUP($B30,Resultat!$D:$D,Resultat!$E:$E,-1,0),0,H$2-1)</f>
        <v>0</v>
      </c>
      <c r="J30" s="30">
        <f ca="1">OFFSET(_xlfn.XLOOKUP($B30,Resultat!$D:$D,Resultat!$AL:$AL,-1,0),0,J$2-1)</f>
        <v>0</v>
      </c>
      <c r="K30" s="32">
        <f ca="1">OFFSET(_xlfn.XLOOKUP($B30,Resultat!$D:$D,Resultat!$E:$E,-1,0),0,J$2-1)</f>
        <v>0</v>
      </c>
      <c r="L30" s="33">
        <f ca="1">OFFSET(_xlfn.XLOOKUP($B30,Resultat!$D:$D,Resultat!$AL:$AL,-1,0),0,L$2-1)</f>
        <v>0</v>
      </c>
      <c r="M30" s="32">
        <f ca="1">OFFSET(_xlfn.XLOOKUP($B30,Resultat!$D:$D,Resultat!$E:$E,-1,0),0,L$2-1)</f>
        <v>0</v>
      </c>
      <c r="N30" s="33">
        <f ca="1">OFFSET(_xlfn.XLOOKUP($B30,Resultat!$D:$D,Resultat!$AL:$AL,-1,0),0,N$2-1)</f>
        <v>0</v>
      </c>
      <c r="O30" s="32">
        <f ca="1">OFFSET(_xlfn.XLOOKUP($B30,Resultat!$D:$D,Resultat!$E:$E,-1,0),0,N$2-1)</f>
        <v>0</v>
      </c>
      <c r="P30" s="33">
        <f ca="1">OFFSET(_xlfn.XLOOKUP($B30,Resultat!$D:$D,Resultat!$AL:$AL,-1,0),0,P$2-1)</f>
        <v>0</v>
      </c>
      <c r="Q30" s="32">
        <f ca="1">OFFSET(_xlfn.XLOOKUP($B30,Resultat!$D:$D,Resultat!$E:$E,-1,0),0,P$2-1)</f>
        <v>0</v>
      </c>
      <c r="R30" s="33">
        <f ca="1">OFFSET(_xlfn.XLOOKUP($B30,Resultat!$D:$D,Resultat!$AL:$AL,-1,0),0,R$2-1)</f>
        <v>0</v>
      </c>
      <c r="S30" s="32">
        <f ca="1">OFFSET(_xlfn.XLOOKUP($B30,Resultat!$D:$D,Resultat!$E:$E,-1,0),0,R$2-1)</f>
        <v>0</v>
      </c>
      <c r="T30" s="33">
        <f ca="1">OFFSET(_xlfn.XLOOKUP($B30,Resultat!$D:$D,Resultat!$AL:$AL,-1,0),0,T$2-1)</f>
        <v>0</v>
      </c>
      <c r="U30" s="32">
        <f ca="1">OFFSET(_xlfn.XLOOKUP($B30,Resultat!$D:$D,Resultat!$E:$E,-1,0),0,T$2-1)</f>
        <v>0</v>
      </c>
      <c r="V30" s="33">
        <f ca="1">OFFSET(_xlfn.XLOOKUP($B30,Resultat!$D:$D,Resultat!$AL:$AL,-1,0),0,V$2-1)</f>
        <v>0</v>
      </c>
      <c r="W30" s="32">
        <f ca="1">OFFSET(_xlfn.XLOOKUP($B30,Resultat!$D:$D,Resultat!$E:$E,-1,0),0,V$2-1)</f>
        <v>0</v>
      </c>
      <c r="X30" s="33">
        <f ca="1">OFFSET(_xlfn.XLOOKUP($B30,Resultat!$D:$D,Resultat!$AL:$AL,-1,0),0,X$2-1)</f>
        <v>0</v>
      </c>
      <c r="Y30" s="32">
        <f ca="1">OFFSET(_xlfn.XLOOKUP($B30,Resultat!$D:$D,Resultat!$E:$E,-1,0),0,X$2-1)</f>
        <v>0</v>
      </c>
      <c r="Z30" s="33">
        <f ca="1">OFFSET(_xlfn.XLOOKUP($B30,Resultat!$D:$D,Resultat!$AL:$AL,-1,0),0,Z$2-1)</f>
        <v>0</v>
      </c>
      <c r="AA30" s="32">
        <f ca="1">OFFSET(_xlfn.XLOOKUP($B30,Resultat!$D:$D,Resultat!$E:$E,-1,0),0,Z$2-1)</f>
        <v>0</v>
      </c>
      <c r="AB30" s="33">
        <f ca="1">OFFSET(_xlfn.XLOOKUP($B30,Resultat!$D:$D,Resultat!$AL:$AL,-1,0),0,AB$2-1)</f>
        <v>0</v>
      </c>
      <c r="AC30" s="32">
        <f ca="1">OFFSET(_xlfn.XLOOKUP($B30,Resultat!$D:$D,Resultat!$E:$E,-1,0),0,AB$2-1)</f>
        <v>0</v>
      </c>
      <c r="AD30" s="33">
        <f ca="1">OFFSET(_xlfn.XLOOKUP($B30,Resultat!$D:$D,Resultat!$AL:$AL,-1,0),0,AD$2-1)</f>
        <v>0</v>
      </c>
      <c r="AE30" s="32">
        <f ca="1">OFFSET(_xlfn.XLOOKUP($B30,Resultat!$D:$D,Resultat!$E:$E,-1,0),0,AD$2-1)</f>
        <v>0</v>
      </c>
      <c r="AF30" s="33">
        <f ca="1">OFFSET(_xlfn.XLOOKUP($B30,Resultat!$D:$D,Resultat!$AL:$AL,-1,0),0,AF$2-1)</f>
        <v>0</v>
      </c>
      <c r="AG30" s="32">
        <f ca="1">OFFSET(_xlfn.XLOOKUP($B30,Resultat!$D:$D,Resultat!$E:$E,-1,0),0,AF$2-1)</f>
        <v>0</v>
      </c>
    </row>
    <row r="31" spans="1:33" s="22" customFormat="1" ht="15.6" customHeight="1" x14ac:dyDescent="0.25">
      <c r="A31" s="44">
        <f ca="1">_xlfn.XLOOKUP($B31,Resultat!$D:$D,Resultat!$Z:$Z,-1,0)</f>
        <v>15</v>
      </c>
      <c r="B31" s="21" t="s">
        <v>55</v>
      </c>
      <c r="C31" s="43">
        <f ca="1">_xlfn.XLOOKUP($B31,Resultat!$D:$D,Resultat!$AA:$AA,-1,0)</f>
        <v>9999</v>
      </c>
      <c r="D31" s="28">
        <f ca="1">OFFSET(_xlfn.XLOOKUP($B31,Resultat!$D:$D,Resultat!$AL:$AL,-1,0),0,D$2-1)</f>
        <v>15</v>
      </c>
      <c r="E31" s="32">
        <f ca="1">OFFSET(_xlfn.XLOOKUP($B31,Resultat!$D:$D,Resultat!$E:$E,-1,0),0,D$2-1)</f>
        <v>0</v>
      </c>
      <c r="F31" s="28">
        <f ca="1">OFFSET(_xlfn.XLOOKUP($B31,Resultat!$D:$D,Resultat!$AL:$AL,-1,0),0,F$2-1)</f>
        <v>0</v>
      </c>
      <c r="G31" s="32">
        <f ca="1">OFFSET(_xlfn.XLOOKUP($B31,Resultat!$D:$D,Resultat!$E:$E,-1,0),0,F$2-1)</f>
        <v>0</v>
      </c>
      <c r="H31" s="31">
        <f ca="1">OFFSET(_xlfn.XLOOKUP($B31,Resultat!$D:$D,Resultat!$AL:$AL,-1,0),0,H$2-1)</f>
        <v>0</v>
      </c>
      <c r="I31" s="32">
        <f ca="1">OFFSET(_xlfn.XLOOKUP($B31,Resultat!$D:$D,Resultat!$E:$E,-1,0),0,H$2-1)</f>
        <v>0</v>
      </c>
      <c r="J31" s="30">
        <f ca="1">OFFSET(_xlfn.XLOOKUP($B31,Resultat!$D:$D,Resultat!$AL:$AL,-1,0),0,J$2-1)</f>
        <v>0</v>
      </c>
      <c r="K31" s="32">
        <f ca="1">OFFSET(_xlfn.XLOOKUP($B31,Resultat!$D:$D,Resultat!$E:$E,-1,0),0,J$2-1)</f>
        <v>0</v>
      </c>
      <c r="L31" s="33">
        <f ca="1">OFFSET(_xlfn.XLOOKUP($B31,Resultat!$D:$D,Resultat!$AL:$AL,-1,0),0,L$2-1)</f>
        <v>0</v>
      </c>
      <c r="M31" s="32">
        <f ca="1">OFFSET(_xlfn.XLOOKUP($B31,Resultat!$D:$D,Resultat!$E:$E,-1,0),0,L$2-1)</f>
        <v>0</v>
      </c>
      <c r="N31" s="33">
        <f ca="1">OFFSET(_xlfn.XLOOKUP($B31,Resultat!$D:$D,Resultat!$AL:$AL,-1,0),0,N$2-1)</f>
        <v>0</v>
      </c>
      <c r="O31" s="32">
        <f ca="1">OFFSET(_xlfn.XLOOKUP($B31,Resultat!$D:$D,Resultat!$E:$E,-1,0),0,N$2-1)</f>
        <v>0</v>
      </c>
      <c r="P31" s="33">
        <f ca="1">OFFSET(_xlfn.XLOOKUP($B31,Resultat!$D:$D,Resultat!$AL:$AL,-1,0),0,P$2-1)</f>
        <v>0</v>
      </c>
      <c r="Q31" s="32">
        <f ca="1">OFFSET(_xlfn.XLOOKUP($B31,Resultat!$D:$D,Resultat!$E:$E,-1,0),0,P$2-1)</f>
        <v>0</v>
      </c>
      <c r="R31" s="33">
        <f ca="1">OFFSET(_xlfn.XLOOKUP($B31,Resultat!$D:$D,Resultat!$AL:$AL,-1,0),0,R$2-1)</f>
        <v>0</v>
      </c>
      <c r="S31" s="32">
        <f ca="1">OFFSET(_xlfn.XLOOKUP($B31,Resultat!$D:$D,Resultat!$E:$E,-1,0),0,R$2-1)</f>
        <v>0</v>
      </c>
      <c r="T31" s="33">
        <f ca="1">OFFSET(_xlfn.XLOOKUP($B31,Resultat!$D:$D,Resultat!$AL:$AL,-1,0),0,T$2-1)</f>
        <v>0</v>
      </c>
      <c r="U31" s="32">
        <f ca="1">OFFSET(_xlfn.XLOOKUP($B31,Resultat!$D:$D,Resultat!$E:$E,-1,0),0,T$2-1)</f>
        <v>0</v>
      </c>
      <c r="V31" s="33">
        <f ca="1">OFFSET(_xlfn.XLOOKUP($B31,Resultat!$D:$D,Resultat!$AL:$AL,-1,0),0,V$2-1)</f>
        <v>0</v>
      </c>
      <c r="W31" s="32">
        <f ca="1">OFFSET(_xlfn.XLOOKUP($B31,Resultat!$D:$D,Resultat!$E:$E,-1,0),0,V$2-1)</f>
        <v>0</v>
      </c>
      <c r="X31" s="33">
        <f ca="1">OFFSET(_xlfn.XLOOKUP($B31,Resultat!$D:$D,Resultat!$AL:$AL,-1,0),0,X$2-1)</f>
        <v>0</v>
      </c>
      <c r="Y31" s="32">
        <f ca="1">OFFSET(_xlfn.XLOOKUP($B31,Resultat!$D:$D,Resultat!$E:$E,-1,0),0,X$2-1)</f>
        <v>0</v>
      </c>
      <c r="Z31" s="33">
        <f ca="1">OFFSET(_xlfn.XLOOKUP($B31,Resultat!$D:$D,Resultat!$AL:$AL,-1,0),0,Z$2-1)</f>
        <v>0</v>
      </c>
      <c r="AA31" s="32">
        <f ca="1">OFFSET(_xlfn.XLOOKUP($B31,Resultat!$D:$D,Resultat!$E:$E,-1,0),0,Z$2-1)</f>
        <v>0</v>
      </c>
      <c r="AB31" s="33">
        <f ca="1">OFFSET(_xlfn.XLOOKUP($B31,Resultat!$D:$D,Resultat!$AL:$AL,-1,0),0,AB$2-1)</f>
        <v>0</v>
      </c>
      <c r="AC31" s="32">
        <f ca="1">OFFSET(_xlfn.XLOOKUP($B31,Resultat!$D:$D,Resultat!$E:$E,-1,0),0,AB$2-1)</f>
        <v>0</v>
      </c>
      <c r="AD31" s="33">
        <f ca="1">OFFSET(_xlfn.XLOOKUP($B31,Resultat!$D:$D,Resultat!$AL:$AL,-1,0),0,AD$2-1)</f>
        <v>0</v>
      </c>
      <c r="AE31" s="32">
        <f ca="1">OFFSET(_xlfn.XLOOKUP($B31,Resultat!$D:$D,Resultat!$E:$E,-1,0),0,AD$2-1)</f>
        <v>0</v>
      </c>
      <c r="AF31" s="33">
        <f ca="1">OFFSET(_xlfn.XLOOKUP($B31,Resultat!$D:$D,Resultat!$AL:$AL,-1,0),0,AF$2-1)</f>
        <v>0</v>
      </c>
      <c r="AG31" s="32">
        <f ca="1">OFFSET(_xlfn.XLOOKUP($B31,Resultat!$D:$D,Resultat!$E:$E,-1,0),0,AF$2-1)</f>
        <v>0</v>
      </c>
    </row>
    <row r="32" spans="1:33" s="22" customFormat="1" ht="15.6" customHeight="1" x14ac:dyDescent="0.25">
      <c r="A32" s="44">
        <f ca="1">_xlfn.XLOOKUP($B32,Resultat!$D:$D,Resultat!$Z:$Z,-1,0)</f>
        <v>15</v>
      </c>
      <c r="B32" s="21" t="s">
        <v>68</v>
      </c>
      <c r="C32" s="43">
        <f ca="1">_xlfn.XLOOKUP($B32,Resultat!$D:$D,Resultat!$AA:$AA,-1,0)</f>
        <v>9999</v>
      </c>
      <c r="D32" s="28">
        <f ca="1">OFFSET(_xlfn.XLOOKUP($B32,Resultat!$D:$D,Resultat!$AL:$AL,-1,0),0,D$2-1)</f>
        <v>15</v>
      </c>
      <c r="E32" s="32">
        <f ca="1">OFFSET(_xlfn.XLOOKUP($B32,Resultat!$D:$D,Resultat!$E:$E,-1,0),0,D$2-1)</f>
        <v>0</v>
      </c>
      <c r="F32" s="28">
        <f ca="1">OFFSET(_xlfn.XLOOKUP($B32,Resultat!$D:$D,Resultat!$AL:$AL,-1,0),0,F$2-1)</f>
        <v>0</v>
      </c>
      <c r="G32" s="32">
        <f ca="1">OFFSET(_xlfn.XLOOKUP($B32,Resultat!$D:$D,Resultat!$E:$E,-1,0),0,F$2-1)</f>
        <v>0</v>
      </c>
      <c r="H32" s="31">
        <f ca="1">OFFSET(_xlfn.XLOOKUP($B32,Resultat!$D:$D,Resultat!$AL:$AL,-1,0),0,H$2-1)</f>
        <v>0</v>
      </c>
      <c r="I32" s="32">
        <f ca="1">OFFSET(_xlfn.XLOOKUP($B32,Resultat!$D:$D,Resultat!$E:$E,-1,0),0,H$2-1)</f>
        <v>0</v>
      </c>
      <c r="J32" s="30">
        <f ca="1">OFFSET(_xlfn.XLOOKUP($B32,Resultat!$D:$D,Resultat!$AL:$AL,-1,0),0,J$2-1)</f>
        <v>0</v>
      </c>
      <c r="K32" s="32">
        <f ca="1">OFFSET(_xlfn.XLOOKUP($B32,Resultat!$D:$D,Resultat!$E:$E,-1,0),0,J$2-1)</f>
        <v>0</v>
      </c>
      <c r="L32" s="33">
        <f ca="1">OFFSET(_xlfn.XLOOKUP($B32,Resultat!$D:$D,Resultat!$AL:$AL,-1,0),0,L$2-1)</f>
        <v>0</v>
      </c>
      <c r="M32" s="32">
        <f ca="1">OFFSET(_xlfn.XLOOKUP($B32,Resultat!$D:$D,Resultat!$E:$E,-1,0),0,L$2-1)</f>
        <v>0</v>
      </c>
      <c r="N32" s="33">
        <f ca="1">OFFSET(_xlfn.XLOOKUP($B32,Resultat!$D:$D,Resultat!$AL:$AL,-1,0),0,N$2-1)</f>
        <v>0</v>
      </c>
      <c r="O32" s="32">
        <f ca="1">OFFSET(_xlfn.XLOOKUP($B32,Resultat!$D:$D,Resultat!$E:$E,-1,0),0,N$2-1)</f>
        <v>0</v>
      </c>
      <c r="P32" s="33">
        <f ca="1">OFFSET(_xlfn.XLOOKUP($B32,Resultat!$D:$D,Resultat!$AL:$AL,-1,0),0,P$2-1)</f>
        <v>0</v>
      </c>
      <c r="Q32" s="32">
        <f ca="1">OFFSET(_xlfn.XLOOKUP($B32,Resultat!$D:$D,Resultat!$E:$E,-1,0),0,P$2-1)</f>
        <v>0</v>
      </c>
      <c r="R32" s="33">
        <f ca="1">OFFSET(_xlfn.XLOOKUP($B32,Resultat!$D:$D,Resultat!$AL:$AL,-1,0),0,R$2-1)</f>
        <v>0</v>
      </c>
      <c r="S32" s="32">
        <f ca="1">OFFSET(_xlfn.XLOOKUP($B32,Resultat!$D:$D,Resultat!$E:$E,-1,0),0,R$2-1)</f>
        <v>0</v>
      </c>
      <c r="T32" s="33">
        <f ca="1">OFFSET(_xlfn.XLOOKUP($B32,Resultat!$D:$D,Resultat!$AL:$AL,-1,0),0,T$2-1)</f>
        <v>0</v>
      </c>
      <c r="U32" s="32">
        <f ca="1">OFFSET(_xlfn.XLOOKUP($B32,Resultat!$D:$D,Resultat!$E:$E,-1,0),0,T$2-1)</f>
        <v>0</v>
      </c>
      <c r="V32" s="33">
        <f ca="1">OFFSET(_xlfn.XLOOKUP($B32,Resultat!$D:$D,Resultat!$AL:$AL,-1,0),0,V$2-1)</f>
        <v>0</v>
      </c>
      <c r="W32" s="32">
        <f ca="1">OFFSET(_xlfn.XLOOKUP($B32,Resultat!$D:$D,Resultat!$E:$E,-1,0),0,V$2-1)</f>
        <v>0</v>
      </c>
      <c r="X32" s="33">
        <f ca="1">OFFSET(_xlfn.XLOOKUP($B32,Resultat!$D:$D,Resultat!$AL:$AL,-1,0),0,X$2-1)</f>
        <v>0</v>
      </c>
      <c r="Y32" s="32">
        <f ca="1">OFFSET(_xlfn.XLOOKUP($B32,Resultat!$D:$D,Resultat!$E:$E,-1,0),0,X$2-1)</f>
        <v>0</v>
      </c>
      <c r="Z32" s="33">
        <f ca="1">OFFSET(_xlfn.XLOOKUP($B32,Resultat!$D:$D,Resultat!$AL:$AL,-1,0),0,Z$2-1)</f>
        <v>0</v>
      </c>
      <c r="AA32" s="32">
        <f ca="1">OFFSET(_xlfn.XLOOKUP($B32,Resultat!$D:$D,Resultat!$E:$E,-1,0),0,Z$2-1)</f>
        <v>0</v>
      </c>
      <c r="AB32" s="33">
        <f ca="1">OFFSET(_xlfn.XLOOKUP($B32,Resultat!$D:$D,Resultat!$AL:$AL,-1,0),0,AB$2-1)</f>
        <v>0</v>
      </c>
      <c r="AC32" s="32">
        <f ca="1">OFFSET(_xlfn.XLOOKUP($B32,Resultat!$D:$D,Resultat!$E:$E,-1,0),0,AB$2-1)</f>
        <v>0</v>
      </c>
      <c r="AD32" s="33">
        <f ca="1">OFFSET(_xlfn.XLOOKUP($B32,Resultat!$D:$D,Resultat!$AL:$AL,-1,0),0,AD$2-1)</f>
        <v>0</v>
      </c>
      <c r="AE32" s="32">
        <f ca="1">OFFSET(_xlfn.XLOOKUP($B32,Resultat!$D:$D,Resultat!$E:$E,-1,0),0,AD$2-1)</f>
        <v>0</v>
      </c>
      <c r="AF32" s="33">
        <f ca="1">OFFSET(_xlfn.XLOOKUP($B32,Resultat!$D:$D,Resultat!$AL:$AL,-1,0),0,AF$2-1)</f>
        <v>0</v>
      </c>
      <c r="AG32" s="32">
        <f ca="1">OFFSET(_xlfn.XLOOKUP($B32,Resultat!$D:$D,Resultat!$E:$E,-1,0),0,AF$2-1)</f>
        <v>0</v>
      </c>
    </row>
    <row r="33" spans="1:33" s="22" customFormat="1" ht="15.6" customHeight="1" x14ac:dyDescent="0.25">
      <c r="A33" s="44">
        <f ca="1">_xlfn.XLOOKUP($B33,Resultat!$D:$D,Resultat!$Z:$Z,-1,0)</f>
        <v>15</v>
      </c>
      <c r="B33" s="21" t="s">
        <v>81</v>
      </c>
      <c r="C33" s="43">
        <f ca="1">_xlfn.XLOOKUP($B33,Resultat!$D:$D,Resultat!$AA:$AA,-1,0)</f>
        <v>9999</v>
      </c>
      <c r="D33" s="28">
        <f ca="1">OFFSET(_xlfn.XLOOKUP($B33,Resultat!$D:$D,Resultat!$AL:$AL,-1,0),0,D$2-1)</f>
        <v>15</v>
      </c>
      <c r="E33" s="32">
        <f ca="1">OFFSET(_xlfn.XLOOKUP($B33,Resultat!$D:$D,Resultat!$E:$E,-1,0),0,D$2-1)</f>
        <v>0</v>
      </c>
      <c r="F33" s="28">
        <f ca="1">OFFSET(_xlfn.XLOOKUP($B33,Resultat!$D:$D,Resultat!$AL:$AL,-1,0),0,F$2-1)</f>
        <v>0</v>
      </c>
      <c r="G33" s="32">
        <f ca="1">OFFSET(_xlfn.XLOOKUP($B33,Resultat!$D:$D,Resultat!$E:$E,-1,0),0,F$2-1)</f>
        <v>0</v>
      </c>
      <c r="H33" s="31">
        <f ca="1">OFFSET(_xlfn.XLOOKUP($B33,Resultat!$D:$D,Resultat!$AL:$AL,-1,0),0,H$2-1)</f>
        <v>0</v>
      </c>
      <c r="I33" s="32">
        <f ca="1">OFFSET(_xlfn.XLOOKUP($B33,Resultat!$D:$D,Resultat!$E:$E,-1,0),0,H$2-1)</f>
        <v>0</v>
      </c>
      <c r="J33" s="30">
        <f ca="1">OFFSET(_xlfn.XLOOKUP($B33,Resultat!$D:$D,Resultat!$AL:$AL,-1,0),0,J$2-1)</f>
        <v>0</v>
      </c>
      <c r="K33" s="32">
        <f ca="1">OFFSET(_xlfn.XLOOKUP($B33,Resultat!$D:$D,Resultat!$E:$E,-1,0),0,J$2-1)</f>
        <v>0</v>
      </c>
      <c r="L33" s="33">
        <f ca="1">OFFSET(_xlfn.XLOOKUP($B33,Resultat!$D:$D,Resultat!$AL:$AL,-1,0),0,L$2-1)</f>
        <v>0</v>
      </c>
      <c r="M33" s="32">
        <f ca="1">OFFSET(_xlfn.XLOOKUP($B33,Resultat!$D:$D,Resultat!$E:$E,-1,0),0,L$2-1)</f>
        <v>0</v>
      </c>
      <c r="N33" s="33">
        <f ca="1">OFFSET(_xlfn.XLOOKUP($B33,Resultat!$D:$D,Resultat!$AL:$AL,-1,0),0,N$2-1)</f>
        <v>0</v>
      </c>
      <c r="O33" s="32">
        <f ca="1">OFFSET(_xlfn.XLOOKUP($B33,Resultat!$D:$D,Resultat!$E:$E,-1,0),0,N$2-1)</f>
        <v>0</v>
      </c>
      <c r="P33" s="33">
        <f ca="1">OFFSET(_xlfn.XLOOKUP($B33,Resultat!$D:$D,Resultat!$AL:$AL,-1,0),0,P$2-1)</f>
        <v>0</v>
      </c>
      <c r="Q33" s="32">
        <f ca="1">OFFSET(_xlfn.XLOOKUP($B33,Resultat!$D:$D,Resultat!$E:$E,-1,0),0,P$2-1)</f>
        <v>0</v>
      </c>
      <c r="R33" s="33">
        <f ca="1">OFFSET(_xlfn.XLOOKUP($B33,Resultat!$D:$D,Resultat!$AL:$AL,-1,0),0,R$2-1)</f>
        <v>0</v>
      </c>
      <c r="S33" s="32">
        <f ca="1">OFFSET(_xlfn.XLOOKUP($B33,Resultat!$D:$D,Resultat!$E:$E,-1,0),0,R$2-1)</f>
        <v>0</v>
      </c>
      <c r="T33" s="33">
        <f ca="1">OFFSET(_xlfn.XLOOKUP($B33,Resultat!$D:$D,Resultat!$AL:$AL,-1,0),0,T$2-1)</f>
        <v>0</v>
      </c>
      <c r="U33" s="32">
        <f ca="1">OFFSET(_xlfn.XLOOKUP($B33,Resultat!$D:$D,Resultat!$E:$E,-1,0),0,T$2-1)</f>
        <v>0</v>
      </c>
      <c r="V33" s="33">
        <f ca="1">OFFSET(_xlfn.XLOOKUP($B33,Resultat!$D:$D,Resultat!$AL:$AL,-1,0),0,V$2-1)</f>
        <v>0</v>
      </c>
      <c r="W33" s="32">
        <f ca="1">OFFSET(_xlfn.XLOOKUP($B33,Resultat!$D:$D,Resultat!$E:$E,-1,0),0,V$2-1)</f>
        <v>0</v>
      </c>
      <c r="X33" s="33">
        <f ca="1">OFFSET(_xlfn.XLOOKUP($B33,Resultat!$D:$D,Resultat!$AL:$AL,-1,0),0,X$2-1)</f>
        <v>0</v>
      </c>
      <c r="Y33" s="32">
        <f ca="1">OFFSET(_xlfn.XLOOKUP($B33,Resultat!$D:$D,Resultat!$E:$E,-1,0),0,X$2-1)</f>
        <v>0</v>
      </c>
      <c r="Z33" s="33">
        <f ca="1">OFFSET(_xlfn.XLOOKUP($B33,Resultat!$D:$D,Resultat!$AL:$AL,-1,0),0,Z$2-1)</f>
        <v>0</v>
      </c>
      <c r="AA33" s="32">
        <f ca="1">OFFSET(_xlfn.XLOOKUP($B33,Resultat!$D:$D,Resultat!$E:$E,-1,0),0,Z$2-1)</f>
        <v>0</v>
      </c>
      <c r="AB33" s="33">
        <f ca="1">OFFSET(_xlfn.XLOOKUP($B33,Resultat!$D:$D,Resultat!$AL:$AL,-1,0),0,AB$2-1)</f>
        <v>0</v>
      </c>
      <c r="AC33" s="32">
        <f ca="1">OFFSET(_xlfn.XLOOKUP($B33,Resultat!$D:$D,Resultat!$E:$E,-1,0),0,AB$2-1)</f>
        <v>0</v>
      </c>
      <c r="AD33" s="33">
        <f ca="1">OFFSET(_xlfn.XLOOKUP($B33,Resultat!$D:$D,Resultat!$AL:$AL,-1,0),0,AD$2-1)</f>
        <v>0</v>
      </c>
      <c r="AE33" s="32">
        <f ca="1">OFFSET(_xlfn.XLOOKUP($B33,Resultat!$D:$D,Resultat!$E:$E,-1,0),0,AD$2-1)</f>
        <v>0</v>
      </c>
      <c r="AF33" s="33">
        <f ca="1">OFFSET(_xlfn.XLOOKUP($B33,Resultat!$D:$D,Resultat!$AL:$AL,-1,0),0,AF$2-1)</f>
        <v>0</v>
      </c>
      <c r="AG33" s="32">
        <f ca="1">OFFSET(_xlfn.XLOOKUP($B33,Resultat!$D:$D,Resultat!$E:$E,-1,0),0,AF$2-1)</f>
        <v>0</v>
      </c>
    </row>
    <row r="34" spans="1:33" s="22" customFormat="1" ht="15.6" customHeight="1" x14ac:dyDescent="0.25">
      <c r="A34" s="44">
        <f ca="1">_xlfn.XLOOKUP($B34,Resultat!$D:$D,Resultat!$Z:$Z,-1,0)</f>
        <v>15</v>
      </c>
      <c r="B34" s="21" t="s">
        <v>58</v>
      </c>
      <c r="C34" s="43">
        <f ca="1">_xlfn.XLOOKUP($B34,Resultat!$D:$D,Resultat!$AA:$AA,-1,0)</f>
        <v>9999</v>
      </c>
      <c r="D34" s="28">
        <f ca="1">OFFSET(_xlfn.XLOOKUP($B34,Resultat!$D:$D,Resultat!$AL:$AL,-1,0),0,D$2-1)</f>
        <v>15</v>
      </c>
      <c r="E34" s="32">
        <f ca="1">OFFSET(_xlfn.XLOOKUP($B34,Resultat!$D:$D,Resultat!$E:$E,-1,0),0,D$2-1)</f>
        <v>0</v>
      </c>
      <c r="F34" s="28">
        <f ca="1">OFFSET(_xlfn.XLOOKUP($B34,Resultat!$D:$D,Resultat!$AL:$AL,-1,0),0,F$2-1)</f>
        <v>0</v>
      </c>
      <c r="G34" s="32">
        <f ca="1">OFFSET(_xlfn.XLOOKUP($B34,Resultat!$D:$D,Resultat!$E:$E,-1,0),0,F$2-1)</f>
        <v>0</v>
      </c>
      <c r="H34" s="31">
        <f ca="1">OFFSET(_xlfn.XLOOKUP($B34,Resultat!$D:$D,Resultat!$AL:$AL,-1,0),0,H$2-1)</f>
        <v>0</v>
      </c>
      <c r="I34" s="32">
        <f ca="1">OFFSET(_xlfn.XLOOKUP($B34,Resultat!$D:$D,Resultat!$E:$E,-1,0),0,H$2-1)</f>
        <v>0</v>
      </c>
      <c r="J34" s="30">
        <f ca="1">OFFSET(_xlfn.XLOOKUP($B34,Resultat!$D:$D,Resultat!$AL:$AL,-1,0),0,J$2-1)</f>
        <v>0</v>
      </c>
      <c r="K34" s="32">
        <f ca="1">OFFSET(_xlfn.XLOOKUP($B34,Resultat!$D:$D,Resultat!$E:$E,-1,0),0,J$2-1)</f>
        <v>0</v>
      </c>
      <c r="L34" s="33">
        <f ca="1">OFFSET(_xlfn.XLOOKUP($B34,Resultat!$D:$D,Resultat!$AL:$AL,-1,0),0,L$2-1)</f>
        <v>0</v>
      </c>
      <c r="M34" s="32">
        <f ca="1">OFFSET(_xlfn.XLOOKUP($B34,Resultat!$D:$D,Resultat!$E:$E,-1,0),0,L$2-1)</f>
        <v>0</v>
      </c>
      <c r="N34" s="33">
        <f ca="1">OFFSET(_xlfn.XLOOKUP($B34,Resultat!$D:$D,Resultat!$AL:$AL,-1,0),0,N$2-1)</f>
        <v>0</v>
      </c>
      <c r="O34" s="32">
        <f ca="1">OFFSET(_xlfn.XLOOKUP($B34,Resultat!$D:$D,Resultat!$E:$E,-1,0),0,N$2-1)</f>
        <v>0</v>
      </c>
      <c r="P34" s="33">
        <f ca="1">OFFSET(_xlfn.XLOOKUP($B34,Resultat!$D:$D,Resultat!$AL:$AL,-1,0),0,P$2-1)</f>
        <v>0</v>
      </c>
      <c r="Q34" s="32">
        <f ca="1">OFFSET(_xlfn.XLOOKUP($B34,Resultat!$D:$D,Resultat!$E:$E,-1,0),0,P$2-1)</f>
        <v>0</v>
      </c>
      <c r="R34" s="33">
        <f ca="1">OFFSET(_xlfn.XLOOKUP($B34,Resultat!$D:$D,Resultat!$AL:$AL,-1,0),0,R$2-1)</f>
        <v>0</v>
      </c>
      <c r="S34" s="32">
        <f ca="1">OFFSET(_xlfn.XLOOKUP($B34,Resultat!$D:$D,Resultat!$E:$E,-1,0),0,R$2-1)</f>
        <v>0</v>
      </c>
      <c r="T34" s="33">
        <f ca="1">OFFSET(_xlfn.XLOOKUP($B34,Resultat!$D:$D,Resultat!$AL:$AL,-1,0),0,T$2-1)</f>
        <v>0</v>
      </c>
      <c r="U34" s="32">
        <f ca="1">OFFSET(_xlfn.XLOOKUP($B34,Resultat!$D:$D,Resultat!$E:$E,-1,0),0,T$2-1)</f>
        <v>0</v>
      </c>
      <c r="V34" s="33">
        <f ca="1">OFFSET(_xlfn.XLOOKUP($B34,Resultat!$D:$D,Resultat!$AL:$AL,-1,0),0,V$2-1)</f>
        <v>0</v>
      </c>
      <c r="W34" s="32">
        <f ca="1">OFFSET(_xlfn.XLOOKUP($B34,Resultat!$D:$D,Resultat!$E:$E,-1,0),0,V$2-1)</f>
        <v>0</v>
      </c>
      <c r="X34" s="33">
        <f ca="1">OFFSET(_xlfn.XLOOKUP($B34,Resultat!$D:$D,Resultat!$AL:$AL,-1,0),0,X$2-1)</f>
        <v>0</v>
      </c>
      <c r="Y34" s="32">
        <f ca="1">OFFSET(_xlfn.XLOOKUP($B34,Resultat!$D:$D,Resultat!$E:$E,-1,0),0,X$2-1)</f>
        <v>0</v>
      </c>
      <c r="Z34" s="33">
        <f ca="1">OFFSET(_xlfn.XLOOKUP($B34,Resultat!$D:$D,Resultat!$AL:$AL,-1,0),0,Z$2-1)</f>
        <v>0</v>
      </c>
      <c r="AA34" s="32">
        <f ca="1">OFFSET(_xlfn.XLOOKUP($B34,Resultat!$D:$D,Resultat!$E:$E,-1,0),0,Z$2-1)</f>
        <v>0</v>
      </c>
      <c r="AB34" s="33">
        <f ca="1">OFFSET(_xlfn.XLOOKUP($B34,Resultat!$D:$D,Resultat!$AL:$AL,-1,0),0,AB$2-1)</f>
        <v>0</v>
      </c>
      <c r="AC34" s="32">
        <f ca="1">OFFSET(_xlfn.XLOOKUP($B34,Resultat!$D:$D,Resultat!$E:$E,-1,0),0,AB$2-1)</f>
        <v>0</v>
      </c>
      <c r="AD34" s="33">
        <f ca="1">OFFSET(_xlfn.XLOOKUP($B34,Resultat!$D:$D,Resultat!$AL:$AL,-1,0),0,AD$2-1)</f>
        <v>0</v>
      </c>
      <c r="AE34" s="32">
        <f ca="1">OFFSET(_xlfn.XLOOKUP($B34,Resultat!$D:$D,Resultat!$E:$E,-1,0),0,AD$2-1)</f>
        <v>0</v>
      </c>
      <c r="AF34" s="33">
        <f ca="1">OFFSET(_xlfn.XLOOKUP($B34,Resultat!$D:$D,Resultat!$AL:$AL,-1,0),0,AF$2-1)</f>
        <v>0</v>
      </c>
      <c r="AG34" s="32">
        <f ca="1">OFFSET(_xlfn.XLOOKUP($B34,Resultat!$D:$D,Resultat!$E:$E,-1,0),0,AF$2-1)</f>
        <v>0</v>
      </c>
    </row>
    <row r="35" spans="1:33" s="22" customFormat="1" ht="15.6" customHeight="1" x14ac:dyDescent="0.25">
      <c r="A35" s="44">
        <f ca="1">_xlfn.XLOOKUP($B35,Resultat!$D:$D,Resultat!$Z:$Z,-1,0)</f>
        <v>15</v>
      </c>
      <c r="B35" s="21" t="s">
        <v>57</v>
      </c>
      <c r="C35" s="43">
        <f ca="1">_xlfn.XLOOKUP($B35,Resultat!$D:$D,Resultat!$AA:$AA,-1,0)</f>
        <v>9999</v>
      </c>
      <c r="D35" s="28">
        <f ca="1">OFFSET(_xlfn.XLOOKUP($B35,Resultat!$D:$D,Resultat!$AL:$AL,-1,0),0,D$2-1)</f>
        <v>15</v>
      </c>
      <c r="E35" s="32">
        <f ca="1">OFFSET(_xlfn.XLOOKUP($B35,Resultat!$D:$D,Resultat!$E:$E,-1,0),0,D$2-1)</f>
        <v>0</v>
      </c>
      <c r="F35" s="28">
        <f ca="1">OFFSET(_xlfn.XLOOKUP($B35,Resultat!$D:$D,Resultat!$AL:$AL,-1,0),0,F$2-1)</f>
        <v>0</v>
      </c>
      <c r="G35" s="32">
        <f ca="1">OFFSET(_xlfn.XLOOKUP($B35,Resultat!$D:$D,Resultat!$E:$E,-1,0),0,F$2-1)</f>
        <v>0</v>
      </c>
      <c r="H35" s="31">
        <f ca="1">OFFSET(_xlfn.XLOOKUP($B35,Resultat!$D:$D,Resultat!$AL:$AL,-1,0),0,H$2-1)</f>
        <v>0</v>
      </c>
      <c r="I35" s="32">
        <f ca="1">OFFSET(_xlfn.XLOOKUP($B35,Resultat!$D:$D,Resultat!$E:$E,-1,0),0,H$2-1)</f>
        <v>0</v>
      </c>
      <c r="J35" s="30">
        <f ca="1">OFFSET(_xlfn.XLOOKUP($B35,Resultat!$D:$D,Resultat!$AL:$AL,-1,0),0,J$2-1)</f>
        <v>0</v>
      </c>
      <c r="K35" s="32">
        <f ca="1">OFFSET(_xlfn.XLOOKUP($B35,Resultat!$D:$D,Resultat!$E:$E,-1,0),0,J$2-1)</f>
        <v>0</v>
      </c>
      <c r="L35" s="33">
        <f ca="1">OFFSET(_xlfn.XLOOKUP($B35,Resultat!$D:$D,Resultat!$AL:$AL,-1,0),0,L$2-1)</f>
        <v>0</v>
      </c>
      <c r="M35" s="32">
        <f ca="1">OFFSET(_xlfn.XLOOKUP($B35,Resultat!$D:$D,Resultat!$E:$E,-1,0),0,L$2-1)</f>
        <v>0</v>
      </c>
      <c r="N35" s="33">
        <f ca="1">OFFSET(_xlfn.XLOOKUP($B35,Resultat!$D:$D,Resultat!$AL:$AL,-1,0),0,N$2-1)</f>
        <v>0</v>
      </c>
      <c r="O35" s="32">
        <f ca="1">OFFSET(_xlfn.XLOOKUP($B35,Resultat!$D:$D,Resultat!$E:$E,-1,0),0,N$2-1)</f>
        <v>0</v>
      </c>
      <c r="P35" s="33">
        <f ca="1">OFFSET(_xlfn.XLOOKUP($B35,Resultat!$D:$D,Resultat!$AL:$AL,-1,0),0,P$2-1)</f>
        <v>0</v>
      </c>
      <c r="Q35" s="32">
        <f ca="1">OFFSET(_xlfn.XLOOKUP($B35,Resultat!$D:$D,Resultat!$E:$E,-1,0),0,P$2-1)</f>
        <v>0</v>
      </c>
      <c r="R35" s="33">
        <f ca="1">OFFSET(_xlfn.XLOOKUP($B35,Resultat!$D:$D,Resultat!$AL:$AL,-1,0),0,R$2-1)</f>
        <v>0</v>
      </c>
      <c r="S35" s="32">
        <f ca="1">OFFSET(_xlfn.XLOOKUP($B35,Resultat!$D:$D,Resultat!$E:$E,-1,0),0,R$2-1)</f>
        <v>0</v>
      </c>
      <c r="T35" s="33">
        <f ca="1">OFFSET(_xlfn.XLOOKUP($B35,Resultat!$D:$D,Resultat!$AL:$AL,-1,0),0,T$2-1)</f>
        <v>0</v>
      </c>
      <c r="U35" s="32">
        <f ca="1">OFFSET(_xlfn.XLOOKUP($B35,Resultat!$D:$D,Resultat!$E:$E,-1,0),0,T$2-1)</f>
        <v>0</v>
      </c>
      <c r="V35" s="33">
        <f ca="1">OFFSET(_xlfn.XLOOKUP($B35,Resultat!$D:$D,Resultat!$AL:$AL,-1,0),0,V$2-1)</f>
        <v>0</v>
      </c>
      <c r="W35" s="32">
        <f ca="1">OFFSET(_xlfn.XLOOKUP($B35,Resultat!$D:$D,Resultat!$E:$E,-1,0),0,V$2-1)</f>
        <v>0</v>
      </c>
      <c r="X35" s="33">
        <f ca="1">OFFSET(_xlfn.XLOOKUP($B35,Resultat!$D:$D,Resultat!$AL:$AL,-1,0),0,X$2-1)</f>
        <v>0</v>
      </c>
      <c r="Y35" s="32">
        <f ca="1">OFFSET(_xlfn.XLOOKUP($B35,Resultat!$D:$D,Resultat!$E:$E,-1,0),0,X$2-1)</f>
        <v>0</v>
      </c>
      <c r="Z35" s="33">
        <f ca="1">OFFSET(_xlfn.XLOOKUP($B35,Resultat!$D:$D,Resultat!$AL:$AL,-1,0),0,Z$2-1)</f>
        <v>0</v>
      </c>
      <c r="AA35" s="32">
        <f ca="1">OFFSET(_xlfn.XLOOKUP($B35,Resultat!$D:$D,Resultat!$E:$E,-1,0),0,Z$2-1)</f>
        <v>0</v>
      </c>
      <c r="AB35" s="33">
        <f ca="1">OFFSET(_xlfn.XLOOKUP($B35,Resultat!$D:$D,Resultat!$AL:$AL,-1,0),0,AB$2-1)</f>
        <v>0</v>
      </c>
      <c r="AC35" s="32">
        <f ca="1">OFFSET(_xlfn.XLOOKUP($B35,Resultat!$D:$D,Resultat!$E:$E,-1,0),0,AB$2-1)</f>
        <v>0</v>
      </c>
      <c r="AD35" s="33">
        <f ca="1">OFFSET(_xlfn.XLOOKUP($B35,Resultat!$D:$D,Resultat!$AL:$AL,-1,0),0,AD$2-1)</f>
        <v>0</v>
      </c>
      <c r="AE35" s="32">
        <f ca="1">OFFSET(_xlfn.XLOOKUP($B35,Resultat!$D:$D,Resultat!$E:$E,-1,0),0,AD$2-1)</f>
        <v>0</v>
      </c>
      <c r="AF35" s="33">
        <f ca="1">OFFSET(_xlfn.XLOOKUP($B35,Resultat!$D:$D,Resultat!$AL:$AL,-1,0),0,AF$2-1)</f>
        <v>0</v>
      </c>
      <c r="AG35" s="32">
        <f ca="1">OFFSET(_xlfn.XLOOKUP($B35,Resultat!$D:$D,Resultat!$E:$E,-1,0),0,AF$2-1)</f>
        <v>0</v>
      </c>
    </row>
    <row r="36" spans="1:33" s="22" customFormat="1" ht="15.6" customHeight="1" x14ac:dyDescent="0.25">
      <c r="A36" s="44">
        <f ca="1">_xlfn.XLOOKUP($B36,Resultat!$D:$D,Resultat!$Z:$Z,-1,0)</f>
        <v>15</v>
      </c>
      <c r="B36" s="21" t="s">
        <v>85</v>
      </c>
      <c r="C36" s="43">
        <f ca="1">_xlfn.XLOOKUP($B36,Resultat!$D:$D,Resultat!$AA:$AA,-1,0)</f>
        <v>9999</v>
      </c>
      <c r="D36" s="28">
        <f ca="1">OFFSET(_xlfn.XLOOKUP($B36,Resultat!$D:$D,Resultat!$AL:$AL,-1,0),0,D$2-1)</f>
        <v>15</v>
      </c>
      <c r="E36" s="32">
        <f ca="1">OFFSET(_xlfn.XLOOKUP($B36,Resultat!$D:$D,Resultat!$E:$E,-1,0),0,D$2-1)</f>
        <v>0</v>
      </c>
      <c r="F36" s="28">
        <f ca="1">OFFSET(_xlfn.XLOOKUP($B36,Resultat!$D:$D,Resultat!$AL:$AL,-1,0),0,F$2-1)</f>
        <v>0</v>
      </c>
      <c r="G36" s="32">
        <f ca="1">OFFSET(_xlfn.XLOOKUP($B36,Resultat!$D:$D,Resultat!$E:$E,-1,0),0,F$2-1)</f>
        <v>0</v>
      </c>
      <c r="H36" s="31">
        <f ca="1">OFFSET(_xlfn.XLOOKUP($B36,Resultat!$D:$D,Resultat!$AL:$AL,-1,0),0,H$2-1)</f>
        <v>0</v>
      </c>
      <c r="I36" s="32">
        <f ca="1">OFFSET(_xlfn.XLOOKUP($B36,Resultat!$D:$D,Resultat!$E:$E,-1,0),0,H$2-1)</f>
        <v>0</v>
      </c>
      <c r="J36" s="28">
        <f ca="1">OFFSET(_xlfn.XLOOKUP($B36,Resultat!$D:$D,Resultat!$AL:$AL,-1,0),0,J$2-1)</f>
        <v>0</v>
      </c>
      <c r="K36" s="32">
        <f ca="1">OFFSET(_xlfn.XLOOKUP($B36,Resultat!$D:$D,Resultat!$E:$E,-1,0),0,J$2-1)</f>
        <v>0</v>
      </c>
      <c r="L36" s="33">
        <f ca="1">OFFSET(_xlfn.XLOOKUP($B36,Resultat!$D:$D,Resultat!$AL:$AL,-1,0),0,L$2-1)</f>
        <v>0</v>
      </c>
      <c r="M36" s="32">
        <f ca="1">OFFSET(_xlfn.XLOOKUP($B36,Resultat!$D:$D,Resultat!$E:$E,-1,0),0,L$2-1)</f>
        <v>0</v>
      </c>
      <c r="N36" s="33">
        <f ca="1">OFFSET(_xlfn.XLOOKUP($B36,Resultat!$D:$D,Resultat!$AL:$AL,-1,0),0,N$2-1)</f>
        <v>0</v>
      </c>
      <c r="O36" s="32">
        <f ca="1">OFFSET(_xlfn.XLOOKUP($B36,Resultat!$D:$D,Resultat!$E:$E,-1,0),0,N$2-1)</f>
        <v>0</v>
      </c>
      <c r="P36" s="33">
        <f ca="1">OFFSET(_xlfn.XLOOKUP($B36,Resultat!$D:$D,Resultat!$AL:$AL,-1,0),0,P$2-1)</f>
        <v>0</v>
      </c>
      <c r="Q36" s="32">
        <f ca="1">OFFSET(_xlfn.XLOOKUP($B36,Resultat!$D:$D,Resultat!$E:$E,-1,0),0,P$2-1)</f>
        <v>0</v>
      </c>
      <c r="R36" s="33">
        <f ca="1">OFFSET(_xlfn.XLOOKUP($B36,Resultat!$D:$D,Resultat!$AL:$AL,-1,0),0,R$2-1)</f>
        <v>0</v>
      </c>
      <c r="S36" s="32">
        <f ca="1">OFFSET(_xlfn.XLOOKUP($B36,Resultat!$D:$D,Resultat!$E:$E,-1,0),0,R$2-1)</f>
        <v>0</v>
      </c>
      <c r="T36" s="33">
        <f ca="1">OFFSET(_xlfn.XLOOKUP($B36,Resultat!$D:$D,Resultat!$AL:$AL,-1,0),0,T$2-1)</f>
        <v>0</v>
      </c>
      <c r="U36" s="32">
        <f ca="1">OFFSET(_xlfn.XLOOKUP($B36,Resultat!$D:$D,Resultat!$E:$E,-1,0),0,T$2-1)</f>
        <v>0</v>
      </c>
      <c r="V36" s="33">
        <f ca="1">OFFSET(_xlfn.XLOOKUP($B36,Resultat!$D:$D,Resultat!$AL:$AL,-1,0),0,V$2-1)</f>
        <v>0</v>
      </c>
      <c r="W36" s="32">
        <f ca="1">OFFSET(_xlfn.XLOOKUP($B36,Resultat!$D:$D,Resultat!$E:$E,-1,0),0,V$2-1)</f>
        <v>0</v>
      </c>
      <c r="X36" s="33">
        <f ca="1">OFFSET(_xlfn.XLOOKUP($B36,Resultat!$D:$D,Resultat!$AL:$AL,-1,0),0,X$2-1)</f>
        <v>0</v>
      </c>
      <c r="Y36" s="32">
        <f ca="1">OFFSET(_xlfn.XLOOKUP($B36,Resultat!$D:$D,Resultat!$E:$E,-1,0),0,X$2-1)</f>
        <v>0</v>
      </c>
      <c r="Z36" s="33">
        <f ca="1">OFFSET(_xlfn.XLOOKUP($B36,Resultat!$D:$D,Resultat!$AL:$AL,-1,0),0,Z$2-1)</f>
        <v>0</v>
      </c>
      <c r="AA36" s="32">
        <f ca="1">OFFSET(_xlfn.XLOOKUP($B36,Resultat!$D:$D,Resultat!$E:$E,-1,0),0,Z$2-1)</f>
        <v>0</v>
      </c>
      <c r="AB36" s="33">
        <f ca="1">OFFSET(_xlfn.XLOOKUP($B36,Resultat!$D:$D,Resultat!$AL:$AL,-1,0),0,AB$2-1)</f>
        <v>0</v>
      </c>
      <c r="AC36" s="32">
        <f ca="1">OFFSET(_xlfn.XLOOKUP($B36,Resultat!$D:$D,Resultat!$E:$E,-1,0),0,AB$2-1)</f>
        <v>0</v>
      </c>
      <c r="AD36" s="33">
        <f ca="1">OFFSET(_xlfn.XLOOKUP($B36,Resultat!$D:$D,Resultat!$AL:$AL,-1,0),0,AD$2-1)</f>
        <v>0</v>
      </c>
      <c r="AE36" s="32">
        <f ca="1">OFFSET(_xlfn.XLOOKUP($B36,Resultat!$D:$D,Resultat!$E:$E,-1,0),0,AD$2-1)</f>
        <v>0</v>
      </c>
      <c r="AF36" s="33">
        <f ca="1">OFFSET(_xlfn.XLOOKUP($B36,Resultat!$D:$D,Resultat!$AL:$AL,-1,0),0,AF$2-1)</f>
        <v>0</v>
      </c>
      <c r="AG36" s="32">
        <f ca="1">OFFSET(_xlfn.XLOOKUP($B36,Resultat!$D:$D,Resultat!$E:$E,-1,0),0,AF$2-1)</f>
        <v>0</v>
      </c>
    </row>
    <row r="42" spans="1:33" x14ac:dyDescent="0.25">
      <c r="C42" s="22"/>
    </row>
    <row r="43" spans="1:33" x14ac:dyDescent="0.25">
      <c r="C43" s="22"/>
    </row>
    <row r="44" spans="1:33" x14ac:dyDescent="0.25">
      <c r="C44" s="29"/>
    </row>
    <row r="45" spans="1:33" x14ac:dyDescent="0.25">
      <c r="C45" s="29"/>
    </row>
    <row r="47" spans="1:33" x14ac:dyDescent="0.25">
      <c r="C47" s="29"/>
    </row>
    <row r="48" spans="1:33" x14ac:dyDescent="0.25">
      <c r="C48" s="22"/>
    </row>
    <row r="49" spans="3:3" x14ac:dyDescent="0.25">
      <c r="C49" s="22"/>
    </row>
    <row r="50" spans="3:3" x14ac:dyDescent="0.25">
      <c r="C50" s="22"/>
    </row>
    <row r="52" spans="3:3" x14ac:dyDescent="0.25">
      <c r="C52" s="22"/>
    </row>
    <row r="53" spans="3:3" x14ac:dyDescent="0.25">
      <c r="C53" s="22"/>
    </row>
    <row r="54" spans="3:3" x14ac:dyDescent="0.25">
      <c r="C54" s="22"/>
    </row>
    <row r="55" spans="3:3" x14ac:dyDescent="0.25">
      <c r="C55" s="22"/>
    </row>
    <row r="56" spans="3:3" x14ac:dyDescent="0.25">
      <c r="C56" s="22"/>
    </row>
    <row r="57" spans="3:3" x14ac:dyDescent="0.25">
      <c r="C57" s="22"/>
    </row>
    <row r="58" spans="3:3" x14ac:dyDescent="0.25">
      <c r="C58" s="22"/>
    </row>
    <row r="59" spans="3:3" x14ac:dyDescent="0.25">
      <c r="C59" s="22"/>
    </row>
    <row r="60" spans="3:3" x14ac:dyDescent="0.25">
      <c r="C60" s="22"/>
    </row>
    <row r="61" spans="3:3" x14ac:dyDescent="0.25">
      <c r="C61" s="22"/>
    </row>
    <row r="62" spans="3:3" x14ac:dyDescent="0.25">
      <c r="C62" s="22"/>
    </row>
    <row r="63" spans="3:3" x14ac:dyDescent="0.25">
      <c r="C63" s="22"/>
    </row>
    <row r="64" spans="3:3" x14ac:dyDescent="0.25">
      <c r="C64" s="22"/>
    </row>
    <row r="65" spans="3:3" x14ac:dyDescent="0.25">
      <c r="C65" s="22"/>
    </row>
    <row r="66" spans="3:3" x14ac:dyDescent="0.25">
      <c r="C66" s="22"/>
    </row>
    <row r="67" spans="3:3" x14ac:dyDescent="0.25">
      <c r="C67" s="22"/>
    </row>
    <row r="68" spans="3:3" x14ac:dyDescent="0.25">
      <c r="C68" s="22"/>
    </row>
    <row r="69" spans="3:3" x14ac:dyDescent="0.25">
      <c r="C69" s="22"/>
    </row>
    <row r="70" spans="3:3" x14ac:dyDescent="0.25">
      <c r="C70" s="22"/>
    </row>
    <row r="71" spans="3:3" x14ac:dyDescent="0.25">
      <c r="C71" s="22" t="s">
        <v>48</v>
      </c>
    </row>
    <row r="72" spans="3:3" x14ac:dyDescent="0.25">
      <c r="C72" s="22"/>
    </row>
    <row r="73" spans="3:3" x14ac:dyDescent="0.25">
      <c r="C73" s="22"/>
    </row>
    <row r="74" spans="3:3" x14ac:dyDescent="0.25">
      <c r="C74" s="22"/>
    </row>
    <row r="75" spans="3:3" x14ac:dyDescent="0.25">
      <c r="C75" s="22"/>
    </row>
    <row r="81" spans="2:2" x14ac:dyDescent="0.25">
      <c r="B81" s="22"/>
    </row>
    <row r="82" spans="2:2" x14ac:dyDescent="0.25">
      <c r="B82" s="45"/>
    </row>
    <row r="83" spans="2:2" x14ac:dyDescent="0.25">
      <c r="B83" s="45"/>
    </row>
    <row r="84" spans="2:2" x14ac:dyDescent="0.25">
      <c r="B84" s="22"/>
    </row>
    <row r="85" spans="2:2" x14ac:dyDescent="0.25">
      <c r="B85" s="22"/>
    </row>
    <row r="86" spans="2:2" x14ac:dyDescent="0.25">
      <c r="B86" s="45"/>
    </row>
    <row r="87" spans="2:2" x14ac:dyDescent="0.25">
      <c r="B87" s="45"/>
    </row>
    <row r="88" spans="2:2" x14ac:dyDescent="0.25">
      <c r="B88" s="45"/>
    </row>
    <row r="89" spans="2:2" x14ac:dyDescent="0.25">
      <c r="B89" s="45"/>
    </row>
  </sheetData>
  <sheetProtection selectLockedCells="1" selectUnlockedCells="1"/>
  <autoFilter ref="A3:AG4" xr:uid="{4274006C-A30F-48BB-AC5A-74613F52BA4E}"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sortState xmlns:xlrd2="http://schemas.microsoft.com/office/spreadsheetml/2017/richdata2" ref="A6:AG36">
      <sortCondition ref="A3:A4"/>
    </sortState>
  </autoFilter>
  <sortState xmlns:xlrd2="http://schemas.microsoft.com/office/spreadsheetml/2017/richdata2" ref="B39:B89">
    <sortCondition ref="B39:B89"/>
  </sortState>
  <mergeCells count="34">
    <mergeCell ref="AD2:AE2"/>
    <mergeCell ref="AD3:AE3"/>
    <mergeCell ref="AF2:AG2"/>
    <mergeCell ref="AF3:AG3"/>
    <mergeCell ref="P3:Q3"/>
    <mergeCell ref="R3:S3"/>
    <mergeCell ref="T3:U3"/>
    <mergeCell ref="AB2:AC2"/>
    <mergeCell ref="V2:W2"/>
    <mergeCell ref="X2:Y2"/>
    <mergeCell ref="Z2:AA2"/>
    <mergeCell ref="V3:W3"/>
    <mergeCell ref="X3:Y3"/>
    <mergeCell ref="Z3:AA3"/>
    <mergeCell ref="AB3:AC3"/>
    <mergeCell ref="B1:H1"/>
    <mergeCell ref="B3:B4"/>
    <mergeCell ref="D3:E3"/>
    <mergeCell ref="F3:G3"/>
    <mergeCell ref="H3:I3"/>
    <mergeCell ref="A3:A4"/>
    <mergeCell ref="C3:C4"/>
    <mergeCell ref="P2:Q2"/>
    <mergeCell ref="R2:S2"/>
    <mergeCell ref="T2:U2"/>
    <mergeCell ref="D2:E2"/>
    <mergeCell ref="F2:G2"/>
    <mergeCell ref="H2:I2"/>
    <mergeCell ref="J2:K2"/>
    <mergeCell ref="L2:M2"/>
    <mergeCell ref="N2:O2"/>
    <mergeCell ref="J3:K3"/>
    <mergeCell ref="L3:M3"/>
    <mergeCell ref="N3:O3"/>
  </mergeCells>
  <conditionalFormatting sqref="B5:AG36">
    <cfRule type="expression" dxfId="1" priority="1">
      <formula>MOD(ROW(),2)=0</formula>
    </cfRule>
  </conditionalFormatting>
  <printOptions horizontalCentered="1"/>
  <pageMargins left="0.70833333333333337" right="0.70833333333333337" top="0.39374999999999999" bottom="0.78749999999999998" header="0.51180555555555551" footer="0.51180555555555551"/>
  <pageSetup paperSize="9" firstPageNumber="0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A15C-9D54-455C-90F0-01EF1342BB17}">
  <dimension ref="A1:BE36"/>
  <sheetViews>
    <sheetView zoomScale="60" zoomScaleNormal="85" workbookViewId="0">
      <selection activeCell="A9" sqref="A9"/>
    </sheetView>
  </sheetViews>
  <sheetFormatPr defaultRowHeight="14.4" outlineLevelCol="1" x14ac:dyDescent="0.3"/>
  <cols>
    <col min="2" max="2" width="9.44140625" style="65" customWidth="1"/>
    <col min="3" max="3" width="12.88671875" customWidth="1"/>
    <col min="4" max="4" width="22.44140625" customWidth="1"/>
    <col min="5" max="5" width="16.33203125" bestFit="1" customWidth="1"/>
    <col min="6" max="8" width="13.6640625" bestFit="1" customWidth="1"/>
    <col min="9" max="19" width="10.33203125" customWidth="1"/>
    <col min="20" max="25" width="2.109375" customWidth="1"/>
    <col min="26" max="26" width="7.44140625" bestFit="1" customWidth="1"/>
    <col min="27" max="27" width="7.33203125" bestFit="1" customWidth="1"/>
    <col min="28" max="36" width="9.109375" customWidth="1" outlineLevel="1"/>
    <col min="48" max="57" width="8.88671875" customWidth="1" outlineLevel="1"/>
  </cols>
  <sheetData>
    <row r="1" spans="1:57" ht="19.95" customHeight="1" x14ac:dyDescent="0.3">
      <c r="A1" s="13" t="s">
        <v>27</v>
      </c>
      <c r="B1" s="61" t="s">
        <v>28</v>
      </c>
      <c r="E1" s="56">
        <v>45802</v>
      </c>
      <c r="F1" s="56">
        <v>45815</v>
      </c>
      <c r="G1" s="56">
        <v>45817</v>
      </c>
      <c r="H1" s="56">
        <v>45837</v>
      </c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57" x14ac:dyDescent="0.3">
      <c r="A2" s="14">
        <f>SUM(E2:X2)</f>
        <v>1</v>
      </c>
      <c r="B2" s="62">
        <f>VLOOKUP(A2,Regler!A2:B30,2)</f>
        <v>0</v>
      </c>
      <c r="E2" s="6">
        <f t="shared" ref="E2:S2" si="0">IF(SUM(E5:E36)&gt;0,1,0)</f>
        <v>1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AL2">
        <f t="shared" ref="AL2:BE2" si="1">E2</f>
        <v>1</v>
      </c>
      <c r="AM2">
        <f t="shared" si="1"/>
        <v>0</v>
      </c>
      <c r="AN2">
        <f t="shared" si="1"/>
        <v>0</v>
      </c>
      <c r="AO2">
        <f t="shared" si="1"/>
        <v>0</v>
      </c>
      <c r="AP2">
        <f t="shared" si="1"/>
        <v>0</v>
      </c>
      <c r="AQ2">
        <f t="shared" si="1"/>
        <v>0</v>
      </c>
      <c r="AR2">
        <f t="shared" si="1"/>
        <v>0</v>
      </c>
      <c r="AS2">
        <f t="shared" si="1"/>
        <v>0</v>
      </c>
      <c r="AT2">
        <f t="shared" si="1"/>
        <v>0</v>
      </c>
      <c r="AU2">
        <f t="shared" si="1"/>
        <v>0</v>
      </c>
      <c r="AV2">
        <f t="shared" si="1"/>
        <v>0</v>
      </c>
      <c r="AW2">
        <f t="shared" si="1"/>
        <v>0</v>
      </c>
      <c r="AX2">
        <f t="shared" si="1"/>
        <v>0</v>
      </c>
      <c r="AY2">
        <f t="shared" si="1"/>
        <v>0</v>
      </c>
      <c r="AZ2">
        <f t="shared" si="1"/>
        <v>0</v>
      </c>
      <c r="BA2">
        <f t="shared" si="1"/>
        <v>0</v>
      </c>
      <c r="BB2">
        <f t="shared" si="1"/>
        <v>0</v>
      </c>
      <c r="BC2">
        <f t="shared" si="1"/>
        <v>0</v>
      </c>
      <c r="BD2">
        <f t="shared" si="1"/>
        <v>0</v>
      </c>
      <c r="BE2">
        <f t="shared" si="1"/>
        <v>0</v>
      </c>
    </row>
    <row r="3" spans="1:57" ht="21.6" thickBot="1" x14ac:dyDescent="0.45">
      <c r="A3" s="15">
        <f>SUM(B5:B36)</f>
        <v>14</v>
      </c>
      <c r="B3" s="63"/>
      <c r="E3" s="4" t="s">
        <v>16</v>
      </c>
      <c r="AB3">
        <v>9</v>
      </c>
      <c r="AC3">
        <v>8</v>
      </c>
      <c r="AD3">
        <v>7</v>
      </c>
      <c r="AE3">
        <v>6</v>
      </c>
      <c r="AF3">
        <v>5</v>
      </c>
      <c r="AG3">
        <v>4</v>
      </c>
      <c r="AH3">
        <v>3</v>
      </c>
      <c r="AI3">
        <v>2</v>
      </c>
      <c r="AJ3">
        <v>1</v>
      </c>
      <c r="AL3" s="4" t="s">
        <v>0</v>
      </c>
    </row>
    <row r="4" spans="1:57" ht="42" x14ac:dyDescent="0.4">
      <c r="A4" t="s">
        <v>69</v>
      </c>
      <c r="B4" s="66" t="s">
        <v>97</v>
      </c>
      <c r="C4" s="8" t="s">
        <v>15</v>
      </c>
      <c r="D4" s="5" t="s">
        <v>1</v>
      </c>
      <c r="E4" s="58">
        <v>1</v>
      </c>
      <c r="F4" s="58">
        <v>2</v>
      </c>
      <c r="G4" s="58">
        <v>3</v>
      </c>
      <c r="H4" s="58">
        <v>4</v>
      </c>
      <c r="I4" s="58">
        <v>5</v>
      </c>
      <c r="J4" s="58">
        <v>6</v>
      </c>
      <c r="K4" s="58">
        <v>7</v>
      </c>
      <c r="L4" s="58">
        <v>8</v>
      </c>
      <c r="M4" s="58">
        <v>9</v>
      </c>
      <c r="N4" s="58">
        <v>10</v>
      </c>
      <c r="O4" s="58">
        <v>11</v>
      </c>
      <c r="P4" s="58">
        <v>12</v>
      </c>
      <c r="Q4" s="58">
        <v>13</v>
      </c>
      <c r="R4" s="58">
        <v>14</v>
      </c>
      <c r="S4" s="58">
        <v>15</v>
      </c>
      <c r="Z4" s="69" t="s">
        <v>98</v>
      </c>
      <c r="AA4" s="67" t="s">
        <v>26</v>
      </c>
      <c r="AB4" s="68" t="s">
        <v>19</v>
      </c>
      <c r="AC4" s="68" t="s">
        <v>20</v>
      </c>
      <c r="AD4" s="68" t="s">
        <v>21</v>
      </c>
      <c r="AE4" s="68" t="s">
        <v>22</v>
      </c>
      <c r="AF4" s="68" t="s">
        <v>23</v>
      </c>
      <c r="AG4" s="68" t="s">
        <v>24</v>
      </c>
      <c r="AH4" s="68" t="s">
        <v>25</v>
      </c>
      <c r="AI4" s="68" t="s">
        <v>18</v>
      </c>
      <c r="AJ4" s="68" t="s">
        <v>17</v>
      </c>
      <c r="AK4" s="68" t="s">
        <v>2</v>
      </c>
      <c r="AL4" s="3">
        <v>1</v>
      </c>
      <c r="AM4" s="3">
        <v>2</v>
      </c>
      <c r="AN4" s="3">
        <v>3</v>
      </c>
      <c r="AO4" s="3">
        <v>4</v>
      </c>
      <c r="AP4" s="3">
        <v>5</v>
      </c>
      <c r="AQ4" s="3">
        <v>6</v>
      </c>
      <c r="AR4" s="3">
        <v>7</v>
      </c>
      <c r="AS4" s="3">
        <v>8</v>
      </c>
      <c r="AT4" s="3">
        <v>9</v>
      </c>
      <c r="AU4" s="3">
        <v>10</v>
      </c>
      <c r="AV4" s="3">
        <v>11</v>
      </c>
      <c r="AW4" s="3">
        <v>12</v>
      </c>
      <c r="AX4" s="3">
        <v>13</v>
      </c>
      <c r="AY4" s="3">
        <v>14</v>
      </c>
      <c r="AZ4" s="3">
        <v>15</v>
      </c>
    </row>
    <row r="5" spans="1:57" ht="21" customHeight="1" x14ac:dyDescent="0.35">
      <c r="A5" s="1">
        <v>1</v>
      </c>
      <c r="B5" s="64">
        <f t="shared" ref="B5:B36" si="2">IF(C5&gt;0,1,0)</f>
        <v>0</v>
      </c>
      <c r="C5" s="59">
        <f t="shared" ref="C5:C36" si="3">SUM($E5:$S5)/$A$2</f>
        <v>0</v>
      </c>
      <c r="D5" s="9" t="s">
        <v>76</v>
      </c>
      <c r="E5" s="70" cm="1">
        <f t="array" ref="E5">_xlfn.XLOOKUP($D5&amp;E$1,Results_of_the_day!$C:$C&amp;Results_of_the_day!$B:$B,Results_of_the_day!$D:$D,0,0)</f>
        <v>0</v>
      </c>
      <c r="F5" s="70" cm="1">
        <f t="array" ref="F5">_xlfn.XLOOKUP($D5&amp;F$1,Results_of_the_day!$C:$C&amp;Results_of_the_day!$B:$B,Results_of_the_day!$D:$D,0,0)</f>
        <v>0</v>
      </c>
      <c r="G5" s="70" cm="1">
        <f t="array" ref="G5">_xlfn.XLOOKUP($D5&amp;G$1,Results_of_the_day!$C:$C&amp;Results_of_the_day!$B:$B,Results_of_the_day!$D:$D,0,0)</f>
        <v>0</v>
      </c>
      <c r="H5" s="70" cm="1">
        <f t="array" ref="H5">_xlfn.XLOOKUP($D5&amp;H$1,Results_of_the_day!$C:$C&amp;Results_of_the_day!$B:$B,Results_of_the_day!$D:$D,0,0)</f>
        <v>0</v>
      </c>
      <c r="I5" s="70" cm="1">
        <f t="array" ref="I5">_xlfn.XLOOKUP($D5&amp;I$1,Results_of_the_day!$C:$C&amp;Results_of_the_day!$B:$B,Results_of_the_day!$D:$D,0,0)</f>
        <v>0</v>
      </c>
      <c r="J5" s="70" cm="1">
        <f t="array" ref="J5">_xlfn.XLOOKUP($D5&amp;J$1,Results_of_the_day!$C:$C&amp;Results_of_the_day!$B:$B,Results_of_the_day!$D:$D,0,0)</f>
        <v>0</v>
      </c>
      <c r="K5" s="70" cm="1">
        <f t="array" ref="K5">_xlfn.XLOOKUP($D5&amp;K$1,Results_of_the_day!$C:$C&amp;Results_of_the_day!$B:$B,Results_of_the_day!$D:$D,0,0)</f>
        <v>0</v>
      </c>
      <c r="L5" s="70" cm="1">
        <f t="array" ref="L5">_xlfn.XLOOKUP($D5&amp;L$1,Results_of_the_day!$C:$C&amp;Results_of_the_day!$B:$B,Results_of_the_day!$D:$D,0,0)</f>
        <v>0</v>
      </c>
      <c r="M5" s="70" cm="1">
        <f t="array" ref="M5">_xlfn.XLOOKUP($D5&amp;M$1,Results_of_the_day!$C:$C&amp;Results_of_the_day!$B:$B,Results_of_the_day!$D:$D,0,0)</f>
        <v>0</v>
      </c>
      <c r="N5" s="70" cm="1">
        <f t="array" ref="N5">_xlfn.XLOOKUP($D5&amp;N$1,Results_of_the_day!$C:$C&amp;Results_of_the_day!$B:$B,Results_of_the_day!$D:$D,0,0)</f>
        <v>0</v>
      </c>
      <c r="O5" s="70" cm="1">
        <f t="array" ref="O5">_xlfn.XLOOKUP($D5&amp;O$1,Results_of_the_day!$C:$C&amp;Results_of_the_day!$B:$B,Results_of_the_day!$D:$D,0,0)</f>
        <v>0</v>
      </c>
      <c r="P5" s="70" cm="1">
        <f t="array" ref="P5">_xlfn.XLOOKUP($D5&amp;P$1,Results_of_the_day!$C:$C&amp;Results_of_the_day!$B:$B,Results_of_the_day!$D:$D,0,0)</f>
        <v>0</v>
      </c>
      <c r="Q5" s="70" cm="1">
        <f t="array" ref="Q5">_xlfn.XLOOKUP($D5&amp;Q$1,Results_of_the_day!$C:$C&amp;Results_of_the_day!$B:$B,Results_of_the_day!$D:$D,0,0)</f>
        <v>0</v>
      </c>
      <c r="R5" s="70" cm="1">
        <f t="array" ref="R5">_xlfn.XLOOKUP($D5&amp;R$1,Results_of_the_day!$C:$C&amp;Results_of_the_day!$B:$B,Results_of_the_day!$D:$D,0,0)</f>
        <v>0</v>
      </c>
      <c r="S5" s="70" cm="1">
        <f t="array" ref="S5">_xlfn.XLOOKUP($D5&amp;S$1,Results_of_the_day!$C:$C&amp;Results_of_the_day!$B:$B,Results_of_the_day!$D:$D,0,0)</f>
        <v>0</v>
      </c>
      <c r="Z5" s="5">
        <f t="shared" ref="Z5:Z36" ca="1" si="4">_xlfn.RANK.EQ(AA5,$AA$5:$AA$36,1)</f>
        <v>15</v>
      </c>
      <c r="AA5" s="2">
        <f t="shared" ref="AA5:AA36" ca="1" si="5">IF($B5,OFFSET(AK5,0,-$B$2),9999)</f>
        <v>9999</v>
      </c>
      <c r="AB5">
        <f t="shared" ref="AB5:AJ5" si="6">AC5-LARGE($AL5:$AZ5,AB$3)</f>
        <v>0</v>
      </c>
      <c r="AC5">
        <f t="shared" si="6"/>
        <v>0</v>
      </c>
      <c r="AD5">
        <f>AE5-LARGE($AL5:$AZ5,AD$3)</f>
        <v>0</v>
      </c>
      <c r="AE5">
        <f>AF5-LARGE($AL5:$AZ5,AE$3)</f>
        <v>0</v>
      </c>
      <c r="AF5">
        <f t="shared" si="6"/>
        <v>0</v>
      </c>
      <c r="AG5">
        <f t="shared" si="6"/>
        <v>0</v>
      </c>
      <c r="AH5">
        <f>AI5-LARGE($AL5:$AZ5,AH$3)</f>
        <v>0</v>
      </c>
      <c r="AI5">
        <f t="shared" si="6"/>
        <v>0</v>
      </c>
      <c r="AJ5">
        <f t="shared" si="6"/>
        <v>0</v>
      </c>
      <c r="AK5">
        <f t="shared" ref="AK5:AK36" si="7">SUM(AL5:AZ5)</f>
        <v>15</v>
      </c>
      <c r="AL5" s="1">
        <f t="shared" ref="AL5:AL36" si="8">IF(E5&gt;0,_xlfn.RANK.EQ(E5,E$5:E$36,0),$A$3+1)*AL$2</f>
        <v>15</v>
      </c>
      <c r="AM5" s="1">
        <f t="shared" ref="AM5:AM36" si="9">IF(F5&gt;0,_xlfn.RANK.EQ(F5,F$5:F$36,0),$A$3+1)*AM$2</f>
        <v>0</v>
      </c>
      <c r="AN5" s="1">
        <f t="shared" ref="AN5:AN36" si="10">IF(G5&gt;0,_xlfn.RANK.EQ(G5,G$5:G$36,0),$A$3+1)*AN$2</f>
        <v>0</v>
      </c>
      <c r="AO5" s="1">
        <f t="shared" ref="AO5:AO36" si="11">IF(H5&gt;0,_xlfn.RANK.EQ(H5,H$5:H$36,0),$A$3+1)*AO$2</f>
        <v>0</v>
      </c>
      <c r="AP5" s="1">
        <f t="shared" ref="AP5:AP36" si="12">IF(I5&gt;0,_xlfn.RANK.EQ(I5,I$5:I$36,0),$A$3+1)*AP$2</f>
        <v>0</v>
      </c>
      <c r="AQ5" s="1">
        <f t="shared" ref="AQ5:AQ36" si="13">IF(J5&gt;0,_xlfn.RANK.EQ(J5,J$5:J$36,0),$A$3+1)*AQ$2</f>
        <v>0</v>
      </c>
      <c r="AR5" s="1">
        <f t="shared" ref="AR5:AR36" si="14">IF(K5&gt;0,_xlfn.RANK.EQ(K5,K$5:K$36,0),$A$3+1)*AR$2</f>
        <v>0</v>
      </c>
      <c r="AS5" s="1">
        <f t="shared" ref="AS5:AS36" si="15">IF(L5&gt;0,_xlfn.RANK.EQ(L5,L$5:L$36,0),$A$3+1)*AS$2</f>
        <v>0</v>
      </c>
      <c r="AT5" s="1">
        <f t="shared" ref="AT5:AT36" si="16">IF(M5&gt;0,_xlfn.RANK.EQ(M5,M$5:M$36,0),$A$3+1)*AT$2</f>
        <v>0</v>
      </c>
      <c r="AU5" s="1">
        <f t="shared" ref="AU5:AU36" si="17">IF(N5&gt;0,_xlfn.RANK.EQ(N5,N$5:N$36,0),$A$3+1)*AU$2</f>
        <v>0</v>
      </c>
      <c r="AV5" s="1">
        <f t="shared" ref="AV5:AV36" si="18">IF(O5&gt;0,_xlfn.RANK.EQ(O5,O$5:O$36,0),$A$3+1)*AV$2</f>
        <v>0</v>
      </c>
      <c r="AW5" s="1">
        <f t="shared" ref="AW5:AW36" si="19">IF(P5&gt;0,_xlfn.RANK.EQ(P5,P$5:P$36,0),$A$3+1)*AW$2</f>
        <v>0</v>
      </c>
      <c r="AX5" s="1">
        <f t="shared" ref="AX5:AX36" si="20">IF(Q5&gt;0,_xlfn.RANK.EQ(Q5,Q$5:Q$36,0),$A$3+1)*AX$2</f>
        <v>0</v>
      </c>
      <c r="AY5" s="1">
        <f t="shared" ref="AY5:AY36" si="21">IF(R5&gt;0,_xlfn.RANK.EQ(R5,R$5:R$36,0),$A$3+1)*AY$2</f>
        <v>0</v>
      </c>
      <c r="AZ5" s="1">
        <f t="shared" ref="AZ5:AZ36" si="22">IF(S5&gt;0,_xlfn.RANK.EQ(S5,S$5:S$36,0),$A$3+1)*AZ$2</f>
        <v>0</v>
      </c>
    </row>
    <row r="6" spans="1:57" ht="21" customHeight="1" x14ac:dyDescent="0.35">
      <c r="A6" s="1">
        <v>2</v>
      </c>
      <c r="B6" s="64">
        <f t="shared" si="2"/>
        <v>0</v>
      </c>
      <c r="C6" s="59">
        <f t="shared" si="3"/>
        <v>0</v>
      </c>
      <c r="D6" s="9" t="s">
        <v>53</v>
      </c>
      <c r="E6" s="70" cm="1">
        <f t="array" ref="E6">_xlfn.XLOOKUP($D6&amp;E$1,Results_of_the_day!$C:$C&amp;Results_of_the_day!$B:$B,Results_of_the_day!$D:$D,0,0)</f>
        <v>0</v>
      </c>
      <c r="F6" s="70" cm="1">
        <f t="array" ref="F6">_xlfn.XLOOKUP($D6&amp;F$1,Results_of_the_day!$C:$C&amp;Results_of_the_day!$B:$B,Results_of_the_day!$D:$D,0,0)</f>
        <v>0</v>
      </c>
      <c r="G6" s="70" cm="1">
        <f t="array" ref="G6">_xlfn.XLOOKUP($D6&amp;G$1,Results_of_the_day!$C:$C&amp;Results_of_the_day!$B:$B,Results_of_the_day!$D:$D,0,0)</f>
        <v>0</v>
      </c>
      <c r="H6" s="70" cm="1">
        <f t="array" ref="H6">_xlfn.XLOOKUP($D6&amp;H$1,Results_of_the_day!$C:$C&amp;Results_of_the_day!$B:$B,Results_of_the_day!$D:$D,0,0)</f>
        <v>0</v>
      </c>
      <c r="I6" s="70" cm="1">
        <f t="array" ref="I6">_xlfn.XLOOKUP($D6&amp;I$1,Results_of_the_day!$C:$C&amp;Results_of_the_day!$B:$B,Results_of_the_day!$D:$D,0,0)</f>
        <v>0</v>
      </c>
      <c r="J6" s="70" cm="1">
        <f t="array" ref="J6">_xlfn.XLOOKUP($D6&amp;J$1,Results_of_the_day!$C:$C&amp;Results_of_the_day!$B:$B,Results_of_the_day!$D:$D,0,0)</f>
        <v>0</v>
      </c>
      <c r="K6" s="70" cm="1">
        <f t="array" ref="K6">_xlfn.XLOOKUP($D6&amp;K$1,Results_of_the_day!$C:$C&amp;Results_of_the_day!$B:$B,Results_of_the_day!$D:$D,0,0)</f>
        <v>0</v>
      </c>
      <c r="L6" s="70" cm="1">
        <f t="array" ref="L6">_xlfn.XLOOKUP($D6&amp;L$1,Results_of_the_day!$C:$C&amp;Results_of_the_day!$B:$B,Results_of_the_day!$D:$D,0,0)</f>
        <v>0</v>
      </c>
      <c r="M6" s="70" cm="1">
        <f t="array" ref="M6">_xlfn.XLOOKUP($D6&amp;M$1,Results_of_the_day!$C:$C&amp;Results_of_the_day!$B:$B,Results_of_the_day!$D:$D,0,0)</f>
        <v>0</v>
      </c>
      <c r="N6" s="70" cm="1">
        <f t="array" ref="N6">_xlfn.XLOOKUP($D6&amp;N$1,Results_of_the_day!$C:$C&amp;Results_of_the_day!$B:$B,Results_of_the_day!$D:$D,0,0)</f>
        <v>0</v>
      </c>
      <c r="O6" s="70" cm="1">
        <f t="array" ref="O6">_xlfn.XLOOKUP($D6&amp;O$1,Results_of_the_day!$C:$C&amp;Results_of_the_day!$B:$B,Results_of_the_day!$D:$D,0,0)</f>
        <v>0</v>
      </c>
      <c r="P6" s="70" cm="1">
        <f t="array" ref="P6">_xlfn.XLOOKUP($D6&amp;P$1,Results_of_the_day!$C:$C&amp;Results_of_the_day!$B:$B,Results_of_the_day!$D:$D,0,0)</f>
        <v>0</v>
      </c>
      <c r="Q6" s="70" cm="1">
        <f t="array" ref="Q6">_xlfn.XLOOKUP($D6&amp;Q$1,Results_of_the_day!$C:$C&amp;Results_of_the_day!$B:$B,Results_of_the_day!$D:$D,0,0)</f>
        <v>0</v>
      </c>
      <c r="R6" s="70" cm="1">
        <f t="array" ref="R6">_xlfn.XLOOKUP($D6&amp;R$1,Results_of_the_day!$C:$C&amp;Results_of_the_day!$B:$B,Results_of_the_day!$D:$D,0,0)</f>
        <v>0</v>
      </c>
      <c r="S6" s="70" cm="1">
        <f t="array" ref="S6">_xlfn.XLOOKUP($D6&amp;S$1,Results_of_the_day!$C:$C&amp;Results_of_the_day!$B:$B,Results_of_the_day!$D:$D,0,0)</f>
        <v>0</v>
      </c>
      <c r="Z6" s="5">
        <f t="shared" ca="1" si="4"/>
        <v>15</v>
      </c>
      <c r="AA6" s="2">
        <f t="shared" ca="1" si="5"/>
        <v>9999</v>
      </c>
      <c r="AB6">
        <f t="shared" ref="AB6:AC36" si="23">AC6-LARGE($AL6:$AZ6,AB$3)</f>
        <v>0</v>
      </c>
      <c r="AC6">
        <f t="shared" si="23"/>
        <v>0</v>
      </c>
      <c r="AD6">
        <f t="shared" ref="AD6:AD36" si="24">AE6-LARGE($AL6:$AZ6,AD$3)</f>
        <v>0</v>
      </c>
      <c r="AE6">
        <f t="shared" ref="AE6:AE36" si="25">AF6-LARGE($AL6:$AZ6,AE$3)</f>
        <v>0</v>
      </c>
      <c r="AF6">
        <f t="shared" ref="AF6:AG36" si="26">AG6-LARGE($AL6:$AZ6,AF$3)</f>
        <v>0</v>
      </c>
      <c r="AG6">
        <f t="shared" si="26"/>
        <v>0</v>
      </c>
      <c r="AH6">
        <f>AI6-LARGE($AL6:$AZ6,AH$3)</f>
        <v>0</v>
      </c>
      <c r="AI6">
        <f t="shared" ref="AI6:AI36" si="27">AJ6-LARGE($AL6:$AZ6,AI$3)</f>
        <v>0</v>
      </c>
      <c r="AJ6">
        <f t="shared" ref="AJ6:AJ36" si="28">AK6-LARGE($AL6:$AZ6,AJ$3)</f>
        <v>0</v>
      </c>
      <c r="AK6">
        <f t="shared" si="7"/>
        <v>15</v>
      </c>
      <c r="AL6" s="1">
        <f t="shared" si="8"/>
        <v>15</v>
      </c>
      <c r="AM6" s="1">
        <f t="shared" si="9"/>
        <v>0</v>
      </c>
      <c r="AN6" s="1">
        <f t="shared" si="10"/>
        <v>0</v>
      </c>
      <c r="AO6" s="1">
        <f t="shared" si="11"/>
        <v>0</v>
      </c>
      <c r="AP6" s="1">
        <f t="shared" si="12"/>
        <v>0</v>
      </c>
      <c r="AQ6" s="1">
        <f t="shared" si="13"/>
        <v>0</v>
      </c>
      <c r="AR6" s="1">
        <f t="shared" si="14"/>
        <v>0</v>
      </c>
      <c r="AS6" s="1">
        <f t="shared" si="15"/>
        <v>0</v>
      </c>
      <c r="AT6" s="1">
        <f t="shared" si="16"/>
        <v>0</v>
      </c>
      <c r="AU6" s="1">
        <f t="shared" si="17"/>
        <v>0</v>
      </c>
      <c r="AV6" s="1">
        <f t="shared" si="18"/>
        <v>0</v>
      </c>
      <c r="AW6" s="1">
        <f t="shared" si="19"/>
        <v>0</v>
      </c>
      <c r="AX6" s="1">
        <f t="shared" si="20"/>
        <v>0</v>
      </c>
      <c r="AY6" s="1">
        <f t="shared" si="21"/>
        <v>0</v>
      </c>
      <c r="AZ6" s="1">
        <f t="shared" si="22"/>
        <v>0</v>
      </c>
    </row>
    <row r="7" spans="1:57" ht="21" customHeight="1" x14ac:dyDescent="0.35">
      <c r="A7" s="1">
        <v>3</v>
      </c>
      <c r="B7" s="64">
        <f t="shared" si="2"/>
        <v>1</v>
      </c>
      <c r="C7" s="59">
        <f t="shared" si="3"/>
        <v>28.9</v>
      </c>
      <c r="D7" s="9" t="s">
        <v>41</v>
      </c>
      <c r="E7" s="70" cm="1">
        <f t="array" ref="E7">_xlfn.XLOOKUP($D7&amp;E$1,Results_of_the_day!$C:$C&amp;Results_of_the_day!$B:$B,Results_of_the_day!$D:$D,0,0)</f>
        <v>28.9</v>
      </c>
      <c r="F7" s="70" cm="1">
        <f t="array" ref="F7">_xlfn.XLOOKUP($D7&amp;F$1,Results_of_the_day!$C:$C&amp;Results_of_the_day!$B:$B,Results_of_the_day!$D:$D,0,0)</f>
        <v>0</v>
      </c>
      <c r="G7" s="70" cm="1">
        <f t="array" ref="G7">_xlfn.XLOOKUP($D7&amp;G$1,Results_of_the_day!$C:$C&amp;Results_of_the_day!$B:$B,Results_of_the_day!$D:$D,0,0)</f>
        <v>0</v>
      </c>
      <c r="H7" s="70" cm="1">
        <f t="array" ref="H7">_xlfn.XLOOKUP($D7&amp;H$1,Results_of_the_day!$C:$C&amp;Results_of_the_day!$B:$B,Results_of_the_day!$D:$D,0,0)</f>
        <v>0</v>
      </c>
      <c r="I7" s="70" cm="1">
        <f t="array" ref="I7">_xlfn.XLOOKUP($D7&amp;I$1,Results_of_the_day!$C:$C&amp;Results_of_the_day!$B:$B,Results_of_the_day!$D:$D,0,0)</f>
        <v>0</v>
      </c>
      <c r="J7" s="70" cm="1">
        <f t="array" ref="J7">_xlfn.XLOOKUP($D7&amp;J$1,Results_of_the_day!$C:$C&amp;Results_of_the_day!$B:$B,Results_of_the_day!$D:$D,0,0)</f>
        <v>0</v>
      </c>
      <c r="K7" s="70" cm="1">
        <f t="array" ref="K7">_xlfn.XLOOKUP($D7&amp;K$1,Results_of_the_day!$C:$C&amp;Results_of_the_day!$B:$B,Results_of_the_day!$D:$D,0,0)</f>
        <v>0</v>
      </c>
      <c r="L7" s="70" cm="1">
        <f t="array" ref="L7">_xlfn.XLOOKUP($D7&amp;L$1,Results_of_the_day!$C:$C&amp;Results_of_the_day!$B:$B,Results_of_the_day!$D:$D,0,0)</f>
        <v>0</v>
      </c>
      <c r="M7" s="70" cm="1">
        <f t="array" ref="M7">_xlfn.XLOOKUP($D7&amp;M$1,Results_of_the_day!$C:$C&amp;Results_of_the_day!$B:$B,Results_of_the_day!$D:$D,0,0)</f>
        <v>0</v>
      </c>
      <c r="N7" s="70" cm="1">
        <f t="array" ref="N7">_xlfn.XLOOKUP($D7&amp;N$1,Results_of_the_day!$C:$C&amp;Results_of_the_day!$B:$B,Results_of_the_day!$D:$D,0,0)</f>
        <v>0</v>
      </c>
      <c r="O7" s="70" cm="1">
        <f t="array" ref="O7">_xlfn.XLOOKUP($D7&amp;O$1,Results_of_the_day!$C:$C&amp;Results_of_the_day!$B:$B,Results_of_the_day!$D:$D,0,0)</f>
        <v>0</v>
      </c>
      <c r="P7" s="70" cm="1">
        <f t="array" ref="P7">_xlfn.XLOOKUP($D7&amp;P$1,Results_of_the_day!$C:$C&amp;Results_of_the_day!$B:$B,Results_of_the_day!$D:$D,0,0)</f>
        <v>0</v>
      </c>
      <c r="Q7" s="70" cm="1">
        <f t="array" ref="Q7">_xlfn.XLOOKUP($D7&amp;Q$1,Results_of_the_day!$C:$C&amp;Results_of_the_day!$B:$B,Results_of_the_day!$D:$D,0,0)</f>
        <v>0</v>
      </c>
      <c r="R7" s="70" cm="1">
        <f t="array" ref="R7">_xlfn.XLOOKUP($D7&amp;R$1,Results_of_the_day!$C:$C&amp;Results_of_the_day!$B:$B,Results_of_the_day!$D:$D,0,0)</f>
        <v>0</v>
      </c>
      <c r="S7" s="70" cm="1">
        <f t="array" ref="S7">_xlfn.XLOOKUP($D7&amp;S$1,Results_of_the_day!$C:$C&amp;Results_of_the_day!$B:$B,Results_of_the_day!$D:$D,0,0)</f>
        <v>0</v>
      </c>
      <c r="Z7" s="5">
        <f t="shared" ca="1" si="4"/>
        <v>10</v>
      </c>
      <c r="AA7" s="2">
        <f t="shared" ca="1" si="5"/>
        <v>10</v>
      </c>
      <c r="AB7">
        <f t="shared" si="23"/>
        <v>0</v>
      </c>
      <c r="AC7">
        <f t="shared" si="23"/>
        <v>0</v>
      </c>
      <c r="AD7">
        <f t="shared" si="24"/>
        <v>0</v>
      </c>
      <c r="AE7">
        <f t="shared" si="25"/>
        <v>0</v>
      </c>
      <c r="AF7">
        <f t="shared" si="26"/>
        <v>0</v>
      </c>
      <c r="AG7">
        <f t="shared" si="26"/>
        <v>0</v>
      </c>
      <c r="AH7">
        <f t="shared" ref="AH7:AH35" si="29">AI7-LARGE($AL7:$AZ7,AH$3)</f>
        <v>0</v>
      </c>
      <c r="AI7">
        <f t="shared" si="27"/>
        <v>0</v>
      </c>
      <c r="AJ7">
        <f t="shared" si="28"/>
        <v>0</v>
      </c>
      <c r="AK7">
        <f t="shared" si="7"/>
        <v>10</v>
      </c>
      <c r="AL7" s="1">
        <f t="shared" si="8"/>
        <v>10</v>
      </c>
      <c r="AM7" s="1">
        <f t="shared" si="9"/>
        <v>0</v>
      </c>
      <c r="AN7" s="1">
        <f t="shared" si="10"/>
        <v>0</v>
      </c>
      <c r="AO7" s="1">
        <f t="shared" si="11"/>
        <v>0</v>
      </c>
      <c r="AP7" s="1">
        <f t="shared" si="12"/>
        <v>0</v>
      </c>
      <c r="AQ7" s="1">
        <f t="shared" si="13"/>
        <v>0</v>
      </c>
      <c r="AR7" s="1">
        <f t="shared" si="14"/>
        <v>0</v>
      </c>
      <c r="AS7" s="1">
        <f t="shared" si="15"/>
        <v>0</v>
      </c>
      <c r="AT7" s="1">
        <f t="shared" si="16"/>
        <v>0</v>
      </c>
      <c r="AU7" s="1">
        <f t="shared" si="17"/>
        <v>0</v>
      </c>
      <c r="AV7" s="1">
        <f t="shared" si="18"/>
        <v>0</v>
      </c>
      <c r="AW7" s="1">
        <f t="shared" si="19"/>
        <v>0</v>
      </c>
      <c r="AX7" s="1">
        <f t="shared" si="20"/>
        <v>0</v>
      </c>
      <c r="AY7" s="1">
        <f t="shared" si="21"/>
        <v>0</v>
      </c>
      <c r="AZ7" s="1">
        <f t="shared" si="22"/>
        <v>0</v>
      </c>
    </row>
    <row r="8" spans="1:57" ht="21" customHeight="1" x14ac:dyDescent="0.35">
      <c r="A8" s="1">
        <v>4</v>
      </c>
      <c r="B8" s="64">
        <f t="shared" si="2"/>
        <v>1</v>
      </c>
      <c r="C8" s="59">
        <f t="shared" si="3"/>
        <v>28.34</v>
      </c>
      <c r="D8" s="9" t="s">
        <v>44</v>
      </c>
      <c r="E8" s="70" cm="1">
        <f t="array" ref="E8">_xlfn.XLOOKUP($D8&amp;E$1,Results_of_the_day!$C:$C&amp;Results_of_the_day!$B:$B,Results_of_the_day!$D:$D,0,0)</f>
        <v>28.34</v>
      </c>
      <c r="F8" s="70" cm="1">
        <f t="array" ref="F8">_xlfn.XLOOKUP($D8&amp;F$1,Results_of_the_day!$C:$C&amp;Results_of_the_day!$B:$B,Results_of_the_day!$D:$D,0,0)</f>
        <v>0</v>
      </c>
      <c r="G8" s="70" cm="1">
        <f t="array" ref="G8">_xlfn.XLOOKUP($D8&amp;G$1,Results_of_the_day!$C:$C&amp;Results_of_the_day!$B:$B,Results_of_the_day!$D:$D,0,0)</f>
        <v>0</v>
      </c>
      <c r="H8" s="70" cm="1">
        <f t="array" ref="H8">_xlfn.XLOOKUP($D8&amp;H$1,Results_of_the_day!$C:$C&amp;Results_of_the_day!$B:$B,Results_of_the_day!$D:$D,0,0)</f>
        <v>0</v>
      </c>
      <c r="I8" s="70" cm="1">
        <f t="array" ref="I8">_xlfn.XLOOKUP($D8&amp;I$1,Results_of_the_day!$C:$C&amp;Results_of_the_day!$B:$B,Results_of_the_day!$D:$D,0,0)</f>
        <v>0</v>
      </c>
      <c r="J8" s="70" cm="1">
        <f t="array" ref="J8">_xlfn.XLOOKUP($D8&amp;J$1,Results_of_the_day!$C:$C&amp;Results_of_the_day!$B:$B,Results_of_the_day!$D:$D,0,0)</f>
        <v>0</v>
      </c>
      <c r="K8" s="70" cm="1">
        <f t="array" ref="K8">_xlfn.XLOOKUP($D8&amp;K$1,Results_of_the_day!$C:$C&amp;Results_of_the_day!$B:$B,Results_of_the_day!$D:$D,0,0)</f>
        <v>0</v>
      </c>
      <c r="L8" s="70" cm="1">
        <f t="array" ref="L8">_xlfn.XLOOKUP($D8&amp;L$1,Results_of_the_day!$C:$C&amp;Results_of_the_day!$B:$B,Results_of_the_day!$D:$D,0,0)</f>
        <v>0</v>
      </c>
      <c r="M8" s="70" cm="1">
        <f t="array" ref="M8">_xlfn.XLOOKUP($D8&amp;M$1,Results_of_the_day!$C:$C&amp;Results_of_the_day!$B:$B,Results_of_the_day!$D:$D,0,0)</f>
        <v>0</v>
      </c>
      <c r="N8" s="70" cm="1">
        <f t="array" ref="N8">_xlfn.XLOOKUP($D8&amp;N$1,Results_of_the_day!$C:$C&amp;Results_of_the_day!$B:$B,Results_of_the_day!$D:$D,0,0)</f>
        <v>0</v>
      </c>
      <c r="O8" s="70" cm="1">
        <f t="array" ref="O8">_xlfn.XLOOKUP($D8&amp;O$1,Results_of_the_day!$C:$C&amp;Results_of_the_day!$B:$B,Results_of_the_day!$D:$D,0,0)</f>
        <v>0</v>
      </c>
      <c r="P8" s="70" cm="1">
        <f t="array" ref="P8">_xlfn.XLOOKUP($D8&amp;P$1,Results_of_the_day!$C:$C&amp;Results_of_the_day!$B:$B,Results_of_the_day!$D:$D,0,0)</f>
        <v>0</v>
      </c>
      <c r="Q8" s="70" cm="1">
        <f t="array" ref="Q8">_xlfn.XLOOKUP($D8&amp;Q$1,Results_of_the_day!$C:$C&amp;Results_of_the_day!$B:$B,Results_of_the_day!$D:$D,0,0)</f>
        <v>0</v>
      </c>
      <c r="R8" s="70" cm="1">
        <f t="array" ref="R8">_xlfn.XLOOKUP($D8&amp;R$1,Results_of_the_day!$C:$C&amp;Results_of_the_day!$B:$B,Results_of_the_day!$D:$D,0,0)</f>
        <v>0</v>
      </c>
      <c r="S8" s="70" cm="1">
        <f t="array" ref="S8">_xlfn.XLOOKUP($D8&amp;S$1,Results_of_the_day!$C:$C&amp;Results_of_the_day!$B:$B,Results_of_the_day!$D:$D,0,0)</f>
        <v>0</v>
      </c>
      <c r="Z8" s="5">
        <f t="shared" ca="1" si="4"/>
        <v>11</v>
      </c>
      <c r="AA8" s="2">
        <f t="shared" ca="1" si="5"/>
        <v>11</v>
      </c>
      <c r="AB8">
        <f t="shared" si="23"/>
        <v>0</v>
      </c>
      <c r="AC8">
        <f t="shared" si="23"/>
        <v>0</v>
      </c>
      <c r="AD8">
        <f t="shared" si="24"/>
        <v>0</v>
      </c>
      <c r="AE8">
        <f t="shared" si="25"/>
        <v>0</v>
      </c>
      <c r="AF8">
        <f t="shared" si="26"/>
        <v>0</v>
      </c>
      <c r="AG8">
        <f t="shared" si="26"/>
        <v>0</v>
      </c>
      <c r="AH8">
        <f t="shared" si="29"/>
        <v>0</v>
      </c>
      <c r="AI8">
        <f t="shared" si="27"/>
        <v>0</v>
      </c>
      <c r="AJ8">
        <f t="shared" si="28"/>
        <v>0</v>
      </c>
      <c r="AK8">
        <f t="shared" si="7"/>
        <v>11</v>
      </c>
      <c r="AL8" s="1">
        <f t="shared" si="8"/>
        <v>11</v>
      </c>
      <c r="AM8" s="1">
        <f t="shared" si="9"/>
        <v>0</v>
      </c>
      <c r="AN8" s="1">
        <f t="shared" si="10"/>
        <v>0</v>
      </c>
      <c r="AO8" s="1">
        <f t="shared" si="11"/>
        <v>0</v>
      </c>
      <c r="AP8" s="1">
        <f t="shared" si="12"/>
        <v>0</v>
      </c>
      <c r="AQ8" s="1">
        <f t="shared" si="13"/>
        <v>0</v>
      </c>
      <c r="AR8" s="1">
        <f t="shared" si="14"/>
        <v>0</v>
      </c>
      <c r="AS8" s="1">
        <f t="shared" si="15"/>
        <v>0</v>
      </c>
      <c r="AT8" s="1">
        <f t="shared" si="16"/>
        <v>0</v>
      </c>
      <c r="AU8" s="1">
        <f t="shared" si="17"/>
        <v>0</v>
      </c>
      <c r="AV8" s="1">
        <f t="shared" si="18"/>
        <v>0</v>
      </c>
      <c r="AW8" s="1">
        <f t="shared" si="19"/>
        <v>0</v>
      </c>
      <c r="AX8" s="1">
        <f t="shared" si="20"/>
        <v>0</v>
      </c>
      <c r="AY8" s="1">
        <f t="shared" si="21"/>
        <v>0</v>
      </c>
      <c r="AZ8" s="1">
        <f t="shared" si="22"/>
        <v>0</v>
      </c>
    </row>
    <row r="9" spans="1:57" ht="21" customHeight="1" x14ac:dyDescent="0.35">
      <c r="A9" s="1">
        <v>5</v>
      </c>
      <c r="B9" s="64">
        <f t="shared" si="2"/>
        <v>1</v>
      </c>
      <c r="C9" s="59">
        <f t="shared" si="3"/>
        <v>26.47</v>
      </c>
      <c r="D9" s="9" t="s">
        <v>42</v>
      </c>
      <c r="E9" s="70" cm="1">
        <f t="array" ref="E9">_xlfn.XLOOKUP($D9&amp;E$1,Results_of_the_day!$C:$C&amp;Results_of_the_day!$B:$B,Results_of_the_day!$D:$D,0,0)</f>
        <v>26.47</v>
      </c>
      <c r="F9" s="70" cm="1">
        <f t="array" ref="F9">_xlfn.XLOOKUP($D9&amp;F$1,Results_of_the_day!$C:$C&amp;Results_of_the_day!$B:$B,Results_of_the_day!$D:$D,0,0)</f>
        <v>0</v>
      </c>
      <c r="G9" s="70" cm="1">
        <f t="array" ref="G9">_xlfn.XLOOKUP($D9&amp;G$1,Results_of_the_day!$C:$C&amp;Results_of_the_day!$B:$B,Results_of_the_day!$D:$D,0,0)</f>
        <v>0</v>
      </c>
      <c r="H9" s="70" cm="1">
        <f t="array" ref="H9">_xlfn.XLOOKUP($D9&amp;H$1,Results_of_the_day!$C:$C&amp;Results_of_the_day!$B:$B,Results_of_the_day!$D:$D,0,0)</f>
        <v>0</v>
      </c>
      <c r="I9" s="70" cm="1">
        <f t="array" ref="I9">_xlfn.XLOOKUP($D9&amp;I$1,Results_of_the_day!$C:$C&amp;Results_of_the_day!$B:$B,Results_of_the_day!$D:$D,0,0)</f>
        <v>0</v>
      </c>
      <c r="J9" s="70" cm="1">
        <f t="array" ref="J9">_xlfn.XLOOKUP($D9&amp;J$1,Results_of_the_day!$C:$C&amp;Results_of_the_day!$B:$B,Results_of_the_day!$D:$D,0,0)</f>
        <v>0</v>
      </c>
      <c r="K9" s="70" cm="1">
        <f t="array" ref="K9">_xlfn.XLOOKUP($D9&amp;K$1,Results_of_the_day!$C:$C&amp;Results_of_the_day!$B:$B,Results_of_the_day!$D:$D,0,0)</f>
        <v>0</v>
      </c>
      <c r="L9" s="70" cm="1">
        <f t="array" ref="L9">_xlfn.XLOOKUP($D9&amp;L$1,Results_of_the_day!$C:$C&amp;Results_of_the_day!$B:$B,Results_of_the_day!$D:$D,0,0)</f>
        <v>0</v>
      </c>
      <c r="M9" s="70" cm="1">
        <f t="array" ref="M9">_xlfn.XLOOKUP($D9&amp;M$1,Results_of_the_day!$C:$C&amp;Results_of_the_day!$B:$B,Results_of_the_day!$D:$D,0,0)</f>
        <v>0</v>
      </c>
      <c r="N9" s="70" cm="1">
        <f t="array" ref="N9">_xlfn.XLOOKUP($D9&amp;N$1,Results_of_the_day!$C:$C&amp;Results_of_the_day!$B:$B,Results_of_the_day!$D:$D,0,0)</f>
        <v>0</v>
      </c>
      <c r="O9" s="70" cm="1">
        <f t="array" ref="O9">_xlfn.XLOOKUP($D9&amp;O$1,Results_of_the_day!$C:$C&amp;Results_of_the_day!$B:$B,Results_of_the_day!$D:$D,0,0)</f>
        <v>0</v>
      </c>
      <c r="P9" s="70" cm="1">
        <f t="array" ref="P9">_xlfn.XLOOKUP($D9&amp;P$1,Results_of_the_day!$C:$C&amp;Results_of_the_day!$B:$B,Results_of_the_day!$D:$D,0,0)</f>
        <v>0</v>
      </c>
      <c r="Q9" s="70" cm="1">
        <f t="array" ref="Q9">_xlfn.XLOOKUP($D9&amp;Q$1,Results_of_the_day!$C:$C&amp;Results_of_the_day!$B:$B,Results_of_the_day!$D:$D,0,0)</f>
        <v>0</v>
      </c>
      <c r="R9" s="70" cm="1">
        <f t="array" ref="R9">_xlfn.XLOOKUP($D9&amp;R$1,Results_of_the_day!$C:$C&amp;Results_of_the_day!$B:$B,Results_of_the_day!$D:$D,0,0)</f>
        <v>0</v>
      </c>
      <c r="S9" s="70" cm="1">
        <f t="array" ref="S9">_xlfn.XLOOKUP($D9&amp;S$1,Results_of_the_day!$C:$C&amp;Results_of_the_day!$B:$B,Results_of_the_day!$D:$D,0,0)</f>
        <v>0</v>
      </c>
      <c r="Z9" s="5">
        <f t="shared" ca="1" si="4"/>
        <v>13</v>
      </c>
      <c r="AA9" s="2">
        <f t="shared" ca="1" si="5"/>
        <v>13</v>
      </c>
      <c r="AB9">
        <f t="shared" si="23"/>
        <v>0</v>
      </c>
      <c r="AC9">
        <f t="shared" si="23"/>
        <v>0</v>
      </c>
      <c r="AD9">
        <f t="shared" si="24"/>
        <v>0</v>
      </c>
      <c r="AE9">
        <f t="shared" si="25"/>
        <v>0</v>
      </c>
      <c r="AF9">
        <f t="shared" si="26"/>
        <v>0</v>
      </c>
      <c r="AG9">
        <f t="shared" si="26"/>
        <v>0</v>
      </c>
      <c r="AH9">
        <f t="shared" si="29"/>
        <v>0</v>
      </c>
      <c r="AI9">
        <f t="shared" si="27"/>
        <v>0</v>
      </c>
      <c r="AJ9">
        <f t="shared" si="28"/>
        <v>0</v>
      </c>
      <c r="AK9">
        <f t="shared" si="7"/>
        <v>13</v>
      </c>
      <c r="AL9" s="1">
        <f t="shared" si="8"/>
        <v>13</v>
      </c>
      <c r="AM9" s="1">
        <f t="shared" si="9"/>
        <v>0</v>
      </c>
      <c r="AN9" s="1">
        <f t="shared" si="10"/>
        <v>0</v>
      </c>
      <c r="AO9" s="1">
        <f t="shared" si="11"/>
        <v>0</v>
      </c>
      <c r="AP9" s="1">
        <f t="shared" si="12"/>
        <v>0</v>
      </c>
      <c r="AQ9" s="1">
        <f t="shared" si="13"/>
        <v>0</v>
      </c>
      <c r="AR9" s="1">
        <f t="shared" si="14"/>
        <v>0</v>
      </c>
      <c r="AS9" s="1">
        <f t="shared" si="15"/>
        <v>0</v>
      </c>
      <c r="AT9" s="1">
        <f t="shared" si="16"/>
        <v>0</v>
      </c>
      <c r="AU9" s="1">
        <f t="shared" si="17"/>
        <v>0</v>
      </c>
      <c r="AV9" s="1">
        <f t="shared" si="18"/>
        <v>0</v>
      </c>
      <c r="AW9" s="1">
        <f t="shared" si="19"/>
        <v>0</v>
      </c>
      <c r="AX9" s="1">
        <f t="shared" si="20"/>
        <v>0</v>
      </c>
      <c r="AY9" s="1">
        <f t="shared" si="21"/>
        <v>0</v>
      </c>
      <c r="AZ9" s="1">
        <f t="shared" si="22"/>
        <v>0</v>
      </c>
    </row>
    <row r="10" spans="1:57" ht="21" customHeight="1" x14ac:dyDescent="0.35">
      <c r="A10" s="1">
        <v>6</v>
      </c>
      <c r="B10" s="64">
        <f t="shared" si="2"/>
        <v>0</v>
      </c>
      <c r="C10" s="59">
        <f t="shared" si="3"/>
        <v>0</v>
      </c>
      <c r="D10" s="9" t="s">
        <v>81</v>
      </c>
      <c r="E10" s="70" cm="1">
        <f t="array" ref="E10">_xlfn.XLOOKUP($D10&amp;E$1,Results_of_the_day!$C:$C&amp;Results_of_the_day!$B:$B,Results_of_the_day!$D:$D,0,0)</f>
        <v>0</v>
      </c>
      <c r="F10" s="70" cm="1">
        <f t="array" ref="F10">_xlfn.XLOOKUP($D10&amp;F$1,Results_of_the_day!$C:$C&amp;Results_of_the_day!$B:$B,Results_of_the_day!$D:$D,0,0)</f>
        <v>0</v>
      </c>
      <c r="G10" s="70" cm="1">
        <f t="array" ref="G10">_xlfn.XLOOKUP($D10&amp;G$1,Results_of_the_day!$C:$C&amp;Results_of_the_day!$B:$B,Results_of_the_day!$D:$D,0,0)</f>
        <v>0</v>
      </c>
      <c r="H10" s="70" cm="1">
        <f t="array" ref="H10">_xlfn.XLOOKUP($D10&amp;H$1,Results_of_the_day!$C:$C&amp;Results_of_the_day!$B:$B,Results_of_the_day!$D:$D,0,0)</f>
        <v>0</v>
      </c>
      <c r="I10" s="70" cm="1">
        <f t="array" ref="I10">_xlfn.XLOOKUP($D10&amp;I$1,Results_of_the_day!$C:$C&amp;Results_of_the_day!$B:$B,Results_of_the_day!$D:$D,0,0)</f>
        <v>0</v>
      </c>
      <c r="J10" s="70" cm="1">
        <f t="array" ref="J10">_xlfn.XLOOKUP($D10&amp;J$1,Results_of_the_day!$C:$C&amp;Results_of_the_day!$B:$B,Results_of_the_day!$D:$D,0,0)</f>
        <v>0</v>
      </c>
      <c r="K10" s="70" cm="1">
        <f t="array" ref="K10">_xlfn.XLOOKUP($D10&amp;K$1,Results_of_the_day!$C:$C&amp;Results_of_the_day!$B:$B,Results_of_the_day!$D:$D,0,0)</f>
        <v>0</v>
      </c>
      <c r="L10" s="70" cm="1">
        <f t="array" ref="L10">_xlfn.XLOOKUP($D10&amp;L$1,Results_of_the_day!$C:$C&amp;Results_of_the_day!$B:$B,Results_of_the_day!$D:$D,0,0)</f>
        <v>0</v>
      </c>
      <c r="M10" s="70" cm="1">
        <f t="array" ref="M10">_xlfn.XLOOKUP($D10&amp;M$1,Results_of_the_day!$C:$C&amp;Results_of_the_day!$B:$B,Results_of_the_day!$D:$D,0,0)</f>
        <v>0</v>
      </c>
      <c r="N10" s="70" cm="1">
        <f t="array" ref="N10">_xlfn.XLOOKUP($D10&amp;N$1,Results_of_the_day!$C:$C&amp;Results_of_the_day!$B:$B,Results_of_the_day!$D:$D,0,0)</f>
        <v>0</v>
      </c>
      <c r="O10" s="70" cm="1">
        <f t="array" ref="O10">_xlfn.XLOOKUP($D10&amp;O$1,Results_of_the_day!$C:$C&amp;Results_of_the_day!$B:$B,Results_of_the_day!$D:$D,0,0)</f>
        <v>0</v>
      </c>
      <c r="P10" s="70" cm="1">
        <f t="array" ref="P10">_xlfn.XLOOKUP($D10&amp;P$1,Results_of_the_day!$C:$C&amp;Results_of_the_day!$B:$B,Results_of_the_day!$D:$D,0,0)</f>
        <v>0</v>
      </c>
      <c r="Q10" s="70" cm="1">
        <f t="array" ref="Q10">_xlfn.XLOOKUP($D10&amp;Q$1,Results_of_the_day!$C:$C&amp;Results_of_the_day!$B:$B,Results_of_the_day!$D:$D,0,0)</f>
        <v>0</v>
      </c>
      <c r="R10" s="70" cm="1">
        <f t="array" ref="R10">_xlfn.XLOOKUP($D10&amp;R$1,Results_of_the_day!$C:$C&amp;Results_of_the_day!$B:$B,Results_of_the_day!$D:$D,0,0)</f>
        <v>0</v>
      </c>
      <c r="S10" s="70" cm="1">
        <f t="array" ref="S10">_xlfn.XLOOKUP($D10&amp;S$1,Results_of_the_day!$C:$C&amp;Results_of_the_day!$B:$B,Results_of_the_day!$D:$D,0,0)</f>
        <v>0</v>
      </c>
      <c r="Z10" s="5">
        <f t="shared" ca="1" si="4"/>
        <v>15</v>
      </c>
      <c r="AA10" s="2">
        <f t="shared" ca="1" si="5"/>
        <v>9999</v>
      </c>
      <c r="AB10">
        <f t="shared" si="23"/>
        <v>0</v>
      </c>
      <c r="AC10">
        <f t="shared" si="23"/>
        <v>0</v>
      </c>
      <c r="AD10">
        <f t="shared" si="24"/>
        <v>0</v>
      </c>
      <c r="AE10">
        <f t="shared" si="25"/>
        <v>0</v>
      </c>
      <c r="AF10">
        <f t="shared" si="26"/>
        <v>0</v>
      </c>
      <c r="AG10">
        <f t="shared" si="26"/>
        <v>0</v>
      </c>
      <c r="AH10">
        <f t="shared" si="29"/>
        <v>0</v>
      </c>
      <c r="AI10">
        <f t="shared" si="27"/>
        <v>0</v>
      </c>
      <c r="AJ10">
        <f t="shared" si="28"/>
        <v>0</v>
      </c>
      <c r="AK10">
        <f t="shared" si="7"/>
        <v>15</v>
      </c>
      <c r="AL10" s="1">
        <f t="shared" si="8"/>
        <v>15</v>
      </c>
      <c r="AM10" s="1">
        <f t="shared" si="9"/>
        <v>0</v>
      </c>
      <c r="AN10" s="1">
        <f t="shared" si="10"/>
        <v>0</v>
      </c>
      <c r="AO10" s="1">
        <f t="shared" si="11"/>
        <v>0</v>
      </c>
      <c r="AP10" s="1">
        <f t="shared" si="12"/>
        <v>0</v>
      </c>
      <c r="AQ10" s="1">
        <f t="shared" si="13"/>
        <v>0</v>
      </c>
      <c r="AR10" s="1">
        <f t="shared" si="14"/>
        <v>0</v>
      </c>
      <c r="AS10" s="1">
        <f t="shared" si="15"/>
        <v>0</v>
      </c>
      <c r="AT10" s="1">
        <f t="shared" si="16"/>
        <v>0</v>
      </c>
      <c r="AU10" s="1">
        <f t="shared" si="17"/>
        <v>0</v>
      </c>
      <c r="AV10" s="1">
        <f t="shared" si="18"/>
        <v>0</v>
      </c>
      <c r="AW10" s="1">
        <f t="shared" si="19"/>
        <v>0</v>
      </c>
      <c r="AX10" s="1">
        <f t="shared" si="20"/>
        <v>0</v>
      </c>
      <c r="AY10" s="1">
        <f t="shared" si="21"/>
        <v>0</v>
      </c>
      <c r="AZ10" s="1">
        <f t="shared" si="22"/>
        <v>0</v>
      </c>
    </row>
    <row r="11" spans="1:57" ht="21" customHeight="1" x14ac:dyDescent="0.35">
      <c r="A11" s="1">
        <v>7</v>
      </c>
      <c r="B11" s="64">
        <f t="shared" si="2"/>
        <v>0</v>
      </c>
      <c r="C11" s="59">
        <f t="shared" si="3"/>
        <v>0</v>
      </c>
      <c r="D11" s="9" t="s">
        <v>58</v>
      </c>
      <c r="E11" s="70" cm="1">
        <f t="array" ref="E11">_xlfn.XLOOKUP($D11&amp;E$1,Results_of_the_day!$C:$C&amp;Results_of_the_day!$B:$B,Results_of_the_day!$D:$D,0,0)</f>
        <v>0</v>
      </c>
      <c r="F11" s="70" cm="1">
        <f t="array" ref="F11">_xlfn.XLOOKUP($D11&amp;F$1,Results_of_the_day!$C:$C&amp;Results_of_the_day!$B:$B,Results_of_the_day!$D:$D,0,0)</f>
        <v>0</v>
      </c>
      <c r="G11" s="70" cm="1">
        <f t="array" ref="G11">_xlfn.XLOOKUP($D11&amp;G$1,Results_of_the_day!$C:$C&amp;Results_of_the_day!$B:$B,Results_of_the_day!$D:$D,0,0)</f>
        <v>0</v>
      </c>
      <c r="H11" s="70" cm="1">
        <f t="array" ref="H11">_xlfn.XLOOKUP($D11&amp;H$1,Results_of_the_day!$C:$C&amp;Results_of_the_day!$B:$B,Results_of_the_day!$D:$D,0,0)</f>
        <v>0</v>
      </c>
      <c r="I11" s="70" cm="1">
        <f t="array" ref="I11">_xlfn.XLOOKUP($D11&amp;I$1,Results_of_the_day!$C:$C&amp;Results_of_the_day!$B:$B,Results_of_the_day!$D:$D,0,0)</f>
        <v>0</v>
      </c>
      <c r="J11" s="70" cm="1">
        <f t="array" ref="J11">_xlfn.XLOOKUP($D11&amp;J$1,Results_of_the_day!$C:$C&amp;Results_of_the_day!$B:$B,Results_of_the_day!$D:$D,0,0)</f>
        <v>0</v>
      </c>
      <c r="K11" s="70" cm="1">
        <f t="array" ref="K11">_xlfn.XLOOKUP($D11&amp;K$1,Results_of_the_day!$C:$C&amp;Results_of_the_day!$B:$B,Results_of_the_day!$D:$D,0,0)</f>
        <v>0</v>
      </c>
      <c r="L11" s="70" cm="1">
        <f t="array" ref="L11">_xlfn.XLOOKUP($D11&amp;L$1,Results_of_the_day!$C:$C&amp;Results_of_the_day!$B:$B,Results_of_the_day!$D:$D,0,0)</f>
        <v>0</v>
      </c>
      <c r="M11" s="70" cm="1">
        <f t="array" ref="M11">_xlfn.XLOOKUP($D11&amp;M$1,Results_of_the_day!$C:$C&amp;Results_of_the_day!$B:$B,Results_of_the_day!$D:$D,0,0)</f>
        <v>0</v>
      </c>
      <c r="N11" s="70" cm="1">
        <f t="array" ref="N11">_xlfn.XLOOKUP($D11&amp;N$1,Results_of_the_day!$C:$C&amp;Results_of_the_day!$B:$B,Results_of_the_day!$D:$D,0,0)</f>
        <v>0</v>
      </c>
      <c r="O11" s="70" cm="1">
        <f t="array" ref="O11">_xlfn.XLOOKUP($D11&amp;O$1,Results_of_the_day!$C:$C&amp;Results_of_the_day!$B:$B,Results_of_the_day!$D:$D,0,0)</f>
        <v>0</v>
      </c>
      <c r="P11" s="70" cm="1">
        <f t="array" ref="P11">_xlfn.XLOOKUP($D11&amp;P$1,Results_of_the_day!$C:$C&amp;Results_of_the_day!$B:$B,Results_of_the_day!$D:$D,0,0)</f>
        <v>0</v>
      </c>
      <c r="Q11" s="70" cm="1">
        <f t="array" ref="Q11">_xlfn.XLOOKUP($D11&amp;Q$1,Results_of_the_day!$C:$C&amp;Results_of_the_day!$B:$B,Results_of_the_day!$D:$D,0,0)</f>
        <v>0</v>
      </c>
      <c r="R11" s="70" cm="1">
        <f t="array" ref="R11">_xlfn.XLOOKUP($D11&amp;R$1,Results_of_the_day!$C:$C&amp;Results_of_the_day!$B:$B,Results_of_the_day!$D:$D,0,0)</f>
        <v>0</v>
      </c>
      <c r="S11" s="70" cm="1">
        <f t="array" ref="S11">_xlfn.XLOOKUP($D11&amp;S$1,Results_of_the_day!$C:$C&amp;Results_of_the_day!$B:$B,Results_of_the_day!$D:$D,0,0)</f>
        <v>0</v>
      </c>
      <c r="Z11" s="5">
        <f t="shared" ca="1" si="4"/>
        <v>15</v>
      </c>
      <c r="AA11" s="2">
        <f t="shared" ca="1" si="5"/>
        <v>9999</v>
      </c>
      <c r="AB11">
        <f t="shared" si="23"/>
        <v>0</v>
      </c>
      <c r="AC11">
        <f t="shared" si="23"/>
        <v>0</v>
      </c>
      <c r="AD11">
        <f t="shared" si="24"/>
        <v>0</v>
      </c>
      <c r="AE11">
        <f t="shared" si="25"/>
        <v>0</v>
      </c>
      <c r="AF11">
        <f t="shared" si="26"/>
        <v>0</v>
      </c>
      <c r="AG11">
        <f t="shared" si="26"/>
        <v>0</v>
      </c>
      <c r="AH11">
        <f>AI11-LARGE($AL11:$AZ11,AH$3)</f>
        <v>0</v>
      </c>
      <c r="AI11">
        <f t="shared" si="27"/>
        <v>0</v>
      </c>
      <c r="AJ11">
        <f t="shared" si="28"/>
        <v>0</v>
      </c>
      <c r="AK11">
        <f t="shared" si="7"/>
        <v>15</v>
      </c>
      <c r="AL11" s="1">
        <f t="shared" si="8"/>
        <v>15</v>
      </c>
      <c r="AM11" s="1">
        <f t="shared" si="9"/>
        <v>0</v>
      </c>
      <c r="AN11" s="1">
        <f t="shared" si="10"/>
        <v>0</v>
      </c>
      <c r="AO11" s="1">
        <f t="shared" si="11"/>
        <v>0</v>
      </c>
      <c r="AP11" s="1">
        <f t="shared" si="12"/>
        <v>0</v>
      </c>
      <c r="AQ11" s="1">
        <f t="shared" si="13"/>
        <v>0</v>
      </c>
      <c r="AR11" s="1">
        <f t="shared" si="14"/>
        <v>0</v>
      </c>
      <c r="AS11" s="1">
        <f t="shared" si="15"/>
        <v>0</v>
      </c>
      <c r="AT11" s="1">
        <f t="shared" si="16"/>
        <v>0</v>
      </c>
      <c r="AU11" s="1">
        <f t="shared" si="17"/>
        <v>0</v>
      </c>
      <c r="AV11" s="1">
        <f t="shared" si="18"/>
        <v>0</v>
      </c>
      <c r="AW11" s="1">
        <f t="shared" si="19"/>
        <v>0</v>
      </c>
      <c r="AX11" s="1">
        <f t="shared" si="20"/>
        <v>0</v>
      </c>
      <c r="AY11" s="1">
        <f t="shared" si="21"/>
        <v>0</v>
      </c>
      <c r="AZ11" s="1">
        <f t="shared" si="22"/>
        <v>0</v>
      </c>
    </row>
    <row r="12" spans="1:57" ht="21" customHeight="1" x14ac:dyDescent="0.35">
      <c r="A12" s="1">
        <v>8</v>
      </c>
      <c r="B12" s="64">
        <f t="shared" si="2"/>
        <v>0</v>
      </c>
      <c r="C12" s="59">
        <f t="shared" si="3"/>
        <v>0</v>
      </c>
      <c r="D12" s="9" t="s">
        <v>77</v>
      </c>
      <c r="E12" s="70" cm="1">
        <f t="array" ref="E12">_xlfn.XLOOKUP($D12&amp;E$1,Results_of_the_day!$C:$C&amp;Results_of_the_day!$B:$B,Results_of_the_day!$D:$D,0,0)</f>
        <v>0</v>
      </c>
      <c r="F12" s="70" cm="1">
        <f t="array" ref="F12">_xlfn.XLOOKUP($D12&amp;F$1,Results_of_the_day!$C:$C&amp;Results_of_the_day!$B:$B,Results_of_the_day!$D:$D,0,0)</f>
        <v>0</v>
      </c>
      <c r="G12" s="70" cm="1">
        <f t="array" ref="G12">_xlfn.XLOOKUP($D12&amp;G$1,Results_of_the_day!$C:$C&amp;Results_of_the_day!$B:$B,Results_of_the_day!$D:$D,0,0)</f>
        <v>0</v>
      </c>
      <c r="H12" s="70" cm="1">
        <f t="array" ref="H12">_xlfn.XLOOKUP($D12&amp;H$1,Results_of_the_day!$C:$C&amp;Results_of_the_day!$B:$B,Results_of_the_day!$D:$D,0,0)</f>
        <v>0</v>
      </c>
      <c r="I12" s="70" cm="1">
        <f t="array" ref="I12">_xlfn.XLOOKUP($D12&amp;I$1,Results_of_the_day!$C:$C&amp;Results_of_the_day!$B:$B,Results_of_the_day!$D:$D,0,0)</f>
        <v>0</v>
      </c>
      <c r="J12" s="70" cm="1">
        <f t="array" ref="J12">_xlfn.XLOOKUP($D12&amp;J$1,Results_of_the_day!$C:$C&amp;Results_of_the_day!$B:$B,Results_of_the_day!$D:$D,0,0)</f>
        <v>0</v>
      </c>
      <c r="K12" s="70" cm="1">
        <f t="array" ref="K12">_xlfn.XLOOKUP($D12&amp;K$1,Results_of_the_day!$C:$C&amp;Results_of_the_day!$B:$B,Results_of_the_day!$D:$D,0,0)</f>
        <v>0</v>
      </c>
      <c r="L12" s="70" cm="1">
        <f t="array" ref="L12">_xlfn.XLOOKUP($D12&amp;L$1,Results_of_the_day!$C:$C&amp;Results_of_the_day!$B:$B,Results_of_the_day!$D:$D,0,0)</f>
        <v>0</v>
      </c>
      <c r="M12" s="70" cm="1">
        <f t="array" ref="M12">_xlfn.XLOOKUP($D12&amp;M$1,Results_of_the_day!$C:$C&amp;Results_of_the_day!$B:$B,Results_of_the_day!$D:$D,0,0)</f>
        <v>0</v>
      </c>
      <c r="N12" s="70" cm="1">
        <f t="array" ref="N12">_xlfn.XLOOKUP($D12&amp;N$1,Results_of_the_day!$C:$C&amp;Results_of_the_day!$B:$B,Results_of_the_day!$D:$D,0,0)</f>
        <v>0</v>
      </c>
      <c r="O12" s="70" cm="1">
        <f t="array" ref="O12">_xlfn.XLOOKUP($D12&amp;O$1,Results_of_the_day!$C:$C&amp;Results_of_the_day!$B:$B,Results_of_the_day!$D:$D,0,0)</f>
        <v>0</v>
      </c>
      <c r="P12" s="70" cm="1">
        <f t="array" ref="P12">_xlfn.XLOOKUP($D12&amp;P$1,Results_of_the_day!$C:$C&amp;Results_of_the_day!$B:$B,Results_of_the_day!$D:$D,0,0)</f>
        <v>0</v>
      </c>
      <c r="Q12" s="70" cm="1">
        <f t="array" ref="Q12">_xlfn.XLOOKUP($D12&amp;Q$1,Results_of_the_day!$C:$C&amp;Results_of_the_day!$B:$B,Results_of_the_day!$D:$D,0,0)</f>
        <v>0</v>
      </c>
      <c r="R12" s="70" cm="1">
        <f t="array" ref="R12">_xlfn.XLOOKUP($D12&amp;R$1,Results_of_the_day!$C:$C&amp;Results_of_the_day!$B:$B,Results_of_the_day!$D:$D,0,0)</f>
        <v>0</v>
      </c>
      <c r="S12" s="70" cm="1">
        <f t="array" ref="S12">_xlfn.XLOOKUP($D12&amp;S$1,Results_of_the_day!$C:$C&amp;Results_of_the_day!$B:$B,Results_of_the_day!$D:$D,0,0)</f>
        <v>0</v>
      </c>
      <c r="Z12" s="5">
        <f t="shared" ca="1" si="4"/>
        <v>15</v>
      </c>
      <c r="AA12" s="2">
        <f t="shared" ca="1" si="5"/>
        <v>9999</v>
      </c>
      <c r="AB12">
        <f t="shared" si="23"/>
        <v>0</v>
      </c>
      <c r="AC12">
        <f t="shared" si="23"/>
        <v>0</v>
      </c>
      <c r="AD12">
        <f t="shared" si="24"/>
        <v>0</v>
      </c>
      <c r="AE12">
        <f t="shared" si="25"/>
        <v>0</v>
      </c>
      <c r="AF12">
        <f t="shared" si="26"/>
        <v>0</v>
      </c>
      <c r="AG12">
        <f t="shared" si="26"/>
        <v>0</v>
      </c>
      <c r="AH12">
        <f t="shared" si="29"/>
        <v>0</v>
      </c>
      <c r="AI12">
        <f t="shared" si="27"/>
        <v>0</v>
      </c>
      <c r="AJ12">
        <f t="shared" si="28"/>
        <v>0</v>
      </c>
      <c r="AK12">
        <f t="shared" si="7"/>
        <v>15</v>
      </c>
      <c r="AL12" s="1">
        <f t="shared" si="8"/>
        <v>15</v>
      </c>
      <c r="AM12" s="1">
        <f t="shared" si="9"/>
        <v>0</v>
      </c>
      <c r="AN12" s="1">
        <f t="shared" si="10"/>
        <v>0</v>
      </c>
      <c r="AO12" s="1">
        <f t="shared" si="11"/>
        <v>0</v>
      </c>
      <c r="AP12" s="1">
        <f t="shared" si="12"/>
        <v>0</v>
      </c>
      <c r="AQ12" s="1">
        <f t="shared" si="13"/>
        <v>0</v>
      </c>
      <c r="AR12" s="1">
        <f t="shared" si="14"/>
        <v>0</v>
      </c>
      <c r="AS12" s="1">
        <f t="shared" si="15"/>
        <v>0</v>
      </c>
      <c r="AT12" s="1">
        <f t="shared" si="16"/>
        <v>0</v>
      </c>
      <c r="AU12" s="1">
        <f t="shared" si="17"/>
        <v>0</v>
      </c>
      <c r="AV12" s="1">
        <f t="shared" si="18"/>
        <v>0</v>
      </c>
      <c r="AW12" s="1">
        <f t="shared" si="19"/>
        <v>0</v>
      </c>
      <c r="AX12" s="1">
        <f t="shared" si="20"/>
        <v>0</v>
      </c>
      <c r="AY12" s="1">
        <f t="shared" si="21"/>
        <v>0</v>
      </c>
      <c r="AZ12" s="1">
        <f t="shared" si="22"/>
        <v>0</v>
      </c>
    </row>
    <row r="13" spans="1:57" ht="21" customHeight="1" x14ac:dyDescent="0.35">
      <c r="A13" s="1">
        <v>9</v>
      </c>
      <c r="B13" s="64">
        <f t="shared" si="2"/>
        <v>0</v>
      </c>
      <c r="C13" s="59">
        <f t="shared" si="3"/>
        <v>0</v>
      </c>
      <c r="D13" s="9" t="s">
        <v>55</v>
      </c>
      <c r="E13" s="70" cm="1">
        <f t="array" ref="E13">_xlfn.XLOOKUP($D13&amp;E$1,Results_of_the_day!$C:$C&amp;Results_of_the_day!$B:$B,Results_of_the_day!$D:$D,0,0)</f>
        <v>0</v>
      </c>
      <c r="F13" s="70" cm="1">
        <f t="array" ref="F13">_xlfn.XLOOKUP($D13&amp;F$1,Results_of_the_day!$C:$C&amp;Results_of_the_day!$B:$B,Results_of_the_day!$D:$D,0,0)</f>
        <v>0</v>
      </c>
      <c r="G13" s="70" cm="1">
        <f t="array" ref="G13">_xlfn.XLOOKUP($D13&amp;G$1,Results_of_the_day!$C:$C&amp;Results_of_the_day!$B:$B,Results_of_the_day!$D:$D,0,0)</f>
        <v>0</v>
      </c>
      <c r="H13" s="70" cm="1">
        <f t="array" ref="H13">_xlfn.XLOOKUP($D13&amp;H$1,Results_of_the_day!$C:$C&amp;Results_of_the_day!$B:$B,Results_of_the_day!$D:$D,0,0)</f>
        <v>0</v>
      </c>
      <c r="I13" s="70" cm="1">
        <f t="array" ref="I13">_xlfn.XLOOKUP($D13&amp;I$1,Results_of_the_day!$C:$C&amp;Results_of_the_day!$B:$B,Results_of_the_day!$D:$D,0,0)</f>
        <v>0</v>
      </c>
      <c r="J13" s="70" cm="1">
        <f t="array" ref="J13">_xlfn.XLOOKUP($D13&amp;J$1,Results_of_the_day!$C:$C&amp;Results_of_the_day!$B:$B,Results_of_the_day!$D:$D,0,0)</f>
        <v>0</v>
      </c>
      <c r="K13" s="70" cm="1">
        <f t="array" ref="K13">_xlfn.XLOOKUP($D13&amp;K$1,Results_of_the_day!$C:$C&amp;Results_of_the_day!$B:$B,Results_of_the_day!$D:$D,0,0)</f>
        <v>0</v>
      </c>
      <c r="L13" s="70" cm="1">
        <f t="array" ref="L13">_xlfn.XLOOKUP($D13&amp;L$1,Results_of_the_day!$C:$C&amp;Results_of_the_day!$B:$B,Results_of_the_day!$D:$D,0,0)</f>
        <v>0</v>
      </c>
      <c r="M13" s="70" cm="1">
        <f t="array" ref="M13">_xlfn.XLOOKUP($D13&amp;M$1,Results_of_the_day!$C:$C&amp;Results_of_the_day!$B:$B,Results_of_the_day!$D:$D,0,0)</f>
        <v>0</v>
      </c>
      <c r="N13" s="70" cm="1">
        <f t="array" ref="N13">_xlfn.XLOOKUP($D13&amp;N$1,Results_of_the_day!$C:$C&amp;Results_of_the_day!$B:$B,Results_of_the_day!$D:$D,0,0)</f>
        <v>0</v>
      </c>
      <c r="O13" s="70" cm="1">
        <f t="array" ref="O13">_xlfn.XLOOKUP($D13&amp;O$1,Results_of_the_day!$C:$C&amp;Results_of_the_day!$B:$B,Results_of_the_day!$D:$D,0,0)</f>
        <v>0</v>
      </c>
      <c r="P13" s="70" cm="1">
        <f t="array" ref="P13">_xlfn.XLOOKUP($D13&amp;P$1,Results_of_the_day!$C:$C&amp;Results_of_the_day!$B:$B,Results_of_the_day!$D:$D,0,0)</f>
        <v>0</v>
      </c>
      <c r="Q13" s="70" cm="1">
        <f t="array" ref="Q13">_xlfn.XLOOKUP($D13&amp;Q$1,Results_of_the_day!$C:$C&amp;Results_of_the_day!$B:$B,Results_of_the_day!$D:$D,0,0)</f>
        <v>0</v>
      </c>
      <c r="R13" s="70" cm="1">
        <f t="array" ref="R13">_xlfn.XLOOKUP($D13&amp;R$1,Results_of_the_day!$C:$C&amp;Results_of_the_day!$B:$B,Results_of_the_day!$D:$D,0,0)</f>
        <v>0</v>
      </c>
      <c r="S13" s="70" cm="1">
        <f t="array" ref="S13">_xlfn.XLOOKUP($D13&amp;S$1,Results_of_the_day!$C:$C&amp;Results_of_the_day!$B:$B,Results_of_the_day!$D:$D,0,0)</f>
        <v>0</v>
      </c>
      <c r="Z13" s="5">
        <f t="shared" ca="1" si="4"/>
        <v>15</v>
      </c>
      <c r="AA13" s="2">
        <f t="shared" ca="1" si="5"/>
        <v>9999</v>
      </c>
      <c r="AB13">
        <f t="shared" si="23"/>
        <v>0</v>
      </c>
      <c r="AC13">
        <f t="shared" si="23"/>
        <v>0</v>
      </c>
      <c r="AD13">
        <f t="shared" si="24"/>
        <v>0</v>
      </c>
      <c r="AE13">
        <f t="shared" si="25"/>
        <v>0</v>
      </c>
      <c r="AF13">
        <f t="shared" si="26"/>
        <v>0</v>
      </c>
      <c r="AG13">
        <f t="shared" si="26"/>
        <v>0</v>
      </c>
      <c r="AH13">
        <f t="shared" si="29"/>
        <v>0</v>
      </c>
      <c r="AI13">
        <f t="shared" si="27"/>
        <v>0</v>
      </c>
      <c r="AJ13">
        <f t="shared" si="28"/>
        <v>0</v>
      </c>
      <c r="AK13">
        <f t="shared" si="7"/>
        <v>15</v>
      </c>
      <c r="AL13" s="1">
        <f t="shared" si="8"/>
        <v>15</v>
      </c>
      <c r="AM13" s="1">
        <f t="shared" si="9"/>
        <v>0</v>
      </c>
      <c r="AN13" s="1">
        <f t="shared" si="10"/>
        <v>0</v>
      </c>
      <c r="AO13" s="1">
        <f t="shared" si="11"/>
        <v>0</v>
      </c>
      <c r="AP13" s="1">
        <f t="shared" si="12"/>
        <v>0</v>
      </c>
      <c r="AQ13" s="1">
        <f t="shared" si="13"/>
        <v>0</v>
      </c>
      <c r="AR13" s="1">
        <f t="shared" si="14"/>
        <v>0</v>
      </c>
      <c r="AS13" s="1">
        <f t="shared" si="15"/>
        <v>0</v>
      </c>
      <c r="AT13" s="1">
        <f t="shared" si="16"/>
        <v>0</v>
      </c>
      <c r="AU13" s="1">
        <f t="shared" si="17"/>
        <v>0</v>
      </c>
      <c r="AV13" s="1">
        <f t="shared" si="18"/>
        <v>0</v>
      </c>
      <c r="AW13" s="1">
        <f t="shared" si="19"/>
        <v>0</v>
      </c>
      <c r="AX13" s="1">
        <f t="shared" si="20"/>
        <v>0</v>
      </c>
      <c r="AY13" s="1">
        <f t="shared" si="21"/>
        <v>0</v>
      </c>
      <c r="AZ13" s="1">
        <f t="shared" si="22"/>
        <v>0</v>
      </c>
    </row>
    <row r="14" spans="1:57" ht="21" customHeight="1" x14ac:dyDescent="0.35">
      <c r="A14" s="1">
        <v>10</v>
      </c>
      <c r="B14" s="64">
        <f t="shared" si="2"/>
        <v>0</v>
      </c>
      <c r="C14" s="59">
        <f t="shared" si="3"/>
        <v>0</v>
      </c>
      <c r="D14" s="9" t="s">
        <v>46</v>
      </c>
      <c r="E14" s="70" cm="1">
        <f t="array" ref="E14">_xlfn.XLOOKUP($D14&amp;E$1,Results_of_the_day!$C:$C&amp;Results_of_the_day!$B:$B,Results_of_the_day!$D:$D,0,0)</f>
        <v>0</v>
      </c>
      <c r="F14" s="70" cm="1">
        <f t="array" ref="F14">_xlfn.XLOOKUP($D14&amp;F$1,Results_of_the_day!$C:$C&amp;Results_of_the_day!$B:$B,Results_of_the_day!$D:$D,0,0)</f>
        <v>0</v>
      </c>
      <c r="G14" s="70" cm="1">
        <f t="array" ref="G14">_xlfn.XLOOKUP($D14&amp;G$1,Results_of_the_day!$C:$C&amp;Results_of_the_day!$B:$B,Results_of_the_day!$D:$D,0,0)</f>
        <v>0</v>
      </c>
      <c r="H14" s="70" cm="1">
        <f t="array" ref="H14">_xlfn.XLOOKUP($D14&amp;H$1,Results_of_the_day!$C:$C&amp;Results_of_the_day!$B:$B,Results_of_the_day!$D:$D,0,0)</f>
        <v>0</v>
      </c>
      <c r="I14" s="70" cm="1">
        <f t="array" ref="I14">_xlfn.XLOOKUP($D14&amp;I$1,Results_of_the_day!$C:$C&amp;Results_of_the_day!$B:$B,Results_of_the_day!$D:$D,0,0)</f>
        <v>0</v>
      </c>
      <c r="J14" s="70" cm="1">
        <f t="array" ref="J14">_xlfn.XLOOKUP($D14&amp;J$1,Results_of_the_day!$C:$C&amp;Results_of_the_day!$B:$B,Results_of_the_day!$D:$D,0,0)</f>
        <v>0</v>
      </c>
      <c r="K14" s="70" cm="1">
        <f t="array" ref="K14">_xlfn.XLOOKUP($D14&amp;K$1,Results_of_the_day!$C:$C&amp;Results_of_the_day!$B:$B,Results_of_the_day!$D:$D,0,0)</f>
        <v>0</v>
      </c>
      <c r="L14" s="70" cm="1">
        <f t="array" ref="L14">_xlfn.XLOOKUP($D14&amp;L$1,Results_of_the_day!$C:$C&amp;Results_of_the_day!$B:$B,Results_of_the_day!$D:$D,0,0)</f>
        <v>0</v>
      </c>
      <c r="M14" s="70" cm="1">
        <f t="array" ref="M14">_xlfn.XLOOKUP($D14&amp;M$1,Results_of_the_day!$C:$C&amp;Results_of_the_day!$B:$B,Results_of_the_day!$D:$D,0,0)</f>
        <v>0</v>
      </c>
      <c r="N14" s="70" cm="1">
        <f t="array" ref="N14">_xlfn.XLOOKUP($D14&amp;N$1,Results_of_the_day!$C:$C&amp;Results_of_the_day!$B:$B,Results_of_the_day!$D:$D,0,0)</f>
        <v>0</v>
      </c>
      <c r="O14" s="70" cm="1">
        <f t="array" ref="O14">_xlfn.XLOOKUP($D14&amp;O$1,Results_of_the_day!$C:$C&amp;Results_of_the_day!$B:$B,Results_of_the_day!$D:$D,0,0)</f>
        <v>0</v>
      </c>
      <c r="P14" s="70" cm="1">
        <f t="array" ref="P14">_xlfn.XLOOKUP($D14&amp;P$1,Results_of_the_day!$C:$C&amp;Results_of_the_day!$B:$B,Results_of_the_day!$D:$D,0,0)</f>
        <v>0</v>
      </c>
      <c r="Q14" s="70" cm="1">
        <f t="array" ref="Q14">_xlfn.XLOOKUP($D14&amp;Q$1,Results_of_the_day!$C:$C&amp;Results_of_the_day!$B:$B,Results_of_the_day!$D:$D,0,0)</f>
        <v>0</v>
      </c>
      <c r="R14" s="70" cm="1">
        <f t="array" ref="R14">_xlfn.XLOOKUP($D14&amp;R$1,Results_of_the_day!$C:$C&amp;Results_of_the_day!$B:$B,Results_of_the_day!$D:$D,0,0)</f>
        <v>0</v>
      </c>
      <c r="S14" s="70" cm="1">
        <f t="array" ref="S14">_xlfn.XLOOKUP($D14&amp;S$1,Results_of_the_day!$C:$C&amp;Results_of_the_day!$B:$B,Results_of_the_day!$D:$D,0,0)</f>
        <v>0</v>
      </c>
      <c r="Z14" s="5">
        <f t="shared" ca="1" si="4"/>
        <v>15</v>
      </c>
      <c r="AA14" s="2">
        <f t="shared" ca="1" si="5"/>
        <v>9999</v>
      </c>
      <c r="AB14">
        <f t="shared" si="23"/>
        <v>0</v>
      </c>
      <c r="AC14">
        <f t="shared" si="23"/>
        <v>0</v>
      </c>
      <c r="AD14">
        <f t="shared" si="24"/>
        <v>0</v>
      </c>
      <c r="AE14">
        <f t="shared" si="25"/>
        <v>0</v>
      </c>
      <c r="AF14">
        <f t="shared" si="26"/>
        <v>0</v>
      </c>
      <c r="AG14">
        <f t="shared" si="26"/>
        <v>0</v>
      </c>
      <c r="AH14">
        <f t="shared" si="29"/>
        <v>0</v>
      </c>
      <c r="AI14">
        <f t="shared" si="27"/>
        <v>0</v>
      </c>
      <c r="AJ14">
        <f t="shared" si="28"/>
        <v>0</v>
      </c>
      <c r="AK14">
        <f t="shared" si="7"/>
        <v>15</v>
      </c>
      <c r="AL14" s="1">
        <f t="shared" si="8"/>
        <v>15</v>
      </c>
      <c r="AM14" s="1">
        <f t="shared" si="9"/>
        <v>0</v>
      </c>
      <c r="AN14" s="1">
        <f t="shared" si="10"/>
        <v>0</v>
      </c>
      <c r="AO14" s="1">
        <f t="shared" si="11"/>
        <v>0</v>
      </c>
      <c r="AP14" s="1">
        <f t="shared" si="12"/>
        <v>0</v>
      </c>
      <c r="AQ14" s="1">
        <f t="shared" si="13"/>
        <v>0</v>
      </c>
      <c r="AR14" s="1">
        <f t="shared" si="14"/>
        <v>0</v>
      </c>
      <c r="AS14" s="1">
        <f t="shared" si="15"/>
        <v>0</v>
      </c>
      <c r="AT14" s="1">
        <f t="shared" si="16"/>
        <v>0</v>
      </c>
      <c r="AU14" s="1">
        <f t="shared" si="17"/>
        <v>0</v>
      </c>
      <c r="AV14" s="1">
        <f t="shared" si="18"/>
        <v>0</v>
      </c>
      <c r="AW14" s="1">
        <f t="shared" si="19"/>
        <v>0</v>
      </c>
      <c r="AX14" s="1">
        <f t="shared" si="20"/>
        <v>0</v>
      </c>
      <c r="AY14" s="1">
        <f t="shared" si="21"/>
        <v>0</v>
      </c>
      <c r="AZ14" s="1">
        <f t="shared" si="22"/>
        <v>0</v>
      </c>
    </row>
    <row r="15" spans="1:57" ht="21" customHeight="1" x14ac:dyDescent="0.35">
      <c r="A15" s="1">
        <v>11</v>
      </c>
      <c r="B15" s="64">
        <f t="shared" si="2"/>
        <v>1</v>
      </c>
      <c r="C15" s="59">
        <f t="shared" si="3"/>
        <v>29.12</v>
      </c>
      <c r="D15" s="9" t="s">
        <v>80</v>
      </c>
      <c r="E15" s="70" cm="1">
        <f t="array" ref="E15">_xlfn.XLOOKUP($D15&amp;E$1,Results_of_the_day!$C:$C&amp;Results_of_the_day!$B:$B,Results_of_the_day!$D:$D,0,0)</f>
        <v>29.12</v>
      </c>
      <c r="F15" s="70" cm="1">
        <f t="array" ref="F15">_xlfn.XLOOKUP($D15&amp;F$1,Results_of_the_day!$C:$C&amp;Results_of_the_day!$B:$B,Results_of_the_day!$D:$D,0,0)</f>
        <v>0</v>
      </c>
      <c r="G15" s="70" cm="1">
        <f t="array" ref="G15">_xlfn.XLOOKUP($D15&amp;G$1,Results_of_the_day!$C:$C&amp;Results_of_the_day!$B:$B,Results_of_the_day!$D:$D,0,0)</f>
        <v>0</v>
      </c>
      <c r="H15" s="70" cm="1">
        <f t="array" ref="H15">_xlfn.XLOOKUP($D15&amp;H$1,Results_of_the_day!$C:$C&amp;Results_of_the_day!$B:$B,Results_of_the_day!$D:$D,0,0)</f>
        <v>0</v>
      </c>
      <c r="I15" s="70" cm="1">
        <f t="array" ref="I15">_xlfn.XLOOKUP($D15&amp;I$1,Results_of_the_day!$C:$C&amp;Results_of_the_day!$B:$B,Results_of_the_day!$D:$D,0,0)</f>
        <v>0</v>
      </c>
      <c r="J15" s="70" cm="1">
        <f t="array" ref="J15">_xlfn.XLOOKUP($D15&amp;J$1,Results_of_the_day!$C:$C&amp;Results_of_the_day!$B:$B,Results_of_the_day!$D:$D,0,0)</f>
        <v>0</v>
      </c>
      <c r="K15" s="70" cm="1">
        <f t="array" ref="K15">_xlfn.XLOOKUP($D15&amp;K$1,Results_of_the_day!$C:$C&amp;Results_of_the_day!$B:$B,Results_of_the_day!$D:$D,0,0)</f>
        <v>0</v>
      </c>
      <c r="L15" s="70" cm="1">
        <f t="array" ref="L15">_xlfn.XLOOKUP($D15&amp;L$1,Results_of_the_day!$C:$C&amp;Results_of_the_day!$B:$B,Results_of_the_day!$D:$D,0,0)</f>
        <v>0</v>
      </c>
      <c r="M15" s="70" cm="1">
        <f t="array" ref="M15">_xlfn.XLOOKUP($D15&amp;M$1,Results_of_the_day!$C:$C&amp;Results_of_the_day!$B:$B,Results_of_the_day!$D:$D,0,0)</f>
        <v>0</v>
      </c>
      <c r="N15" s="70" cm="1">
        <f t="array" ref="N15">_xlfn.XLOOKUP($D15&amp;N$1,Results_of_the_day!$C:$C&amp;Results_of_the_day!$B:$B,Results_of_the_day!$D:$D,0,0)</f>
        <v>0</v>
      </c>
      <c r="O15" s="70" cm="1">
        <f t="array" ref="O15">_xlfn.XLOOKUP($D15&amp;O$1,Results_of_the_day!$C:$C&amp;Results_of_the_day!$B:$B,Results_of_the_day!$D:$D,0,0)</f>
        <v>0</v>
      </c>
      <c r="P15" s="70" cm="1">
        <f t="array" ref="P15">_xlfn.XLOOKUP($D15&amp;P$1,Results_of_the_day!$C:$C&amp;Results_of_the_day!$B:$B,Results_of_the_day!$D:$D,0,0)</f>
        <v>0</v>
      </c>
      <c r="Q15" s="70" cm="1">
        <f t="array" ref="Q15">_xlfn.XLOOKUP($D15&amp;Q$1,Results_of_the_day!$C:$C&amp;Results_of_the_day!$B:$B,Results_of_the_day!$D:$D,0,0)</f>
        <v>0</v>
      </c>
      <c r="R15" s="70" cm="1">
        <f t="array" ref="R15">_xlfn.XLOOKUP($D15&amp;R$1,Results_of_the_day!$C:$C&amp;Results_of_the_day!$B:$B,Results_of_the_day!$D:$D,0,0)</f>
        <v>0</v>
      </c>
      <c r="S15" s="70" cm="1">
        <f t="array" ref="S15">_xlfn.XLOOKUP($D15&amp;S$1,Results_of_the_day!$C:$C&amp;Results_of_the_day!$B:$B,Results_of_the_day!$D:$D,0,0)</f>
        <v>0</v>
      </c>
      <c r="Z15" s="5">
        <f t="shared" ca="1" si="4"/>
        <v>9</v>
      </c>
      <c r="AA15" s="2">
        <f t="shared" ca="1" si="5"/>
        <v>9</v>
      </c>
      <c r="AB15">
        <f t="shared" si="23"/>
        <v>0</v>
      </c>
      <c r="AC15">
        <f t="shared" si="23"/>
        <v>0</v>
      </c>
      <c r="AD15">
        <f t="shared" si="24"/>
        <v>0</v>
      </c>
      <c r="AE15">
        <f t="shared" si="25"/>
        <v>0</v>
      </c>
      <c r="AF15">
        <f t="shared" si="26"/>
        <v>0</v>
      </c>
      <c r="AG15">
        <f t="shared" si="26"/>
        <v>0</v>
      </c>
      <c r="AH15">
        <f t="shared" si="29"/>
        <v>0</v>
      </c>
      <c r="AI15">
        <f t="shared" si="27"/>
        <v>0</v>
      </c>
      <c r="AJ15">
        <f t="shared" si="28"/>
        <v>0</v>
      </c>
      <c r="AK15">
        <f t="shared" si="7"/>
        <v>9</v>
      </c>
      <c r="AL15" s="1">
        <f t="shared" si="8"/>
        <v>9</v>
      </c>
      <c r="AM15" s="1">
        <f t="shared" si="9"/>
        <v>0</v>
      </c>
      <c r="AN15" s="1">
        <f t="shared" si="10"/>
        <v>0</v>
      </c>
      <c r="AO15" s="1">
        <f t="shared" si="11"/>
        <v>0</v>
      </c>
      <c r="AP15" s="1">
        <f t="shared" si="12"/>
        <v>0</v>
      </c>
      <c r="AQ15" s="1">
        <f t="shared" si="13"/>
        <v>0</v>
      </c>
      <c r="AR15" s="1">
        <f t="shared" si="14"/>
        <v>0</v>
      </c>
      <c r="AS15" s="1">
        <f t="shared" si="15"/>
        <v>0</v>
      </c>
      <c r="AT15" s="1">
        <f t="shared" si="16"/>
        <v>0</v>
      </c>
      <c r="AU15" s="1">
        <f t="shared" si="17"/>
        <v>0</v>
      </c>
      <c r="AV15" s="1">
        <f t="shared" si="18"/>
        <v>0</v>
      </c>
      <c r="AW15" s="1">
        <f t="shared" si="19"/>
        <v>0</v>
      </c>
      <c r="AX15" s="1">
        <f t="shared" si="20"/>
        <v>0</v>
      </c>
      <c r="AY15" s="1">
        <f t="shared" si="21"/>
        <v>0</v>
      </c>
      <c r="AZ15" s="1">
        <f t="shared" si="22"/>
        <v>0</v>
      </c>
    </row>
    <row r="16" spans="1:57" ht="21" customHeight="1" x14ac:dyDescent="0.35">
      <c r="A16" s="1">
        <v>12</v>
      </c>
      <c r="B16" s="64">
        <f t="shared" si="2"/>
        <v>1</v>
      </c>
      <c r="C16" s="59">
        <f t="shared" si="3"/>
        <v>29.7</v>
      </c>
      <c r="D16" s="9" t="s">
        <v>40</v>
      </c>
      <c r="E16" s="70" cm="1">
        <f t="array" ref="E16">_xlfn.XLOOKUP($D16&amp;E$1,Results_of_the_day!$C:$C&amp;Results_of_the_day!$B:$B,Results_of_the_day!$D:$D,0,0)</f>
        <v>29.7</v>
      </c>
      <c r="F16" s="70" cm="1">
        <f t="array" ref="F16">_xlfn.XLOOKUP($D16&amp;F$1,Results_of_the_day!$C:$C&amp;Results_of_the_day!$B:$B,Results_of_the_day!$D:$D,0,0)</f>
        <v>0</v>
      </c>
      <c r="G16" s="70" cm="1">
        <f t="array" ref="G16">_xlfn.XLOOKUP($D16&amp;G$1,Results_of_the_day!$C:$C&amp;Results_of_the_day!$B:$B,Results_of_the_day!$D:$D,0,0)</f>
        <v>0</v>
      </c>
      <c r="H16" s="70" cm="1">
        <f t="array" ref="H16">_xlfn.XLOOKUP($D16&amp;H$1,Results_of_the_day!$C:$C&amp;Results_of_the_day!$B:$B,Results_of_the_day!$D:$D,0,0)</f>
        <v>0</v>
      </c>
      <c r="I16" s="70" cm="1">
        <f t="array" ref="I16">_xlfn.XLOOKUP($D16&amp;I$1,Results_of_the_day!$C:$C&amp;Results_of_the_day!$B:$B,Results_of_the_day!$D:$D,0,0)</f>
        <v>0</v>
      </c>
      <c r="J16" s="70" cm="1">
        <f t="array" ref="J16">_xlfn.XLOOKUP($D16&amp;J$1,Results_of_the_day!$C:$C&amp;Results_of_the_day!$B:$B,Results_of_the_day!$D:$D,0,0)</f>
        <v>0</v>
      </c>
      <c r="K16" s="70" cm="1">
        <f t="array" ref="K16">_xlfn.XLOOKUP($D16&amp;K$1,Results_of_the_day!$C:$C&amp;Results_of_the_day!$B:$B,Results_of_the_day!$D:$D,0,0)</f>
        <v>0</v>
      </c>
      <c r="L16" s="70" cm="1">
        <f t="array" ref="L16">_xlfn.XLOOKUP($D16&amp;L$1,Results_of_the_day!$C:$C&amp;Results_of_the_day!$B:$B,Results_of_the_day!$D:$D,0,0)</f>
        <v>0</v>
      </c>
      <c r="M16" s="70" cm="1">
        <f t="array" ref="M16">_xlfn.XLOOKUP($D16&amp;M$1,Results_of_the_day!$C:$C&amp;Results_of_the_day!$B:$B,Results_of_the_day!$D:$D,0,0)</f>
        <v>0</v>
      </c>
      <c r="N16" s="70" cm="1">
        <f t="array" ref="N16">_xlfn.XLOOKUP($D16&amp;N$1,Results_of_the_day!$C:$C&amp;Results_of_the_day!$B:$B,Results_of_the_day!$D:$D,0,0)</f>
        <v>0</v>
      </c>
      <c r="O16" s="70" cm="1">
        <f t="array" ref="O16">_xlfn.XLOOKUP($D16&amp;O$1,Results_of_the_day!$C:$C&amp;Results_of_the_day!$B:$B,Results_of_the_day!$D:$D,0,0)</f>
        <v>0</v>
      </c>
      <c r="P16" s="70" cm="1">
        <f t="array" ref="P16">_xlfn.XLOOKUP($D16&amp;P$1,Results_of_the_day!$C:$C&amp;Results_of_the_day!$B:$B,Results_of_the_day!$D:$D,0,0)</f>
        <v>0</v>
      </c>
      <c r="Q16" s="70" cm="1">
        <f t="array" ref="Q16">_xlfn.XLOOKUP($D16&amp;Q$1,Results_of_the_day!$C:$C&amp;Results_of_the_day!$B:$B,Results_of_the_day!$D:$D,0,0)</f>
        <v>0</v>
      </c>
      <c r="R16" s="70" cm="1">
        <f t="array" ref="R16">_xlfn.XLOOKUP($D16&amp;R$1,Results_of_the_day!$C:$C&amp;Results_of_the_day!$B:$B,Results_of_the_day!$D:$D,0,0)</f>
        <v>0</v>
      </c>
      <c r="S16" s="70" cm="1">
        <f t="array" ref="S16">_xlfn.XLOOKUP($D16&amp;S$1,Results_of_the_day!$C:$C&amp;Results_of_the_day!$B:$B,Results_of_the_day!$D:$D,0,0)</f>
        <v>0</v>
      </c>
      <c r="Z16" s="5">
        <f t="shared" ca="1" si="4"/>
        <v>7</v>
      </c>
      <c r="AA16" s="2">
        <f t="shared" ca="1" si="5"/>
        <v>7</v>
      </c>
      <c r="AB16">
        <f t="shared" si="23"/>
        <v>0</v>
      </c>
      <c r="AC16">
        <f t="shared" si="23"/>
        <v>0</v>
      </c>
      <c r="AD16">
        <f t="shared" si="24"/>
        <v>0</v>
      </c>
      <c r="AE16">
        <f t="shared" si="25"/>
        <v>0</v>
      </c>
      <c r="AF16">
        <f t="shared" si="26"/>
        <v>0</v>
      </c>
      <c r="AG16">
        <f t="shared" si="26"/>
        <v>0</v>
      </c>
      <c r="AH16">
        <f t="shared" si="29"/>
        <v>0</v>
      </c>
      <c r="AI16">
        <f t="shared" si="27"/>
        <v>0</v>
      </c>
      <c r="AJ16">
        <f t="shared" si="28"/>
        <v>0</v>
      </c>
      <c r="AK16">
        <f t="shared" si="7"/>
        <v>7</v>
      </c>
      <c r="AL16" s="1">
        <f t="shared" si="8"/>
        <v>7</v>
      </c>
      <c r="AM16" s="1">
        <f t="shared" si="9"/>
        <v>0</v>
      </c>
      <c r="AN16" s="1">
        <f t="shared" si="10"/>
        <v>0</v>
      </c>
      <c r="AO16" s="1">
        <f t="shared" si="11"/>
        <v>0</v>
      </c>
      <c r="AP16" s="1">
        <f t="shared" si="12"/>
        <v>0</v>
      </c>
      <c r="AQ16" s="1">
        <f t="shared" si="13"/>
        <v>0</v>
      </c>
      <c r="AR16" s="1">
        <f t="shared" si="14"/>
        <v>0</v>
      </c>
      <c r="AS16" s="1">
        <f t="shared" si="15"/>
        <v>0</v>
      </c>
      <c r="AT16" s="1">
        <f t="shared" si="16"/>
        <v>0</v>
      </c>
      <c r="AU16" s="1">
        <f t="shared" si="17"/>
        <v>0</v>
      </c>
      <c r="AV16" s="1">
        <f t="shared" si="18"/>
        <v>0</v>
      </c>
      <c r="AW16" s="1">
        <f t="shared" si="19"/>
        <v>0</v>
      </c>
      <c r="AX16" s="1">
        <f t="shared" si="20"/>
        <v>0</v>
      </c>
      <c r="AY16" s="1">
        <f t="shared" si="21"/>
        <v>0</v>
      </c>
      <c r="AZ16" s="1">
        <f t="shared" si="22"/>
        <v>0</v>
      </c>
    </row>
    <row r="17" spans="1:52" ht="21" customHeight="1" x14ac:dyDescent="0.35">
      <c r="A17" s="1">
        <v>13</v>
      </c>
      <c r="B17" s="64">
        <f t="shared" si="2"/>
        <v>0</v>
      </c>
      <c r="C17" s="59">
        <f t="shared" si="3"/>
        <v>0</v>
      </c>
      <c r="D17" s="9" t="s">
        <v>52</v>
      </c>
      <c r="E17" s="70" cm="1">
        <f t="array" ref="E17">_xlfn.XLOOKUP($D17&amp;E$1,Results_of_the_day!$C:$C&amp;Results_of_the_day!$B:$B,Results_of_the_day!$D:$D,0,0)</f>
        <v>0</v>
      </c>
      <c r="F17" s="70" cm="1">
        <f t="array" ref="F17">_xlfn.XLOOKUP($D17&amp;F$1,Results_of_the_day!$C:$C&amp;Results_of_the_day!$B:$B,Results_of_the_day!$D:$D,0,0)</f>
        <v>0</v>
      </c>
      <c r="G17" s="70" cm="1">
        <f t="array" ref="G17">_xlfn.XLOOKUP($D17&amp;G$1,Results_of_the_day!$C:$C&amp;Results_of_the_day!$B:$B,Results_of_the_day!$D:$D,0,0)</f>
        <v>0</v>
      </c>
      <c r="H17" s="70" cm="1">
        <f t="array" ref="H17">_xlfn.XLOOKUP($D17&amp;H$1,Results_of_the_day!$C:$C&amp;Results_of_the_day!$B:$B,Results_of_the_day!$D:$D,0,0)</f>
        <v>0</v>
      </c>
      <c r="I17" s="70" cm="1">
        <f t="array" ref="I17">_xlfn.XLOOKUP($D17&amp;I$1,Results_of_the_day!$C:$C&amp;Results_of_the_day!$B:$B,Results_of_the_day!$D:$D,0,0)</f>
        <v>0</v>
      </c>
      <c r="J17" s="70" cm="1">
        <f t="array" ref="J17">_xlfn.XLOOKUP($D17&amp;J$1,Results_of_the_day!$C:$C&amp;Results_of_the_day!$B:$B,Results_of_the_day!$D:$D,0,0)</f>
        <v>0</v>
      </c>
      <c r="K17" s="70" cm="1">
        <f t="array" ref="K17">_xlfn.XLOOKUP($D17&amp;K$1,Results_of_the_day!$C:$C&amp;Results_of_the_day!$B:$B,Results_of_the_day!$D:$D,0,0)</f>
        <v>0</v>
      </c>
      <c r="L17" s="70" cm="1">
        <f t="array" ref="L17">_xlfn.XLOOKUP($D17&amp;L$1,Results_of_the_day!$C:$C&amp;Results_of_the_day!$B:$B,Results_of_the_day!$D:$D,0,0)</f>
        <v>0</v>
      </c>
      <c r="M17" s="70" cm="1">
        <f t="array" ref="M17">_xlfn.XLOOKUP($D17&amp;M$1,Results_of_the_day!$C:$C&amp;Results_of_the_day!$B:$B,Results_of_the_day!$D:$D,0,0)</f>
        <v>0</v>
      </c>
      <c r="N17" s="70" cm="1">
        <f t="array" ref="N17">_xlfn.XLOOKUP($D17&amp;N$1,Results_of_the_day!$C:$C&amp;Results_of_the_day!$B:$B,Results_of_the_day!$D:$D,0,0)</f>
        <v>0</v>
      </c>
      <c r="O17" s="70" cm="1">
        <f t="array" ref="O17">_xlfn.XLOOKUP($D17&amp;O$1,Results_of_the_day!$C:$C&amp;Results_of_the_day!$B:$B,Results_of_the_day!$D:$D,0,0)</f>
        <v>0</v>
      </c>
      <c r="P17" s="70" cm="1">
        <f t="array" ref="P17">_xlfn.XLOOKUP($D17&amp;P$1,Results_of_the_day!$C:$C&amp;Results_of_the_day!$B:$B,Results_of_the_day!$D:$D,0,0)</f>
        <v>0</v>
      </c>
      <c r="Q17" s="70" cm="1">
        <f t="array" ref="Q17">_xlfn.XLOOKUP($D17&amp;Q$1,Results_of_the_day!$C:$C&amp;Results_of_the_day!$B:$B,Results_of_the_day!$D:$D,0,0)</f>
        <v>0</v>
      </c>
      <c r="R17" s="70" cm="1">
        <f t="array" ref="R17">_xlfn.XLOOKUP($D17&amp;R$1,Results_of_the_day!$C:$C&amp;Results_of_the_day!$B:$B,Results_of_the_day!$D:$D,0,0)</f>
        <v>0</v>
      </c>
      <c r="S17" s="70" cm="1">
        <f t="array" ref="S17">_xlfn.XLOOKUP($D17&amp;S$1,Results_of_the_day!$C:$C&amp;Results_of_the_day!$B:$B,Results_of_the_day!$D:$D,0,0)</f>
        <v>0</v>
      </c>
      <c r="Z17" s="5">
        <f t="shared" ca="1" si="4"/>
        <v>15</v>
      </c>
      <c r="AA17" s="2">
        <f t="shared" ca="1" si="5"/>
        <v>9999</v>
      </c>
      <c r="AB17">
        <f t="shared" si="23"/>
        <v>0</v>
      </c>
      <c r="AC17">
        <f t="shared" si="23"/>
        <v>0</v>
      </c>
      <c r="AD17">
        <f t="shared" si="24"/>
        <v>0</v>
      </c>
      <c r="AE17">
        <f t="shared" si="25"/>
        <v>0</v>
      </c>
      <c r="AF17">
        <f t="shared" si="26"/>
        <v>0</v>
      </c>
      <c r="AG17">
        <f t="shared" si="26"/>
        <v>0</v>
      </c>
      <c r="AH17">
        <f t="shared" si="29"/>
        <v>0</v>
      </c>
      <c r="AI17">
        <f t="shared" si="27"/>
        <v>0</v>
      </c>
      <c r="AJ17">
        <f t="shared" si="28"/>
        <v>0</v>
      </c>
      <c r="AK17">
        <f t="shared" si="7"/>
        <v>15</v>
      </c>
      <c r="AL17" s="1">
        <f t="shared" si="8"/>
        <v>15</v>
      </c>
      <c r="AM17" s="1">
        <f t="shared" si="9"/>
        <v>0</v>
      </c>
      <c r="AN17" s="1">
        <f t="shared" si="10"/>
        <v>0</v>
      </c>
      <c r="AO17" s="1">
        <f t="shared" si="11"/>
        <v>0</v>
      </c>
      <c r="AP17" s="1">
        <f t="shared" si="12"/>
        <v>0</v>
      </c>
      <c r="AQ17" s="1">
        <f t="shared" si="13"/>
        <v>0</v>
      </c>
      <c r="AR17" s="1">
        <f t="shared" si="14"/>
        <v>0</v>
      </c>
      <c r="AS17" s="1">
        <f t="shared" si="15"/>
        <v>0</v>
      </c>
      <c r="AT17" s="1">
        <f t="shared" si="16"/>
        <v>0</v>
      </c>
      <c r="AU17" s="1">
        <f t="shared" si="17"/>
        <v>0</v>
      </c>
      <c r="AV17" s="1">
        <f t="shared" si="18"/>
        <v>0</v>
      </c>
      <c r="AW17" s="1">
        <f t="shared" si="19"/>
        <v>0</v>
      </c>
      <c r="AX17" s="1">
        <f t="shared" si="20"/>
        <v>0</v>
      </c>
      <c r="AY17" s="1">
        <f t="shared" si="21"/>
        <v>0</v>
      </c>
      <c r="AZ17" s="1">
        <f t="shared" si="22"/>
        <v>0</v>
      </c>
    </row>
    <row r="18" spans="1:52" ht="21" customHeight="1" x14ac:dyDescent="0.35">
      <c r="A18" s="1">
        <v>14</v>
      </c>
      <c r="B18" s="64">
        <f t="shared" si="2"/>
        <v>0</v>
      </c>
      <c r="C18" s="59">
        <f t="shared" si="3"/>
        <v>0</v>
      </c>
      <c r="D18" s="9" t="s">
        <v>63</v>
      </c>
      <c r="E18" s="70" cm="1">
        <f t="array" ref="E18">_xlfn.XLOOKUP($D18&amp;E$1,Results_of_the_day!$C:$C&amp;Results_of_the_day!$B:$B,Results_of_the_day!$D:$D,0,0)</f>
        <v>0</v>
      </c>
      <c r="F18" s="70" cm="1">
        <f t="array" ref="F18">_xlfn.XLOOKUP($D18&amp;F$1,Results_of_the_day!$C:$C&amp;Results_of_the_day!$B:$B,Results_of_the_day!$D:$D,0,0)</f>
        <v>0</v>
      </c>
      <c r="G18" s="70" cm="1">
        <f t="array" ref="G18">_xlfn.XLOOKUP($D18&amp;G$1,Results_of_the_day!$C:$C&amp;Results_of_the_day!$B:$B,Results_of_the_day!$D:$D,0,0)</f>
        <v>0</v>
      </c>
      <c r="H18" s="70" cm="1">
        <f t="array" ref="H18">_xlfn.XLOOKUP($D18&amp;H$1,Results_of_the_day!$C:$C&amp;Results_of_the_day!$B:$B,Results_of_the_day!$D:$D,0,0)</f>
        <v>0</v>
      </c>
      <c r="I18" s="70" cm="1">
        <f t="array" ref="I18">_xlfn.XLOOKUP($D18&amp;I$1,Results_of_the_day!$C:$C&amp;Results_of_the_day!$B:$B,Results_of_the_day!$D:$D,0,0)</f>
        <v>0</v>
      </c>
      <c r="J18" s="70" cm="1">
        <f t="array" ref="J18">_xlfn.XLOOKUP($D18&amp;J$1,Results_of_the_day!$C:$C&amp;Results_of_the_day!$B:$B,Results_of_the_day!$D:$D,0,0)</f>
        <v>0</v>
      </c>
      <c r="K18" s="70" cm="1">
        <f t="array" ref="K18">_xlfn.XLOOKUP($D18&amp;K$1,Results_of_the_day!$C:$C&amp;Results_of_the_day!$B:$B,Results_of_the_day!$D:$D,0,0)</f>
        <v>0</v>
      </c>
      <c r="L18" s="70" cm="1">
        <f t="array" ref="L18">_xlfn.XLOOKUP($D18&amp;L$1,Results_of_the_day!$C:$C&amp;Results_of_the_day!$B:$B,Results_of_the_day!$D:$D,0,0)</f>
        <v>0</v>
      </c>
      <c r="M18" s="70" cm="1">
        <f t="array" ref="M18">_xlfn.XLOOKUP($D18&amp;M$1,Results_of_the_day!$C:$C&amp;Results_of_the_day!$B:$B,Results_of_the_day!$D:$D,0,0)</f>
        <v>0</v>
      </c>
      <c r="N18" s="70" cm="1">
        <f t="array" ref="N18">_xlfn.XLOOKUP($D18&amp;N$1,Results_of_the_day!$C:$C&amp;Results_of_the_day!$B:$B,Results_of_the_day!$D:$D,0,0)</f>
        <v>0</v>
      </c>
      <c r="O18" s="70" cm="1">
        <f t="array" ref="O18">_xlfn.XLOOKUP($D18&amp;O$1,Results_of_the_day!$C:$C&amp;Results_of_the_day!$B:$B,Results_of_the_day!$D:$D,0,0)</f>
        <v>0</v>
      </c>
      <c r="P18" s="70" cm="1">
        <f t="array" ref="P18">_xlfn.XLOOKUP($D18&amp;P$1,Results_of_the_day!$C:$C&amp;Results_of_the_day!$B:$B,Results_of_the_day!$D:$D,0,0)</f>
        <v>0</v>
      </c>
      <c r="Q18" s="70" cm="1">
        <f t="array" ref="Q18">_xlfn.XLOOKUP($D18&amp;Q$1,Results_of_the_day!$C:$C&amp;Results_of_the_day!$B:$B,Results_of_the_day!$D:$D,0,0)</f>
        <v>0</v>
      </c>
      <c r="R18" s="70" cm="1">
        <f t="array" ref="R18">_xlfn.XLOOKUP($D18&amp;R$1,Results_of_the_day!$C:$C&amp;Results_of_the_day!$B:$B,Results_of_the_day!$D:$D,0,0)</f>
        <v>0</v>
      </c>
      <c r="S18" s="70" cm="1">
        <f t="array" ref="S18">_xlfn.XLOOKUP($D18&amp;S$1,Results_of_the_day!$C:$C&amp;Results_of_the_day!$B:$B,Results_of_the_day!$D:$D,0,0)</f>
        <v>0</v>
      </c>
      <c r="Z18" s="5">
        <f t="shared" ca="1" si="4"/>
        <v>15</v>
      </c>
      <c r="AA18" s="2">
        <f t="shared" ca="1" si="5"/>
        <v>9999</v>
      </c>
      <c r="AB18">
        <f t="shared" si="23"/>
        <v>0</v>
      </c>
      <c r="AC18">
        <f t="shared" si="23"/>
        <v>0</v>
      </c>
      <c r="AD18">
        <f t="shared" si="24"/>
        <v>0</v>
      </c>
      <c r="AE18">
        <f t="shared" si="25"/>
        <v>0</v>
      </c>
      <c r="AF18">
        <f t="shared" si="26"/>
        <v>0</v>
      </c>
      <c r="AG18">
        <f t="shared" si="26"/>
        <v>0</v>
      </c>
      <c r="AH18">
        <f t="shared" si="29"/>
        <v>0</v>
      </c>
      <c r="AI18">
        <f t="shared" si="27"/>
        <v>0</v>
      </c>
      <c r="AJ18">
        <f t="shared" si="28"/>
        <v>0</v>
      </c>
      <c r="AK18">
        <f t="shared" si="7"/>
        <v>15</v>
      </c>
      <c r="AL18" s="1">
        <f t="shared" si="8"/>
        <v>15</v>
      </c>
      <c r="AM18" s="1">
        <f t="shared" si="9"/>
        <v>0</v>
      </c>
      <c r="AN18" s="1">
        <f t="shared" si="10"/>
        <v>0</v>
      </c>
      <c r="AO18" s="1">
        <f t="shared" si="11"/>
        <v>0</v>
      </c>
      <c r="AP18" s="1">
        <f t="shared" si="12"/>
        <v>0</v>
      </c>
      <c r="AQ18" s="1">
        <f t="shared" si="13"/>
        <v>0</v>
      </c>
      <c r="AR18" s="1">
        <f t="shared" si="14"/>
        <v>0</v>
      </c>
      <c r="AS18" s="1">
        <f t="shared" si="15"/>
        <v>0</v>
      </c>
      <c r="AT18" s="1">
        <f t="shared" si="16"/>
        <v>0</v>
      </c>
      <c r="AU18" s="1">
        <f t="shared" si="17"/>
        <v>0</v>
      </c>
      <c r="AV18" s="1">
        <f t="shared" si="18"/>
        <v>0</v>
      </c>
      <c r="AW18" s="1">
        <f t="shared" si="19"/>
        <v>0</v>
      </c>
      <c r="AX18" s="1">
        <f t="shared" si="20"/>
        <v>0</v>
      </c>
      <c r="AY18" s="1">
        <f t="shared" si="21"/>
        <v>0</v>
      </c>
      <c r="AZ18" s="1">
        <f t="shared" si="22"/>
        <v>0</v>
      </c>
    </row>
    <row r="19" spans="1:52" ht="21" customHeight="1" x14ac:dyDescent="0.35">
      <c r="A19" s="1">
        <v>15</v>
      </c>
      <c r="B19" s="64">
        <f t="shared" si="2"/>
        <v>1</v>
      </c>
      <c r="C19" s="59">
        <f t="shared" si="3"/>
        <v>31.01</v>
      </c>
      <c r="D19" s="9" t="s">
        <v>36</v>
      </c>
      <c r="E19" s="70" cm="1">
        <f t="array" ref="E19">_xlfn.XLOOKUP($D19&amp;E$1,Results_of_the_day!$C:$C&amp;Results_of_the_day!$B:$B,Results_of_the_day!$D:$D,0,0)</f>
        <v>31.01</v>
      </c>
      <c r="F19" s="70" cm="1">
        <f t="array" ref="F19">_xlfn.XLOOKUP($D19&amp;F$1,Results_of_the_day!$C:$C&amp;Results_of_the_day!$B:$B,Results_of_the_day!$D:$D,0,0)</f>
        <v>0</v>
      </c>
      <c r="G19" s="70" cm="1">
        <f t="array" ref="G19">_xlfn.XLOOKUP($D19&amp;G$1,Results_of_the_day!$C:$C&amp;Results_of_the_day!$B:$B,Results_of_the_day!$D:$D,0,0)</f>
        <v>0</v>
      </c>
      <c r="H19" s="70" cm="1">
        <f t="array" ref="H19">_xlfn.XLOOKUP($D19&amp;H$1,Results_of_the_day!$C:$C&amp;Results_of_the_day!$B:$B,Results_of_the_day!$D:$D,0,0)</f>
        <v>0</v>
      </c>
      <c r="I19" s="70" cm="1">
        <f t="array" ref="I19">_xlfn.XLOOKUP($D19&amp;I$1,Results_of_the_day!$C:$C&amp;Results_of_the_day!$B:$B,Results_of_the_day!$D:$D,0,0)</f>
        <v>0</v>
      </c>
      <c r="J19" s="70" cm="1">
        <f t="array" ref="J19">_xlfn.XLOOKUP($D19&amp;J$1,Results_of_the_day!$C:$C&amp;Results_of_the_day!$B:$B,Results_of_the_day!$D:$D,0,0)</f>
        <v>0</v>
      </c>
      <c r="K19" s="70" cm="1">
        <f t="array" ref="K19">_xlfn.XLOOKUP($D19&amp;K$1,Results_of_the_day!$C:$C&amp;Results_of_the_day!$B:$B,Results_of_the_day!$D:$D,0,0)</f>
        <v>0</v>
      </c>
      <c r="L19" s="70" cm="1">
        <f t="array" ref="L19">_xlfn.XLOOKUP($D19&amp;L$1,Results_of_the_day!$C:$C&amp;Results_of_the_day!$B:$B,Results_of_the_day!$D:$D,0,0)</f>
        <v>0</v>
      </c>
      <c r="M19" s="70" cm="1">
        <f t="array" ref="M19">_xlfn.XLOOKUP($D19&amp;M$1,Results_of_the_day!$C:$C&amp;Results_of_the_day!$B:$B,Results_of_the_day!$D:$D,0,0)</f>
        <v>0</v>
      </c>
      <c r="N19" s="70" cm="1">
        <f t="array" ref="N19">_xlfn.XLOOKUP($D19&amp;N$1,Results_of_the_day!$C:$C&amp;Results_of_the_day!$B:$B,Results_of_the_day!$D:$D,0,0)</f>
        <v>0</v>
      </c>
      <c r="O19" s="70" cm="1">
        <f t="array" ref="O19">_xlfn.XLOOKUP($D19&amp;O$1,Results_of_the_day!$C:$C&amp;Results_of_the_day!$B:$B,Results_of_the_day!$D:$D,0,0)</f>
        <v>0</v>
      </c>
      <c r="P19" s="70" cm="1">
        <f t="array" ref="P19">_xlfn.XLOOKUP($D19&amp;P$1,Results_of_the_day!$C:$C&amp;Results_of_the_day!$B:$B,Results_of_the_day!$D:$D,0,0)</f>
        <v>0</v>
      </c>
      <c r="Q19" s="70" cm="1">
        <f t="array" ref="Q19">_xlfn.XLOOKUP($D19&amp;Q$1,Results_of_the_day!$C:$C&amp;Results_of_the_day!$B:$B,Results_of_the_day!$D:$D,0,0)</f>
        <v>0</v>
      </c>
      <c r="R19" s="70" cm="1">
        <f t="array" ref="R19">_xlfn.XLOOKUP($D19&amp;R$1,Results_of_the_day!$C:$C&amp;Results_of_the_day!$B:$B,Results_of_the_day!$D:$D,0,0)</f>
        <v>0</v>
      </c>
      <c r="S19" s="70" cm="1">
        <f t="array" ref="S19">_xlfn.XLOOKUP($D19&amp;S$1,Results_of_the_day!$C:$C&amp;Results_of_the_day!$B:$B,Results_of_the_day!$D:$D,0,0)</f>
        <v>0</v>
      </c>
      <c r="Z19" s="5">
        <f t="shared" ca="1" si="4"/>
        <v>4</v>
      </c>
      <c r="AA19" s="2">
        <f t="shared" ca="1" si="5"/>
        <v>4</v>
      </c>
      <c r="AB19">
        <f t="shared" si="23"/>
        <v>0</v>
      </c>
      <c r="AC19">
        <f t="shared" si="23"/>
        <v>0</v>
      </c>
      <c r="AD19">
        <f t="shared" si="24"/>
        <v>0</v>
      </c>
      <c r="AE19">
        <f t="shared" si="25"/>
        <v>0</v>
      </c>
      <c r="AF19">
        <f t="shared" si="26"/>
        <v>0</v>
      </c>
      <c r="AG19">
        <f t="shared" si="26"/>
        <v>0</v>
      </c>
      <c r="AH19">
        <f t="shared" si="29"/>
        <v>0</v>
      </c>
      <c r="AI19">
        <f t="shared" si="27"/>
        <v>0</v>
      </c>
      <c r="AJ19">
        <f t="shared" si="28"/>
        <v>0</v>
      </c>
      <c r="AK19">
        <f t="shared" si="7"/>
        <v>4</v>
      </c>
      <c r="AL19" s="1">
        <f t="shared" si="8"/>
        <v>4</v>
      </c>
      <c r="AM19" s="1">
        <f t="shared" si="9"/>
        <v>0</v>
      </c>
      <c r="AN19" s="1">
        <f t="shared" si="10"/>
        <v>0</v>
      </c>
      <c r="AO19" s="1">
        <f t="shared" si="11"/>
        <v>0</v>
      </c>
      <c r="AP19" s="1">
        <f t="shared" si="12"/>
        <v>0</v>
      </c>
      <c r="AQ19" s="1">
        <f t="shared" si="13"/>
        <v>0</v>
      </c>
      <c r="AR19" s="1">
        <f t="shared" si="14"/>
        <v>0</v>
      </c>
      <c r="AS19" s="1">
        <f t="shared" si="15"/>
        <v>0</v>
      </c>
      <c r="AT19" s="1">
        <f t="shared" si="16"/>
        <v>0</v>
      </c>
      <c r="AU19" s="1">
        <f t="shared" si="17"/>
        <v>0</v>
      </c>
      <c r="AV19" s="1">
        <f t="shared" si="18"/>
        <v>0</v>
      </c>
      <c r="AW19" s="1">
        <f t="shared" si="19"/>
        <v>0</v>
      </c>
      <c r="AX19" s="1">
        <f t="shared" si="20"/>
        <v>0</v>
      </c>
      <c r="AY19" s="1">
        <f t="shared" si="21"/>
        <v>0</v>
      </c>
      <c r="AZ19" s="1">
        <f t="shared" si="22"/>
        <v>0</v>
      </c>
    </row>
    <row r="20" spans="1:52" ht="21" customHeight="1" x14ac:dyDescent="0.35">
      <c r="A20" s="1">
        <v>16</v>
      </c>
      <c r="B20" s="64">
        <f t="shared" si="2"/>
        <v>1</v>
      </c>
      <c r="C20" s="59">
        <f t="shared" si="3"/>
        <v>31.2</v>
      </c>
      <c r="D20" s="9" t="s">
        <v>35</v>
      </c>
      <c r="E20" s="70" cm="1">
        <f t="array" ref="E20">_xlfn.XLOOKUP($D20&amp;E$1,Results_of_the_day!$C:$C&amp;Results_of_the_day!$B:$B,Results_of_the_day!$D:$D,0,0)</f>
        <v>31.2</v>
      </c>
      <c r="F20" s="70" cm="1">
        <f t="array" ref="F20">_xlfn.XLOOKUP($D20&amp;F$1,Results_of_the_day!$C:$C&amp;Results_of_the_day!$B:$B,Results_of_the_day!$D:$D,0,0)</f>
        <v>0</v>
      </c>
      <c r="G20" s="70" cm="1">
        <f t="array" ref="G20">_xlfn.XLOOKUP($D20&amp;G$1,Results_of_the_day!$C:$C&amp;Results_of_the_day!$B:$B,Results_of_the_day!$D:$D,0,0)</f>
        <v>0</v>
      </c>
      <c r="H20" s="70" cm="1">
        <f t="array" ref="H20">_xlfn.XLOOKUP($D20&amp;H$1,Results_of_the_day!$C:$C&amp;Results_of_the_day!$B:$B,Results_of_the_day!$D:$D,0,0)</f>
        <v>0</v>
      </c>
      <c r="I20" s="70" cm="1">
        <f t="array" ref="I20">_xlfn.XLOOKUP($D20&amp;I$1,Results_of_the_day!$C:$C&amp;Results_of_the_day!$B:$B,Results_of_the_day!$D:$D,0,0)</f>
        <v>0</v>
      </c>
      <c r="J20" s="70" cm="1">
        <f t="array" ref="J20">_xlfn.XLOOKUP($D20&amp;J$1,Results_of_the_day!$C:$C&amp;Results_of_the_day!$B:$B,Results_of_the_day!$D:$D,0,0)</f>
        <v>0</v>
      </c>
      <c r="K20" s="70" cm="1">
        <f t="array" ref="K20">_xlfn.XLOOKUP($D20&amp;K$1,Results_of_the_day!$C:$C&amp;Results_of_the_day!$B:$B,Results_of_the_day!$D:$D,0,0)</f>
        <v>0</v>
      </c>
      <c r="L20" s="70" cm="1">
        <f t="array" ref="L20">_xlfn.XLOOKUP($D20&amp;L$1,Results_of_the_day!$C:$C&amp;Results_of_the_day!$B:$B,Results_of_the_day!$D:$D,0,0)</f>
        <v>0</v>
      </c>
      <c r="M20" s="70" cm="1">
        <f t="array" ref="M20">_xlfn.XLOOKUP($D20&amp;M$1,Results_of_the_day!$C:$C&amp;Results_of_the_day!$B:$B,Results_of_the_day!$D:$D,0,0)</f>
        <v>0</v>
      </c>
      <c r="N20" s="70" cm="1">
        <f t="array" ref="N20">_xlfn.XLOOKUP($D20&amp;N$1,Results_of_the_day!$C:$C&amp;Results_of_the_day!$B:$B,Results_of_the_day!$D:$D,0,0)</f>
        <v>0</v>
      </c>
      <c r="O20" s="70" cm="1">
        <f t="array" ref="O20">_xlfn.XLOOKUP($D20&amp;O$1,Results_of_the_day!$C:$C&amp;Results_of_the_day!$B:$B,Results_of_the_day!$D:$D,0,0)</f>
        <v>0</v>
      </c>
      <c r="P20" s="70" cm="1">
        <f t="array" ref="P20">_xlfn.XLOOKUP($D20&amp;P$1,Results_of_the_day!$C:$C&amp;Results_of_the_day!$B:$B,Results_of_the_day!$D:$D,0,0)</f>
        <v>0</v>
      </c>
      <c r="Q20" s="70" cm="1">
        <f t="array" ref="Q20">_xlfn.XLOOKUP($D20&amp;Q$1,Results_of_the_day!$C:$C&amp;Results_of_the_day!$B:$B,Results_of_the_day!$D:$D,0,0)</f>
        <v>0</v>
      </c>
      <c r="R20" s="70" cm="1">
        <f t="array" ref="R20">_xlfn.XLOOKUP($D20&amp;R$1,Results_of_the_day!$C:$C&amp;Results_of_the_day!$B:$B,Results_of_the_day!$D:$D,0,0)</f>
        <v>0</v>
      </c>
      <c r="S20" s="70" cm="1">
        <f t="array" ref="S20">_xlfn.XLOOKUP($D20&amp;S$1,Results_of_the_day!$C:$C&amp;Results_of_the_day!$B:$B,Results_of_the_day!$D:$D,0,0)</f>
        <v>0</v>
      </c>
      <c r="Z20" s="5">
        <f t="shared" ca="1" si="4"/>
        <v>2</v>
      </c>
      <c r="AA20" s="2">
        <f t="shared" ca="1" si="5"/>
        <v>2</v>
      </c>
      <c r="AB20">
        <f t="shared" si="23"/>
        <v>0</v>
      </c>
      <c r="AC20">
        <f t="shared" si="23"/>
        <v>0</v>
      </c>
      <c r="AD20">
        <f t="shared" si="24"/>
        <v>0</v>
      </c>
      <c r="AE20">
        <f t="shared" si="25"/>
        <v>0</v>
      </c>
      <c r="AF20">
        <f t="shared" si="26"/>
        <v>0</v>
      </c>
      <c r="AG20">
        <f t="shared" si="26"/>
        <v>0</v>
      </c>
      <c r="AH20">
        <f t="shared" si="29"/>
        <v>0</v>
      </c>
      <c r="AI20">
        <f t="shared" si="27"/>
        <v>0</v>
      </c>
      <c r="AJ20">
        <f t="shared" si="28"/>
        <v>0</v>
      </c>
      <c r="AK20">
        <f t="shared" si="7"/>
        <v>2</v>
      </c>
      <c r="AL20" s="1">
        <f t="shared" si="8"/>
        <v>2</v>
      </c>
      <c r="AM20" s="1">
        <f t="shared" si="9"/>
        <v>0</v>
      </c>
      <c r="AN20" s="1">
        <f t="shared" si="10"/>
        <v>0</v>
      </c>
      <c r="AO20" s="1">
        <f t="shared" si="11"/>
        <v>0</v>
      </c>
      <c r="AP20" s="1">
        <f t="shared" si="12"/>
        <v>0</v>
      </c>
      <c r="AQ20" s="1">
        <f t="shared" si="13"/>
        <v>0</v>
      </c>
      <c r="AR20" s="1">
        <f t="shared" si="14"/>
        <v>0</v>
      </c>
      <c r="AS20" s="1">
        <f t="shared" si="15"/>
        <v>0</v>
      </c>
      <c r="AT20" s="1">
        <f t="shared" si="16"/>
        <v>0</v>
      </c>
      <c r="AU20" s="1">
        <f t="shared" si="17"/>
        <v>0</v>
      </c>
      <c r="AV20" s="1">
        <f t="shared" si="18"/>
        <v>0</v>
      </c>
      <c r="AW20" s="1">
        <f t="shared" si="19"/>
        <v>0</v>
      </c>
      <c r="AX20" s="1">
        <f t="shared" si="20"/>
        <v>0</v>
      </c>
      <c r="AY20" s="1">
        <f t="shared" si="21"/>
        <v>0</v>
      </c>
      <c r="AZ20" s="1">
        <f t="shared" si="22"/>
        <v>0</v>
      </c>
    </row>
    <row r="21" spans="1:52" ht="21" customHeight="1" x14ac:dyDescent="0.35">
      <c r="A21" s="1">
        <v>17</v>
      </c>
      <c r="B21" s="64">
        <f t="shared" si="2"/>
        <v>0</v>
      </c>
      <c r="C21" s="59">
        <f t="shared" si="3"/>
        <v>0</v>
      </c>
      <c r="D21" s="9" t="s">
        <v>62</v>
      </c>
      <c r="E21" s="70" cm="1">
        <f t="array" ref="E21">_xlfn.XLOOKUP($D21&amp;E$1,Results_of_the_day!$C:$C&amp;Results_of_the_day!$B:$B,Results_of_the_day!$D:$D,0,0)</f>
        <v>0</v>
      </c>
      <c r="F21" s="70" cm="1">
        <f t="array" ref="F21">_xlfn.XLOOKUP($D21&amp;F$1,Results_of_the_day!$C:$C&amp;Results_of_the_day!$B:$B,Results_of_the_day!$D:$D,0,0)</f>
        <v>0</v>
      </c>
      <c r="G21" s="70" cm="1">
        <f t="array" ref="G21">_xlfn.XLOOKUP($D21&amp;G$1,Results_of_the_day!$C:$C&amp;Results_of_the_day!$B:$B,Results_of_the_day!$D:$D,0,0)</f>
        <v>0</v>
      </c>
      <c r="H21" s="70" cm="1">
        <f t="array" ref="H21">_xlfn.XLOOKUP($D21&amp;H$1,Results_of_the_day!$C:$C&amp;Results_of_the_day!$B:$B,Results_of_the_day!$D:$D,0,0)</f>
        <v>0</v>
      </c>
      <c r="I21" s="70" cm="1">
        <f t="array" ref="I21">_xlfn.XLOOKUP($D21&amp;I$1,Results_of_the_day!$C:$C&amp;Results_of_the_day!$B:$B,Results_of_the_day!$D:$D,0,0)</f>
        <v>0</v>
      </c>
      <c r="J21" s="70" cm="1">
        <f t="array" ref="J21">_xlfn.XLOOKUP($D21&amp;J$1,Results_of_the_day!$C:$C&amp;Results_of_the_day!$B:$B,Results_of_the_day!$D:$D,0,0)</f>
        <v>0</v>
      </c>
      <c r="K21" s="70" cm="1">
        <f t="array" ref="K21">_xlfn.XLOOKUP($D21&amp;K$1,Results_of_the_day!$C:$C&amp;Results_of_the_day!$B:$B,Results_of_the_day!$D:$D,0,0)</f>
        <v>0</v>
      </c>
      <c r="L21" s="70" cm="1">
        <f t="array" ref="L21">_xlfn.XLOOKUP($D21&amp;L$1,Results_of_the_day!$C:$C&amp;Results_of_the_day!$B:$B,Results_of_the_day!$D:$D,0,0)</f>
        <v>0</v>
      </c>
      <c r="M21" s="70" cm="1">
        <f t="array" ref="M21">_xlfn.XLOOKUP($D21&amp;M$1,Results_of_the_day!$C:$C&amp;Results_of_the_day!$B:$B,Results_of_the_day!$D:$D,0,0)</f>
        <v>0</v>
      </c>
      <c r="N21" s="70" cm="1">
        <f t="array" ref="N21">_xlfn.XLOOKUP($D21&amp;N$1,Results_of_the_day!$C:$C&amp;Results_of_the_day!$B:$B,Results_of_the_day!$D:$D,0,0)</f>
        <v>0</v>
      </c>
      <c r="O21" s="70" cm="1">
        <f t="array" ref="O21">_xlfn.XLOOKUP($D21&amp;O$1,Results_of_the_day!$C:$C&amp;Results_of_the_day!$B:$B,Results_of_the_day!$D:$D,0,0)</f>
        <v>0</v>
      </c>
      <c r="P21" s="70" cm="1">
        <f t="array" ref="P21">_xlfn.XLOOKUP($D21&amp;P$1,Results_of_the_day!$C:$C&amp;Results_of_the_day!$B:$B,Results_of_the_day!$D:$D,0,0)</f>
        <v>0</v>
      </c>
      <c r="Q21" s="70" cm="1">
        <f t="array" ref="Q21">_xlfn.XLOOKUP($D21&amp;Q$1,Results_of_the_day!$C:$C&amp;Results_of_the_day!$B:$B,Results_of_the_day!$D:$D,0,0)</f>
        <v>0</v>
      </c>
      <c r="R21" s="70" cm="1">
        <f t="array" ref="R21">_xlfn.XLOOKUP($D21&amp;R$1,Results_of_the_day!$C:$C&amp;Results_of_the_day!$B:$B,Results_of_the_day!$D:$D,0,0)</f>
        <v>0</v>
      </c>
      <c r="S21" s="70" cm="1">
        <f t="array" ref="S21">_xlfn.XLOOKUP($D21&amp;S$1,Results_of_the_day!$C:$C&amp;Results_of_the_day!$B:$B,Results_of_the_day!$D:$D,0,0)</f>
        <v>0</v>
      </c>
      <c r="Z21" s="5">
        <f t="shared" ca="1" si="4"/>
        <v>15</v>
      </c>
      <c r="AA21" s="2">
        <f t="shared" ca="1" si="5"/>
        <v>9999</v>
      </c>
      <c r="AB21">
        <f t="shared" si="23"/>
        <v>0</v>
      </c>
      <c r="AC21">
        <f t="shared" si="23"/>
        <v>0</v>
      </c>
      <c r="AD21">
        <f t="shared" si="24"/>
        <v>0</v>
      </c>
      <c r="AE21">
        <f t="shared" si="25"/>
        <v>0</v>
      </c>
      <c r="AF21">
        <f t="shared" si="26"/>
        <v>0</v>
      </c>
      <c r="AG21">
        <f t="shared" si="26"/>
        <v>0</v>
      </c>
      <c r="AH21">
        <f t="shared" si="29"/>
        <v>0</v>
      </c>
      <c r="AI21">
        <f t="shared" si="27"/>
        <v>0</v>
      </c>
      <c r="AJ21">
        <f t="shared" si="28"/>
        <v>0</v>
      </c>
      <c r="AK21">
        <f t="shared" si="7"/>
        <v>15</v>
      </c>
      <c r="AL21" s="1">
        <f t="shared" si="8"/>
        <v>15</v>
      </c>
      <c r="AM21" s="1">
        <f t="shared" si="9"/>
        <v>0</v>
      </c>
      <c r="AN21" s="1">
        <f t="shared" si="10"/>
        <v>0</v>
      </c>
      <c r="AO21" s="1">
        <f t="shared" si="11"/>
        <v>0</v>
      </c>
      <c r="AP21" s="1">
        <f t="shared" si="12"/>
        <v>0</v>
      </c>
      <c r="AQ21" s="1">
        <f t="shared" si="13"/>
        <v>0</v>
      </c>
      <c r="AR21" s="1">
        <f t="shared" si="14"/>
        <v>0</v>
      </c>
      <c r="AS21" s="1">
        <f t="shared" si="15"/>
        <v>0</v>
      </c>
      <c r="AT21" s="1">
        <f t="shared" si="16"/>
        <v>0</v>
      </c>
      <c r="AU21" s="1">
        <f t="shared" si="17"/>
        <v>0</v>
      </c>
      <c r="AV21" s="1">
        <f t="shared" si="18"/>
        <v>0</v>
      </c>
      <c r="AW21" s="1">
        <f t="shared" si="19"/>
        <v>0</v>
      </c>
      <c r="AX21" s="1">
        <f t="shared" si="20"/>
        <v>0</v>
      </c>
      <c r="AY21" s="1">
        <f t="shared" si="21"/>
        <v>0</v>
      </c>
      <c r="AZ21" s="1">
        <f t="shared" si="22"/>
        <v>0</v>
      </c>
    </row>
    <row r="22" spans="1:52" ht="21" customHeight="1" x14ac:dyDescent="0.35">
      <c r="A22" s="1">
        <v>18</v>
      </c>
      <c r="B22" s="64">
        <f t="shared" si="2"/>
        <v>0</v>
      </c>
      <c r="C22" s="59">
        <f t="shared" si="3"/>
        <v>0</v>
      </c>
      <c r="D22" s="9" t="s">
        <v>64</v>
      </c>
      <c r="E22" s="70" cm="1">
        <f t="array" ref="E22">_xlfn.XLOOKUP($D22&amp;E$1,Results_of_the_day!$C:$C&amp;Results_of_the_day!$B:$B,Results_of_the_day!$D:$D,0,0)</f>
        <v>0</v>
      </c>
      <c r="F22" s="70" cm="1">
        <f t="array" ref="F22">_xlfn.XLOOKUP($D22&amp;F$1,Results_of_the_day!$C:$C&amp;Results_of_the_day!$B:$B,Results_of_the_day!$D:$D,0,0)</f>
        <v>0</v>
      </c>
      <c r="G22" s="70" cm="1">
        <f t="array" ref="G22">_xlfn.XLOOKUP($D22&amp;G$1,Results_of_the_day!$C:$C&amp;Results_of_the_day!$B:$B,Results_of_the_day!$D:$D,0,0)</f>
        <v>0</v>
      </c>
      <c r="H22" s="70" cm="1">
        <f t="array" ref="H22">_xlfn.XLOOKUP($D22&amp;H$1,Results_of_the_day!$C:$C&amp;Results_of_the_day!$B:$B,Results_of_the_day!$D:$D,0,0)</f>
        <v>0</v>
      </c>
      <c r="I22" s="70" cm="1">
        <f t="array" ref="I22">_xlfn.XLOOKUP($D22&amp;I$1,Results_of_the_day!$C:$C&amp;Results_of_the_day!$B:$B,Results_of_the_day!$D:$D,0,0)</f>
        <v>0</v>
      </c>
      <c r="J22" s="70" cm="1">
        <f t="array" ref="J22">_xlfn.XLOOKUP($D22&amp;J$1,Results_of_the_day!$C:$C&amp;Results_of_the_day!$B:$B,Results_of_the_day!$D:$D,0,0)</f>
        <v>0</v>
      </c>
      <c r="K22" s="70" cm="1">
        <f t="array" ref="K22">_xlfn.XLOOKUP($D22&amp;K$1,Results_of_the_day!$C:$C&amp;Results_of_the_day!$B:$B,Results_of_the_day!$D:$D,0,0)</f>
        <v>0</v>
      </c>
      <c r="L22" s="70" cm="1">
        <f t="array" ref="L22">_xlfn.XLOOKUP($D22&amp;L$1,Results_of_the_day!$C:$C&amp;Results_of_the_day!$B:$B,Results_of_the_day!$D:$D,0,0)</f>
        <v>0</v>
      </c>
      <c r="M22" s="70" cm="1">
        <f t="array" ref="M22">_xlfn.XLOOKUP($D22&amp;M$1,Results_of_the_day!$C:$C&amp;Results_of_the_day!$B:$B,Results_of_the_day!$D:$D,0,0)</f>
        <v>0</v>
      </c>
      <c r="N22" s="70" cm="1">
        <f t="array" ref="N22">_xlfn.XLOOKUP($D22&amp;N$1,Results_of_the_day!$C:$C&amp;Results_of_the_day!$B:$B,Results_of_the_day!$D:$D,0,0)</f>
        <v>0</v>
      </c>
      <c r="O22" s="70" cm="1">
        <f t="array" ref="O22">_xlfn.XLOOKUP($D22&amp;O$1,Results_of_the_day!$C:$C&amp;Results_of_the_day!$B:$B,Results_of_the_day!$D:$D,0,0)</f>
        <v>0</v>
      </c>
      <c r="P22" s="70" cm="1">
        <f t="array" ref="P22">_xlfn.XLOOKUP($D22&amp;P$1,Results_of_the_day!$C:$C&amp;Results_of_the_day!$B:$B,Results_of_the_day!$D:$D,0,0)</f>
        <v>0</v>
      </c>
      <c r="Q22" s="70" cm="1">
        <f t="array" ref="Q22">_xlfn.XLOOKUP($D22&amp;Q$1,Results_of_the_day!$C:$C&amp;Results_of_the_day!$B:$B,Results_of_the_day!$D:$D,0,0)</f>
        <v>0</v>
      </c>
      <c r="R22" s="70" cm="1">
        <f t="array" ref="R22">_xlfn.XLOOKUP($D22&amp;R$1,Results_of_the_day!$C:$C&amp;Results_of_the_day!$B:$B,Results_of_the_day!$D:$D,0,0)</f>
        <v>0</v>
      </c>
      <c r="S22" s="70" cm="1">
        <f t="array" ref="S22">_xlfn.XLOOKUP($D22&amp;S$1,Results_of_the_day!$C:$C&amp;Results_of_the_day!$B:$B,Results_of_the_day!$D:$D,0,0)</f>
        <v>0</v>
      </c>
      <c r="Z22" s="5">
        <f t="shared" ca="1" si="4"/>
        <v>15</v>
      </c>
      <c r="AA22" s="2">
        <f t="shared" ca="1" si="5"/>
        <v>9999</v>
      </c>
      <c r="AB22">
        <f t="shared" si="23"/>
        <v>0</v>
      </c>
      <c r="AC22">
        <f t="shared" si="23"/>
        <v>0</v>
      </c>
      <c r="AD22">
        <f t="shared" si="24"/>
        <v>0</v>
      </c>
      <c r="AE22">
        <f t="shared" si="25"/>
        <v>0</v>
      </c>
      <c r="AF22">
        <f t="shared" si="26"/>
        <v>0</v>
      </c>
      <c r="AG22">
        <f t="shared" si="26"/>
        <v>0</v>
      </c>
      <c r="AH22">
        <f t="shared" si="29"/>
        <v>0</v>
      </c>
      <c r="AI22">
        <f t="shared" si="27"/>
        <v>0</v>
      </c>
      <c r="AJ22">
        <f t="shared" si="28"/>
        <v>0</v>
      </c>
      <c r="AK22">
        <f t="shared" si="7"/>
        <v>15</v>
      </c>
      <c r="AL22" s="1">
        <f t="shared" si="8"/>
        <v>15</v>
      </c>
      <c r="AM22" s="1">
        <f t="shared" si="9"/>
        <v>0</v>
      </c>
      <c r="AN22" s="1">
        <f t="shared" si="10"/>
        <v>0</v>
      </c>
      <c r="AO22" s="1">
        <f t="shared" si="11"/>
        <v>0</v>
      </c>
      <c r="AP22" s="1">
        <f t="shared" si="12"/>
        <v>0</v>
      </c>
      <c r="AQ22" s="1">
        <f t="shared" si="13"/>
        <v>0</v>
      </c>
      <c r="AR22" s="1">
        <f t="shared" si="14"/>
        <v>0</v>
      </c>
      <c r="AS22" s="1">
        <f t="shared" si="15"/>
        <v>0</v>
      </c>
      <c r="AT22" s="1">
        <f t="shared" si="16"/>
        <v>0</v>
      </c>
      <c r="AU22" s="1">
        <f t="shared" si="17"/>
        <v>0</v>
      </c>
      <c r="AV22" s="1">
        <f t="shared" si="18"/>
        <v>0</v>
      </c>
      <c r="AW22" s="1">
        <f t="shared" si="19"/>
        <v>0</v>
      </c>
      <c r="AX22" s="1">
        <f t="shared" si="20"/>
        <v>0</v>
      </c>
      <c r="AY22" s="1">
        <f t="shared" si="21"/>
        <v>0</v>
      </c>
      <c r="AZ22" s="1">
        <f t="shared" si="22"/>
        <v>0</v>
      </c>
    </row>
    <row r="23" spans="1:52" ht="21" customHeight="1" x14ac:dyDescent="0.35">
      <c r="A23" s="1">
        <v>19</v>
      </c>
      <c r="B23" s="64">
        <f t="shared" si="2"/>
        <v>1</v>
      </c>
      <c r="C23" s="59">
        <f t="shared" si="3"/>
        <v>34.75</v>
      </c>
      <c r="D23" s="9" t="s">
        <v>33</v>
      </c>
      <c r="E23" s="70" cm="1">
        <f t="array" ref="E23">_xlfn.XLOOKUP($D23&amp;E$1,Results_of_the_day!$C:$C&amp;Results_of_the_day!$B:$B,Results_of_the_day!$D:$D,0,0)</f>
        <v>34.75</v>
      </c>
      <c r="F23" s="70" cm="1">
        <f t="array" ref="F23">_xlfn.XLOOKUP($D23&amp;F$1,Results_of_the_day!$C:$C&amp;Results_of_the_day!$B:$B,Results_of_the_day!$D:$D,0,0)</f>
        <v>0</v>
      </c>
      <c r="G23" s="70" cm="1">
        <f t="array" ref="G23">_xlfn.XLOOKUP($D23&amp;G$1,Results_of_the_day!$C:$C&amp;Results_of_the_day!$B:$B,Results_of_the_day!$D:$D,0,0)</f>
        <v>0</v>
      </c>
      <c r="H23" s="70" cm="1">
        <f t="array" ref="H23">_xlfn.XLOOKUP($D23&amp;H$1,Results_of_the_day!$C:$C&amp;Results_of_the_day!$B:$B,Results_of_the_day!$D:$D,0,0)</f>
        <v>0</v>
      </c>
      <c r="I23" s="70" cm="1">
        <f t="array" ref="I23">_xlfn.XLOOKUP($D23&amp;I$1,Results_of_the_day!$C:$C&amp;Results_of_the_day!$B:$B,Results_of_the_day!$D:$D,0,0)</f>
        <v>0</v>
      </c>
      <c r="J23" s="70" cm="1">
        <f t="array" ref="J23">_xlfn.XLOOKUP($D23&amp;J$1,Results_of_the_day!$C:$C&amp;Results_of_the_day!$B:$B,Results_of_the_day!$D:$D,0,0)</f>
        <v>0</v>
      </c>
      <c r="K23" s="70" cm="1">
        <f t="array" ref="K23">_xlfn.XLOOKUP($D23&amp;K$1,Results_of_the_day!$C:$C&amp;Results_of_the_day!$B:$B,Results_of_the_day!$D:$D,0,0)</f>
        <v>0</v>
      </c>
      <c r="L23" s="70" cm="1">
        <f t="array" ref="L23">_xlfn.XLOOKUP($D23&amp;L$1,Results_of_the_day!$C:$C&amp;Results_of_the_day!$B:$B,Results_of_the_day!$D:$D,0,0)</f>
        <v>0</v>
      </c>
      <c r="M23" s="70" cm="1">
        <f t="array" ref="M23">_xlfn.XLOOKUP($D23&amp;M$1,Results_of_the_day!$C:$C&amp;Results_of_the_day!$B:$B,Results_of_the_day!$D:$D,0,0)</f>
        <v>0</v>
      </c>
      <c r="N23" s="70" cm="1">
        <f t="array" ref="N23">_xlfn.XLOOKUP($D23&amp;N$1,Results_of_the_day!$C:$C&amp;Results_of_the_day!$B:$B,Results_of_the_day!$D:$D,0,0)</f>
        <v>0</v>
      </c>
      <c r="O23" s="70" cm="1">
        <f t="array" ref="O23">_xlfn.XLOOKUP($D23&amp;O$1,Results_of_the_day!$C:$C&amp;Results_of_the_day!$B:$B,Results_of_the_day!$D:$D,0,0)</f>
        <v>0</v>
      </c>
      <c r="P23" s="70" cm="1">
        <f t="array" ref="P23">_xlfn.XLOOKUP($D23&amp;P$1,Results_of_the_day!$C:$C&amp;Results_of_the_day!$B:$B,Results_of_the_day!$D:$D,0,0)</f>
        <v>0</v>
      </c>
      <c r="Q23" s="70" cm="1">
        <f t="array" ref="Q23">_xlfn.XLOOKUP($D23&amp;Q$1,Results_of_the_day!$C:$C&amp;Results_of_the_day!$B:$B,Results_of_the_day!$D:$D,0,0)</f>
        <v>0</v>
      </c>
      <c r="R23" s="70" cm="1">
        <f t="array" ref="R23">_xlfn.XLOOKUP($D23&amp;R$1,Results_of_the_day!$C:$C&amp;Results_of_the_day!$B:$B,Results_of_the_day!$D:$D,0,0)</f>
        <v>0</v>
      </c>
      <c r="S23" s="70" cm="1">
        <f t="array" ref="S23">_xlfn.XLOOKUP($D23&amp;S$1,Results_of_the_day!$C:$C&amp;Results_of_the_day!$B:$B,Results_of_the_day!$D:$D,0,0)</f>
        <v>0</v>
      </c>
      <c r="Z23" s="5">
        <f t="shared" ca="1" si="4"/>
        <v>1</v>
      </c>
      <c r="AA23" s="2">
        <f t="shared" ca="1" si="5"/>
        <v>1</v>
      </c>
      <c r="AB23">
        <f t="shared" si="23"/>
        <v>0</v>
      </c>
      <c r="AC23">
        <f t="shared" si="23"/>
        <v>0</v>
      </c>
      <c r="AD23">
        <f t="shared" si="24"/>
        <v>0</v>
      </c>
      <c r="AE23">
        <f t="shared" si="25"/>
        <v>0</v>
      </c>
      <c r="AF23">
        <f t="shared" si="26"/>
        <v>0</v>
      </c>
      <c r="AG23">
        <f t="shared" si="26"/>
        <v>0</v>
      </c>
      <c r="AH23">
        <f t="shared" si="29"/>
        <v>0</v>
      </c>
      <c r="AI23">
        <f t="shared" si="27"/>
        <v>0</v>
      </c>
      <c r="AJ23">
        <f t="shared" si="28"/>
        <v>0</v>
      </c>
      <c r="AK23">
        <f t="shared" si="7"/>
        <v>1</v>
      </c>
      <c r="AL23" s="1">
        <f t="shared" si="8"/>
        <v>1</v>
      </c>
      <c r="AM23" s="1">
        <f t="shared" si="9"/>
        <v>0</v>
      </c>
      <c r="AN23" s="1">
        <f t="shared" si="10"/>
        <v>0</v>
      </c>
      <c r="AO23" s="1">
        <f t="shared" si="11"/>
        <v>0</v>
      </c>
      <c r="AP23" s="1">
        <f t="shared" si="12"/>
        <v>0</v>
      </c>
      <c r="AQ23" s="1">
        <f t="shared" si="13"/>
        <v>0</v>
      </c>
      <c r="AR23" s="1">
        <f t="shared" si="14"/>
        <v>0</v>
      </c>
      <c r="AS23" s="1">
        <f t="shared" si="15"/>
        <v>0</v>
      </c>
      <c r="AT23" s="1">
        <f t="shared" si="16"/>
        <v>0</v>
      </c>
      <c r="AU23" s="1">
        <f t="shared" si="17"/>
        <v>0</v>
      </c>
      <c r="AV23" s="1">
        <f t="shared" si="18"/>
        <v>0</v>
      </c>
      <c r="AW23" s="1">
        <f t="shared" si="19"/>
        <v>0</v>
      </c>
      <c r="AX23" s="1">
        <f t="shared" si="20"/>
        <v>0</v>
      </c>
      <c r="AY23" s="1">
        <f t="shared" si="21"/>
        <v>0</v>
      </c>
      <c r="AZ23" s="1">
        <f t="shared" si="22"/>
        <v>0</v>
      </c>
    </row>
    <row r="24" spans="1:52" ht="21" customHeight="1" x14ac:dyDescent="0.35">
      <c r="A24" s="1">
        <v>20</v>
      </c>
      <c r="B24" s="64">
        <f t="shared" si="2"/>
        <v>0</v>
      </c>
      <c r="C24" s="59">
        <f t="shared" si="3"/>
        <v>0</v>
      </c>
      <c r="D24" s="9" t="s">
        <v>57</v>
      </c>
      <c r="E24" s="70" cm="1">
        <f t="array" ref="E24">_xlfn.XLOOKUP($D24&amp;E$1,Results_of_the_day!$C:$C&amp;Results_of_the_day!$B:$B,Results_of_the_day!$D:$D,0,0)</f>
        <v>0</v>
      </c>
      <c r="F24" s="70" cm="1">
        <f t="array" ref="F24">_xlfn.XLOOKUP($D24&amp;F$1,Results_of_the_day!$C:$C&amp;Results_of_the_day!$B:$B,Results_of_the_day!$D:$D,0,0)</f>
        <v>0</v>
      </c>
      <c r="G24" s="70" cm="1">
        <f t="array" ref="G24">_xlfn.XLOOKUP($D24&amp;G$1,Results_of_the_day!$C:$C&amp;Results_of_the_day!$B:$B,Results_of_the_day!$D:$D,0,0)</f>
        <v>0</v>
      </c>
      <c r="H24" s="70" cm="1">
        <f t="array" ref="H24">_xlfn.XLOOKUP($D24&amp;H$1,Results_of_the_day!$C:$C&amp;Results_of_the_day!$B:$B,Results_of_the_day!$D:$D,0,0)</f>
        <v>0</v>
      </c>
      <c r="I24" s="70" cm="1">
        <f t="array" ref="I24">_xlfn.XLOOKUP($D24&amp;I$1,Results_of_the_day!$C:$C&amp;Results_of_the_day!$B:$B,Results_of_the_day!$D:$D,0,0)</f>
        <v>0</v>
      </c>
      <c r="J24" s="70" cm="1">
        <f t="array" ref="J24">_xlfn.XLOOKUP($D24&amp;J$1,Results_of_the_day!$C:$C&amp;Results_of_the_day!$B:$B,Results_of_the_day!$D:$D,0,0)</f>
        <v>0</v>
      </c>
      <c r="K24" s="70" cm="1">
        <f t="array" ref="K24">_xlfn.XLOOKUP($D24&amp;K$1,Results_of_the_day!$C:$C&amp;Results_of_the_day!$B:$B,Results_of_the_day!$D:$D,0,0)</f>
        <v>0</v>
      </c>
      <c r="L24" s="70" cm="1">
        <f t="array" ref="L24">_xlfn.XLOOKUP($D24&amp;L$1,Results_of_the_day!$C:$C&amp;Results_of_the_day!$B:$B,Results_of_the_day!$D:$D,0,0)</f>
        <v>0</v>
      </c>
      <c r="M24" s="70" cm="1">
        <f t="array" ref="M24">_xlfn.XLOOKUP($D24&amp;M$1,Results_of_the_day!$C:$C&amp;Results_of_the_day!$B:$B,Results_of_the_day!$D:$D,0,0)</f>
        <v>0</v>
      </c>
      <c r="N24" s="70" cm="1">
        <f t="array" ref="N24">_xlfn.XLOOKUP($D24&amp;N$1,Results_of_the_day!$C:$C&amp;Results_of_the_day!$B:$B,Results_of_the_day!$D:$D,0,0)</f>
        <v>0</v>
      </c>
      <c r="O24" s="70" cm="1">
        <f t="array" ref="O24">_xlfn.XLOOKUP($D24&amp;O$1,Results_of_the_day!$C:$C&amp;Results_of_the_day!$B:$B,Results_of_the_day!$D:$D,0,0)</f>
        <v>0</v>
      </c>
      <c r="P24" s="70" cm="1">
        <f t="array" ref="P24">_xlfn.XLOOKUP($D24&amp;P$1,Results_of_the_day!$C:$C&amp;Results_of_the_day!$B:$B,Results_of_the_day!$D:$D,0,0)</f>
        <v>0</v>
      </c>
      <c r="Q24" s="70" cm="1">
        <f t="array" ref="Q24">_xlfn.XLOOKUP($D24&amp;Q$1,Results_of_the_day!$C:$C&amp;Results_of_the_day!$B:$B,Results_of_the_day!$D:$D,0,0)</f>
        <v>0</v>
      </c>
      <c r="R24" s="70" cm="1">
        <f t="array" ref="R24">_xlfn.XLOOKUP($D24&amp;R$1,Results_of_the_day!$C:$C&amp;Results_of_the_day!$B:$B,Results_of_the_day!$D:$D,0,0)</f>
        <v>0</v>
      </c>
      <c r="S24" s="70" cm="1">
        <f t="array" ref="S24">_xlfn.XLOOKUP($D24&amp;S$1,Results_of_the_day!$C:$C&amp;Results_of_the_day!$B:$B,Results_of_the_day!$D:$D,0,0)</f>
        <v>0</v>
      </c>
      <c r="Z24" s="5">
        <f t="shared" ca="1" si="4"/>
        <v>15</v>
      </c>
      <c r="AA24" s="2">
        <f t="shared" ca="1" si="5"/>
        <v>9999</v>
      </c>
      <c r="AB24">
        <f t="shared" si="23"/>
        <v>0</v>
      </c>
      <c r="AC24">
        <f t="shared" si="23"/>
        <v>0</v>
      </c>
      <c r="AD24">
        <f t="shared" si="24"/>
        <v>0</v>
      </c>
      <c r="AE24">
        <f t="shared" si="25"/>
        <v>0</v>
      </c>
      <c r="AF24">
        <f t="shared" si="26"/>
        <v>0</v>
      </c>
      <c r="AG24">
        <f t="shared" si="26"/>
        <v>0</v>
      </c>
      <c r="AH24">
        <f t="shared" si="29"/>
        <v>0</v>
      </c>
      <c r="AI24">
        <f t="shared" si="27"/>
        <v>0</v>
      </c>
      <c r="AJ24">
        <f t="shared" si="28"/>
        <v>0</v>
      </c>
      <c r="AK24">
        <f t="shared" si="7"/>
        <v>15</v>
      </c>
      <c r="AL24" s="1">
        <f t="shared" si="8"/>
        <v>15</v>
      </c>
      <c r="AM24" s="1">
        <f t="shared" si="9"/>
        <v>0</v>
      </c>
      <c r="AN24" s="1">
        <f t="shared" si="10"/>
        <v>0</v>
      </c>
      <c r="AO24" s="1">
        <f t="shared" si="11"/>
        <v>0</v>
      </c>
      <c r="AP24" s="1">
        <f t="shared" si="12"/>
        <v>0</v>
      </c>
      <c r="AQ24" s="1">
        <f t="shared" si="13"/>
        <v>0</v>
      </c>
      <c r="AR24" s="1">
        <f t="shared" si="14"/>
        <v>0</v>
      </c>
      <c r="AS24" s="1">
        <f t="shared" si="15"/>
        <v>0</v>
      </c>
      <c r="AT24" s="1">
        <f t="shared" si="16"/>
        <v>0</v>
      </c>
      <c r="AU24" s="1">
        <f t="shared" si="17"/>
        <v>0</v>
      </c>
      <c r="AV24" s="1">
        <f t="shared" si="18"/>
        <v>0</v>
      </c>
      <c r="AW24" s="1">
        <f t="shared" si="19"/>
        <v>0</v>
      </c>
      <c r="AX24" s="1">
        <f t="shared" si="20"/>
        <v>0</v>
      </c>
      <c r="AY24" s="1">
        <f t="shared" si="21"/>
        <v>0</v>
      </c>
      <c r="AZ24" s="1">
        <f t="shared" si="22"/>
        <v>0</v>
      </c>
    </row>
    <row r="25" spans="1:52" ht="21" customHeight="1" x14ac:dyDescent="0.35">
      <c r="A25" s="1">
        <v>21</v>
      </c>
      <c r="B25" s="64">
        <f t="shared" si="2"/>
        <v>0</v>
      </c>
      <c r="C25" s="59">
        <f t="shared" si="3"/>
        <v>0</v>
      </c>
      <c r="D25" s="9" t="s">
        <v>60</v>
      </c>
      <c r="E25" s="70" cm="1">
        <f t="array" ref="E25">_xlfn.XLOOKUP($D25&amp;E$1,Results_of_the_day!$C:$C&amp;Results_of_the_day!$B:$B,Results_of_the_day!$D:$D,0,0)</f>
        <v>0</v>
      </c>
      <c r="F25" s="70" cm="1">
        <f t="array" ref="F25">_xlfn.XLOOKUP($D25&amp;F$1,Results_of_the_day!$C:$C&amp;Results_of_the_day!$B:$B,Results_of_the_day!$D:$D,0,0)</f>
        <v>0</v>
      </c>
      <c r="G25" s="70" cm="1">
        <f t="array" ref="G25">_xlfn.XLOOKUP($D25&amp;G$1,Results_of_the_day!$C:$C&amp;Results_of_the_day!$B:$B,Results_of_the_day!$D:$D,0,0)</f>
        <v>0</v>
      </c>
      <c r="H25" s="70" cm="1">
        <f t="array" ref="H25">_xlfn.XLOOKUP($D25&amp;H$1,Results_of_the_day!$C:$C&amp;Results_of_the_day!$B:$B,Results_of_the_day!$D:$D,0,0)</f>
        <v>0</v>
      </c>
      <c r="I25" s="70" cm="1">
        <f t="array" ref="I25">_xlfn.XLOOKUP($D25&amp;I$1,Results_of_the_day!$C:$C&amp;Results_of_the_day!$B:$B,Results_of_the_day!$D:$D,0,0)</f>
        <v>0</v>
      </c>
      <c r="J25" s="70" cm="1">
        <f t="array" ref="J25">_xlfn.XLOOKUP($D25&amp;J$1,Results_of_the_day!$C:$C&amp;Results_of_the_day!$B:$B,Results_of_the_day!$D:$D,0,0)</f>
        <v>0</v>
      </c>
      <c r="K25" s="70" cm="1">
        <f t="array" ref="K25">_xlfn.XLOOKUP($D25&amp;K$1,Results_of_the_day!$C:$C&amp;Results_of_the_day!$B:$B,Results_of_the_day!$D:$D,0,0)</f>
        <v>0</v>
      </c>
      <c r="L25" s="70" cm="1">
        <f t="array" ref="L25">_xlfn.XLOOKUP($D25&amp;L$1,Results_of_the_day!$C:$C&amp;Results_of_the_day!$B:$B,Results_of_the_day!$D:$D,0,0)</f>
        <v>0</v>
      </c>
      <c r="M25" s="70" cm="1">
        <f t="array" ref="M25">_xlfn.XLOOKUP($D25&amp;M$1,Results_of_the_day!$C:$C&amp;Results_of_the_day!$B:$B,Results_of_the_day!$D:$D,0,0)</f>
        <v>0</v>
      </c>
      <c r="N25" s="70" cm="1">
        <f t="array" ref="N25">_xlfn.XLOOKUP($D25&amp;N$1,Results_of_the_day!$C:$C&amp;Results_of_the_day!$B:$B,Results_of_the_day!$D:$D,0,0)</f>
        <v>0</v>
      </c>
      <c r="O25" s="70" cm="1">
        <f t="array" ref="O25">_xlfn.XLOOKUP($D25&amp;O$1,Results_of_the_day!$C:$C&amp;Results_of_the_day!$B:$B,Results_of_the_day!$D:$D,0,0)</f>
        <v>0</v>
      </c>
      <c r="P25" s="70" cm="1">
        <f t="array" ref="P25">_xlfn.XLOOKUP($D25&amp;P$1,Results_of_the_day!$C:$C&amp;Results_of_the_day!$B:$B,Results_of_the_day!$D:$D,0,0)</f>
        <v>0</v>
      </c>
      <c r="Q25" s="70" cm="1">
        <f t="array" ref="Q25">_xlfn.XLOOKUP($D25&amp;Q$1,Results_of_the_day!$C:$C&amp;Results_of_the_day!$B:$B,Results_of_the_day!$D:$D,0,0)</f>
        <v>0</v>
      </c>
      <c r="R25" s="70" cm="1">
        <f t="array" ref="R25">_xlfn.XLOOKUP($D25&amp;R$1,Results_of_the_day!$C:$C&amp;Results_of_the_day!$B:$B,Results_of_the_day!$D:$D,0,0)</f>
        <v>0</v>
      </c>
      <c r="S25" s="70" cm="1">
        <f t="array" ref="S25">_xlfn.XLOOKUP($D25&amp;S$1,Results_of_the_day!$C:$C&amp;Results_of_the_day!$B:$B,Results_of_the_day!$D:$D,0,0)</f>
        <v>0</v>
      </c>
      <c r="Z25" s="5">
        <f t="shared" ca="1" si="4"/>
        <v>15</v>
      </c>
      <c r="AA25" s="2">
        <f t="shared" ca="1" si="5"/>
        <v>9999</v>
      </c>
      <c r="AB25">
        <f t="shared" si="23"/>
        <v>0</v>
      </c>
      <c r="AC25">
        <f t="shared" si="23"/>
        <v>0</v>
      </c>
      <c r="AD25">
        <f t="shared" si="24"/>
        <v>0</v>
      </c>
      <c r="AE25">
        <f t="shared" si="25"/>
        <v>0</v>
      </c>
      <c r="AF25">
        <f t="shared" si="26"/>
        <v>0</v>
      </c>
      <c r="AG25">
        <f t="shared" si="26"/>
        <v>0</v>
      </c>
      <c r="AH25">
        <f t="shared" si="29"/>
        <v>0</v>
      </c>
      <c r="AI25">
        <f t="shared" si="27"/>
        <v>0</v>
      </c>
      <c r="AJ25">
        <f t="shared" si="28"/>
        <v>0</v>
      </c>
      <c r="AK25">
        <f t="shared" si="7"/>
        <v>15</v>
      </c>
      <c r="AL25" s="1">
        <f t="shared" si="8"/>
        <v>15</v>
      </c>
      <c r="AM25" s="1">
        <f t="shared" si="9"/>
        <v>0</v>
      </c>
      <c r="AN25" s="1">
        <f t="shared" si="10"/>
        <v>0</v>
      </c>
      <c r="AO25" s="1">
        <f t="shared" si="11"/>
        <v>0</v>
      </c>
      <c r="AP25" s="1">
        <f t="shared" si="12"/>
        <v>0</v>
      </c>
      <c r="AQ25" s="1">
        <f t="shared" si="13"/>
        <v>0</v>
      </c>
      <c r="AR25" s="1">
        <f t="shared" si="14"/>
        <v>0</v>
      </c>
      <c r="AS25" s="1">
        <f t="shared" si="15"/>
        <v>0</v>
      </c>
      <c r="AT25" s="1">
        <f t="shared" si="16"/>
        <v>0</v>
      </c>
      <c r="AU25" s="1">
        <f t="shared" si="17"/>
        <v>0</v>
      </c>
      <c r="AV25" s="1">
        <f t="shared" si="18"/>
        <v>0</v>
      </c>
      <c r="AW25" s="1">
        <f t="shared" si="19"/>
        <v>0</v>
      </c>
      <c r="AX25" s="1">
        <f t="shared" si="20"/>
        <v>0</v>
      </c>
      <c r="AY25" s="1">
        <f t="shared" si="21"/>
        <v>0</v>
      </c>
      <c r="AZ25" s="1">
        <f t="shared" si="22"/>
        <v>0</v>
      </c>
    </row>
    <row r="26" spans="1:52" ht="21" customHeight="1" x14ac:dyDescent="0.35">
      <c r="A26" s="1">
        <v>22</v>
      </c>
      <c r="B26" s="64">
        <f t="shared" si="2"/>
        <v>1</v>
      </c>
      <c r="C26" s="59">
        <f t="shared" si="3"/>
        <v>29.41</v>
      </c>
      <c r="D26" s="9" t="s">
        <v>50</v>
      </c>
      <c r="E26" s="70" cm="1">
        <f t="array" ref="E26">_xlfn.XLOOKUP($D26&amp;E$1,Results_of_the_day!$C:$C&amp;Results_of_the_day!$B:$B,Results_of_the_day!$D:$D,0,0)</f>
        <v>29.41</v>
      </c>
      <c r="F26" s="70" cm="1">
        <f t="array" ref="F26">_xlfn.XLOOKUP($D26&amp;F$1,Results_of_the_day!$C:$C&amp;Results_of_the_day!$B:$B,Results_of_the_day!$D:$D,0,0)</f>
        <v>0</v>
      </c>
      <c r="G26" s="70" cm="1">
        <f t="array" ref="G26">_xlfn.XLOOKUP($D26&amp;G$1,Results_of_the_day!$C:$C&amp;Results_of_the_day!$B:$B,Results_of_the_day!$D:$D,0,0)</f>
        <v>0</v>
      </c>
      <c r="H26" s="70" cm="1">
        <f t="array" ref="H26">_xlfn.XLOOKUP($D26&amp;H$1,Results_of_the_day!$C:$C&amp;Results_of_the_day!$B:$B,Results_of_the_day!$D:$D,0,0)</f>
        <v>0</v>
      </c>
      <c r="I26" s="70" cm="1">
        <f t="array" ref="I26">_xlfn.XLOOKUP($D26&amp;I$1,Results_of_the_day!$C:$C&amp;Results_of_the_day!$B:$B,Results_of_the_day!$D:$D,0,0)</f>
        <v>0</v>
      </c>
      <c r="J26" s="70" cm="1">
        <f t="array" ref="J26">_xlfn.XLOOKUP($D26&amp;J$1,Results_of_the_day!$C:$C&amp;Results_of_the_day!$B:$B,Results_of_the_day!$D:$D,0,0)</f>
        <v>0</v>
      </c>
      <c r="K26" s="70" cm="1">
        <f t="array" ref="K26">_xlfn.XLOOKUP($D26&amp;K$1,Results_of_the_day!$C:$C&amp;Results_of_the_day!$B:$B,Results_of_the_day!$D:$D,0,0)</f>
        <v>0</v>
      </c>
      <c r="L26" s="70" cm="1">
        <f t="array" ref="L26">_xlfn.XLOOKUP($D26&amp;L$1,Results_of_the_day!$C:$C&amp;Results_of_the_day!$B:$B,Results_of_the_day!$D:$D,0,0)</f>
        <v>0</v>
      </c>
      <c r="M26" s="70" cm="1">
        <f t="array" ref="M26">_xlfn.XLOOKUP($D26&amp;M$1,Results_of_the_day!$C:$C&amp;Results_of_the_day!$B:$B,Results_of_the_day!$D:$D,0,0)</f>
        <v>0</v>
      </c>
      <c r="N26" s="70" cm="1">
        <f t="array" ref="N26">_xlfn.XLOOKUP($D26&amp;N$1,Results_of_the_day!$C:$C&amp;Results_of_the_day!$B:$B,Results_of_the_day!$D:$D,0,0)</f>
        <v>0</v>
      </c>
      <c r="O26" s="70" cm="1">
        <f t="array" ref="O26">_xlfn.XLOOKUP($D26&amp;O$1,Results_of_the_day!$C:$C&amp;Results_of_the_day!$B:$B,Results_of_the_day!$D:$D,0,0)</f>
        <v>0</v>
      </c>
      <c r="P26" s="70" cm="1">
        <f t="array" ref="P26">_xlfn.XLOOKUP($D26&amp;P$1,Results_of_the_day!$C:$C&amp;Results_of_the_day!$B:$B,Results_of_the_day!$D:$D,0,0)</f>
        <v>0</v>
      </c>
      <c r="Q26" s="70" cm="1">
        <f t="array" ref="Q26">_xlfn.XLOOKUP($D26&amp;Q$1,Results_of_the_day!$C:$C&amp;Results_of_the_day!$B:$B,Results_of_the_day!$D:$D,0,0)</f>
        <v>0</v>
      </c>
      <c r="R26" s="70" cm="1">
        <f t="array" ref="R26">_xlfn.XLOOKUP($D26&amp;R$1,Results_of_the_day!$C:$C&amp;Results_of_the_day!$B:$B,Results_of_the_day!$D:$D,0,0)</f>
        <v>0</v>
      </c>
      <c r="S26" s="70" cm="1">
        <f t="array" ref="S26">_xlfn.XLOOKUP($D26&amp;S$1,Results_of_the_day!$C:$C&amp;Results_of_the_day!$B:$B,Results_of_the_day!$D:$D,0,0)</f>
        <v>0</v>
      </c>
      <c r="Z26" s="5">
        <f t="shared" ca="1" si="4"/>
        <v>8</v>
      </c>
      <c r="AA26" s="2">
        <f t="shared" ca="1" si="5"/>
        <v>8</v>
      </c>
      <c r="AB26">
        <f t="shared" si="23"/>
        <v>0</v>
      </c>
      <c r="AC26">
        <f t="shared" si="23"/>
        <v>0</v>
      </c>
      <c r="AD26">
        <f t="shared" si="24"/>
        <v>0</v>
      </c>
      <c r="AE26">
        <f t="shared" si="25"/>
        <v>0</v>
      </c>
      <c r="AF26">
        <f t="shared" si="26"/>
        <v>0</v>
      </c>
      <c r="AG26">
        <f t="shared" si="26"/>
        <v>0</v>
      </c>
      <c r="AH26">
        <f t="shared" si="29"/>
        <v>0</v>
      </c>
      <c r="AI26">
        <f t="shared" si="27"/>
        <v>0</v>
      </c>
      <c r="AJ26">
        <f t="shared" si="28"/>
        <v>0</v>
      </c>
      <c r="AK26">
        <f t="shared" si="7"/>
        <v>8</v>
      </c>
      <c r="AL26" s="1">
        <f t="shared" si="8"/>
        <v>8</v>
      </c>
      <c r="AM26" s="1">
        <f t="shared" si="9"/>
        <v>0</v>
      </c>
      <c r="AN26" s="1">
        <f t="shared" si="10"/>
        <v>0</v>
      </c>
      <c r="AO26" s="1">
        <f t="shared" si="11"/>
        <v>0</v>
      </c>
      <c r="AP26" s="1">
        <f t="shared" si="12"/>
        <v>0</v>
      </c>
      <c r="AQ26" s="1">
        <f t="shared" si="13"/>
        <v>0</v>
      </c>
      <c r="AR26" s="1">
        <f t="shared" si="14"/>
        <v>0</v>
      </c>
      <c r="AS26" s="1">
        <f t="shared" si="15"/>
        <v>0</v>
      </c>
      <c r="AT26" s="1">
        <f t="shared" si="16"/>
        <v>0</v>
      </c>
      <c r="AU26" s="1">
        <f t="shared" si="17"/>
        <v>0</v>
      </c>
      <c r="AV26" s="1">
        <f t="shared" si="18"/>
        <v>0</v>
      </c>
      <c r="AW26" s="1">
        <f t="shared" si="19"/>
        <v>0</v>
      </c>
      <c r="AX26" s="1">
        <f t="shared" si="20"/>
        <v>0</v>
      </c>
      <c r="AY26" s="1">
        <f t="shared" si="21"/>
        <v>0</v>
      </c>
      <c r="AZ26" s="1">
        <f t="shared" si="22"/>
        <v>0</v>
      </c>
    </row>
    <row r="27" spans="1:52" ht="21" customHeight="1" x14ac:dyDescent="0.35">
      <c r="A27" s="1">
        <v>23</v>
      </c>
      <c r="B27" s="64">
        <f t="shared" si="2"/>
        <v>1</v>
      </c>
      <c r="C27" s="59">
        <f t="shared" si="3"/>
        <v>27.73</v>
      </c>
      <c r="D27" s="9" t="s">
        <v>45</v>
      </c>
      <c r="E27" s="70" cm="1">
        <f t="array" ref="E27">_xlfn.XLOOKUP($D27&amp;E$1,Results_of_the_day!$C:$C&amp;Results_of_the_day!$B:$B,Results_of_the_day!$D:$D,0,0)</f>
        <v>27.73</v>
      </c>
      <c r="F27" s="70" cm="1">
        <f t="array" ref="F27">_xlfn.XLOOKUP($D27&amp;F$1,Results_of_the_day!$C:$C&amp;Results_of_the_day!$B:$B,Results_of_the_day!$D:$D,0,0)</f>
        <v>0</v>
      </c>
      <c r="G27" s="70" cm="1">
        <f t="array" ref="G27">_xlfn.XLOOKUP($D27&amp;G$1,Results_of_the_day!$C:$C&amp;Results_of_the_day!$B:$B,Results_of_the_day!$D:$D,0,0)</f>
        <v>0</v>
      </c>
      <c r="H27" s="70" cm="1">
        <f t="array" ref="H27">_xlfn.XLOOKUP($D27&amp;H$1,Results_of_the_day!$C:$C&amp;Results_of_the_day!$B:$B,Results_of_the_day!$D:$D,0,0)</f>
        <v>0</v>
      </c>
      <c r="I27" s="70" cm="1">
        <f t="array" ref="I27">_xlfn.XLOOKUP($D27&amp;I$1,Results_of_the_day!$C:$C&amp;Results_of_the_day!$B:$B,Results_of_the_day!$D:$D,0,0)</f>
        <v>0</v>
      </c>
      <c r="J27" s="70" cm="1">
        <f t="array" ref="J27">_xlfn.XLOOKUP($D27&amp;J$1,Results_of_the_day!$C:$C&amp;Results_of_the_day!$B:$B,Results_of_the_day!$D:$D,0,0)</f>
        <v>0</v>
      </c>
      <c r="K27" s="70" cm="1">
        <f t="array" ref="K27">_xlfn.XLOOKUP($D27&amp;K$1,Results_of_the_day!$C:$C&amp;Results_of_the_day!$B:$B,Results_of_the_day!$D:$D,0,0)</f>
        <v>0</v>
      </c>
      <c r="L27" s="70" cm="1">
        <f t="array" ref="L27">_xlfn.XLOOKUP($D27&amp;L$1,Results_of_the_day!$C:$C&amp;Results_of_the_day!$B:$B,Results_of_the_day!$D:$D,0,0)</f>
        <v>0</v>
      </c>
      <c r="M27" s="70" cm="1">
        <f t="array" ref="M27">_xlfn.XLOOKUP($D27&amp;M$1,Results_of_the_day!$C:$C&amp;Results_of_the_day!$B:$B,Results_of_the_day!$D:$D,0,0)</f>
        <v>0</v>
      </c>
      <c r="N27" s="70" cm="1">
        <f t="array" ref="N27">_xlfn.XLOOKUP($D27&amp;N$1,Results_of_the_day!$C:$C&amp;Results_of_the_day!$B:$B,Results_of_the_day!$D:$D,0,0)</f>
        <v>0</v>
      </c>
      <c r="O27" s="70" cm="1">
        <f t="array" ref="O27">_xlfn.XLOOKUP($D27&amp;O$1,Results_of_the_day!$C:$C&amp;Results_of_the_day!$B:$B,Results_of_the_day!$D:$D,0,0)</f>
        <v>0</v>
      </c>
      <c r="P27" s="70" cm="1">
        <f t="array" ref="P27">_xlfn.XLOOKUP($D27&amp;P$1,Results_of_the_day!$C:$C&amp;Results_of_the_day!$B:$B,Results_of_the_day!$D:$D,0,0)</f>
        <v>0</v>
      </c>
      <c r="Q27" s="70" cm="1">
        <f t="array" ref="Q27">_xlfn.XLOOKUP($D27&amp;Q$1,Results_of_the_day!$C:$C&amp;Results_of_the_day!$B:$B,Results_of_the_day!$D:$D,0,0)</f>
        <v>0</v>
      </c>
      <c r="R27" s="70" cm="1">
        <f t="array" ref="R27">_xlfn.XLOOKUP($D27&amp;R$1,Results_of_the_day!$C:$C&amp;Results_of_the_day!$B:$B,Results_of_the_day!$D:$D,0,0)</f>
        <v>0</v>
      </c>
      <c r="S27" s="70" cm="1">
        <f t="array" ref="S27">_xlfn.XLOOKUP($D27&amp;S$1,Results_of_the_day!$C:$C&amp;Results_of_the_day!$B:$B,Results_of_the_day!$D:$D,0,0)</f>
        <v>0</v>
      </c>
      <c r="Z27" s="5">
        <f t="shared" ca="1" si="4"/>
        <v>12</v>
      </c>
      <c r="AA27" s="2">
        <f t="shared" ca="1" si="5"/>
        <v>12</v>
      </c>
      <c r="AB27">
        <f t="shared" si="23"/>
        <v>0</v>
      </c>
      <c r="AC27">
        <f t="shared" si="23"/>
        <v>0</v>
      </c>
      <c r="AD27">
        <f t="shared" si="24"/>
        <v>0</v>
      </c>
      <c r="AE27">
        <f t="shared" si="25"/>
        <v>0</v>
      </c>
      <c r="AF27">
        <f t="shared" si="26"/>
        <v>0</v>
      </c>
      <c r="AG27">
        <f t="shared" si="26"/>
        <v>0</v>
      </c>
      <c r="AH27">
        <f t="shared" si="29"/>
        <v>0</v>
      </c>
      <c r="AI27">
        <f t="shared" si="27"/>
        <v>0</v>
      </c>
      <c r="AJ27">
        <f t="shared" si="28"/>
        <v>0</v>
      </c>
      <c r="AK27">
        <f t="shared" si="7"/>
        <v>12</v>
      </c>
      <c r="AL27" s="1">
        <f t="shared" si="8"/>
        <v>12</v>
      </c>
      <c r="AM27" s="1">
        <f t="shared" si="9"/>
        <v>0</v>
      </c>
      <c r="AN27" s="1">
        <f t="shared" si="10"/>
        <v>0</v>
      </c>
      <c r="AO27" s="1">
        <f t="shared" si="11"/>
        <v>0</v>
      </c>
      <c r="AP27" s="1">
        <f t="shared" si="12"/>
        <v>0</v>
      </c>
      <c r="AQ27" s="1">
        <f t="shared" si="13"/>
        <v>0</v>
      </c>
      <c r="AR27" s="1">
        <f t="shared" si="14"/>
        <v>0</v>
      </c>
      <c r="AS27" s="1">
        <f t="shared" si="15"/>
        <v>0</v>
      </c>
      <c r="AT27" s="1">
        <f t="shared" si="16"/>
        <v>0</v>
      </c>
      <c r="AU27" s="1">
        <f t="shared" si="17"/>
        <v>0</v>
      </c>
      <c r="AV27" s="1">
        <f t="shared" si="18"/>
        <v>0</v>
      </c>
      <c r="AW27" s="1">
        <f t="shared" si="19"/>
        <v>0</v>
      </c>
      <c r="AX27" s="1">
        <f t="shared" si="20"/>
        <v>0</v>
      </c>
      <c r="AY27" s="1">
        <f t="shared" si="21"/>
        <v>0</v>
      </c>
      <c r="AZ27" s="1">
        <f t="shared" si="22"/>
        <v>0</v>
      </c>
    </row>
    <row r="28" spans="1:52" ht="21" customHeight="1" x14ac:dyDescent="0.35">
      <c r="A28" s="1">
        <v>24</v>
      </c>
      <c r="B28" s="64">
        <f t="shared" si="2"/>
        <v>1</v>
      </c>
      <c r="C28" s="59">
        <f t="shared" si="3"/>
        <v>29.71</v>
      </c>
      <c r="D28" s="9" t="s">
        <v>32</v>
      </c>
      <c r="E28" s="70" cm="1">
        <f t="array" ref="E28">_xlfn.XLOOKUP($D28&amp;E$1,Results_of_the_day!$C:$C&amp;Results_of_the_day!$B:$B,Results_of_the_day!$D:$D,0,0)</f>
        <v>29.71</v>
      </c>
      <c r="F28" s="70" cm="1">
        <f t="array" ref="F28">_xlfn.XLOOKUP($D28&amp;F$1,Results_of_the_day!$C:$C&amp;Results_of_the_day!$B:$B,Results_of_the_day!$D:$D,0,0)</f>
        <v>0</v>
      </c>
      <c r="G28" s="70" cm="1">
        <f t="array" ref="G28">_xlfn.XLOOKUP($D28&amp;G$1,Results_of_the_day!$C:$C&amp;Results_of_the_day!$B:$B,Results_of_the_day!$D:$D,0,0)</f>
        <v>0</v>
      </c>
      <c r="H28" s="70" cm="1">
        <f t="array" ref="H28">_xlfn.XLOOKUP($D28&amp;H$1,Results_of_the_day!$C:$C&amp;Results_of_the_day!$B:$B,Results_of_the_day!$D:$D,0,0)</f>
        <v>0</v>
      </c>
      <c r="I28" s="70" cm="1">
        <f t="array" ref="I28">_xlfn.XLOOKUP($D28&amp;I$1,Results_of_the_day!$C:$C&amp;Results_of_the_day!$B:$B,Results_of_the_day!$D:$D,0,0)</f>
        <v>0</v>
      </c>
      <c r="J28" s="70" cm="1">
        <f t="array" ref="J28">_xlfn.XLOOKUP($D28&amp;J$1,Results_of_the_day!$C:$C&amp;Results_of_the_day!$B:$B,Results_of_the_day!$D:$D,0,0)</f>
        <v>0</v>
      </c>
      <c r="K28" s="70" cm="1">
        <f t="array" ref="K28">_xlfn.XLOOKUP($D28&amp;K$1,Results_of_the_day!$C:$C&amp;Results_of_the_day!$B:$B,Results_of_the_day!$D:$D,0,0)</f>
        <v>0</v>
      </c>
      <c r="L28" s="70" cm="1">
        <f t="array" ref="L28">_xlfn.XLOOKUP($D28&amp;L$1,Results_of_the_day!$C:$C&amp;Results_of_the_day!$B:$B,Results_of_the_day!$D:$D,0,0)</f>
        <v>0</v>
      </c>
      <c r="M28" s="70" cm="1">
        <f t="array" ref="M28">_xlfn.XLOOKUP($D28&amp;M$1,Results_of_the_day!$C:$C&amp;Results_of_the_day!$B:$B,Results_of_the_day!$D:$D,0,0)</f>
        <v>0</v>
      </c>
      <c r="N28" s="70" cm="1">
        <f t="array" ref="N28">_xlfn.XLOOKUP($D28&amp;N$1,Results_of_the_day!$C:$C&amp;Results_of_the_day!$B:$B,Results_of_the_day!$D:$D,0,0)</f>
        <v>0</v>
      </c>
      <c r="O28" s="70" cm="1">
        <f t="array" ref="O28">_xlfn.XLOOKUP($D28&amp;O$1,Results_of_the_day!$C:$C&amp;Results_of_the_day!$B:$B,Results_of_the_day!$D:$D,0,0)</f>
        <v>0</v>
      </c>
      <c r="P28" s="70" cm="1">
        <f t="array" ref="P28">_xlfn.XLOOKUP($D28&amp;P$1,Results_of_the_day!$C:$C&amp;Results_of_the_day!$B:$B,Results_of_the_day!$D:$D,0,0)</f>
        <v>0</v>
      </c>
      <c r="Q28" s="70" cm="1">
        <f t="array" ref="Q28">_xlfn.XLOOKUP($D28&amp;Q$1,Results_of_the_day!$C:$C&amp;Results_of_the_day!$B:$B,Results_of_the_day!$D:$D,0,0)</f>
        <v>0</v>
      </c>
      <c r="R28" s="70" cm="1">
        <f t="array" ref="R28">_xlfn.XLOOKUP($D28&amp;R$1,Results_of_the_day!$C:$C&amp;Results_of_the_day!$B:$B,Results_of_the_day!$D:$D,0,0)</f>
        <v>0</v>
      </c>
      <c r="S28" s="70" cm="1">
        <f t="array" ref="S28">_xlfn.XLOOKUP($D28&amp;S$1,Results_of_the_day!$C:$C&amp;Results_of_the_day!$B:$B,Results_of_the_day!$D:$D,0,0)</f>
        <v>0</v>
      </c>
      <c r="Z28" s="5">
        <f t="shared" ca="1" si="4"/>
        <v>6</v>
      </c>
      <c r="AA28" s="2">
        <f t="shared" ca="1" si="5"/>
        <v>6</v>
      </c>
      <c r="AB28">
        <f t="shared" ref="AB28:AJ28" si="30">AC28-LARGE($AL28:$AZ28,AB$3)</f>
        <v>0</v>
      </c>
      <c r="AC28">
        <f t="shared" si="30"/>
        <v>0</v>
      </c>
      <c r="AD28">
        <f t="shared" si="30"/>
        <v>0</v>
      </c>
      <c r="AE28">
        <f t="shared" si="30"/>
        <v>0</v>
      </c>
      <c r="AF28">
        <f t="shared" si="30"/>
        <v>0</v>
      </c>
      <c r="AG28">
        <f t="shared" si="30"/>
        <v>0</v>
      </c>
      <c r="AH28">
        <f t="shared" si="30"/>
        <v>0</v>
      </c>
      <c r="AI28">
        <f t="shared" si="30"/>
        <v>0</v>
      </c>
      <c r="AJ28">
        <f t="shared" si="30"/>
        <v>0</v>
      </c>
      <c r="AK28">
        <f>SUM(AL28:AZ28)</f>
        <v>6</v>
      </c>
      <c r="AL28" s="1">
        <f t="shared" si="8"/>
        <v>6</v>
      </c>
      <c r="AM28" s="1">
        <f t="shared" si="9"/>
        <v>0</v>
      </c>
      <c r="AN28" s="1">
        <f t="shared" si="10"/>
        <v>0</v>
      </c>
      <c r="AO28" s="1">
        <f t="shared" si="11"/>
        <v>0</v>
      </c>
      <c r="AP28" s="1">
        <f t="shared" si="12"/>
        <v>0</v>
      </c>
      <c r="AQ28" s="1">
        <f t="shared" si="13"/>
        <v>0</v>
      </c>
      <c r="AR28" s="1">
        <f t="shared" si="14"/>
        <v>0</v>
      </c>
      <c r="AS28" s="1">
        <f t="shared" si="15"/>
        <v>0</v>
      </c>
      <c r="AT28" s="1">
        <f t="shared" si="16"/>
        <v>0</v>
      </c>
      <c r="AU28" s="1">
        <f t="shared" si="17"/>
        <v>0</v>
      </c>
      <c r="AV28" s="1">
        <f t="shared" si="18"/>
        <v>0</v>
      </c>
      <c r="AW28" s="1">
        <f t="shared" si="19"/>
        <v>0</v>
      </c>
      <c r="AX28" s="1">
        <f t="shared" si="20"/>
        <v>0</v>
      </c>
      <c r="AY28" s="1">
        <f t="shared" si="21"/>
        <v>0</v>
      </c>
      <c r="AZ28" s="1">
        <f t="shared" si="22"/>
        <v>0</v>
      </c>
    </row>
    <row r="29" spans="1:52" ht="21" customHeight="1" x14ac:dyDescent="0.35">
      <c r="A29" s="1">
        <v>25</v>
      </c>
      <c r="B29" s="64">
        <f t="shared" si="2"/>
        <v>1</v>
      </c>
      <c r="C29" s="59">
        <f t="shared" si="3"/>
        <v>25.4</v>
      </c>
      <c r="D29" s="9" t="s">
        <v>79</v>
      </c>
      <c r="E29" s="70" cm="1">
        <f t="array" ref="E29">_xlfn.XLOOKUP($D29&amp;E$1,Results_of_the_day!$C:$C&amp;Results_of_the_day!$B:$B,Results_of_the_day!$D:$D,0,0)</f>
        <v>25.4</v>
      </c>
      <c r="F29" s="70" cm="1">
        <f t="array" ref="F29">_xlfn.XLOOKUP($D29&amp;F$1,Results_of_the_day!$C:$C&amp;Results_of_the_day!$B:$B,Results_of_the_day!$D:$D,0,0)</f>
        <v>0</v>
      </c>
      <c r="G29" s="70" cm="1">
        <f t="array" ref="G29">_xlfn.XLOOKUP($D29&amp;G$1,Results_of_the_day!$C:$C&amp;Results_of_the_day!$B:$B,Results_of_the_day!$D:$D,0,0)</f>
        <v>0</v>
      </c>
      <c r="H29" s="70" cm="1">
        <f t="array" ref="H29">_xlfn.XLOOKUP($D29&amp;H$1,Results_of_the_day!$C:$C&amp;Results_of_the_day!$B:$B,Results_of_the_day!$D:$D,0,0)</f>
        <v>0</v>
      </c>
      <c r="I29" s="70" cm="1">
        <f t="array" ref="I29">_xlfn.XLOOKUP($D29&amp;I$1,Results_of_the_day!$C:$C&amp;Results_of_the_day!$B:$B,Results_of_the_day!$D:$D,0,0)</f>
        <v>0</v>
      </c>
      <c r="J29" s="70" cm="1">
        <f t="array" ref="J29">_xlfn.XLOOKUP($D29&amp;J$1,Results_of_the_day!$C:$C&amp;Results_of_the_day!$B:$B,Results_of_the_day!$D:$D,0,0)</f>
        <v>0</v>
      </c>
      <c r="K29" s="70" cm="1">
        <f t="array" ref="K29">_xlfn.XLOOKUP($D29&amp;K$1,Results_of_the_day!$C:$C&amp;Results_of_the_day!$B:$B,Results_of_the_day!$D:$D,0,0)</f>
        <v>0</v>
      </c>
      <c r="L29" s="70" cm="1">
        <f t="array" ref="L29">_xlfn.XLOOKUP($D29&amp;L$1,Results_of_the_day!$C:$C&amp;Results_of_the_day!$B:$B,Results_of_the_day!$D:$D,0,0)</f>
        <v>0</v>
      </c>
      <c r="M29" s="70" cm="1">
        <f t="array" ref="M29">_xlfn.XLOOKUP($D29&amp;M$1,Results_of_the_day!$C:$C&amp;Results_of_the_day!$B:$B,Results_of_the_day!$D:$D,0,0)</f>
        <v>0</v>
      </c>
      <c r="N29" s="70" cm="1">
        <f t="array" ref="N29">_xlfn.XLOOKUP($D29&amp;N$1,Results_of_the_day!$C:$C&amp;Results_of_the_day!$B:$B,Results_of_the_day!$D:$D,0,0)</f>
        <v>0</v>
      </c>
      <c r="O29" s="70" cm="1">
        <f t="array" ref="O29">_xlfn.XLOOKUP($D29&amp;O$1,Results_of_the_day!$C:$C&amp;Results_of_the_day!$B:$B,Results_of_the_day!$D:$D,0,0)</f>
        <v>0</v>
      </c>
      <c r="P29" s="70" cm="1">
        <f t="array" ref="P29">_xlfn.XLOOKUP($D29&amp;P$1,Results_of_the_day!$C:$C&amp;Results_of_the_day!$B:$B,Results_of_the_day!$D:$D,0,0)</f>
        <v>0</v>
      </c>
      <c r="Q29" s="70" cm="1">
        <f t="array" ref="Q29">_xlfn.XLOOKUP($D29&amp;Q$1,Results_of_the_day!$C:$C&amp;Results_of_the_day!$B:$B,Results_of_the_day!$D:$D,0,0)</f>
        <v>0</v>
      </c>
      <c r="R29" s="70" cm="1">
        <f t="array" ref="R29">_xlfn.XLOOKUP($D29&amp;R$1,Results_of_the_day!$C:$C&amp;Results_of_the_day!$B:$B,Results_of_the_day!$D:$D,0,0)</f>
        <v>0</v>
      </c>
      <c r="S29" s="70" cm="1">
        <f t="array" ref="S29">_xlfn.XLOOKUP($D29&amp;S$1,Results_of_the_day!$C:$C&amp;Results_of_the_day!$B:$B,Results_of_the_day!$D:$D,0,0)</f>
        <v>0</v>
      </c>
      <c r="Z29" s="5">
        <f t="shared" ca="1" si="4"/>
        <v>14</v>
      </c>
      <c r="AA29" s="2">
        <f t="shared" ca="1" si="5"/>
        <v>14</v>
      </c>
      <c r="AB29">
        <f t="shared" si="23"/>
        <v>0</v>
      </c>
      <c r="AC29">
        <f t="shared" si="23"/>
        <v>0</v>
      </c>
      <c r="AD29">
        <f t="shared" si="24"/>
        <v>0</v>
      </c>
      <c r="AE29">
        <f t="shared" si="25"/>
        <v>0</v>
      </c>
      <c r="AF29">
        <f t="shared" si="26"/>
        <v>0</v>
      </c>
      <c r="AG29">
        <f t="shared" si="26"/>
        <v>0</v>
      </c>
      <c r="AH29">
        <f t="shared" si="29"/>
        <v>0</v>
      </c>
      <c r="AI29">
        <f t="shared" si="27"/>
        <v>0</v>
      </c>
      <c r="AJ29">
        <f t="shared" si="28"/>
        <v>0</v>
      </c>
      <c r="AK29">
        <f t="shared" si="7"/>
        <v>14</v>
      </c>
      <c r="AL29" s="1">
        <f t="shared" si="8"/>
        <v>14</v>
      </c>
      <c r="AM29" s="1">
        <f t="shared" si="9"/>
        <v>0</v>
      </c>
      <c r="AN29" s="1">
        <f t="shared" si="10"/>
        <v>0</v>
      </c>
      <c r="AO29" s="1">
        <f t="shared" si="11"/>
        <v>0</v>
      </c>
      <c r="AP29" s="1">
        <f t="shared" si="12"/>
        <v>0</v>
      </c>
      <c r="AQ29" s="1">
        <f t="shared" si="13"/>
        <v>0</v>
      </c>
      <c r="AR29" s="1">
        <f t="shared" si="14"/>
        <v>0</v>
      </c>
      <c r="AS29" s="1">
        <f t="shared" si="15"/>
        <v>0</v>
      </c>
      <c r="AT29" s="1">
        <f t="shared" si="16"/>
        <v>0</v>
      </c>
      <c r="AU29" s="1">
        <f t="shared" si="17"/>
        <v>0</v>
      </c>
      <c r="AV29" s="1">
        <f t="shared" si="18"/>
        <v>0</v>
      </c>
      <c r="AW29" s="1">
        <f t="shared" si="19"/>
        <v>0</v>
      </c>
      <c r="AX29" s="1">
        <f t="shared" si="20"/>
        <v>0</v>
      </c>
      <c r="AY29" s="1">
        <f t="shared" si="21"/>
        <v>0</v>
      </c>
      <c r="AZ29" s="1">
        <f t="shared" si="22"/>
        <v>0</v>
      </c>
    </row>
    <row r="30" spans="1:52" ht="21" customHeight="1" x14ac:dyDescent="0.35">
      <c r="A30" s="1">
        <v>26</v>
      </c>
      <c r="B30" s="64">
        <f t="shared" si="2"/>
        <v>0</v>
      </c>
      <c r="C30" s="59">
        <f t="shared" si="3"/>
        <v>0</v>
      </c>
      <c r="D30" s="9" t="s">
        <v>48</v>
      </c>
      <c r="E30" s="70" cm="1">
        <f t="array" ref="E30">_xlfn.XLOOKUP($D30&amp;E$1,Results_of_the_day!$C:$C&amp;Results_of_the_day!$B:$B,Results_of_the_day!$D:$D,0,0)</f>
        <v>0</v>
      </c>
      <c r="F30" s="70" cm="1">
        <f t="array" ref="F30">_xlfn.XLOOKUP($D30&amp;F$1,Results_of_the_day!$C:$C&amp;Results_of_the_day!$B:$B,Results_of_the_day!$D:$D,0,0)</f>
        <v>0</v>
      </c>
      <c r="G30" s="70" cm="1">
        <f t="array" ref="G30">_xlfn.XLOOKUP($D30&amp;G$1,Results_of_the_day!$C:$C&amp;Results_of_the_day!$B:$B,Results_of_the_day!$D:$D,0,0)</f>
        <v>0</v>
      </c>
      <c r="H30" s="70" cm="1">
        <f t="array" ref="H30">_xlfn.XLOOKUP($D30&amp;H$1,Results_of_the_day!$C:$C&amp;Results_of_the_day!$B:$B,Results_of_the_day!$D:$D,0,0)</f>
        <v>0</v>
      </c>
      <c r="I30" s="70" cm="1">
        <f t="array" ref="I30">_xlfn.XLOOKUP($D30&amp;I$1,Results_of_the_day!$C:$C&amp;Results_of_the_day!$B:$B,Results_of_the_day!$D:$D,0,0)</f>
        <v>0</v>
      </c>
      <c r="J30" s="70" cm="1">
        <f t="array" ref="J30">_xlfn.XLOOKUP($D30&amp;J$1,Results_of_the_day!$C:$C&amp;Results_of_the_day!$B:$B,Results_of_the_day!$D:$D,0,0)</f>
        <v>0</v>
      </c>
      <c r="K30" s="70" cm="1">
        <f t="array" ref="K30">_xlfn.XLOOKUP($D30&amp;K$1,Results_of_the_day!$C:$C&amp;Results_of_the_day!$B:$B,Results_of_the_day!$D:$D,0,0)</f>
        <v>0</v>
      </c>
      <c r="L30" s="70" cm="1">
        <f t="array" ref="L30">_xlfn.XLOOKUP($D30&amp;L$1,Results_of_the_day!$C:$C&amp;Results_of_the_day!$B:$B,Results_of_the_day!$D:$D,0,0)</f>
        <v>0</v>
      </c>
      <c r="M30" s="70" cm="1">
        <f t="array" ref="M30">_xlfn.XLOOKUP($D30&amp;M$1,Results_of_the_day!$C:$C&amp;Results_of_the_day!$B:$B,Results_of_the_day!$D:$D,0,0)</f>
        <v>0</v>
      </c>
      <c r="N30" s="70" cm="1">
        <f t="array" ref="N30">_xlfn.XLOOKUP($D30&amp;N$1,Results_of_the_day!$C:$C&amp;Results_of_the_day!$B:$B,Results_of_the_day!$D:$D,0,0)</f>
        <v>0</v>
      </c>
      <c r="O30" s="70" cm="1">
        <f t="array" ref="O30">_xlfn.XLOOKUP($D30&amp;O$1,Results_of_the_day!$C:$C&amp;Results_of_the_day!$B:$B,Results_of_the_day!$D:$D,0,0)</f>
        <v>0</v>
      </c>
      <c r="P30" s="70" cm="1">
        <f t="array" ref="P30">_xlfn.XLOOKUP($D30&amp;P$1,Results_of_the_day!$C:$C&amp;Results_of_the_day!$B:$B,Results_of_the_day!$D:$D,0,0)</f>
        <v>0</v>
      </c>
      <c r="Q30" s="70" cm="1">
        <f t="array" ref="Q30">_xlfn.XLOOKUP($D30&amp;Q$1,Results_of_the_day!$C:$C&amp;Results_of_the_day!$B:$B,Results_of_the_day!$D:$D,0,0)</f>
        <v>0</v>
      </c>
      <c r="R30" s="70" cm="1">
        <f t="array" ref="R30">_xlfn.XLOOKUP($D30&amp;R$1,Results_of_the_day!$C:$C&amp;Results_of_the_day!$B:$B,Results_of_the_day!$D:$D,0,0)</f>
        <v>0</v>
      </c>
      <c r="S30" s="70" cm="1">
        <f t="array" ref="S30">_xlfn.XLOOKUP($D30&amp;S$1,Results_of_the_day!$C:$C&amp;Results_of_the_day!$B:$B,Results_of_the_day!$D:$D,0,0)</f>
        <v>0</v>
      </c>
      <c r="Z30" s="5">
        <f t="shared" ca="1" si="4"/>
        <v>15</v>
      </c>
      <c r="AA30" s="2">
        <f t="shared" ca="1" si="5"/>
        <v>9999</v>
      </c>
      <c r="AB30">
        <f t="shared" si="23"/>
        <v>0</v>
      </c>
      <c r="AC30">
        <f t="shared" si="23"/>
        <v>0</v>
      </c>
      <c r="AD30">
        <f t="shared" si="24"/>
        <v>0</v>
      </c>
      <c r="AE30">
        <f t="shared" si="25"/>
        <v>0</v>
      </c>
      <c r="AF30">
        <f t="shared" si="26"/>
        <v>0</v>
      </c>
      <c r="AG30">
        <f t="shared" si="26"/>
        <v>0</v>
      </c>
      <c r="AH30">
        <f t="shared" si="29"/>
        <v>0</v>
      </c>
      <c r="AI30">
        <f t="shared" si="27"/>
        <v>0</v>
      </c>
      <c r="AJ30">
        <f t="shared" si="28"/>
        <v>0</v>
      </c>
      <c r="AK30">
        <f t="shared" si="7"/>
        <v>15</v>
      </c>
      <c r="AL30" s="1">
        <f t="shared" si="8"/>
        <v>15</v>
      </c>
      <c r="AM30" s="1">
        <f t="shared" si="9"/>
        <v>0</v>
      </c>
      <c r="AN30" s="1">
        <f t="shared" si="10"/>
        <v>0</v>
      </c>
      <c r="AO30" s="1">
        <f t="shared" si="11"/>
        <v>0</v>
      </c>
      <c r="AP30" s="1">
        <f t="shared" si="12"/>
        <v>0</v>
      </c>
      <c r="AQ30" s="1">
        <f t="shared" si="13"/>
        <v>0</v>
      </c>
      <c r="AR30" s="1">
        <f t="shared" si="14"/>
        <v>0</v>
      </c>
      <c r="AS30" s="1">
        <f t="shared" si="15"/>
        <v>0</v>
      </c>
      <c r="AT30" s="1">
        <f t="shared" si="16"/>
        <v>0</v>
      </c>
      <c r="AU30" s="1">
        <f t="shared" si="17"/>
        <v>0</v>
      </c>
      <c r="AV30" s="1">
        <f t="shared" si="18"/>
        <v>0</v>
      </c>
      <c r="AW30" s="1">
        <f t="shared" si="19"/>
        <v>0</v>
      </c>
      <c r="AX30" s="1">
        <f t="shared" si="20"/>
        <v>0</v>
      </c>
      <c r="AY30" s="1">
        <f t="shared" si="21"/>
        <v>0</v>
      </c>
      <c r="AZ30" s="1">
        <f t="shared" si="22"/>
        <v>0</v>
      </c>
    </row>
    <row r="31" spans="1:52" ht="21" customHeight="1" x14ac:dyDescent="0.35">
      <c r="A31" s="1">
        <v>27</v>
      </c>
      <c r="B31" s="64">
        <f t="shared" si="2"/>
        <v>1</v>
      </c>
      <c r="C31" s="59">
        <f t="shared" si="3"/>
        <v>31.1</v>
      </c>
      <c r="D31" s="9" t="s">
        <v>34</v>
      </c>
      <c r="E31" s="70" cm="1">
        <f t="array" ref="E31">_xlfn.XLOOKUP($D31&amp;E$1,Results_of_the_day!$C:$C&amp;Results_of_the_day!$B:$B,Results_of_the_day!$D:$D,0,0)</f>
        <v>31.1</v>
      </c>
      <c r="F31" s="70" cm="1">
        <f t="array" ref="F31">_xlfn.XLOOKUP($D31&amp;F$1,Results_of_the_day!$C:$C&amp;Results_of_the_day!$B:$B,Results_of_the_day!$D:$D,0,0)</f>
        <v>0</v>
      </c>
      <c r="G31" s="70" cm="1">
        <f t="array" ref="G31">_xlfn.XLOOKUP($D31&amp;G$1,Results_of_the_day!$C:$C&amp;Results_of_the_day!$B:$B,Results_of_the_day!$D:$D,0,0)</f>
        <v>0</v>
      </c>
      <c r="H31" s="70" cm="1">
        <f t="array" ref="H31">_xlfn.XLOOKUP($D31&amp;H$1,Results_of_the_day!$C:$C&amp;Results_of_the_day!$B:$B,Results_of_the_day!$D:$D,0,0)</f>
        <v>0</v>
      </c>
      <c r="I31" s="70" cm="1">
        <f t="array" ref="I31">_xlfn.XLOOKUP($D31&amp;I$1,Results_of_the_day!$C:$C&amp;Results_of_the_day!$B:$B,Results_of_the_day!$D:$D,0,0)</f>
        <v>0</v>
      </c>
      <c r="J31" s="70" cm="1">
        <f t="array" ref="J31">_xlfn.XLOOKUP($D31&amp;J$1,Results_of_the_day!$C:$C&amp;Results_of_the_day!$B:$B,Results_of_the_day!$D:$D,0,0)</f>
        <v>0</v>
      </c>
      <c r="K31" s="70" cm="1">
        <f t="array" ref="K31">_xlfn.XLOOKUP($D31&amp;K$1,Results_of_the_day!$C:$C&amp;Results_of_the_day!$B:$B,Results_of_the_day!$D:$D,0,0)</f>
        <v>0</v>
      </c>
      <c r="L31" s="70" cm="1">
        <f t="array" ref="L31">_xlfn.XLOOKUP($D31&amp;L$1,Results_of_the_day!$C:$C&amp;Results_of_the_day!$B:$B,Results_of_the_day!$D:$D,0,0)</f>
        <v>0</v>
      </c>
      <c r="M31" s="70" cm="1">
        <f t="array" ref="M31">_xlfn.XLOOKUP($D31&amp;M$1,Results_of_the_day!$C:$C&amp;Results_of_the_day!$B:$B,Results_of_the_day!$D:$D,0,0)</f>
        <v>0</v>
      </c>
      <c r="N31" s="70" cm="1">
        <f t="array" ref="N31">_xlfn.XLOOKUP($D31&amp;N$1,Results_of_the_day!$C:$C&amp;Results_of_the_day!$B:$B,Results_of_the_day!$D:$D,0,0)</f>
        <v>0</v>
      </c>
      <c r="O31" s="70" cm="1">
        <f t="array" ref="O31">_xlfn.XLOOKUP($D31&amp;O$1,Results_of_the_day!$C:$C&amp;Results_of_the_day!$B:$B,Results_of_the_day!$D:$D,0,0)</f>
        <v>0</v>
      </c>
      <c r="P31" s="70" cm="1">
        <f t="array" ref="P31">_xlfn.XLOOKUP($D31&amp;P$1,Results_of_the_day!$C:$C&amp;Results_of_the_day!$B:$B,Results_of_the_day!$D:$D,0,0)</f>
        <v>0</v>
      </c>
      <c r="Q31" s="70" cm="1">
        <f t="array" ref="Q31">_xlfn.XLOOKUP($D31&amp;Q$1,Results_of_the_day!$C:$C&amp;Results_of_the_day!$B:$B,Results_of_the_day!$D:$D,0,0)</f>
        <v>0</v>
      </c>
      <c r="R31" s="70" cm="1">
        <f t="array" ref="R31">_xlfn.XLOOKUP($D31&amp;R$1,Results_of_the_day!$C:$C&amp;Results_of_the_day!$B:$B,Results_of_the_day!$D:$D,0,0)</f>
        <v>0</v>
      </c>
      <c r="S31" s="70" cm="1">
        <f t="array" ref="S31">_xlfn.XLOOKUP($D31&amp;S$1,Results_of_the_day!$C:$C&amp;Results_of_the_day!$B:$B,Results_of_the_day!$D:$D,0,0)</f>
        <v>0</v>
      </c>
      <c r="Z31" s="5">
        <f t="shared" ca="1" si="4"/>
        <v>3</v>
      </c>
      <c r="AA31" s="2">
        <f t="shared" ca="1" si="5"/>
        <v>3</v>
      </c>
      <c r="AB31">
        <f t="shared" si="23"/>
        <v>0</v>
      </c>
      <c r="AC31">
        <f t="shared" si="23"/>
        <v>0</v>
      </c>
      <c r="AD31">
        <f t="shared" si="24"/>
        <v>0</v>
      </c>
      <c r="AE31">
        <f t="shared" si="25"/>
        <v>0</v>
      </c>
      <c r="AF31">
        <f t="shared" si="26"/>
        <v>0</v>
      </c>
      <c r="AG31">
        <f t="shared" si="26"/>
        <v>0</v>
      </c>
      <c r="AH31">
        <f t="shared" si="29"/>
        <v>0</v>
      </c>
      <c r="AI31">
        <f t="shared" si="27"/>
        <v>0</v>
      </c>
      <c r="AJ31">
        <f t="shared" si="28"/>
        <v>0</v>
      </c>
      <c r="AK31">
        <f t="shared" si="7"/>
        <v>3</v>
      </c>
      <c r="AL31" s="1">
        <f t="shared" si="8"/>
        <v>3</v>
      </c>
      <c r="AM31" s="1">
        <f t="shared" si="9"/>
        <v>0</v>
      </c>
      <c r="AN31" s="1">
        <f t="shared" si="10"/>
        <v>0</v>
      </c>
      <c r="AO31" s="1">
        <f t="shared" si="11"/>
        <v>0</v>
      </c>
      <c r="AP31" s="1">
        <f t="shared" si="12"/>
        <v>0</v>
      </c>
      <c r="AQ31" s="1">
        <f t="shared" si="13"/>
        <v>0</v>
      </c>
      <c r="AR31" s="1">
        <f t="shared" si="14"/>
        <v>0</v>
      </c>
      <c r="AS31" s="1">
        <f t="shared" si="15"/>
        <v>0</v>
      </c>
      <c r="AT31" s="1">
        <f t="shared" si="16"/>
        <v>0</v>
      </c>
      <c r="AU31" s="1">
        <f t="shared" si="17"/>
        <v>0</v>
      </c>
      <c r="AV31" s="1">
        <f t="shared" si="18"/>
        <v>0</v>
      </c>
      <c r="AW31" s="1">
        <f t="shared" si="19"/>
        <v>0</v>
      </c>
      <c r="AX31" s="1">
        <f t="shared" si="20"/>
        <v>0</v>
      </c>
      <c r="AY31" s="1">
        <f t="shared" si="21"/>
        <v>0</v>
      </c>
      <c r="AZ31" s="1">
        <f t="shared" si="22"/>
        <v>0</v>
      </c>
    </row>
    <row r="32" spans="1:52" ht="21" customHeight="1" x14ac:dyDescent="0.35">
      <c r="A32" s="1">
        <v>28</v>
      </c>
      <c r="B32" s="64">
        <f t="shared" si="2"/>
        <v>0</v>
      </c>
      <c r="C32" s="59">
        <f t="shared" si="3"/>
        <v>0</v>
      </c>
      <c r="D32" s="9" t="s">
        <v>102</v>
      </c>
      <c r="E32" s="70" cm="1">
        <f t="array" ref="E32">_xlfn.XLOOKUP($D32&amp;E$1,Results_of_the_day!$C:$C&amp;Results_of_the_day!$B:$B,Results_of_the_day!$D:$D,0,0)</f>
        <v>0</v>
      </c>
      <c r="F32" s="70" cm="1">
        <f t="array" ref="F32">_xlfn.XLOOKUP($D32&amp;F$1,Results_of_the_day!$C:$C&amp;Results_of_the_day!$B:$B,Results_of_the_day!$D:$D,0,0)</f>
        <v>0</v>
      </c>
      <c r="G32" s="70" cm="1">
        <f t="array" ref="G32">_xlfn.XLOOKUP($D32&amp;G$1,Results_of_the_day!$C:$C&amp;Results_of_the_day!$B:$B,Results_of_the_day!$D:$D,0,0)</f>
        <v>0</v>
      </c>
      <c r="H32" s="70" cm="1">
        <f t="array" ref="H32">_xlfn.XLOOKUP($D32&amp;H$1,Results_of_the_day!$C:$C&amp;Results_of_the_day!$B:$B,Results_of_the_day!$D:$D,0,0)</f>
        <v>0</v>
      </c>
      <c r="I32" s="70" cm="1">
        <f t="array" ref="I32">_xlfn.XLOOKUP($D32&amp;I$1,Results_of_the_day!$C:$C&amp;Results_of_the_day!$B:$B,Results_of_the_day!$D:$D,0,0)</f>
        <v>0</v>
      </c>
      <c r="J32" s="70" cm="1">
        <f t="array" ref="J32">_xlfn.XLOOKUP($D32&amp;J$1,Results_of_the_day!$C:$C&amp;Results_of_the_day!$B:$B,Results_of_the_day!$D:$D,0,0)</f>
        <v>0</v>
      </c>
      <c r="K32" s="70" cm="1">
        <f t="array" ref="K32">_xlfn.XLOOKUP($D32&amp;K$1,Results_of_the_day!$C:$C&amp;Results_of_the_day!$B:$B,Results_of_the_day!$D:$D,0,0)</f>
        <v>0</v>
      </c>
      <c r="L32" s="70" cm="1">
        <f t="array" ref="L32">_xlfn.XLOOKUP($D32&amp;L$1,Results_of_the_day!$C:$C&amp;Results_of_the_day!$B:$B,Results_of_the_day!$D:$D,0,0)</f>
        <v>0</v>
      </c>
      <c r="M32" s="70" cm="1">
        <f t="array" ref="M32">_xlfn.XLOOKUP($D32&amp;M$1,Results_of_the_day!$C:$C&amp;Results_of_the_day!$B:$B,Results_of_the_day!$D:$D,0,0)</f>
        <v>0</v>
      </c>
      <c r="N32" s="70" cm="1">
        <f t="array" ref="N32">_xlfn.XLOOKUP($D32&amp;N$1,Results_of_the_day!$C:$C&amp;Results_of_the_day!$B:$B,Results_of_the_day!$D:$D,0,0)</f>
        <v>0</v>
      </c>
      <c r="O32" s="70" cm="1">
        <f t="array" ref="O32">_xlfn.XLOOKUP($D32&amp;O$1,Results_of_the_day!$C:$C&amp;Results_of_the_day!$B:$B,Results_of_the_day!$D:$D,0,0)</f>
        <v>0</v>
      </c>
      <c r="P32" s="70" cm="1">
        <f t="array" ref="P32">_xlfn.XLOOKUP($D32&amp;P$1,Results_of_the_day!$C:$C&amp;Results_of_the_day!$B:$B,Results_of_the_day!$D:$D,0,0)</f>
        <v>0</v>
      </c>
      <c r="Q32" s="70" cm="1">
        <f t="array" ref="Q32">_xlfn.XLOOKUP($D32&amp;Q$1,Results_of_the_day!$C:$C&amp;Results_of_the_day!$B:$B,Results_of_the_day!$D:$D,0,0)</f>
        <v>0</v>
      </c>
      <c r="R32" s="70" cm="1">
        <f t="array" ref="R32">_xlfn.XLOOKUP($D32&amp;R$1,Results_of_the_day!$C:$C&amp;Results_of_the_day!$B:$B,Results_of_the_day!$D:$D,0,0)</f>
        <v>0</v>
      </c>
      <c r="S32" s="70" cm="1">
        <f t="array" ref="S32">_xlfn.XLOOKUP($D32&amp;S$1,Results_of_the_day!$C:$C&amp;Results_of_the_day!$B:$B,Results_of_the_day!$D:$D,0,0)</f>
        <v>0</v>
      </c>
      <c r="Z32" s="5">
        <f t="shared" ca="1" si="4"/>
        <v>15</v>
      </c>
      <c r="AA32" s="2">
        <f t="shared" ca="1" si="5"/>
        <v>9999</v>
      </c>
      <c r="AB32">
        <f t="shared" si="23"/>
        <v>0</v>
      </c>
      <c r="AC32">
        <f t="shared" si="23"/>
        <v>0</v>
      </c>
      <c r="AD32">
        <f t="shared" si="24"/>
        <v>0</v>
      </c>
      <c r="AE32">
        <f t="shared" si="25"/>
        <v>0</v>
      </c>
      <c r="AF32">
        <f t="shared" si="26"/>
        <v>0</v>
      </c>
      <c r="AG32">
        <f t="shared" si="26"/>
        <v>0</v>
      </c>
      <c r="AH32">
        <f t="shared" si="29"/>
        <v>0</v>
      </c>
      <c r="AI32">
        <f t="shared" si="27"/>
        <v>0</v>
      </c>
      <c r="AJ32">
        <f t="shared" si="28"/>
        <v>0</v>
      </c>
      <c r="AK32">
        <f t="shared" si="7"/>
        <v>15</v>
      </c>
      <c r="AL32" s="1">
        <f t="shared" si="8"/>
        <v>15</v>
      </c>
      <c r="AM32" s="1">
        <f t="shared" si="9"/>
        <v>0</v>
      </c>
      <c r="AN32" s="1">
        <f t="shared" si="10"/>
        <v>0</v>
      </c>
      <c r="AO32" s="1">
        <f t="shared" si="11"/>
        <v>0</v>
      </c>
      <c r="AP32" s="1">
        <f t="shared" si="12"/>
        <v>0</v>
      </c>
      <c r="AQ32" s="1">
        <f t="shared" si="13"/>
        <v>0</v>
      </c>
      <c r="AR32" s="1">
        <f t="shared" si="14"/>
        <v>0</v>
      </c>
      <c r="AS32" s="1">
        <f t="shared" si="15"/>
        <v>0</v>
      </c>
      <c r="AT32" s="1">
        <f t="shared" si="16"/>
        <v>0</v>
      </c>
      <c r="AU32" s="1">
        <f t="shared" si="17"/>
        <v>0</v>
      </c>
      <c r="AV32" s="1">
        <f t="shared" si="18"/>
        <v>0</v>
      </c>
      <c r="AW32" s="1">
        <f t="shared" si="19"/>
        <v>0</v>
      </c>
      <c r="AX32" s="1">
        <f t="shared" si="20"/>
        <v>0</v>
      </c>
      <c r="AY32" s="1">
        <f t="shared" si="21"/>
        <v>0</v>
      </c>
      <c r="AZ32" s="1">
        <f t="shared" si="22"/>
        <v>0</v>
      </c>
    </row>
    <row r="33" spans="1:52" ht="21" customHeight="1" x14ac:dyDescent="0.35">
      <c r="A33" s="1">
        <v>29</v>
      </c>
      <c r="B33" s="64">
        <f t="shared" si="2"/>
        <v>0</v>
      </c>
      <c r="C33" s="59">
        <f t="shared" si="3"/>
        <v>0</v>
      </c>
      <c r="D33" s="9" t="s">
        <v>75</v>
      </c>
      <c r="E33" s="70" cm="1">
        <f t="array" ref="E33">_xlfn.XLOOKUP($D33&amp;E$1,Results_of_the_day!$C:$C&amp;Results_of_the_day!$B:$B,Results_of_the_day!$D:$D,0,0)</f>
        <v>0</v>
      </c>
      <c r="F33" s="70" cm="1">
        <f t="array" ref="F33">_xlfn.XLOOKUP($D33&amp;F$1,Results_of_the_day!$C:$C&amp;Results_of_the_day!$B:$B,Results_of_the_day!$D:$D,0,0)</f>
        <v>0</v>
      </c>
      <c r="G33" s="70" cm="1">
        <f t="array" ref="G33">_xlfn.XLOOKUP($D33&amp;G$1,Results_of_the_day!$C:$C&amp;Results_of_the_day!$B:$B,Results_of_the_day!$D:$D,0,0)</f>
        <v>0</v>
      </c>
      <c r="H33" s="70" cm="1">
        <f t="array" ref="H33">_xlfn.XLOOKUP($D33&amp;H$1,Results_of_the_day!$C:$C&amp;Results_of_the_day!$B:$B,Results_of_the_day!$D:$D,0,0)</f>
        <v>0</v>
      </c>
      <c r="I33" s="70" cm="1">
        <f t="array" ref="I33">_xlfn.XLOOKUP($D33&amp;I$1,Results_of_the_day!$C:$C&amp;Results_of_the_day!$B:$B,Results_of_the_day!$D:$D,0,0)</f>
        <v>0</v>
      </c>
      <c r="J33" s="70" cm="1">
        <f t="array" ref="J33">_xlfn.XLOOKUP($D33&amp;J$1,Results_of_the_day!$C:$C&amp;Results_of_the_day!$B:$B,Results_of_the_day!$D:$D,0,0)</f>
        <v>0</v>
      </c>
      <c r="K33" s="70" cm="1">
        <f t="array" ref="K33">_xlfn.XLOOKUP($D33&amp;K$1,Results_of_the_day!$C:$C&amp;Results_of_the_day!$B:$B,Results_of_the_day!$D:$D,0,0)</f>
        <v>0</v>
      </c>
      <c r="L33" s="70" cm="1">
        <f t="array" ref="L33">_xlfn.XLOOKUP($D33&amp;L$1,Results_of_the_day!$C:$C&amp;Results_of_the_day!$B:$B,Results_of_the_day!$D:$D,0,0)</f>
        <v>0</v>
      </c>
      <c r="M33" s="70" cm="1">
        <f t="array" ref="M33">_xlfn.XLOOKUP($D33&amp;M$1,Results_of_the_day!$C:$C&amp;Results_of_the_day!$B:$B,Results_of_the_day!$D:$D,0,0)</f>
        <v>0</v>
      </c>
      <c r="N33" s="70" cm="1">
        <f t="array" ref="N33">_xlfn.XLOOKUP($D33&amp;N$1,Results_of_the_day!$C:$C&amp;Results_of_the_day!$B:$B,Results_of_the_day!$D:$D,0,0)</f>
        <v>0</v>
      </c>
      <c r="O33" s="70" cm="1">
        <f t="array" ref="O33">_xlfn.XLOOKUP($D33&amp;O$1,Results_of_the_day!$C:$C&amp;Results_of_the_day!$B:$B,Results_of_the_day!$D:$D,0,0)</f>
        <v>0</v>
      </c>
      <c r="P33" s="70" cm="1">
        <f t="array" ref="P33">_xlfn.XLOOKUP($D33&amp;P$1,Results_of_the_day!$C:$C&amp;Results_of_the_day!$B:$B,Results_of_the_day!$D:$D,0,0)</f>
        <v>0</v>
      </c>
      <c r="Q33" s="70" cm="1">
        <f t="array" ref="Q33">_xlfn.XLOOKUP($D33&amp;Q$1,Results_of_the_day!$C:$C&amp;Results_of_the_day!$B:$B,Results_of_the_day!$D:$D,0,0)</f>
        <v>0</v>
      </c>
      <c r="R33" s="70" cm="1">
        <f t="array" ref="R33">_xlfn.XLOOKUP($D33&amp;R$1,Results_of_the_day!$C:$C&amp;Results_of_the_day!$B:$B,Results_of_the_day!$D:$D,0,0)</f>
        <v>0</v>
      </c>
      <c r="S33" s="70" cm="1">
        <f t="array" ref="S33">_xlfn.XLOOKUP($D33&amp;S$1,Results_of_the_day!$C:$C&amp;Results_of_the_day!$B:$B,Results_of_the_day!$D:$D,0,0)</f>
        <v>0</v>
      </c>
      <c r="Z33" s="5">
        <f t="shared" ca="1" si="4"/>
        <v>15</v>
      </c>
      <c r="AA33" s="2">
        <f t="shared" ca="1" si="5"/>
        <v>9999</v>
      </c>
      <c r="AB33">
        <f t="shared" si="23"/>
        <v>0</v>
      </c>
      <c r="AC33">
        <f t="shared" si="23"/>
        <v>0</v>
      </c>
      <c r="AD33">
        <f t="shared" si="24"/>
        <v>0</v>
      </c>
      <c r="AE33">
        <f t="shared" si="25"/>
        <v>0</v>
      </c>
      <c r="AF33">
        <f t="shared" si="26"/>
        <v>0</v>
      </c>
      <c r="AG33">
        <f t="shared" si="26"/>
        <v>0</v>
      </c>
      <c r="AH33">
        <f t="shared" si="29"/>
        <v>0</v>
      </c>
      <c r="AI33">
        <f t="shared" si="27"/>
        <v>0</v>
      </c>
      <c r="AJ33">
        <f t="shared" si="28"/>
        <v>0</v>
      </c>
      <c r="AK33">
        <f t="shared" si="7"/>
        <v>15</v>
      </c>
      <c r="AL33" s="1">
        <f t="shared" si="8"/>
        <v>15</v>
      </c>
      <c r="AM33" s="1">
        <f t="shared" si="9"/>
        <v>0</v>
      </c>
      <c r="AN33" s="1">
        <f t="shared" si="10"/>
        <v>0</v>
      </c>
      <c r="AO33" s="1">
        <f t="shared" si="11"/>
        <v>0</v>
      </c>
      <c r="AP33" s="1">
        <f t="shared" si="12"/>
        <v>0</v>
      </c>
      <c r="AQ33" s="1">
        <f t="shared" si="13"/>
        <v>0</v>
      </c>
      <c r="AR33" s="1">
        <f t="shared" si="14"/>
        <v>0</v>
      </c>
      <c r="AS33" s="1">
        <f t="shared" si="15"/>
        <v>0</v>
      </c>
      <c r="AT33" s="1">
        <f t="shared" si="16"/>
        <v>0</v>
      </c>
      <c r="AU33" s="1">
        <f t="shared" si="17"/>
        <v>0</v>
      </c>
      <c r="AV33" s="1">
        <f t="shared" si="18"/>
        <v>0</v>
      </c>
      <c r="AW33" s="1">
        <f t="shared" si="19"/>
        <v>0</v>
      </c>
      <c r="AX33" s="1">
        <f t="shared" si="20"/>
        <v>0</v>
      </c>
      <c r="AY33" s="1">
        <f t="shared" si="21"/>
        <v>0</v>
      </c>
      <c r="AZ33" s="1">
        <f t="shared" si="22"/>
        <v>0</v>
      </c>
    </row>
    <row r="34" spans="1:52" ht="21" customHeight="1" x14ac:dyDescent="0.35">
      <c r="A34" s="1">
        <v>30</v>
      </c>
      <c r="B34" s="64">
        <f t="shared" si="2"/>
        <v>1</v>
      </c>
      <c r="C34" s="59">
        <f t="shared" si="3"/>
        <v>30.05</v>
      </c>
      <c r="D34" s="9" t="s">
        <v>37</v>
      </c>
      <c r="E34" s="70" cm="1">
        <f t="array" ref="E34">_xlfn.XLOOKUP($D34&amp;E$1,Results_of_the_day!$C:$C&amp;Results_of_the_day!$B:$B,Results_of_the_day!$D:$D,0,0)</f>
        <v>30.05</v>
      </c>
      <c r="F34" s="70" cm="1">
        <f t="array" ref="F34">_xlfn.XLOOKUP($D34&amp;F$1,Results_of_the_day!$C:$C&amp;Results_of_the_day!$B:$B,Results_of_the_day!$D:$D,0,0)</f>
        <v>0</v>
      </c>
      <c r="G34" s="70" cm="1">
        <f t="array" ref="G34">_xlfn.XLOOKUP($D34&amp;G$1,Results_of_the_day!$C:$C&amp;Results_of_the_day!$B:$B,Results_of_the_day!$D:$D,0,0)</f>
        <v>0</v>
      </c>
      <c r="H34" s="70" cm="1">
        <f t="array" ref="H34">_xlfn.XLOOKUP($D34&amp;H$1,Results_of_the_day!$C:$C&amp;Results_of_the_day!$B:$B,Results_of_the_day!$D:$D,0,0)</f>
        <v>0</v>
      </c>
      <c r="I34" s="70" cm="1">
        <f t="array" ref="I34">_xlfn.XLOOKUP($D34&amp;I$1,Results_of_the_day!$C:$C&amp;Results_of_the_day!$B:$B,Results_of_the_day!$D:$D,0,0)</f>
        <v>0</v>
      </c>
      <c r="J34" s="70" cm="1">
        <f t="array" ref="J34">_xlfn.XLOOKUP($D34&amp;J$1,Results_of_the_day!$C:$C&amp;Results_of_the_day!$B:$B,Results_of_the_day!$D:$D,0,0)</f>
        <v>0</v>
      </c>
      <c r="K34" s="70" cm="1">
        <f t="array" ref="K34">_xlfn.XLOOKUP($D34&amp;K$1,Results_of_the_day!$C:$C&amp;Results_of_the_day!$B:$B,Results_of_the_day!$D:$D,0,0)</f>
        <v>0</v>
      </c>
      <c r="L34" s="70" cm="1">
        <f t="array" ref="L34">_xlfn.XLOOKUP($D34&amp;L$1,Results_of_the_day!$C:$C&amp;Results_of_the_day!$B:$B,Results_of_the_day!$D:$D,0,0)</f>
        <v>0</v>
      </c>
      <c r="M34" s="70" cm="1">
        <f t="array" ref="M34">_xlfn.XLOOKUP($D34&amp;M$1,Results_of_the_day!$C:$C&amp;Results_of_the_day!$B:$B,Results_of_the_day!$D:$D,0,0)</f>
        <v>0</v>
      </c>
      <c r="N34" s="70" cm="1">
        <f t="array" ref="N34">_xlfn.XLOOKUP($D34&amp;N$1,Results_of_the_day!$C:$C&amp;Results_of_the_day!$B:$B,Results_of_the_day!$D:$D,0,0)</f>
        <v>0</v>
      </c>
      <c r="O34" s="70" cm="1">
        <f t="array" ref="O34">_xlfn.XLOOKUP($D34&amp;O$1,Results_of_the_day!$C:$C&amp;Results_of_the_day!$B:$B,Results_of_the_day!$D:$D,0,0)</f>
        <v>0</v>
      </c>
      <c r="P34" s="70" cm="1">
        <f t="array" ref="P34">_xlfn.XLOOKUP($D34&amp;P$1,Results_of_the_day!$C:$C&amp;Results_of_the_day!$B:$B,Results_of_the_day!$D:$D,0,0)</f>
        <v>0</v>
      </c>
      <c r="Q34" s="70" cm="1">
        <f t="array" ref="Q34">_xlfn.XLOOKUP($D34&amp;Q$1,Results_of_the_day!$C:$C&amp;Results_of_the_day!$B:$B,Results_of_the_day!$D:$D,0,0)</f>
        <v>0</v>
      </c>
      <c r="R34" s="70" cm="1">
        <f t="array" ref="R34">_xlfn.XLOOKUP($D34&amp;R$1,Results_of_the_day!$C:$C&amp;Results_of_the_day!$B:$B,Results_of_the_day!$D:$D,0,0)</f>
        <v>0</v>
      </c>
      <c r="S34" s="70" cm="1">
        <f t="array" ref="S34">_xlfn.XLOOKUP($D34&amp;S$1,Results_of_the_day!$C:$C&amp;Results_of_the_day!$B:$B,Results_of_the_day!$D:$D,0,0)</f>
        <v>0</v>
      </c>
      <c r="Z34" s="5">
        <f t="shared" ca="1" si="4"/>
        <v>5</v>
      </c>
      <c r="AA34" s="2">
        <f t="shared" ca="1" si="5"/>
        <v>5</v>
      </c>
      <c r="AB34">
        <f t="shared" si="23"/>
        <v>0</v>
      </c>
      <c r="AC34">
        <f t="shared" si="23"/>
        <v>0</v>
      </c>
      <c r="AD34">
        <f t="shared" si="24"/>
        <v>0</v>
      </c>
      <c r="AE34">
        <f t="shared" si="25"/>
        <v>0</v>
      </c>
      <c r="AF34">
        <f t="shared" si="26"/>
        <v>0</v>
      </c>
      <c r="AG34">
        <f t="shared" si="26"/>
        <v>0</v>
      </c>
      <c r="AH34">
        <f t="shared" si="29"/>
        <v>0</v>
      </c>
      <c r="AI34">
        <f t="shared" si="27"/>
        <v>0</v>
      </c>
      <c r="AJ34">
        <f t="shared" si="28"/>
        <v>0</v>
      </c>
      <c r="AK34">
        <f t="shared" si="7"/>
        <v>5</v>
      </c>
      <c r="AL34" s="1">
        <f t="shared" si="8"/>
        <v>5</v>
      </c>
      <c r="AM34" s="1">
        <f t="shared" si="9"/>
        <v>0</v>
      </c>
      <c r="AN34" s="1">
        <f t="shared" si="10"/>
        <v>0</v>
      </c>
      <c r="AO34" s="1">
        <f t="shared" si="11"/>
        <v>0</v>
      </c>
      <c r="AP34" s="1">
        <f t="shared" si="12"/>
        <v>0</v>
      </c>
      <c r="AQ34" s="1">
        <f t="shared" si="13"/>
        <v>0</v>
      </c>
      <c r="AR34" s="1">
        <f t="shared" si="14"/>
        <v>0</v>
      </c>
      <c r="AS34" s="1">
        <f t="shared" si="15"/>
        <v>0</v>
      </c>
      <c r="AT34" s="1">
        <f t="shared" si="16"/>
        <v>0</v>
      </c>
      <c r="AU34" s="1">
        <f t="shared" si="17"/>
        <v>0</v>
      </c>
      <c r="AV34" s="1">
        <f t="shared" si="18"/>
        <v>0</v>
      </c>
      <c r="AW34" s="1">
        <f t="shared" si="19"/>
        <v>0</v>
      </c>
      <c r="AX34" s="1">
        <f t="shared" si="20"/>
        <v>0</v>
      </c>
      <c r="AY34" s="1">
        <f t="shared" si="21"/>
        <v>0</v>
      </c>
      <c r="AZ34" s="1">
        <f t="shared" si="22"/>
        <v>0</v>
      </c>
    </row>
    <row r="35" spans="1:52" ht="21" customHeight="1" x14ac:dyDescent="0.35">
      <c r="A35" s="1">
        <v>31</v>
      </c>
      <c r="B35" s="64">
        <f t="shared" si="2"/>
        <v>0</v>
      </c>
      <c r="C35" s="59">
        <f t="shared" si="3"/>
        <v>0</v>
      </c>
      <c r="D35" s="9" t="s">
        <v>68</v>
      </c>
      <c r="E35" s="70" cm="1">
        <f t="array" ref="E35">_xlfn.XLOOKUP($D35&amp;E$1,Results_of_the_day!$C:$C&amp;Results_of_the_day!$B:$B,Results_of_the_day!$D:$D,0,0)</f>
        <v>0</v>
      </c>
      <c r="F35" s="70" cm="1">
        <f t="array" ref="F35">_xlfn.XLOOKUP($D35&amp;F$1,Results_of_the_day!$C:$C&amp;Results_of_the_day!$B:$B,Results_of_the_day!$D:$D,0,0)</f>
        <v>0</v>
      </c>
      <c r="G35" s="70" cm="1">
        <f t="array" ref="G35">_xlfn.XLOOKUP($D35&amp;G$1,Results_of_the_day!$C:$C&amp;Results_of_the_day!$B:$B,Results_of_the_day!$D:$D,0,0)</f>
        <v>0</v>
      </c>
      <c r="H35" s="70" cm="1">
        <f t="array" ref="H35">_xlfn.XLOOKUP($D35&amp;H$1,Results_of_the_day!$C:$C&amp;Results_of_the_day!$B:$B,Results_of_the_day!$D:$D,0,0)</f>
        <v>0</v>
      </c>
      <c r="I35" s="70" cm="1">
        <f t="array" ref="I35">_xlfn.XLOOKUP($D35&amp;I$1,Results_of_the_day!$C:$C&amp;Results_of_the_day!$B:$B,Results_of_the_day!$D:$D,0,0)</f>
        <v>0</v>
      </c>
      <c r="J35" s="70" cm="1">
        <f t="array" ref="J35">_xlfn.XLOOKUP($D35&amp;J$1,Results_of_the_day!$C:$C&amp;Results_of_the_day!$B:$B,Results_of_the_day!$D:$D,0,0)</f>
        <v>0</v>
      </c>
      <c r="K35" s="70" cm="1">
        <f t="array" ref="K35">_xlfn.XLOOKUP($D35&amp;K$1,Results_of_the_day!$C:$C&amp;Results_of_the_day!$B:$B,Results_of_the_day!$D:$D,0,0)</f>
        <v>0</v>
      </c>
      <c r="L35" s="70" cm="1">
        <f t="array" ref="L35">_xlfn.XLOOKUP($D35&amp;L$1,Results_of_the_day!$C:$C&amp;Results_of_the_day!$B:$B,Results_of_the_day!$D:$D,0,0)</f>
        <v>0</v>
      </c>
      <c r="M35" s="70" cm="1">
        <f t="array" ref="M35">_xlfn.XLOOKUP($D35&amp;M$1,Results_of_the_day!$C:$C&amp;Results_of_the_day!$B:$B,Results_of_the_day!$D:$D,0,0)</f>
        <v>0</v>
      </c>
      <c r="N35" s="70" cm="1">
        <f t="array" ref="N35">_xlfn.XLOOKUP($D35&amp;N$1,Results_of_the_day!$C:$C&amp;Results_of_the_day!$B:$B,Results_of_the_day!$D:$D,0,0)</f>
        <v>0</v>
      </c>
      <c r="O35" s="70" cm="1">
        <f t="array" ref="O35">_xlfn.XLOOKUP($D35&amp;O$1,Results_of_the_day!$C:$C&amp;Results_of_the_day!$B:$B,Results_of_the_day!$D:$D,0,0)</f>
        <v>0</v>
      </c>
      <c r="P35" s="70" cm="1">
        <f t="array" ref="P35">_xlfn.XLOOKUP($D35&amp;P$1,Results_of_the_day!$C:$C&amp;Results_of_the_day!$B:$B,Results_of_the_day!$D:$D,0,0)</f>
        <v>0</v>
      </c>
      <c r="Q35" s="70" cm="1">
        <f t="array" ref="Q35">_xlfn.XLOOKUP($D35&amp;Q$1,Results_of_the_day!$C:$C&amp;Results_of_the_day!$B:$B,Results_of_the_day!$D:$D,0,0)</f>
        <v>0</v>
      </c>
      <c r="R35" s="70" cm="1">
        <f t="array" ref="R35">_xlfn.XLOOKUP($D35&amp;R$1,Results_of_the_day!$C:$C&amp;Results_of_the_day!$B:$B,Results_of_the_day!$D:$D,0,0)</f>
        <v>0</v>
      </c>
      <c r="S35" s="70" cm="1">
        <f t="array" ref="S35">_xlfn.XLOOKUP($D35&amp;S$1,Results_of_the_day!$C:$C&amp;Results_of_the_day!$B:$B,Results_of_the_day!$D:$D,0,0)</f>
        <v>0</v>
      </c>
      <c r="Z35" s="5">
        <f t="shared" ca="1" si="4"/>
        <v>15</v>
      </c>
      <c r="AA35" s="2">
        <f t="shared" ca="1" si="5"/>
        <v>9999</v>
      </c>
      <c r="AB35">
        <f t="shared" si="23"/>
        <v>0</v>
      </c>
      <c r="AC35">
        <f t="shared" si="23"/>
        <v>0</v>
      </c>
      <c r="AD35">
        <f t="shared" si="24"/>
        <v>0</v>
      </c>
      <c r="AE35">
        <f t="shared" si="25"/>
        <v>0</v>
      </c>
      <c r="AF35">
        <f t="shared" si="26"/>
        <v>0</v>
      </c>
      <c r="AG35">
        <f t="shared" si="26"/>
        <v>0</v>
      </c>
      <c r="AH35">
        <f t="shared" si="29"/>
        <v>0</v>
      </c>
      <c r="AI35">
        <f t="shared" si="27"/>
        <v>0</v>
      </c>
      <c r="AJ35">
        <f t="shared" si="28"/>
        <v>0</v>
      </c>
      <c r="AK35">
        <f t="shared" si="7"/>
        <v>15</v>
      </c>
      <c r="AL35" s="1">
        <f t="shared" si="8"/>
        <v>15</v>
      </c>
      <c r="AM35" s="1">
        <f t="shared" si="9"/>
        <v>0</v>
      </c>
      <c r="AN35" s="1">
        <f t="shared" si="10"/>
        <v>0</v>
      </c>
      <c r="AO35" s="1">
        <f t="shared" si="11"/>
        <v>0</v>
      </c>
      <c r="AP35" s="1">
        <f t="shared" si="12"/>
        <v>0</v>
      </c>
      <c r="AQ35" s="1">
        <f t="shared" si="13"/>
        <v>0</v>
      </c>
      <c r="AR35" s="1">
        <f t="shared" si="14"/>
        <v>0</v>
      </c>
      <c r="AS35" s="1">
        <f t="shared" si="15"/>
        <v>0</v>
      </c>
      <c r="AT35" s="1">
        <f t="shared" si="16"/>
        <v>0</v>
      </c>
      <c r="AU35" s="1">
        <f t="shared" si="17"/>
        <v>0</v>
      </c>
      <c r="AV35" s="1">
        <f t="shared" si="18"/>
        <v>0</v>
      </c>
      <c r="AW35" s="1">
        <f t="shared" si="19"/>
        <v>0</v>
      </c>
      <c r="AX35" s="1">
        <f t="shared" si="20"/>
        <v>0</v>
      </c>
      <c r="AY35" s="1">
        <f t="shared" si="21"/>
        <v>0</v>
      </c>
      <c r="AZ35" s="1">
        <f t="shared" si="22"/>
        <v>0</v>
      </c>
    </row>
    <row r="36" spans="1:52" ht="21" customHeight="1" x14ac:dyDescent="0.35">
      <c r="A36" s="1">
        <v>32</v>
      </c>
      <c r="B36" s="64">
        <f t="shared" si="2"/>
        <v>0</v>
      </c>
      <c r="C36" s="59">
        <f t="shared" si="3"/>
        <v>0</v>
      </c>
      <c r="D36" s="60" t="s">
        <v>85</v>
      </c>
      <c r="E36" s="70" cm="1">
        <f t="array" ref="E36">_xlfn.XLOOKUP($D36&amp;E$1,Results_of_the_day!$C:$C&amp;Results_of_the_day!$B:$B,Results_of_the_day!$D:$D,0,0)</f>
        <v>0</v>
      </c>
      <c r="F36" s="70" cm="1">
        <f t="array" ref="F36">_xlfn.XLOOKUP($D36&amp;F$1,Results_of_the_day!$C:$C&amp;Results_of_the_day!$B:$B,Results_of_the_day!$D:$D,0,0)</f>
        <v>0</v>
      </c>
      <c r="G36" s="70" cm="1">
        <f t="array" ref="G36">_xlfn.XLOOKUP($D36&amp;G$1,Results_of_the_day!$C:$C&amp;Results_of_the_day!$B:$B,Results_of_the_day!$D:$D,0,0)</f>
        <v>0</v>
      </c>
      <c r="H36" s="70" cm="1">
        <f t="array" ref="H36">_xlfn.XLOOKUP($D36&amp;H$1,Results_of_the_day!$C:$C&amp;Results_of_the_day!$B:$B,Results_of_the_day!$D:$D,0,0)</f>
        <v>0</v>
      </c>
      <c r="I36" s="70" cm="1">
        <f t="array" ref="I36">_xlfn.XLOOKUP($D36&amp;I$1,Results_of_the_day!$C:$C&amp;Results_of_the_day!$B:$B,Results_of_the_day!$D:$D,0,0)</f>
        <v>0</v>
      </c>
      <c r="J36" s="70" cm="1">
        <f t="array" ref="J36">_xlfn.XLOOKUP($D36&amp;J$1,Results_of_the_day!$C:$C&amp;Results_of_the_day!$B:$B,Results_of_the_day!$D:$D,0,0)</f>
        <v>0</v>
      </c>
      <c r="K36" s="70" cm="1">
        <f t="array" ref="K36">_xlfn.XLOOKUP($D36&amp;K$1,Results_of_the_day!$C:$C&amp;Results_of_the_day!$B:$B,Results_of_the_day!$D:$D,0,0)</f>
        <v>0</v>
      </c>
      <c r="L36" s="70" cm="1">
        <f t="array" ref="L36">_xlfn.XLOOKUP($D36&amp;L$1,Results_of_the_day!$C:$C&amp;Results_of_the_day!$B:$B,Results_of_the_day!$D:$D,0,0)</f>
        <v>0</v>
      </c>
      <c r="M36" s="70" cm="1">
        <f t="array" ref="M36">_xlfn.XLOOKUP($D36&amp;M$1,Results_of_the_day!$C:$C&amp;Results_of_the_day!$B:$B,Results_of_the_day!$D:$D,0,0)</f>
        <v>0</v>
      </c>
      <c r="N36" s="70" cm="1">
        <f t="array" ref="N36">_xlfn.XLOOKUP($D36&amp;N$1,Results_of_the_day!$C:$C&amp;Results_of_the_day!$B:$B,Results_of_the_day!$D:$D,0,0)</f>
        <v>0</v>
      </c>
      <c r="O36" s="70" cm="1">
        <f t="array" ref="O36">_xlfn.XLOOKUP($D36&amp;O$1,Results_of_the_day!$C:$C&amp;Results_of_the_day!$B:$B,Results_of_the_day!$D:$D,0,0)</f>
        <v>0</v>
      </c>
      <c r="P36" s="70" cm="1">
        <f t="array" ref="P36">_xlfn.XLOOKUP($D36&amp;P$1,Results_of_the_day!$C:$C&amp;Results_of_the_day!$B:$B,Results_of_the_day!$D:$D,0,0)</f>
        <v>0</v>
      </c>
      <c r="Q36" s="70" cm="1">
        <f t="array" ref="Q36">_xlfn.XLOOKUP($D36&amp;Q$1,Results_of_the_day!$C:$C&amp;Results_of_the_day!$B:$B,Results_of_the_day!$D:$D,0,0)</f>
        <v>0</v>
      </c>
      <c r="R36" s="70" cm="1">
        <f t="array" ref="R36">_xlfn.XLOOKUP($D36&amp;R$1,Results_of_the_day!$C:$C&amp;Results_of_the_day!$B:$B,Results_of_the_day!$D:$D,0,0)</f>
        <v>0</v>
      </c>
      <c r="S36" s="70" cm="1">
        <f t="array" ref="S36">_xlfn.XLOOKUP($D36&amp;S$1,Results_of_the_day!$C:$C&amp;Results_of_the_day!$B:$B,Results_of_the_day!$D:$D,0,0)</f>
        <v>0</v>
      </c>
      <c r="Z36" s="5">
        <f t="shared" ca="1" si="4"/>
        <v>15</v>
      </c>
      <c r="AA36" s="2">
        <f t="shared" ca="1" si="5"/>
        <v>9999</v>
      </c>
      <c r="AB36">
        <f t="shared" si="23"/>
        <v>0</v>
      </c>
      <c r="AC36">
        <f t="shared" si="23"/>
        <v>0</v>
      </c>
      <c r="AD36">
        <f t="shared" si="24"/>
        <v>0</v>
      </c>
      <c r="AE36">
        <f t="shared" si="25"/>
        <v>0</v>
      </c>
      <c r="AF36">
        <f t="shared" si="26"/>
        <v>0</v>
      </c>
      <c r="AG36">
        <f>AH36-LARGE($AL36:$AZ36,AG$3)</f>
        <v>0</v>
      </c>
      <c r="AH36">
        <f>AI36-LARGE($AL36:$AZ36,AH$3)</f>
        <v>0</v>
      </c>
      <c r="AI36">
        <f t="shared" si="27"/>
        <v>0</v>
      </c>
      <c r="AJ36">
        <f t="shared" si="28"/>
        <v>0</v>
      </c>
      <c r="AK36">
        <f t="shared" si="7"/>
        <v>15</v>
      </c>
      <c r="AL36" s="1">
        <f t="shared" si="8"/>
        <v>15</v>
      </c>
      <c r="AM36" s="1">
        <f t="shared" si="9"/>
        <v>0</v>
      </c>
      <c r="AN36" s="1">
        <f t="shared" si="10"/>
        <v>0</v>
      </c>
      <c r="AO36" s="1">
        <f t="shared" si="11"/>
        <v>0</v>
      </c>
      <c r="AP36" s="1">
        <f t="shared" si="12"/>
        <v>0</v>
      </c>
      <c r="AQ36" s="1">
        <f t="shared" si="13"/>
        <v>0</v>
      </c>
      <c r="AR36" s="1">
        <f t="shared" si="14"/>
        <v>0</v>
      </c>
      <c r="AS36" s="1">
        <f t="shared" si="15"/>
        <v>0</v>
      </c>
      <c r="AT36" s="1">
        <f t="shared" si="16"/>
        <v>0</v>
      </c>
      <c r="AU36" s="1">
        <f t="shared" si="17"/>
        <v>0</v>
      </c>
      <c r="AV36" s="1">
        <f t="shared" si="18"/>
        <v>0</v>
      </c>
      <c r="AW36" s="1">
        <f t="shared" si="19"/>
        <v>0</v>
      </c>
      <c r="AX36" s="1">
        <f t="shared" si="20"/>
        <v>0</v>
      </c>
      <c r="AY36" s="1">
        <f t="shared" si="21"/>
        <v>0</v>
      </c>
      <c r="AZ36" s="1">
        <f t="shared" si="22"/>
        <v>0</v>
      </c>
    </row>
  </sheetData>
  <phoneticPr fontId="6" type="noConversion"/>
  <conditionalFormatting sqref="E5:S36">
    <cfRule type="expression" dxfId="0" priority="1">
      <formula>E5=0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DE8D9-5BFB-446D-8B12-DC8087DAB60A}">
  <dimension ref="A1:J72"/>
  <sheetViews>
    <sheetView zoomScale="55" zoomScaleNormal="55" workbookViewId="0">
      <selection activeCell="M17" sqref="M17"/>
    </sheetView>
  </sheetViews>
  <sheetFormatPr defaultRowHeight="14.4" x14ac:dyDescent="0.3"/>
  <cols>
    <col min="2" max="2" width="12.5546875" customWidth="1"/>
    <col min="3" max="3" width="26.6640625" customWidth="1"/>
    <col min="4" max="4" width="13.33203125" customWidth="1"/>
    <col min="5" max="5" width="12" customWidth="1"/>
    <col min="6" max="6" width="12.33203125" customWidth="1"/>
    <col min="7" max="7" width="13.33203125" customWidth="1"/>
  </cols>
  <sheetData>
    <row r="1" spans="1:10" ht="52.95" customHeight="1" x14ac:dyDescent="0.3">
      <c r="A1" s="72" t="s">
        <v>69</v>
      </c>
      <c r="B1" s="72" t="s">
        <v>78</v>
      </c>
      <c r="C1" s="72" t="s">
        <v>106</v>
      </c>
      <c r="D1" s="72" t="s">
        <v>71</v>
      </c>
      <c r="E1" s="72" t="s">
        <v>107</v>
      </c>
      <c r="F1" s="72" t="s">
        <v>108</v>
      </c>
      <c r="G1" s="72" t="s">
        <v>109</v>
      </c>
      <c r="H1" s="72" t="s">
        <v>110</v>
      </c>
      <c r="I1" s="72" t="s">
        <v>111</v>
      </c>
      <c r="J1" s="72" t="s">
        <v>74</v>
      </c>
    </row>
    <row r="2" spans="1:10" x14ac:dyDescent="0.3">
      <c r="A2">
        <v>1</v>
      </c>
      <c r="B2" s="23">
        <v>45802</v>
      </c>
      <c r="C2" t="s">
        <v>33</v>
      </c>
      <c r="D2">
        <v>34.75</v>
      </c>
      <c r="E2">
        <v>36.35</v>
      </c>
      <c r="F2">
        <v>33.130000000000003</v>
      </c>
      <c r="G2">
        <v>0</v>
      </c>
      <c r="H2">
        <v>10.43</v>
      </c>
      <c r="I2">
        <v>40.4</v>
      </c>
      <c r="J2">
        <v>0</v>
      </c>
    </row>
    <row r="3" spans="1:10" x14ac:dyDescent="0.3">
      <c r="A3">
        <v>2</v>
      </c>
      <c r="B3" s="23">
        <v>45802</v>
      </c>
      <c r="C3" t="s">
        <v>35</v>
      </c>
      <c r="D3">
        <v>31.2</v>
      </c>
      <c r="E3">
        <v>32.76</v>
      </c>
      <c r="F3">
        <v>30.27</v>
      </c>
      <c r="G3">
        <v>0</v>
      </c>
      <c r="H3">
        <v>6.74</v>
      </c>
      <c r="I3">
        <v>37.97</v>
      </c>
      <c r="J3">
        <v>0</v>
      </c>
    </row>
    <row r="4" spans="1:10" x14ac:dyDescent="0.3">
      <c r="A4">
        <v>3</v>
      </c>
      <c r="B4" s="23">
        <v>45802</v>
      </c>
      <c r="C4" t="s">
        <v>34</v>
      </c>
      <c r="D4">
        <v>31.1</v>
      </c>
      <c r="E4">
        <v>34.200000000000003</v>
      </c>
      <c r="F4">
        <v>27.2</v>
      </c>
      <c r="G4">
        <v>23.39</v>
      </c>
      <c r="H4">
        <v>16.059999999999999</v>
      </c>
      <c r="I4">
        <v>89.29</v>
      </c>
      <c r="J4">
        <v>20.81</v>
      </c>
    </row>
    <row r="5" spans="1:10" x14ac:dyDescent="0.3">
      <c r="A5">
        <v>4</v>
      </c>
      <c r="B5" s="23">
        <v>45802</v>
      </c>
      <c r="C5" t="s">
        <v>36</v>
      </c>
      <c r="D5">
        <v>31.01</v>
      </c>
      <c r="E5">
        <v>32.409999999999997</v>
      </c>
      <c r="F5">
        <v>30.84</v>
      </c>
      <c r="G5">
        <v>0</v>
      </c>
      <c r="H5">
        <v>12.84</v>
      </c>
      <c r="I5">
        <v>51.2</v>
      </c>
      <c r="J5">
        <v>0</v>
      </c>
    </row>
    <row r="6" spans="1:10" x14ac:dyDescent="0.3">
      <c r="A6">
        <v>5</v>
      </c>
      <c r="B6" s="23">
        <v>45802</v>
      </c>
      <c r="C6" t="s">
        <v>37</v>
      </c>
      <c r="D6">
        <v>30.05</v>
      </c>
      <c r="E6">
        <v>33.700000000000003</v>
      </c>
      <c r="F6">
        <v>28.33</v>
      </c>
      <c r="G6">
        <v>24.77</v>
      </c>
      <c r="H6">
        <v>13.37</v>
      </c>
      <c r="I6">
        <v>65.63</v>
      </c>
      <c r="J6">
        <v>19.690000000000001</v>
      </c>
    </row>
    <row r="7" spans="1:10" x14ac:dyDescent="0.3">
      <c r="A7">
        <v>6</v>
      </c>
      <c r="B7" s="23">
        <v>45802</v>
      </c>
      <c r="C7" t="s">
        <v>32</v>
      </c>
      <c r="D7">
        <v>29.71</v>
      </c>
      <c r="E7">
        <v>31.57</v>
      </c>
      <c r="F7">
        <v>28.69</v>
      </c>
      <c r="G7">
        <v>0</v>
      </c>
      <c r="H7">
        <v>8.9499999999999993</v>
      </c>
      <c r="I7">
        <v>43.87</v>
      </c>
      <c r="J7">
        <v>0</v>
      </c>
    </row>
    <row r="8" spans="1:10" x14ac:dyDescent="0.3">
      <c r="A8">
        <v>7</v>
      </c>
      <c r="B8" s="23">
        <v>45802</v>
      </c>
      <c r="C8" t="s">
        <v>40</v>
      </c>
      <c r="D8">
        <v>29.7</v>
      </c>
      <c r="E8">
        <v>31.05</v>
      </c>
      <c r="F8">
        <v>27.39</v>
      </c>
      <c r="G8">
        <v>0</v>
      </c>
      <c r="H8">
        <v>8.4</v>
      </c>
      <c r="I8">
        <v>45.14</v>
      </c>
      <c r="J8">
        <v>8.52</v>
      </c>
    </row>
    <row r="9" spans="1:10" x14ac:dyDescent="0.3">
      <c r="A9">
        <v>8</v>
      </c>
      <c r="B9" s="23">
        <v>45802</v>
      </c>
      <c r="C9" t="s">
        <v>50</v>
      </c>
      <c r="D9">
        <v>29.41</v>
      </c>
      <c r="E9">
        <v>30.6</v>
      </c>
      <c r="F9">
        <v>27.97</v>
      </c>
      <c r="G9">
        <v>18.899999999999999</v>
      </c>
      <c r="H9">
        <v>8.2899999999999991</v>
      </c>
      <c r="I9">
        <v>37.69</v>
      </c>
      <c r="J9">
        <v>15.38</v>
      </c>
    </row>
    <row r="10" spans="1:10" x14ac:dyDescent="0.3">
      <c r="A10">
        <v>9</v>
      </c>
      <c r="B10" s="23">
        <v>45802</v>
      </c>
      <c r="C10" t="s">
        <v>80</v>
      </c>
      <c r="D10">
        <v>29.12</v>
      </c>
      <c r="E10">
        <v>30.3</v>
      </c>
      <c r="F10">
        <v>28.16</v>
      </c>
      <c r="G10">
        <v>21.41</v>
      </c>
      <c r="H10">
        <v>16.399999999999999</v>
      </c>
      <c r="I10">
        <v>104.49</v>
      </c>
      <c r="J10">
        <v>18.11</v>
      </c>
    </row>
    <row r="11" spans="1:10" x14ac:dyDescent="0.3">
      <c r="A11">
        <v>10</v>
      </c>
      <c r="B11" s="23">
        <v>45802</v>
      </c>
      <c r="C11" t="s">
        <v>41</v>
      </c>
      <c r="D11">
        <v>28.9</v>
      </c>
      <c r="E11">
        <v>29.4</v>
      </c>
      <c r="F11">
        <v>28.4</v>
      </c>
      <c r="G11">
        <v>19.73</v>
      </c>
      <c r="H11">
        <v>12.52</v>
      </c>
      <c r="I11">
        <v>63.31</v>
      </c>
      <c r="J11">
        <v>14.29</v>
      </c>
    </row>
    <row r="12" spans="1:10" x14ac:dyDescent="0.3">
      <c r="A12">
        <v>11</v>
      </c>
      <c r="B12" s="23">
        <v>45802</v>
      </c>
      <c r="C12" t="s">
        <v>44</v>
      </c>
      <c r="D12">
        <v>28.34</v>
      </c>
      <c r="E12">
        <v>29.97</v>
      </c>
      <c r="F12">
        <v>27.31</v>
      </c>
      <c r="G12">
        <v>0</v>
      </c>
      <c r="H12">
        <v>9.7799999999999994</v>
      </c>
      <c r="I12">
        <v>47.36</v>
      </c>
      <c r="J12">
        <v>0</v>
      </c>
    </row>
    <row r="13" spans="1:10" x14ac:dyDescent="0.3">
      <c r="A13">
        <v>12</v>
      </c>
      <c r="B13" s="23">
        <v>45802</v>
      </c>
      <c r="C13" t="s">
        <v>45</v>
      </c>
      <c r="D13">
        <v>27.73</v>
      </c>
      <c r="E13">
        <v>29.3</v>
      </c>
      <c r="F13">
        <v>26.12</v>
      </c>
      <c r="G13">
        <v>0</v>
      </c>
      <c r="H13">
        <v>10.1</v>
      </c>
      <c r="I13">
        <v>22.03</v>
      </c>
      <c r="J13">
        <v>0</v>
      </c>
    </row>
    <row r="14" spans="1:10" x14ac:dyDescent="0.3">
      <c r="A14">
        <v>13</v>
      </c>
      <c r="B14" s="23">
        <v>45802</v>
      </c>
      <c r="C14" t="s">
        <v>42</v>
      </c>
      <c r="D14">
        <v>26.47</v>
      </c>
      <c r="E14">
        <v>27.3</v>
      </c>
      <c r="F14">
        <v>25.58</v>
      </c>
      <c r="G14">
        <v>19.579999999999998</v>
      </c>
      <c r="H14">
        <v>10.25</v>
      </c>
      <c r="I14">
        <v>33.68</v>
      </c>
      <c r="J14">
        <v>14.44</v>
      </c>
    </row>
    <row r="15" spans="1:10" x14ac:dyDescent="0.3">
      <c r="A15">
        <v>14</v>
      </c>
      <c r="B15" s="23">
        <v>45802</v>
      </c>
      <c r="C15" t="s">
        <v>82</v>
      </c>
      <c r="D15">
        <v>25.93</v>
      </c>
      <c r="E15">
        <v>27.03</v>
      </c>
      <c r="F15">
        <v>25.01</v>
      </c>
      <c r="G15">
        <v>18.39</v>
      </c>
      <c r="H15">
        <v>10.54</v>
      </c>
      <c r="I15">
        <v>25.41</v>
      </c>
      <c r="J15">
        <v>16.170000000000002</v>
      </c>
    </row>
    <row r="16" spans="1:10" x14ac:dyDescent="0.3">
      <c r="A16">
        <v>15</v>
      </c>
      <c r="B16" s="23">
        <v>45802</v>
      </c>
      <c r="C16" t="s">
        <v>79</v>
      </c>
      <c r="D16">
        <v>25.4</v>
      </c>
      <c r="E16">
        <v>27.1</v>
      </c>
      <c r="F16">
        <v>24.42</v>
      </c>
      <c r="G16">
        <v>0</v>
      </c>
      <c r="H16">
        <v>5.42</v>
      </c>
      <c r="I16">
        <v>14.33</v>
      </c>
      <c r="J16">
        <v>0</v>
      </c>
    </row>
    <row r="17" spans="1:10" x14ac:dyDescent="0.3">
      <c r="A17">
        <v>16</v>
      </c>
      <c r="B17" s="23">
        <v>45802</v>
      </c>
      <c r="C17" t="s">
        <v>83</v>
      </c>
      <c r="D17">
        <v>25.11</v>
      </c>
      <c r="E17">
        <v>26.56</v>
      </c>
      <c r="F17">
        <v>23.83</v>
      </c>
      <c r="G17">
        <v>16.920000000000002</v>
      </c>
      <c r="H17">
        <v>12.51</v>
      </c>
      <c r="I17">
        <v>24.02</v>
      </c>
      <c r="J17">
        <v>15.25</v>
      </c>
    </row>
    <row r="18" spans="1:10" x14ac:dyDescent="0.3">
      <c r="A18">
        <v>17</v>
      </c>
      <c r="B18" s="23">
        <v>45802</v>
      </c>
      <c r="C18" t="s">
        <v>84</v>
      </c>
      <c r="D18">
        <v>20.3</v>
      </c>
      <c r="E18">
        <v>22.34</v>
      </c>
      <c r="F18">
        <v>18.61</v>
      </c>
      <c r="G18">
        <v>13.5</v>
      </c>
      <c r="H18">
        <v>10.11</v>
      </c>
      <c r="I18">
        <v>20.56</v>
      </c>
      <c r="J18">
        <v>13.99</v>
      </c>
    </row>
    <row r="19" spans="1:10" x14ac:dyDescent="0.3">
      <c r="A19">
        <v>1</v>
      </c>
      <c r="B19" s="23">
        <v>45815</v>
      </c>
    </row>
    <row r="20" spans="1:10" x14ac:dyDescent="0.3">
      <c r="A20">
        <v>2</v>
      </c>
      <c r="B20" s="23">
        <v>45815</v>
      </c>
    </row>
    <row r="21" spans="1:10" x14ac:dyDescent="0.3">
      <c r="A21">
        <v>3</v>
      </c>
      <c r="B21" s="23">
        <v>45815</v>
      </c>
    </row>
    <row r="22" spans="1:10" x14ac:dyDescent="0.3">
      <c r="A22">
        <v>4</v>
      </c>
      <c r="B22" s="23">
        <v>45815</v>
      </c>
    </row>
    <row r="23" spans="1:10" x14ac:dyDescent="0.3">
      <c r="A23">
        <v>5</v>
      </c>
      <c r="B23" s="23">
        <v>45815</v>
      </c>
    </row>
    <row r="24" spans="1:10" x14ac:dyDescent="0.3">
      <c r="A24">
        <v>6</v>
      </c>
      <c r="B24" s="23">
        <v>45815</v>
      </c>
    </row>
    <row r="25" spans="1:10" x14ac:dyDescent="0.3">
      <c r="A25">
        <v>7</v>
      </c>
      <c r="B25" s="23">
        <v>45815</v>
      </c>
    </row>
    <row r="26" spans="1:10" x14ac:dyDescent="0.3">
      <c r="A26">
        <v>8</v>
      </c>
      <c r="B26" s="23">
        <v>45815</v>
      </c>
    </row>
    <row r="27" spans="1:10" x14ac:dyDescent="0.3">
      <c r="A27">
        <v>9</v>
      </c>
      <c r="B27" s="23">
        <v>45815</v>
      </c>
    </row>
    <row r="28" spans="1:10" x14ac:dyDescent="0.3">
      <c r="A28">
        <v>10</v>
      </c>
      <c r="B28" s="23">
        <v>45815</v>
      </c>
    </row>
    <row r="29" spans="1:10" x14ac:dyDescent="0.3">
      <c r="A29">
        <v>11</v>
      </c>
      <c r="B29" s="23">
        <v>45815</v>
      </c>
    </row>
    <row r="30" spans="1:10" x14ac:dyDescent="0.3">
      <c r="A30">
        <v>12</v>
      </c>
      <c r="B30" s="23">
        <v>45815</v>
      </c>
    </row>
    <row r="31" spans="1:10" x14ac:dyDescent="0.3">
      <c r="A31">
        <v>13</v>
      </c>
      <c r="B31" s="23">
        <v>45815</v>
      </c>
    </row>
    <row r="32" spans="1:10" x14ac:dyDescent="0.3">
      <c r="A32">
        <v>1</v>
      </c>
      <c r="B32" s="23">
        <v>45817</v>
      </c>
    </row>
    <row r="33" spans="1:2" x14ac:dyDescent="0.3">
      <c r="A33">
        <v>2</v>
      </c>
      <c r="B33" s="23">
        <v>45817</v>
      </c>
    </row>
    <row r="34" spans="1:2" x14ac:dyDescent="0.3">
      <c r="A34">
        <v>3</v>
      </c>
      <c r="B34" s="23">
        <v>45817</v>
      </c>
    </row>
    <row r="35" spans="1:2" x14ac:dyDescent="0.3">
      <c r="A35">
        <v>4</v>
      </c>
      <c r="B35" s="23">
        <v>45817</v>
      </c>
    </row>
    <row r="36" spans="1:2" x14ac:dyDescent="0.3">
      <c r="A36">
        <v>5</v>
      </c>
      <c r="B36" s="23">
        <v>45817</v>
      </c>
    </row>
    <row r="37" spans="1:2" x14ac:dyDescent="0.3">
      <c r="A37">
        <v>6</v>
      </c>
      <c r="B37" s="23">
        <v>45817</v>
      </c>
    </row>
    <row r="38" spans="1:2" x14ac:dyDescent="0.3">
      <c r="A38">
        <v>7</v>
      </c>
      <c r="B38" s="23">
        <v>45817</v>
      </c>
    </row>
    <row r="39" spans="1:2" x14ac:dyDescent="0.3">
      <c r="A39">
        <v>8</v>
      </c>
      <c r="B39" s="23">
        <v>45817</v>
      </c>
    </row>
    <row r="40" spans="1:2" x14ac:dyDescent="0.3">
      <c r="A40">
        <v>9</v>
      </c>
      <c r="B40" s="23">
        <v>45817</v>
      </c>
    </row>
    <row r="41" spans="1:2" x14ac:dyDescent="0.3">
      <c r="A41">
        <v>10</v>
      </c>
      <c r="B41" s="23">
        <v>45817</v>
      </c>
    </row>
    <row r="42" spans="1:2" x14ac:dyDescent="0.3">
      <c r="A42">
        <v>11</v>
      </c>
      <c r="B42" s="23">
        <v>45817</v>
      </c>
    </row>
    <row r="43" spans="1:2" x14ac:dyDescent="0.3">
      <c r="A43">
        <v>12</v>
      </c>
      <c r="B43" s="23">
        <v>45817</v>
      </c>
    </row>
    <row r="44" spans="1:2" x14ac:dyDescent="0.3">
      <c r="A44">
        <v>13</v>
      </c>
      <c r="B44" s="23">
        <v>45817</v>
      </c>
    </row>
    <row r="45" spans="1:2" x14ac:dyDescent="0.3">
      <c r="A45">
        <v>14</v>
      </c>
      <c r="B45" s="23">
        <v>45817</v>
      </c>
    </row>
    <row r="46" spans="1:2" x14ac:dyDescent="0.3">
      <c r="A46">
        <v>15</v>
      </c>
      <c r="B46" s="23">
        <v>45817</v>
      </c>
    </row>
    <row r="47" spans="1:2" x14ac:dyDescent="0.3">
      <c r="A47">
        <v>16</v>
      </c>
      <c r="B47" s="23">
        <v>45817</v>
      </c>
    </row>
    <row r="48" spans="1:2" x14ac:dyDescent="0.3">
      <c r="A48">
        <v>17</v>
      </c>
      <c r="B48" s="23">
        <v>45817</v>
      </c>
    </row>
    <row r="49" spans="1:2" x14ac:dyDescent="0.3">
      <c r="A49">
        <v>18</v>
      </c>
      <c r="B49" s="23">
        <v>45817</v>
      </c>
    </row>
    <row r="50" spans="1:2" x14ac:dyDescent="0.3">
      <c r="A50">
        <v>19</v>
      </c>
      <c r="B50" s="23">
        <v>45817</v>
      </c>
    </row>
    <row r="51" spans="1:2" x14ac:dyDescent="0.3">
      <c r="A51">
        <v>20</v>
      </c>
      <c r="B51" s="23">
        <v>45817</v>
      </c>
    </row>
    <row r="52" spans="1:2" x14ac:dyDescent="0.3">
      <c r="A52">
        <v>1</v>
      </c>
      <c r="B52" s="23">
        <v>45837</v>
      </c>
    </row>
    <row r="53" spans="1:2" x14ac:dyDescent="0.3">
      <c r="A53">
        <v>2</v>
      </c>
      <c r="B53" s="23">
        <v>45837</v>
      </c>
    </row>
    <row r="54" spans="1:2" x14ac:dyDescent="0.3">
      <c r="A54">
        <v>3</v>
      </c>
      <c r="B54" s="23">
        <v>45837</v>
      </c>
    </row>
    <row r="55" spans="1:2" x14ac:dyDescent="0.3">
      <c r="A55">
        <v>4</v>
      </c>
      <c r="B55" s="23">
        <v>45837</v>
      </c>
    </row>
    <row r="56" spans="1:2" x14ac:dyDescent="0.3">
      <c r="A56">
        <v>5</v>
      </c>
      <c r="B56" s="23">
        <v>45837</v>
      </c>
    </row>
    <row r="57" spans="1:2" x14ac:dyDescent="0.3">
      <c r="A57">
        <v>6</v>
      </c>
      <c r="B57" s="23">
        <v>45837</v>
      </c>
    </row>
    <row r="58" spans="1:2" x14ac:dyDescent="0.3">
      <c r="A58">
        <v>7</v>
      </c>
      <c r="B58" s="23">
        <v>45837</v>
      </c>
    </row>
    <row r="59" spans="1:2" x14ac:dyDescent="0.3">
      <c r="A59">
        <v>8</v>
      </c>
      <c r="B59" s="23">
        <v>45837</v>
      </c>
    </row>
    <row r="60" spans="1:2" x14ac:dyDescent="0.3">
      <c r="A60">
        <v>9</v>
      </c>
      <c r="B60" s="23">
        <v>45837</v>
      </c>
    </row>
    <row r="61" spans="1:2" x14ac:dyDescent="0.3">
      <c r="A61">
        <v>10</v>
      </c>
      <c r="B61" s="23">
        <v>45837</v>
      </c>
    </row>
    <row r="62" spans="1:2" x14ac:dyDescent="0.3">
      <c r="A62">
        <v>11</v>
      </c>
      <c r="B62" s="23">
        <v>45837</v>
      </c>
    </row>
    <row r="63" spans="1:2" x14ac:dyDescent="0.3">
      <c r="A63">
        <v>12</v>
      </c>
      <c r="B63" s="23">
        <v>45837</v>
      </c>
    </row>
    <row r="64" spans="1:2" x14ac:dyDescent="0.3">
      <c r="A64">
        <v>13</v>
      </c>
      <c r="B64" s="23">
        <v>45837</v>
      </c>
    </row>
    <row r="65" spans="1:2" x14ac:dyDescent="0.3">
      <c r="A65">
        <v>14</v>
      </c>
      <c r="B65" s="23">
        <v>45837</v>
      </c>
    </row>
    <row r="66" spans="1:2" x14ac:dyDescent="0.3">
      <c r="A66">
        <v>15</v>
      </c>
      <c r="B66" s="23">
        <v>45837</v>
      </c>
    </row>
    <row r="67" spans="1:2" x14ac:dyDescent="0.3">
      <c r="A67">
        <v>16</v>
      </c>
      <c r="B67" s="23">
        <v>45837</v>
      </c>
    </row>
    <row r="68" spans="1:2" x14ac:dyDescent="0.3">
      <c r="A68">
        <v>17</v>
      </c>
      <c r="B68" s="23">
        <v>45837</v>
      </c>
    </row>
    <row r="69" spans="1:2" x14ac:dyDescent="0.3">
      <c r="A69">
        <v>18</v>
      </c>
      <c r="B69" s="23">
        <v>45837</v>
      </c>
    </row>
    <row r="70" spans="1:2" x14ac:dyDescent="0.3">
      <c r="A70">
        <v>19</v>
      </c>
      <c r="B70" s="23">
        <v>45837</v>
      </c>
    </row>
    <row r="71" spans="1:2" x14ac:dyDescent="0.3">
      <c r="A71">
        <v>20</v>
      </c>
      <c r="B71" s="23">
        <v>45837</v>
      </c>
    </row>
    <row r="72" spans="1:2" x14ac:dyDescent="0.3">
      <c r="A72">
        <v>21</v>
      </c>
      <c r="B72" s="23">
        <v>45837</v>
      </c>
    </row>
  </sheetData>
  <autoFilter ref="A1:H1" xr:uid="{E8DDE8D9-5BFB-446D-8B12-DC8087DAB60A}">
    <sortState xmlns:xlrd2="http://schemas.microsoft.com/office/spreadsheetml/2017/richdata2" ref="A2:H51">
      <sortCondition ref="B1"/>
    </sortState>
  </autoFilter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1028E-FB1A-4B20-AA1C-69FCE94C0C7F}">
  <dimension ref="A1:H72"/>
  <sheetViews>
    <sheetView zoomScale="70" workbookViewId="0">
      <selection activeCell="L25" sqref="L25"/>
    </sheetView>
  </sheetViews>
  <sheetFormatPr defaultRowHeight="14.4" x14ac:dyDescent="0.3"/>
  <cols>
    <col min="2" max="2" width="12.5546875" customWidth="1"/>
    <col min="3" max="3" width="26.6640625" customWidth="1"/>
    <col min="4" max="4" width="13.33203125" customWidth="1"/>
    <col min="5" max="5" width="12" customWidth="1"/>
    <col min="6" max="6" width="12.33203125" customWidth="1"/>
    <col min="7" max="7" width="13.33203125" customWidth="1"/>
  </cols>
  <sheetData>
    <row r="1" spans="1:8" ht="52.95" customHeight="1" x14ac:dyDescent="0.3">
      <c r="A1" s="24" t="s">
        <v>69</v>
      </c>
      <c r="B1" s="24" t="s">
        <v>78</v>
      </c>
      <c r="C1" s="24" t="s">
        <v>70</v>
      </c>
      <c r="D1" s="25" t="s">
        <v>71</v>
      </c>
      <c r="E1" s="24" t="s">
        <v>72</v>
      </c>
      <c r="F1" s="24" t="s">
        <v>73</v>
      </c>
      <c r="G1" s="26">
        <v>500</v>
      </c>
      <c r="H1" s="24" t="s">
        <v>74</v>
      </c>
    </row>
    <row r="2" spans="1:8" x14ac:dyDescent="0.3">
      <c r="A2">
        <v>1</v>
      </c>
      <c r="B2" s="23">
        <v>45802</v>
      </c>
      <c r="C2" t="s">
        <v>33</v>
      </c>
      <c r="D2">
        <v>34.75</v>
      </c>
      <c r="E2">
        <v>35.71</v>
      </c>
      <c r="F2">
        <v>36.35</v>
      </c>
      <c r="G2">
        <v>33.130000000000003</v>
      </c>
      <c r="H2">
        <v>0</v>
      </c>
    </row>
    <row r="3" spans="1:8" x14ac:dyDescent="0.3">
      <c r="A3">
        <v>2</v>
      </c>
      <c r="B3" s="23">
        <v>45802</v>
      </c>
      <c r="C3" t="s">
        <v>35</v>
      </c>
      <c r="D3">
        <v>31.2</v>
      </c>
      <c r="E3">
        <v>31.78</v>
      </c>
      <c r="F3">
        <v>32.76</v>
      </c>
      <c r="G3">
        <v>30.27</v>
      </c>
      <c r="H3">
        <v>0</v>
      </c>
    </row>
    <row r="4" spans="1:8" x14ac:dyDescent="0.3">
      <c r="A4">
        <v>3</v>
      </c>
      <c r="B4" s="23">
        <v>45802</v>
      </c>
      <c r="C4" t="s">
        <v>34</v>
      </c>
      <c r="D4">
        <v>31.1</v>
      </c>
      <c r="E4">
        <v>31.67</v>
      </c>
      <c r="F4">
        <v>34.200000000000003</v>
      </c>
      <c r="G4">
        <v>27.2</v>
      </c>
      <c r="H4">
        <v>20.81</v>
      </c>
    </row>
    <row r="5" spans="1:8" x14ac:dyDescent="0.3">
      <c r="A5">
        <v>4</v>
      </c>
      <c r="B5" s="23">
        <v>45802</v>
      </c>
      <c r="C5" t="s">
        <v>36</v>
      </c>
      <c r="D5">
        <v>31.01</v>
      </c>
      <c r="E5">
        <v>32.17</v>
      </c>
      <c r="F5">
        <v>32.409999999999997</v>
      </c>
      <c r="G5">
        <v>30.84</v>
      </c>
      <c r="H5">
        <v>0</v>
      </c>
    </row>
    <row r="6" spans="1:8" x14ac:dyDescent="0.3">
      <c r="A6">
        <v>5</v>
      </c>
      <c r="B6" s="23">
        <v>45802</v>
      </c>
      <c r="C6" t="s">
        <v>37</v>
      </c>
      <c r="D6">
        <v>30.05</v>
      </c>
      <c r="E6">
        <v>31.05</v>
      </c>
      <c r="F6">
        <v>33.700000000000003</v>
      </c>
      <c r="G6">
        <v>28.33</v>
      </c>
      <c r="H6">
        <v>19.690000000000001</v>
      </c>
    </row>
    <row r="7" spans="1:8" x14ac:dyDescent="0.3">
      <c r="A7">
        <v>6</v>
      </c>
      <c r="B7" s="23">
        <v>45802</v>
      </c>
      <c r="C7" t="s">
        <v>32</v>
      </c>
      <c r="D7">
        <v>29.71</v>
      </c>
      <c r="E7">
        <v>30.58</v>
      </c>
      <c r="F7">
        <v>31.57</v>
      </c>
      <c r="G7">
        <v>28.69</v>
      </c>
      <c r="H7">
        <v>0</v>
      </c>
    </row>
    <row r="8" spans="1:8" x14ac:dyDescent="0.3">
      <c r="A8">
        <v>7</v>
      </c>
      <c r="B8" s="23">
        <v>45802</v>
      </c>
      <c r="C8" t="s">
        <v>40</v>
      </c>
      <c r="D8">
        <v>29.7</v>
      </c>
      <c r="E8">
        <v>30.4</v>
      </c>
      <c r="F8">
        <v>31.05</v>
      </c>
      <c r="G8">
        <v>27.39</v>
      </c>
      <c r="H8">
        <v>8.52</v>
      </c>
    </row>
    <row r="9" spans="1:8" x14ac:dyDescent="0.3">
      <c r="A9">
        <v>8</v>
      </c>
      <c r="B9" s="23">
        <v>45802</v>
      </c>
      <c r="C9" t="s">
        <v>50</v>
      </c>
      <c r="D9">
        <v>29.41</v>
      </c>
      <c r="E9">
        <v>30.29</v>
      </c>
      <c r="F9">
        <v>30.6</v>
      </c>
      <c r="G9">
        <v>27.97</v>
      </c>
      <c r="H9">
        <v>15.38</v>
      </c>
    </row>
    <row r="10" spans="1:8" x14ac:dyDescent="0.3">
      <c r="A10">
        <v>9</v>
      </c>
      <c r="B10" s="23">
        <v>45802</v>
      </c>
      <c r="C10" t="s">
        <v>80</v>
      </c>
      <c r="D10">
        <v>29.12</v>
      </c>
      <c r="E10">
        <v>29.99</v>
      </c>
      <c r="F10">
        <v>30.3</v>
      </c>
      <c r="G10">
        <v>28.16</v>
      </c>
      <c r="H10">
        <v>18.11</v>
      </c>
    </row>
    <row r="11" spans="1:8" x14ac:dyDescent="0.3">
      <c r="A11">
        <v>10</v>
      </c>
      <c r="B11" s="23">
        <v>45802</v>
      </c>
      <c r="C11" t="s">
        <v>41</v>
      </c>
      <c r="D11">
        <v>28.9</v>
      </c>
      <c r="E11">
        <v>29.11</v>
      </c>
      <c r="F11">
        <v>29.4</v>
      </c>
      <c r="G11">
        <v>28.4</v>
      </c>
      <c r="H11">
        <v>14.29</v>
      </c>
    </row>
    <row r="12" spans="1:8" x14ac:dyDescent="0.3">
      <c r="A12">
        <v>11</v>
      </c>
      <c r="B12" s="23">
        <v>45802</v>
      </c>
      <c r="C12" t="s">
        <v>44</v>
      </c>
      <c r="D12">
        <v>28.34</v>
      </c>
      <c r="E12">
        <v>29.46</v>
      </c>
      <c r="F12">
        <v>29.97</v>
      </c>
      <c r="G12">
        <v>27.31</v>
      </c>
      <c r="H12">
        <v>0</v>
      </c>
    </row>
    <row r="13" spans="1:8" x14ac:dyDescent="0.3">
      <c r="A13">
        <v>12</v>
      </c>
      <c r="B13" s="23">
        <v>45802</v>
      </c>
      <c r="C13" t="s">
        <v>45</v>
      </c>
      <c r="D13">
        <v>27.73</v>
      </c>
      <c r="E13">
        <v>28.65</v>
      </c>
      <c r="F13">
        <v>29.3</v>
      </c>
      <c r="G13">
        <v>26.12</v>
      </c>
      <c r="H13">
        <v>0</v>
      </c>
    </row>
    <row r="14" spans="1:8" x14ac:dyDescent="0.3">
      <c r="A14">
        <v>13</v>
      </c>
      <c r="B14" s="23">
        <v>45802</v>
      </c>
      <c r="C14" t="s">
        <v>42</v>
      </c>
      <c r="D14">
        <v>26.47</v>
      </c>
      <c r="E14">
        <v>26.91</v>
      </c>
      <c r="F14">
        <v>27.3</v>
      </c>
      <c r="G14">
        <v>25.58</v>
      </c>
      <c r="H14">
        <v>14.44</v>
      </c>
    </row>
    <row r="15" spans="1:8" x14ac:dyDescent="0.3">
      <c r="A15">
        <v>14</v>
      </c>
      <c r="B15" s="23">
        <v>45802</v>
      </c>
      <c r="C15" t="s">
        <v>82</v>
      </c>
      <c r="D15">
        <v>25.93</v>
      </c>
      <c r="E15">
        <v>26.35</v>
      </c>
      <c r="F15">
        <v>27.03</v>
      </c>
      <c r="G15">
        <v>25.01</v>
      </c>
      <c r="H15">
        <v>16.170000000000002</v>
      </c>
    </row>
    <row r="16" spans="1:8" x14ac:dyDescent="0.3">
      <c r="A16">
        <v>15</v>
      </c>
      <c r="B16" s="23">
        <v>45802</v>
      </c>
      <c r="C16" t="s">
        <v>79</v>
      </c>
      <c r="D16">
        <v>25.4</v>
      </c>
      <c r="E16">
        <v>26.4</v>
      </c>
      <c r="F16">
        <v>27.1</v>
      </c>
      <c r="G16">
        <v>24.43</v>
      </c>
      <c r="H16">
        <v>0</v>
      </c>
    </row>
    <row r="17" spans="1:8" x14ac:dyDescent="0.3">
      <c r="A17">
        <v>16</v>
      </c>
      <c r="B17" s="23">
        <v>45802</v>
      </c>
      <c r="C17" t="s">
        <v>83</v>
      </c>
      <c r="D17">
        <v>25.11</v>
      </c>
      <c r="E17">
        <v>25.64</v>
      </c>
      <c r="F17">
        <v>26.56</v>
      </c>
      <c r="G17">
        <v>23.83</v>
      </c>
      <c r="H17">
        <v>15.25</v>
      </c>
    </row>
    <row r="18" spans="1:8" x14ac:dyDescent="0.3">
      <c r="A18">
        <v>17</v>
      </c>
      <c r="B18" s="23">
        <v>45802</v>
      </c>
      <c r="C18" t="s">
        <v>84</v>
      </c>
      <c r="D18">
        <v>20.3</v>
      </c>
      <c r="E18">
        <v>20.43</v>
      </c>
      <c r="F18">
        <v>22.34</v>
      </c>
      <c r="G18">
        <v>18.61</v>
      </c>
      <c r="H18">
        <v>13.99</v>
      </c>
    </row>
    <row r="19" spans="1:8" x14ac:dyDescent="0.3">
      <c r="A19">
        <v>1</v>
      </c>
      <c r="B19" s="23">
        <v>45815</v>
      </c>
      <c r="C19" t="s">
        <v>76</v>
      </c>
      <c r="D19">
        <v>32.49</v>
      </c>
      <c r="E19">
        <v>32.81</v>
      </c>
      <c r="F19">
        <v>33.47</v>
      </c>
      <c r="G19">
        <v>29.87</v>
      </c>
      <c r="H19">
        <v>16.41</v>
      </c>
    </row>
    <row r="20" spans="1:8" x14ac:dyDescent="0.3">
      <c r="A20">
        <v>2</v>
      </c>
      <c r="B20" s="23">
        <v>45815</v>
      </c>
      <c r="C20" t="s">
        <v>75</v>
      </c>
      <c r="D20">
        <v>31.88</v>
      </c>
      <c r="E20">
        <v>32.08</v>
      </c>
      <c r="F20">
        <v>33.1</v>
      </c>
      <c r="G20">
        <v>31.11</v>
      </c>
      <c r="H20">
        <v>17.600000000000001</v>
      </c>
    </row>
    <row r="21" spans="1:8" x14ac:dyDescent="0.3">
      <c r="A21">
        <v>3</v>
      </c>
      <c r="B21" s="23">
        <v>45815</v>
      </c>
      <c r="C21" t="s">
        <v>34</v>
      </c>
      <c r="D21">
        <v>29.82</v>
      </c>
      <c r="E21">
        <v>30.41</v>
      </c>
      <c r="F21">
        <v>31.8</v>
      </c>
      <c r="G21">
        <v>27.34</v>
      </c>
      <c r="H21">
        <v>19.86</v>
      </c>
    </row>
    <row r="22" spans="1:8" x14ac:dyDescent="0.3">
      <c r="A22">
        <v>4</v>
      </c>
      <c r="B22" s="23">
        <v>45815</v>
      </c>
      <c r="C22" t="s">
        <v>36</v>
      </c>
      <c r="D22">
        <v>29.54</v>
      </c>
      <c r="E22">
        <v>29.84</v>
      </c>
      <c r="F22">
        <v>30.89</v>
      </c>
      <c r="G22">
        <v>28.79</v>
      </c>
      <c r="H22">
        <v>0</v>
      </c>
    </row>
    <row r="23" spans="1:8" x14ac:dyDescent="0.3">
      <c r="A23">
        <v>5</v>
      </c>
      <c r="B23" s="23">
        <v>45815</v>
      </c>
      <c r="C23" t="s">
        <v>77</v>
      </c>
      <c r="D23">
        <v>28.75</v>
      </c>
      <c r="E23">
        <v>29.11</v>
      </c>
      <c r="F23">
        <v>29.7</v>
      </c>
      <c r="G23">
        <v>27.23</v>
      </c>
      <c r="H23">
        <v>0</v>
      </c>
    </row>
    <row r="24" spans="1:8" x14ac:dyDescent="0.3">
      <c r="A24">
        <v>6</v>
      </c>
      <c r="B24" s="23">
        <v>45815</v>
      </c>
      <c r="C24" t="s">
        <v>50</v>
      </c>
      <c r="D24">
        <v>28.67</v>
      </c>
      <c r="E24">
        <v>29.28</v>
      </c>
      <c r="F24">
        <v>29.65</v>
      </c>
      <c r="G24">
        <v>25.81</v>
      </c>
      <c r="H24">
        <v>17.84</v>
      </c>
    </row>
    <row r="25" spans="1:8" x14ac:dyDescent="0.3">
      <c r="A25">
        <v>7</v>
      </c>
      <c r="B25" s="23">
        <v>45815</v>
      </c>
      <c r="C25" t="s">
        <v>60</v>
      </c>
      <c r="D25">
        <v>28.24</v>
      </c>
      <c r="E25">
        <v>29.43</v>
      </c>
      <c r="F25">
        <v>30.09</v>
      </c>
      <c r="G25">
        <v>23.22</v>
      </c>
      <c r="H25">
        <v>0</v>
      </c>
    </row>
    <row r="26" spans="1:8" x14ac:dyDescent="0.3">
      <c r="A26">
        <v>8</v>
      </c>
      <c r="B26" s="23">
        <v>45815</v>
      </c>
      <c r="C26" t="s">
        <v>45</v>
      </c>
      <c r="D26">
        <v>28.13</v>
      </c>
      <c r="E26">
        <v>28.66</v>
      </c>
      <c r="F26">
        <v>29.3</v>
      </c>
      <c r="G26">
        <v>26.92</v>
      </c>
      <c r="H26">
        <v>14.58</v>
      </c>
    </row>
    <row r="27" spans="1:8" x14ac:dyDescent="0.3">
      <c r="A27">
        <v>9</v>
      </c>
      <c r="B27" s="23">
        <v>45815</v>
      </c>
      <c r="C27" t="s">
        <v>40</v>
      </c>
      <c r="D27">
        <v>26.5</v>
      </c>
      <c r="E27">
        <v>27.15</v>
      </c>
      <c r="F27">
        <v>27.4</v>
      </c>
      <c r="G27">
        <v>23.53</v>
      </c>
      <c r="H27">
        <v>14.65</v>
      </c>
    </row>
    <row r="28" spans="1:8" x14ac:dyDescent="0.3">
      <c r="A28">
        <v>10</v>
      </c>
      <c r="B28" s="23">
        <v>45815</v>
      </c>
      <c r="C28" t="s">
        <v>41</v>
      </c>
      <c r="D28">
        <v>26.47</v>
      </c>
      <c r="E28">
        <v>26.79</v>
      </c>
      <c r="F28">
        <v>27.4</v>
      </c>
      <c r="G28">
        <v>24.37</v>
      </c>
      <c r="H28">
        <v>0</v>
      </c>
    </row>
    <row r="29" spans="1:8" x14ac:dyDescent="0.3">
      <c r="A29">
        <v>11</v>
      </c>
      <c r="B29" s="23">
        <v>45815</v>
      </c>
      <c r="C29" t="s">
        <v>79</v>
      </c>
      <c r="D29">
        <v>25.06</v>
      </c>
      <c r="E29">
        <v>26.73</v>
      </c>
      <c r="F29">
        <v>27.7</v>
      </c>
      <c r="G29">
        <v>24.76</v>
      </c>
      <c r="H29">
        <v>0</v>
      </c>
    </row>
    <row r="30" spans="1:8" x14ac:dyDescent="0.3">
      <c r="A30">
        <v>12</v>
      </c>
      <c r="B30" s="23">
        <v>45815</v>
      </c>
      <c r="C30" t="s">
        <v>52</v>
      </c>
      <c r="D30">
        <v>24.81</v>
      </c>
      <c r="E30">
        <v>26.25</v>
      </c>
      <c r="F30">
        <v>27.1</v>
      </c>
      <c r="G30">
        <v>23.17</v>
      </c>
      <c r="H30">
        <v>15.8</v>
      </c>
    </row>
    <row r="31" spans="1:8" x14ac:dyDescent="0.3">
      <c r="A31">
        <v>13</v>
      </c>
      <c r="B31" s="23">
        <v>45815</v>
      </c>
      <c r="C31" t="s">
        <v>62</v>
      </c>
      <c r="D31">
        <v>22.8</v>
      </c>
      <c r="E31">
        <v>23.12</v>
      </c>
      <c r="F31">
        <v>23.5</v>
      </c>
      <c r="G31">
        <v>22.4</v>
      </c>
      <c r="H31">
        <v>16.97</v>
      </c>
    </row>
    <row r="32" spans="1:8" x14ac:dyDescent="0.3">
      <c r="A32">
        <v>1</v>
      </c>
      <c r="B32" s="23">
        <v>45817</v>
      </c>
      <c r="C32" t="s">
        <v>75</v>
      </c>
      <c r="D32">
        <v>34.68</v>
      </c>
      <c r="E32">
        <v>35.17</v>
      </c>
      <c r="F32">
        <v>36.6</v>
      </c>
      <c r="G32">
        <v>33.520000000000003</v>
      </c>
      <c r="H32">
        <v>20.75</v>
      </c>
    </row>
    <row r="33" spans="1:8" x14ac:dyDescent="0.3">
      <c r="A33">
        <v>2</v>
      </c>
      <c r="B33" s="23">
        <v>45817</v>
      </c>
      <c r="C33" t="s">
        <v>76</v>
      </c>
      <c r="D33">
        <v>34.47</v>
      </c>
      <c r="E33">
        <v>35.26</v>
      </c>
      <c r="F33">
        <v>36.869999999999997</v>
      </c>
      <c r="G33">
        <v>30.38</v>
      </c>
      <c r="H33">
        <v>0</v>
      </c>
    </row>
    <row r="34" spans="1:8" x14ac:dyDescent="0.3">
      <c r="A34">
        <v>3</v>
      </c>
      <c r="B34" s="23">
        <v>45817</v>
      </c>
      <c r="C34" t="s">
        <v>64</v>
      </c>
      <c r="D34">
        <v>33.729999999999997</v>
      </c>
      <c r="E34">
        <v>34.46</v>
      </c>
      <c r="F34">
        <v>35.130000000000003</v>
      </c>
      <c r="G34">
        <v>28.18</v>
      </c>
      <c r="H34">
        <v>0</v>
      </c>
    </row>
    <row r="35" spans="1:8" x14ac:dyDescent="0.3">
      <c r="A35">
        <v>4</v>
      </c>
      <c r="B35" s="23">
        <v>45817</v>
      </c>
      <c r="C35" t="s">
        <v>35</v>
      </c>
      <c r="D35">
        <v>33.619999999999997</v>
      </c>
      <c r="E35">
        <v>33.83</v>
      </c>
      <c r="F35">
        <v>34.74</v>
      </c>
      <c r="G35">
        <v>31.19</v>
      </c>
      <c r="H35">
        <v>0</v>
      </c>
    </row>
    <row r="36" spans="1:8" x14ac:dyDescent="0.3">
      <c r="A36">
        <v>5</v>
      </c>
      <c r="B36" s="23">
        <v>45817</v>
      </c>
      <c r="C36" t="s">
        <v>46</v>
      </c>
      <c r="D36">
        <v>32.880000000000003</v>
      </c>
      <c r="E36">
        <v>34.090000000000003</v>
      </c>
      <c r="F36">
        <v>34.799999999999997</v>
      </c>
      <c r="G36">
        <v>33.72</v>
      </c>
      <c r="H36">
        <v>0</v>
      </c>
    </row>
    <row r="37" spans="1:8" x14ac:dyDescent="0.3">
      <c r="A37">
        <v>6</v>
      </c>
      <c r="B37" s="23">
        <v>45817</v>
      </c>
      <c r="C37" t="s">
        <v>77</v>
      </c>
      <c r="D37">
        <v>32.64</v>
      </c>
      <c r="E37">
        <v>33.520000000000003</v>
      </c>
      <c r="F37">
        <v>34.42</v>
      </c>
      <c r="G37">
        <v>29.72</v>
      </c>
      <c r="H37">
        <v>0</v>
      </c>
    </row>
    <row r="38" spans="1:8" x14ac:dyDescent="0.3">
      <c r="A38">
        <v>7</v>
      </c>
      <c r="B38" s="23">
        <v>45817</v>
      </c>
      <c r="C38" t="s">
        <v>34</v>
      </c>
      <c r="D38">
        <v>32.07</v>
      </c>
      <c r="E38">
        <v>33.15</v>
      </c>
      <c r="F38">
        <v>34.299999999999997</v>
      </c>
      <c r="G38">
        <v>27.16</v>
      </c>
      <c r="H38">
        <v>16.62</v>
      </c>
    </row>
    <row r="39" spans="1:8" x14ac:dyDescent="0.3">
      <c r="A39">
        <v>8</v>
      </c>
      <c r="B39" s="23">
        <v>45817</v>
      </c>
      <c r="C39" t="s">
        <v>55</v>
      </c>
      <c r="D39">
        <v>31.96</v>
      </c>
      <c r="E39">
        <v>33.65</v>
      </c>
      <c r="F39">
        <v>35.36</v>
      </c>
      <c r="G39">
        <v>25</v>
      </c>
      <c r="H39">
        <v>0</v>
      </c>
    </row>
    <row r="40" spans="1:8" x14ac:dyDescent="0.3">
      <c r="A40">
        <v>9</v>
      </c>
      <c r="B40" s="23">
        <v>45817</v>
      </c>
      <c r="C40" t="s">
        <v>37</v>
      </c>
      <c r="D40">
        <v>30.72</v>
      </c>
      <c r="E40">
        <v>31.36</v>
      </c>
      <c r="F40">
        <v>33.409999999999997</v>
      </c>
      <c r="G40">
        <v>29.11</v>
      </c>
      <c r="H40">
        <v>20.22</v>
      </c>
    </row>
    <row r="41" spans="1:8" x14ac:dyDescent="0.3">
      <c r="A41">
        <v>10</v>
      </c>
      <c r="B41" s="23">
        <v>45817</v>
      </c>
      <c r="C41" t="s">
        <v>40</v>
      </c>
      <c r="D41">
        <v>30.3</v>
      </c>
      <c r="E41">
        <v>30.38</v>
      </c>
      <c r="F41">
        <v>31.24</v>
      </c>
      <c r="G41">
        <v>28.05</v>
      </c>
      <c r="H41">
        <v>13.12</v>
      </c>
    </row>
    <row r="42" spans="1:8" x14ac:dyDescent="0.3">
      <c r="A42">
        <v>11</v>
      </c>
      <c r="B42" s="23">
        <v>45817</v>
      </c>
      <c r="C42" t="s">
        <v>53</v>
      </c>
      <c r="D42">
        <v>29.99</v>
      </c>
      <c r="E42">
        <v>31.46</v>
      </c>
      <c r="F42">
        <v>31.65</v>
      </c>
      <c r="G42">
        <v>29.32</v>
      </c>
      <c r="H42">
        <v>17.760000000000002</v>
      </c>
    </row>
    <row r="43" spans="1:8" x14ac:dyDescent="0.3">
      <c r="A43">
        <v>12</v>
      </c>
      <c r="B43" s="23">
        <v>45817</v>
      </c>
      <c r="C43" t="s">
        <v>42</v>
      </c>
      <c r="D43">
        <v>28.78</v>
      </c>
      <c r="E43">
        <v>29.63</v>
      </c>
      <c r="F43">
        <v>30.6</v>
      </c>
      <c r="G43">
        <v>28.59</v>
      </c>
      <c r="H43">
        <v>16.22</v>
      </c>
    </row>
    <row r="44" spans="1:8" x14ac:dyDescent="0.3">
      <c r="A44">
        <v>13</v>
      </c>
      <c r="B44" s="23">
        <v>45817</v>
      </c>
      <c r="C44" t="s">
        <v>36</v>
      </c>
      <c r="D44">
        <v>28.59</v>
      </c>
      <c r="E44">
        <v>29.86</v>
      </c>
      <c r="F44">
        <v>30.83</v>
      </c>
      <c r="G44">
        <v>28.11</v>
      </c>
      <c r="H44">
        <v>0</v>
      </c>
    </row>
    <row r="45" spans="1:8" x14ac:dyDescent="0.3">
      <c r="A45">
        <v>14</v>
      </c>
      <c r="B45" s="23">
        <v>45817</v>
      </c>
      <c r="C45" t="s">
        <v>79</v>
      </c>
      <c r="D45">
        <v>27.87</v>
      </c>
      <c r="E45">
        <v>29.53</v>
      </c>
      <c r="F45">
        <v>29.8</v>
      </c>
      <c r="G45">
        <v>27.87</v>
      </c>
      <c r="H45">
        <v>0</v>
      </c>
    </row>
    <row r="46" spans="1:8" x14ac:dyDescent="0.3">
      <c r="A46">
        <v>15</v>
      </c>
      <c r="B46" s="23">
        <v>45817</v>
      </c>
      <c r="C46" t="s">
        <v>41</v>
      </c>
      <c r="D46">
        <v>27.55</v>
      </c>
      <c r="E46">
        <v>28.46</v>
      </c>
      <c r="F46">
        <v>29.05</v>
      </c>
      <c r="G46">
        <v>27.15</v>
      </c>
      <c r="H46">
        <v>13.32</v>
      </c>
    </row>
    <row r="47" spans="1:8" x14ac:dyDescent="0.3">
      <c r="A47">
        <v>16</v>
      </c>
      <c r="B47" s="23">
        <v>45817</v>
      </c>
      <c r="C47" t="s">
        <v>50</v>
      </c>
      <c r="D47">
        <v>27.18</v>
      </c>
      <c r="E47">
        <v>27.91</v>
      </c>
      <c r="F47">
        <v>28.8</v>
      </c>
      <c r="G47">
        <v>25.45</v>
      </c>
      <c r="H47">
        <v>0</v>
      </c>
    </row>
    <row r="48" spans="1:8" x14ac:dyDescent="0.3">
      <c r="A48">
        <v>17</v>
      </c>
      <c r="B48" s="23">
        <v>45817</v>
      </c>
      <c r="C48" t="s">
        <v>80</v>
      </c>
      <c r="D48">
        <v>27.04</v>
      </c>
      <c r="E48">
        <v>27.42</v>
      </c>
      <c r="F48">
        <v>27.99</v>
      </c>
      <c r="G48">
        <v>24.91</v>
      </c>
      <c r="H48">
        <v>15.53</v>
      </c>
    </row>
    <row r="49" spans="1:8" x14ac:dyDescent="0.3">
      <c r="A49">
        <v>18</v>
      </c>
      <c r="B49" s="23">
        <v>45817</v>
      </c>
      <c r="C49" t="s">
        <v>68</v>
      </c>
      <c r="D49">
        <v>26.22</v>
      </c>
      <c r="E49">
        <v>27.09</v>
      </c>
      <c r="F49">
        <v>27.75</v>
      </c>
      <c r="G49">
        <v>24.1</v>
      </c>
      <c r="H49">
        <v>0</v>
      </c>
    </row>
    <row r="50" spans="1:8" x14ac:dyDescent="0.3">
      <c r="A50">
        <v>19</v>
      </c>
      <c r="B50" s="23">
        <v>45817</v>
      </c>
      <c r="C50" t="s">
        <v>81</v>
      </c>
      <c r="D50">
        <v>25.3</v>
      </c>
      <c r="E50">
        <v>26.91</v>
      </c>
      <c r="F50">
        <v>27.49</v>
      </c>
      <c r="G50">
        <v>24.58</v>
      </c>
      <c r="H50">
        <v>0</v>
      </c>
    </row>
    <row r="51" spans="1:8" x14ac:dyDescent="0.3">
      <c r="A51">
        <v>20</v>
      </c>
      <c r="B51" s="23">
        <v>45817</v>
      </c>
      <c r="C51" t="s">
        <v>62</v>
      </c>
      <c r="D51">
        <v>25.28</v>
      </c>
      <c r="E51">
        <v>25.76</v>
      </c>
      <c r="F51">
        <v>26.75</v>
      </c>
      <c r="G51">
        <v>23.14</v>
      </c>
      <c r="H51">
        <v>19.04</v>
      </c>
    </row>
    <row r="52" spans="1:8" x14ac:dyDescent="0.3">
      <c r="A52">
        <v>1</v>
      </c>
      <c r="B52" s="23">
        <v>45837</v>
      </c>
      <c r="C52" t="s">
        <v>33</v>
      </c>
      <c r="D52">
        <v>37.06</v>
      </c>
      <c r="E52">
        <v>38.06</v>
      </c>
      <c r="F52">
        <v>39.299999999999997</v>
      </c>
      <c r="G52">
        <v>34.9</v>
      </c>
      <c r="H52">
        <v>0</v>
      </c>
    </row>
    <row r="53" spans="1:8" x14ac:dyDescent="0.3">
      <c r="A53">
        <v>2</v>
      </c>
      <c r="B53" s="23">
        <v>45837</v>
      </c>
      <c r="C53" t="s">
        <v>46</v>
      </c>
      <c r="D53">
        <v>36.840000000000003</v>
      </c>
      <c r="E53">
        <v>38.78</v>
      </c>
      <c r="F53">
        <v>40.07</v>
      </c>
      <c r="G53">
        <v>34.049999999999997</v>
      </c>
      <c r="H53">
        <v>0</v>
      </c>
    </row>
    <row r="54" spans="1:8" x14ac:dyDescent="0.3">
      <c r="A54">
        <v>3</v>
      </c>
      <c r="B54" s="23">
        <v>45837</v>
      </c>
      <c r="C54" s="54" t="s">
        <v>63</v>
      </c>
      <c r="D54">
        <v>36.35</v>
      </c>
      <c r="E54">
        <v>37.4</v>
      </c>
      <c r="F54">
        <v>39.159999999999997</v>
      </c>
      <c r="G54">
        <v>33.89</v>
      </c>
      <c r="H54">
        <v>0</v>
      </c>
    </row>
    <row r="55" spans="1:8" x14ac:dyDescent="0.3">
      <c r="A55">
        <v>4</v>
      </c>
      <c r="B55" s="23">
        <v>45837</v>
      </c>
      <c r="C55" t="s">
        <v>76</v>
      </c>
      <c r="D55">
        <v>35.380000000000003</v>
      </c>
      <c r="E55">
        <v>36.1</v>
      </c>
      <c r="F55">
        <v>37.03</v>
      </c>
      <c r="G55">
        <v>31.49</v>
      </c>
      <c r="H55">
        <v>0</v>
      </c>
    </row>
    <row r="56" spans="1:8" x14ac:dyDescent="0.3">
      <c r="A56">
        <v>5</v>
      </c>
      <c r="B56" s="23">
        <v>45837</v>
      </c>
      <c r="C56" s="54" t="s">
        <v>102</v>
      </c>
      <c r="D56">
        <v>34.94</v>
      </c>
      <c r="E56">
        <v>35.99</v>
      </c>
      <c r="F56">
        <v>37.76</v>
      </c>
      <c r="G56">
        <v>32.770000000000003</v>
      </c>
      <c r="H56">
        <v>23.28</v>
      </c>
    </row>
    <row r="57" spans="1:8" x14ac:dyDescent="0.3">
      <c r="A57">
        <v>6</v>
      </c>
      <c r="B57" s="23">
        <v>45837</v>
      </c>
      <c r="C57" s="71" t="s">
        <v>64</v>
      </c>
      <c r="D57" s="71">
        <v>34.450000000000003</v>
      </c>
      <c r="E57">
        <v>35.32</v>
      </c>
      <c r="F57">
        <v>35.86</v>
      </c>
      <c r="G57">
        <v>33.630000000000003</v>
      </c>
      <c r="H57">
        <v>0</v>
      </c>
    </row>
    <row r="58" spans="1:8" x14ac:dyDescent="0.3">
      <c r="A58">
        <v>7</v>
      </c>
      <c r="B58" s="23">
        <v>45837</v>
      </c>
      <c r="C58" t="s">
        <v>35</v>
      </c>
      <c r="D58">
        <v>33.770000000000003</v>
      </c>
      <c r="E58">
        <v>34.229999999999997</v>
      </c>
      <c r="F58">
        <v>34.9</v>
      </c>
      <c r="G58">
        <v>28.99</v>
      </c>
      <c r="H58">
        <v>0</v>
      </c>
    </row>
    <row r="59" spans="1:8" x14ac:dyDescent="0.3">
      <c r="A59">
        <v>8</v>
      </c>
      <c r="B59" s="23">
        <v>45837</v>
      </c>
      <c r="C59" s="54" t="s">
        <v>48</v>
      </c>
      <c r="D59">
        <v>33.43</v>
      </c>
      <c r="E59">
        <v>34.369999999999997</v>
      </c>
      <c r="F59">
        <v>35.57</v>
      </c>
      <c r="G59">
        <v>30.7</v>
      </c>
      <c r="H59">
        <v>14.28</v>
      </c>
    </row>
    <row r="60" spans="1:8" x14ac:dyDescent="0.3">
      <c r="A60">
        <v>9</v>
      </c>
      <c r="B60" s="23">
        <v>45837</v>
      </c>
      <c r="C60" t="s">
        <v>32</v>
      </c>
      <c r="D60">
        <v>32.31</v>
      </c>
      <c r="E60">
        <v>33.270000000000003</v>
      </c>
      <c r="F60">
        <v>33.82</v>
      </c>
      <c r="G60">
        <v>30.58</v>
      </c>
      <c r="H60">
        <v>0</v>
      </c>
    </row>
    <row r="61" spans="1:8" x14ac:dyDescent="0.3">
      <c r="A61">
        <v>10</v>
      </c>
      <c r="B61" s="23">
        <v>45837</v>
      </c>
      <c r="C61" t="s">
        <v>41</v>
      </c>
      <c r="D61">
        <v>32.21</v>
      </c>
      <c r="E61">
        <v>32.96</v>
      </c>
      <c r="F61">
        <v>34.29</v>
      </c>
      <c r="G61">
        <v>29.8</v>
      </c>
      <c r="H61">
        <v>17.34</v>
      </c>
    </row>
    <row r="62" spans="1:8" x14ac:dyDescent="0.3">
      <c r="A62">
        <v>11</v>
      </c>
      <c r="B62" s="23">
        <v>45837</v>
      </c>
      <c r="C62" t="s">
        <v>34</v>
      </c>
      <c r="D62">
        <v>32.049999999999997</v>
      </c>
      <c r="E62">
        <v>33.130000000000003</v>
      </c>
      <c r="F62">
        <v>34.700000000000003</v>
      </c>
      <c r="G62">
        <v>25.34</v>
      </c>
      <c r="H62">
        <v>20.85</v>
      </c>
    </row>
    <row r="63" spans="1:8" x14ac:dyDescent="0.3">
      <c r="A63">
        <v>12</v>
      </c>
      <c r="B63" s="23">
        <v>45837</v>
      </c>
      <c r="C63" t="s">
        <v>50</v>
      </c>
      <c r="D63">
        <v>32.04</v>
      </c>
      <c r="E63">
        <v>32.72</v>
      </c>
      <c r="F63">
        <v>34.29</v>
      </c>
      <c r="G63">
        <v>27.93</v>
      </c>
      <c r="H63">
        <v>15.64</v>
      </c>
    </row>
    <row r="64" spans="1:8" x14ac:dyDescent="0.3">
      <c r="A64">
        <v>13</v>
      </c>
      <c r="B64" s="23">
        <v>45837</v>
      </c>
      <c r="C64" s="71" t="s">
        <v>53</v>
      </c>
      <c r="D64" s="71">
        <v>30.84</v>
      </c>
      <c r="E64">
        <v>31.78</v>
      </c>
      <c r="F64">
        <v>32.299999999999997</v>
      </c>
      <c r="G64">
        <v>25.78</v>
      </c>
      <c r="H64">
        <v>20.32</v>
      </c>
    </row>
    <row r="65" spans="1:8" x14ac:dyDescent="0.3">
      <c r="A65">
        <v>14</v>
      </c>
      <c r="B65" s="23">
        <v>45837</v>
      </c>
      <c r="C65" t="s">
        <v>40</v>
      </c>
      <c r="D65">
        <v>30.43</v>
      </c>
      <c r="E65">
        <v>30.77</v>
      </c>
      <c r="F65">
        <v>32.700000000000003</v>
      </c>
      <c r="G65">
        <v>25.7</v>
      </c>
      <c r="H65">
        <v>0</v>
      </c>
    </row>
    <row r="66" spans="1:8" x14ac:dyDescent="0.3">
      <c r="A66">
        <v>15</v>
      </c>
      <c r="B66" s="23">
        <v>45837</v>
      </c>
      <c r="C66" t="s">
        <v>42</v>
      </c>
      <c r="D66">
        <v>30.38</v>
      </c>
      <c r="E66">
        <v>30.64</v>
      </c>
      <c r="F66">
        <v>31.8</v>
      </c>
      <c r="G66">
        <v>28.98</v>
      </c>
      <c r="H66">
        <v>17.63</v>
      </c>
    </row>
    <row r="67" spans="1:8" x14ac:dyDescent="0.3">
      <c r="A67">
        <v>16</v>
      </c>
      <c r="B67" s="23">
        <v>45837</v>
      </c>
      <c r="C67" t="s">
        <v>60</v>
      </c>
      <c r="D67">
        <v>29.93</v>
      </c>
      <c r="E67">
        <v>30.94</v>
      </c>
      <c r="F67">
        <v>31.7</v>
      </c>
      <c r="G67">
        <v>26.62</v>
      </c>
      <c r="H67">
        <v>0</v>
      </c>
    </row>
    <row r="68" spans="1:8" x14ac:dyDescent="0.3">
      <c r="A68">
        <v>17</v>
      </c>
      <c r="B68" s="23">
        <v>45837</v>
      </c>
      <c r="C68" t="s">
        <v>52</v>
      </c>
      <c r="D68">
        <v>29.37</v>
      </c>
      <c r="E68">
        <v>32</v>
      </c>
      <c r="F68">
        <v>33.1</v>
      </c>
      <c r="G68">
        <v>21.34</v>
      </c>
      <c r="H68">
        <v>0</v>
      </c>
    </row>
    <row r="69" spans="1:8" x14ac:dyDescent="0.3">
      <c r="A69">
        <v>18</v>
      </c>
      <c r="B69" s="23">
        <v>45837</v>
      </c>
      <c r="C69" t="s">
        <v>80</v>
      </c>
      <c r="D69">
        <v>29.3</v>
      </c>
      <c r="E69">
        <v>30.05</v>
      </c>
      <c r="F69">
        <v>30.35</v>
      </c>
      <c r="G69">
        <v>27.95</v>
      </c>
      <c r="H69">
        <v>19.399999999999999</v>
      </c>
    </row>
    <row r="70" spans="1:8" x14ac:dyDescent="0.3">
      <c r="A70">
        <v>19</v>
      </c>
      <c r="B70" s="23">
        <v>45837</v>
      </c>
      <c r="C70" t="s">
        <v>62</v>
      </c>
      <c r="D70">
        <v>24.79</v>
      </c>
      <c r="E70">
        <v>24.89</v>
      </c>
      <c r="F70">
        <v>25.7</v>
      </c>
      <c r="G70">
        <v>23.23</v>
      </c>
      <c r="H70">
        <v>18.25</v>
      </c>
    </row>
    <row r="71" spans="1:8" x14ac:dyDescent="0.3">
      <c r="A71">
        <v>20</v>
      </c>
      <c r="B71" s="23">
        <v>45837</v>
      </c>
      <c r="C71" t="s">
        <v>81</v>
      </c>
      <c r="D71">
        <v>24.13</v>
      </c>
      <c r="E71">
        <v>24.92</v>
      </c>
      <c r="F71">
        <v>25.79</v>
      </c>
      <c r="G71">
        <v>23.81</v>
      </c>
      <c r="H71">
        <v>0</v>
      </c>
    </row>
    <row r="72" spans="1:8" x14ac:dyDescent="0.3">
      <c r="A72">
        <v>21</v>
      </c>
      <c r="B72" s="23">
        <v>45837</v>
      </c>
      <c r="C72" t="s">
        <v>68</v>
      </c>
      <c r="D72">
        <v>23.94</v>
      </c>
      <c r="E72">
        <v>24.75</v>
      </c>
      <c r="F72">
        <v>26.15</v>
      </c>
      <c r="G72">
        <v>20.48</v>
      </c>
      <c r="H72">
        <v>10.68</v>
      </c>
    </row>
  </sheetData>
  <autoFilter ref="A1:H1" xr:uid="{E8DDE8D9-5BFB-446D-8B12-DC8087DAB60A}">
    <sortState xmlns:xlrd2="http://schemas.microsoft.com/office/spreadsheetml/2017/richdata2" ref="A2:H51">
      <sortCondition ref="B1"/>
    </sortState>
  </autoFilter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E7AA-0692-4FC5-98DE-55E7205AA054}">
  <dimension ref="A1:C30"/>
  <sheetViews>
    <sheetView workbookViewId="0">
      <selection activeCell="C22" sqref="C22"/>
    </sheetView>
  </sheetViews>
  <sheetFormatPr defaultRowHeight="14.4" x14ac:dyDescent="0.3"/>
  <cols>
    <col min="1" max="1" width="6.5546875" bestFit="1" customWidth="1"/>
    <col min="2" max="2" width="10.5546875" bestFit="1" customWidth="1"/>
    <col min="3" max="3" width="133.88671875" customWidth="1"/>
  </cols>
  <sheetData>
    <row r="1" spans="1:3" ht="28.8" x14ac:dyDescent="0.3">
      <c r="A1" s="7" t="s">
        <v>13</v>
      </c>
      <c r="B1" s="7" t="s">
        <v>14</v>
      </c>
      <c r="C1" s="10" t="s">
        <v>29</v>
      </c>
    </row>
    <row r="2" spans="1:3" x14ac:dyDescent="0.3">
      <c r="A2" s="1">
        <v>1</v>
      </c>
      <c r="B2" s="1">
        <v>0</v>
      </c>
      <c r="C2" s="11" t="s">
        <v>3</v>
      </c>
    </row>
    <row r="3" spans="1:3" x14ac:dyDescent="0.3">
      <c r="A3" s="1">
        <v>2</v>
      </c>
      <c r="B3" s="1">
        <v>0</v>
      </c>
      <c r="C3" s="11"/>
    </row>
    <row r="4" spans="1:3" x14ac:dyDescent="0.3">
      <c r="A4" s="1">
        <v>3</v>
      </c>
      <c r="B4" s="1">
        <v>1</v>
      </c>
      <c r="C4" s="11" t="s">
        <v>4</v>
      </c>
    </row>
    <row r="5" spans="1:3" x14ac:dyDescent="0.3">
      <c r="A5" s="1">
        <v>4</v>
      </c>
      <c r="B5" s="1">
        <v>2</v>
      </c>
      <c r="C5" s="11" t="s">
        <v>5</v>
      </c>
    </row>
    <row r="6" spans="1:3" x14ac:dyDescent="0.3">
      <c r="A6" s="1">
        <v>5</v>
      </c>
      <c r="B6" s="1">
        <v>2</v>
      </c>
      <c r="C6" s="10"/>
    </row>
    <row r="7" spans="1:3" x14ac:dyDescent="0.3">
      <c r="A7" s="1">
        <v>6</v>
      </c>
      <c r="B7" s="1">
        <v>2</v>
      </c>
      <c r="C7" s="10"/>
    </row>
    <row r="8" spans="1:3" x14ac:dyDescent="0.3">
      <c r="A8" s="1">
        <v>7</v>
      </c>
      <c r="B8" s="1">
        <v>3</v>
      </c>
      <c r="C8" s="11" t="s">
        <v>6</v>
      </c>
    </row>
    <row r="9" spans="1:3" x14ac:dyDescent="0.3">
      <c r="A9" s="1">
        <v>8</v>
      </c>
      <c r="B9" s="1">
        <v>3</v>
      </c>
      <c r="C9" s="11"/>
    </row>
    <row r="10" spans="1:3" x14ac:dyDescent="0.3">
      <c r="A10" s="9">
        <v>9</v>
      </c>
      <c r="B10" s="9">
        <v>4</v>
      </c>
      <c r="C10" s="12" t="s">
        <v>7</v>
      </c>
    </row>
    <row r="11" spans="1:3" x14ac:dyDescent="0.3">
      <c r="A11" s="1">
        <v>10</v>
      </c>
      <c r="B11" s="1">
        <v>4</v>
      </c>
      <c r="C11" s="10"/>
    </row>
    <row r="12" spans="1:3" x14ac:dyDescent="0.3">
      <c r="A12" s="1">
        <v>11</v>
      </c>
      <c r="B12" s="1">
        <v>4</v>
      </c>
      <c r="C12" s="10"/>
    </row>
    <row r="13" spans="1:3" x14ac:dyDescent="0.3">
      <c r="A13" s="1">
        <v>12</v>
      </c>
      <c r="B13" s="1">
        <v>5</v>
      </c>
      <c r="C13" s="11" t="s">
        <v>8</v>
      </c>
    </row>
    <row r="14" spans="1:3" x14ac:dyDescent="0.3">
      <c r="A14" s="1">
        <v>13</v>
      </c>
      <c r="B14" s="1">
        <v>5</v>
      </c>
      <c r="C14" s="10"/>
    </row>
    <row r="15" spans="1:3" x14ac:dyDescent="0.3">
      <c r="A15" s="1">
        <v>14</v>
      </c>
      <c r="B15" s="1">
        <v>5</v>
      </c>
      <c r="C15" s="10"/>
    </row>
    <row r="16" spans="1:3" x14ac:dyDescent="0.3">
      <c r="A16" s="1">
        <v>15</v>
      </c>
      <c r="B16" s="1">
        <v>6</v>
      </c>
      <c r="C16" s="11" t="s">
        <v>9</v>
      </c>
    </row>
    <row r="17" spans="1:3" x14ac:dyDescent="0.3">
      <c r="A17" s="1">
        <v>16</v>
      </c>
      <c r="B17" s="1">
        <v>6</v>
      </c>
      <c r="C17" s="10"/>
    </row>
    <row r="18" spans="1:3" x14ac:dyDescent="0.3">
      <c r="A18" s="1">
        <v>17</v>
      </c>
      <c r="B18" s="1">
        <v>7</v>
      </c>
      <c r="C18" s="11" t="s">
        <v>10</v>
      </c>
    </row>
    <row r="19" spans="1:3" x14ac:dyDescent="0.3">
      <c r="A19" s="1">
        <v>18</v>
      </c>
      <c r="B19" s="1">
        <v>7</v>
      </c>
      <c r="C19" s="10"/>
    </row>
    <row r="20" spans="1:3" x14ac:dyDescent="0.3">
      <c r="A20" s="1">
        <v>19</v>
      </c>
      <c r="B20" s="1">
        <v>7</v>
      </c>
      <c r="C20" s="10"/>
    </row>
    <row r="21" spans="1:3" x14ac:dyDescent="0.3">
      <c r="A21" s="1">
        <v>20</v>
      </c>
      <c r="B21" s="1">
        <v>8</v>
      </c>
      <c r="C21" s="11" t="s">
        <v>11</v>
      </c>
    </row>
    <row r="22" spans="1:3" x14ac:dyDescent="0.3">
      <c r="A22" s="1">
        <v>22</v>
      </c>
      <c r="B22" s="1">
        <v>8</v>
      </c>
      <c r="C22" s="10"/>
    </row>
    <row r="23" spans="1:3" x14ac:dyDescent="0.3">
      <c r="A23" s="1">
        <v>23</v>
      </c>
      <c r="B23" s="1">
        <v>9</v>
      </c>
      <c r="C23" s="11" t="s">
        <v>12</v>
      </c>
    </row>
    <row r="24" spans="1:3" x14ac:dyDescent="0.3">
      <c r="A24" s="1">
        <v>24</v>
      </c>
      <c r="B24" s="1">
        <v>9</v>
      </c>
      <c r="C24" s="10"/>
    </row>
    <row r="25" spans="1:3" x14ac:dyDescent="0.3">
      <c r="A25" s="1">
        <v>25</v>
      </c>
      <c r="B25" s="1">
        <v>9</v>
      </c>
      <c r="C25" s="10"/>
    </row>
    <row r="26" spans="1:3" x14ac:dyDescent="0.3">
      <c r="A26" s="1">
        <v>26</v>
      </c>
      <c r="B26" s="1">
        <v>9</v>
      </c>
      <c r="C26" s="10"/>
    </row>
    <row r="27" spans="1:3" x14ac:dyDescent="0.3">
      <c r="A27" s="1">
        <v>27</v>
      </c>
      <c r="B27" s="1">
        <v>9</v>
      </c>
      <c r="C27" s="10"/>
    </row>
    <row r="28" spans="1:3" x14ac:dyDescent="0.3">
      <c r="A28" s="1">
        <v>28</v>
      </c>
      <c r="B28" s="1">
        <v>9</v>
      </c>
      <c r="C28" s="10"/>
    </row>
    <row r="29" spans="1:3" x14ac:dyDescent="0.3">
      <c r="A29" s="1">
        <v>29</v>
      </c>
      <c r="B29" s="1">
        <v>9</v>
      </c>
      <c r="C29" s="10"/>
    </row>
    <row r="30" spans="1:3" x14ac:dyDescent="0.3">
      <c r="A30" s="1">
        <v>30</v>
      </c>
      <c r="B30" s="1">
        <v>9</v>
      </c>
      <c r="C30" s="10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95B1-FE8C-4D0A-B618-AD089E3FD747}">
  <dimension ref="C2:C44"/>
  <sheetViews>
    <sheetView workbookViewId="0">
      <selection activeCell="G28" sqref="G28"/>
    </sheetView>
  </sheetViews>
  <sheetFormatPr defaultRowHeight="14.4" x14ac:dyDescent="0.3"/>
  <cols>
    <col min="1" max="1" width="20.5546875" bestFit="1" customWidth="1"/>
    <col min="3" max="3" width="19.88671875" style="46" bestFit="1" customWidth="1"/>
    <col min="7" max="7" width="20.5546875" bestFit="1" customWidth="1"/>
  </cols>
  <sheetData>
    <row r="2" spans="3:3" x14ac:dyDescent="0.3">
      <c r="C2" s="47" t="s">
        <v>47</v>
      </c>
    </row>
    <row r="3" spans="3:3" x14ac:dyDescent="0.3">
      <c r="C3" s="47" t="s">
        <v>53</v>
      </c>
    </row>
    <row r="4" spans="3:3" x14ac:dyDescent="0.3">
      <c r="C4" s="48" t="s">
        <v>41</v>
      </c>
    </row>
    <row r="5" spans="3:3" x14ac:dyDescent="0.3">
      <c r="C5" s="48" t="s">
        <v>44</v>
      </c>
    </row>
    <row r="6" spans="3:3" x14ac:dyDescent="0.3">
      <c r="C6" s="49" t="s">
        <v>42</v>
      </c>
    </row>
    <row r="7" spans="3:3" x14ac:dyDescent="0.3">
      <c r="C7" s="50" t="s">
        <v>81</v>
      </c>
    </row>
    <row r="8" spans="3:3" x14ac:dyDescent="0.3">
      <c r="C8" s="49" t="s">
        <v>66</v>
      </c>
    </row>
    <row r="9" spans="3:3" x14ac:dyDescent="0.3">
      <c r="C9" s="49" t="s">
        <v>58</v>
      </c>
    </row>
    <row r="10" spans="3:3" x14ac:dyDescent="0.3">
      <c r="C10" s="50" t="s">
        <v>77</v>
      </c>
    </row>
    <row r="11" spans="3:3" x14ac:dyDescent="0.3">
      <c r="C11" s="49" t="s">
        <v>54</v>
      </c>
    </row>
    <row r="12" spans="3:3" x14ac:dyDescent="0.3">
      <c r="C12" s="49" t="s">
        <v>56</v>
      </c>
    </row>
    <row r="13" spans="3:3" x14ac:dyDescent="0.3">
      <c r="C13" s="49" t="s">
        <v>55</v>
      </c>
    </row>
    <row r="14" spans="3:3" x14ac:dyDescent="0.3">
      <c r="C14" s="49" t="s">
        <v>61</v>
      </c>
    </row>
    <row r="15" spans="3:3" x14ac:dyDescent="0.3">
      <c r="C15" s="49" t="s">
        <v>46</v>
      </c>
    </row>
    <row r="16" spans="3:3" x14ac:dyDescent="0.3">
      <c r="C16" s="47" t="s">
        <v>51</v>
      </c>
    </row>
    <row r="17" spans="3:3" x14ac:dyDescent="0.3">
      <c r="C17" s="51" t="s">
        <v>39</v>
      </c>
    </row>
    <row r="18" spans="3:3" x14ac:dyDescent="0.3">
      <c r="C18" s="46" t="s">
        <v>80</v>
      </c>
    </row>
    <row r="19" spans="3:3" x14ac:dyDescent="0.3">
      <c r="C19" s="47" t="s">
        <v>65</v>
      </c>
    </row>
    <row r="20" spans="3:3" x14ac:dyDescent="0.3">
      <c r="C20" s="47" t="s">
        <v>49</v>
      </c>
    </row>
    <row r="21" spans="3:3" x14ac:dyDescent="0.3">
      <c r="C21" s="51" t="s">
        <v>40</v>
      </c>
    </row>
    <row r="22" spans="3:3" x14ac:dyDescent="0.3">
      <c r="C22" s="47" t="s">
        <v>52</v>
      </c>
    </row>
    <row r="23" spans="3:3" x14ac:dyDescent="0.3">
      <c r="C23" s="47" t="s">
        <v>63</v>
      </c>
    </row>
    <row r="24" spans="3:3" x14ac:dyDescent="0.3">
      <c r="C24" s="46" t="s">
        <v>83</v>
      </c>
    </row>
    <row r="25" spans="3:3" x14ac:dyDescent="0.3">
      <c r="C25" s="51" t="s">
        <v>36</v>
      </c>
    </row>
    <row r="26" spans="3:3" x14ac:dyDescent="0.3">
      <c r="C26" s="47" t="s">
        <v>35</v>
      </c>
    </row>
    <row r="27" spans="3:3" x14ac:dyDescent="0.3">
      <c r="C27" s="47" t="s">
        <v>62</v>
      </c>
    </row>
    <row r="28" spans="3:3" x14ac:dyDescent="0.3">
      <c r="C28" s="46" t="s">
        <v>82</v>
      </c>
    </row>
    <row r="29" spans="3:3" x14ac:dyDescent="0.3">
      <c r="C29" s="46" t="s">
        <v>84</v>
      </c>
    </row>
    <row r="30" spans="3:3" x14ac:dyDescent="0.3">
      <c r="C30" s="47" t="s">
        <v>64</v>
      </c>
    </row>
    <row r="31" spans="3:3" x14ac:dyDescent="0.3">
      <c r="C31" s="46" t="s">
        <v>33</v>
      </c>
    </row>
    <row r="32" spans="3:3" x14ac:dyDescent="0.3">
      <c r="C32" s="47" t="s">
        <v>57</v>
      </c>
    </row>
    <row r="33" spans="3:3" x14ac:dyDescent="0.3">
      <c r="C33" s="47" t="s">
        <v>67</v>
      </c>
    </row>
    <row r="34" spans="3:3" x14ac:dyDescent="0.3">
      <c r="C34" s="47" t="s">
        <v>60</v>
      </c>
    </row>
    <row r="35" spans="3:3" x14ac:dyDescent="0.3">
      <c r="C35" s="51" t="s">
        <v>38</v>
      </c>
    </row>
    <row r="36" spans="3:3" x14ac:dyDescent="0.3">
      <c r="C36" s="47" t="s">
        <v>45</v>
      </c>
    </row>
    <row r="37" spans="3:3" x14ac:dyDescent="0.3">
      <c r="C37" s="47" t="s">
        <v>32</v>
      </c>
    </row>
    <row r="38" spans="3:3" x14ac:dyDescent="0.3">
      <c r="C38" s="47" t="s">
        <v>43</v>
      </c>
    </row>
    <row r="39" spans="3:3" x14ac:dyDescent="0.3">
      <c r="C39" s="47" t="s">
        <v>48</v>
      </c>
    </row>
    <row r="40" spans="3:3" x14ac:dyDescent="0.3">
      <c r="C40" s="47" t="s">
        <v>34</v>
      </c>
    </row>
    <row r="41" spans="3:3" x14ac:dyDescent="0.3">
      <c r="C41" s="47" t="s">
        <v>59</v>
      </c>
    </row>
    <row r="42" spans="3:3" x14ac:dyDescent="0.3">
      <c r="C42" s="46" t="s">
        <v>75</v>
      </c>
    </row>
    <row r="43" spans="3:3" x14ac:dyDescent="0.3">
      <c r="C43" s="51" t="s">
        <v>37</v>
      </c>
    </row>
    <row r="44" spans="3:3" x14ac:dyDescent="0.3">
      <c r="C44" s="47" t="s">
        <v>68</v>
      </c>
    </row>
  </sheetData>
  <sortState xmlns:xlrd2="http://schemas.microsoft.com/office/spreadsheetml/2017/richdata2" ref="C2:C44">
    <sortCondition ref="C2:C44"/>
  </sortState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2D3C-6052-4856-AC8F-6CE3C099ACBA}">
  <dimension ref="A1:J47"/>
  <sheetViews>
    <sheetView workbookViewId="0">
      <selection activeCell="J1" sqref="C1:J1"/>
    </sheetView>
  </sheetViews>
  <sheetFormatPr defaultRowHeight="14.4" x14ac:dyDescent="0.3"/>
  <cols>
    <col min="3" max="3" width="21.109375" bestFit="1" customWidth="1"/>
  </cols>
  <sheetData>
    <row r="1" spans="1:10" x14ac:dyDescent="0.3">
      <c r="C1" t="s">
        <v>106</v>
      </c>
      <c r="D1" t="s">
        <v>71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74</v>
      </c>
    </row>
    <row r="2" spans="1:10" x14ac:dyDescent="0.3">
      <c r="A2">
        <v>1</v>
      </c>
      <c r="C2" t="s">
        <v>57</v>
      </c>
      <c r="D2">
        <v>36.78</v>
      </c>
      <c r="E2">
        <v>38.479999999999997</v>
      </c>
      <c r="F2">
        <v>35.44</v>
      </c>
      <c r="G2">
        <v>0</v>
      </c>
      <c r="H2">
        <v>7.62</v>
      </c>
      <c r="I2">
        <v>26.23</v>
      </c>
      <c r="J2">
        <v>0</v>
      </c>
    </row>
    <row r="3" spans="1:10" x14ac:dyDescent="0.3">
      <c r="A3">
        <v>2</v>
      </c>
      <c r="C3" t="s">
        <v>33</v>
      </c>
      <c r="D3">
        <v>36.46</v>
      </c>
      <c r="E3">
        <v>38.49</v>
      </c>
      <c r="F3">
        <v>34.58</v>
      </c>
      <c r="G3">
        <v>23.12</v>
      </c>
      <c r="H3">
        <v>11.03</v>
      </c>
      <c r="I3">
        <v>35.11</v>
      </c>
      <c r="J3">
        <v>0</v>
      </c>
    </row>
    <row r="4" spans="1:10" x14ac:dyDescent="0.3">
      <c r="A4">
        <v>3</v>
      </c>
      <c r="C4" t="s">
        <v>57</v>
      </c>
      <c r="D4">
        <v>36.17</v>
      </c>
      <c r="E4">
        <v>39.18</v>
      </c>
      <c r="F4">
        <v>35.11</v>
      </c>
      <c r="G4">
        <v>25.98</v>
      </c>
      <c r="H4">
        <v>10.48</v>
      </c>
      <c r="I4">
        <v>34.28</v>
      </c>
      <c r="J4">
        <v>0</v>
      </c>
    </row>
    <row r="5" spans="1:10" x14ac:dyDescent="0.3">
      <c r="A5">
        <v>4</v>
      </c>
      <c r="C5" t="s">
        <v>46</v>
      </c>
      <c r="D5">
        <v>35.42</v>
      </c>
      <c r="E5">
        <v>36.659999999999997</v>
      </c>
      <c r="F5">
        <v>34.42</v>
      </c>
      <c r="G5">
        <v>0</v>
      </c>
      <c r="H5">
        <v>11.14</v>
      </c>
      <c r="I5">
        <v>38.090000000000003</v>
      </c>
      <c r="J5">
        <v>0</v>
      </c>
    </row>
    <row r="6" spans="1:10" x14ac:dyDescent="0.3">
      <c r="A6">
        <v>5</v>
      </c>
      <c r="C6" t="s">
        <v>33</v>
      </c>
      <c r="D6">
        <v>35.14</v>
      </c>
      <c r="E6">
        <v>36.950000000000003</v>
      </c>
      <c r="F6">
        <v>33.42</v>
      </c>
      <c r="G6">
        <v>21.23</v>
      </c>
      <c r="H6">
        <v>11.37</v>
      </c>
      <c r="I6">
        <v>38.299999999999997</v>
      </c>
      <c r="J6">
        <v>0</v>
      </c>
    </row>
    <row r="7" spans="1:10" x14ac:dyDescent="0.3">
      <c r="A7">
        <v>6</v>
      </c>
      <c r="C7" t="s">
        <v>46</v>
      </c>
      <c r="D7">
        <v>34.130000000000003</v>
      </c>
      <c r="E7">
        <v>36.31</v>
      </c>
      <c r="F7">
        <v>33.44</v>
      </c>
      <c r="G7">
        <v>28.2</v>
      </c>
      <c r="H7">
        <v>16.32</v>
      </c>
      <c r="I7">
        <v>48.76</v>
      </c>
      <c r="J7">
        <v>0</v>
      </c>
    </row>
    <row r="8" spans="1:10" x14ac:dyDescent="0.3">
      <c r="A8">
        <v>7</v>
      </c>
      <c r="C8" t="s">
        <v>76</v>
      </c>
      <c r="D8">
        <v>33.94</v>
      </c>
      <c r="E8">
        <v>34.71</v>
      </c>
      <c r="F8">
        <v>32.46</v>
      </c>
      <c r="G8">
        <v>23.15</v>
      </c>
      <c r="H8">
        <v>9.02</v>
      </c>
      <c r="I8">
        <v>31.84</v>
      </c>
      <c r="J8">
        <v>0</v>
      </c>
    </row>
    <row r="9" spans="1:10" x14ac:dyDescent="0.3">
      <c r="A9">
        <v>8</v>
      </c>
      <c r="C9" t="s">
        <v>76</v>
      </c>
      <c r="D9">
        <v>33.94</v>
      </c>
      <c r="E9">
        <v>34.71</v>
      </c>
      <c r="F9">
        <v>32.46</v>
      </c>
      <c r="G9">
        <v>23.15</v>
      </c>
      <c r="H9">
        <v>9.02</v>
      </c>
      <c r="I9">
        <v>31.84</v>
      </c>
      <c r="J9">
        <v>0</v>
      </c>
    </row>
    <row r="10" spans="1:10" x14ac:dyDescent="0.3">
      <c r="A10">
        <v>9</v>
      </c>
      <c r="C10" t="s">
        <v>76</v>
      </c>
      <c r="D10">
        <v>33.82</v>
      </c>
      <c r="E10">
        <v>34.49</v>
      </c>
      <c r="F10">
        <v>32.31</v>
      </c>
      <c r="G10">
        <v>22.87</v>
      </c>
      <c r="H10">
        <v>8.9700000000000006</v>
      </c>
      <c r="I10">
        <v>31.59</v>
      </c>
      <c r="J10">
        <v>0</v>
      </c>
    </row>
    <row r="11" spans="1:10" x14ac:dyDescent="0.3">
      <c r="A11">
        <v>10</v>
      </c>
      <c r="C11" t="s">
        <v>103</v>
      </c>
      <c r="D11">
        <v>33.74</v>
      </c>
      <c r="E11">
        <v>35.700000000000003</v>
      </c>
      <c r="F11">
        <v>31.96</v>
      </c>
      <c r="G11">
        <v>24.84</v>
      </c>
      <c r="H11">
        <v>10.61</v>
      </c>
      <c r="I11">
        <v>23.57</v>
      </c>
      <c r="J11">
        <v>17.920000000000002</v>
      </c>
    </row>
    <row r="12" spans="1:10" x14ac:dyDescent="0.3">
      <c r="A12">
        <v>11</v>
      </c>
      <c r="C12" t="s">
        <v>76</v>
      </c>
      <c r="D12">
        <v>33.51</v>
      </c>
      <c r="E12">
        <v>36.08</v>
      </c>
      <c r="F12">
        <v>28.66</v>
      </c>
      <c r="G12">
        <v>0</v>
      </c>
      <c r="H12">
        <v>5.74</v>
      </c>
      <c r="I12">
        <v>19.239999999999998</v>
      </c>
      <c r="J12">
        <v>0</v>
      </c>
    </row>
    <row r="13" spans="1:10" x14ac:dyDescent="0.3">
      <c r="A13">
        <v>12</v>
      </c>
      <c r="C13" t="s">
        <v>103</v>
      </c>
      <c r="D13">
        <v>33.479999999999997</v>
      </c>
      <c r="E13">
        <v>35.4</v>
      </c>
      <c r="F13">
        <v>31.71</v>
      </c>
      <c r="G13">
        <v>0</v>
      </c>
      <c r="H13">
        <v>6.98</v>
      </c>
      <c r="I13">
        <v>24.33</v>
      </c>
      <c r="J13">
        <v>0</v>
      </c>
    </row>
    <row r="14" spans="1:10" x14ac:dyDescent="0.3">
      <c r="A14">
        <v>13</v>
      </c>
      <c r="C14" t="s">
        <v>75</v>
      </c>
      <c r="D14">
        <v>32.99</v>
      </c>
      <c r="E14">
        <v>34.39</v>
      </c>
      <c r="F14">
        <v>31.04</v>
      </c>
      <c r="G14">
        <v>23.39</v>
      </c>
      <c r="H14">
        <v>9.35</v>
      </c>
      <c r="I14">
        <v>29.56</v>
      </c>
      <c r="J14">
        <v>10.83</v>
      </c>
    </row>
    <row r="15" spans="1:10" x14ac:dyDescent="0.3">
      <c r="A15">
        <v>14</v>
      </c>
      <c r="C15" t="s">
        <v>75</v>
      </c>
      <c r="D15">
        <v>32.75</v>
      </c>
      <c r="E15">
        <v>35.049999999999997</v>
      </c>
      <c r="F15">
        <v>30.4</v>
      </c>
      <c r="G15">
        <v>21.68</v>
      </c>
      <c r="H15">
        <v>8.3000000000000007</v>
      </c>
      <c r="I15">
        <v>26.65</v>
      </c>
      <c r="J15">
        <v>0</v>
      </c>
    </row>
    <row r="16" spans="1:10" x14ac:dyDescent="0.3">
      <c r="A16">
        <v>15</v>
      </c>
      <c r="C16" t="s">
        <v>64</v>
      </c>
      <c r="D16">
        <v>32.46</v>
      </c>
      <c r="E16">
        <v>33.979999999999997</v>
      </c>
      <c r="F16">
        <v>28.84</v>
      </c>
      <c r="G16">
        <v>17.59</v>
      </c>
      <c r="H16">
        <v>10.71</v>
      </c>
      <c r="I16">
        <v>33.340000000000003</v>
      </c>
      <c r="J16">
        <v>10.96</v>
      </c>
    </row>
    <row r="17" spans="1:10" x14ac:dyDescent="0.3">
      <c r="A17">
        <v>16</v>
      </c>
      <c r="C17" t="s">
        <v>53</v>
      </c>
      <c r="D17">
        <v>32.22</v>
      </c>
      <c r="E17">
        <v>33.75</v>
      </c>
      <c r="F17">
        <v>28.62</v>
      </c>
      <c r="G17">
        <v>22.46</v>
      </c>
      <c r="H17">
        <v>8.99</v>
      </c>
      <c r="I17">
        <v>31.66</v>
      </c>
      <c r="J17">
        <v>13.56</v>
      </c>
    </row>
    <row r="18" spans="1:10" x14ac:dyDescent="0.3">
      <c r="A18">
        <v>17</v>
      </c>
      <c r="C18" t="s">
        <v>102</v>
      </c>
      <c r="D18">
        <v>32.19</v>
      </c>
      <c r="E18">
        <v>33.299999999999997</v>
      </c>
      <c r="F18">
        <v>31.34</v>
      </c>
      <c r="G18">
        <v>25.9</v>
      </c>
      <c r="H18">
        <v>18.47</v>
      </c>
      <c r="I18">
        <v>59.88</v>
      </c>
      <c r="J18">
        <v>19.170000000000002</v>
      </c>
    </row>
    <row r="19" spans="1:10" x14ac:dyDescent="0.3">
      <c r="A19">
        <v>18</v>
      </c>
      <c r="C19" t="s">
        <v>64</v>
      </c>
      <c r="D19">
        <v>32.19</v>
      </c>
      <c r="E19">
        <v>33.9</v>
      </c>
      <c r="F19">
        <v>28.13</v>
      </c>
      <c r="G19">
        <v>0</v>
      </c>
      <c r="H19">
        <v>5.87</v>
      </c>
      <c r="I19">
        <v>18.38</v>
      </c>
      <c r="J19">
        <v>0</v>
      </c>
    </row>
    <row r="20" spans="1:10" x14ac:dyDescent="0.3">
      <c r="A20">
        <v>19</v>
      </c>
      <c r="C20" t="s">
        <v>32</v>
      </c>
      <c r="D20">
        <v>32.130000000000003</v>
      </c>
      <c r="E20">
        <v>34.5</v>
      </c>
      <c r="F20">
        <v>31.41</v>
      </c>
      <c r="G20">
        <v>0</v>
      </c>
      <c r="H20">
        <v>6.94</v>
      </c>
      <c r="I20">
        <v>13.43</v>
      </c>
      <c r="J20">
        <v>0</v>
      </c>
    </row>
    <row r="21" spans="1:10" x14ac:dyDescent="0.3">
      <c r="A21">
        <v>20</v>
      </c>
      <c r="C21" t="s">
        <v>34</v>
      </c>
      <c r="D21">
        <v>32.08</v>
      </c>
      <c r="E21">
        <v>33.6</v>
      </c>
      <c r="F21">
        <v>29.47</v>
      </c>
      <c r="G21">
        <v>21.04</v>
      </c>
      <c r="H21">
        <v>10.51</v>
      </c>
      <c r="I21">
        <v>32.380000000000003</v>
      </c>
      <c r="J21">
        <v>16.02</v>
      </c>
    </row>
    <row r="22" spans="1:10" x14ac:dyDescent="0.3">
      <c r="A22">
        <v>21</v>
      </c>
      <c r="C22" t="s">
        <v>32</v>
      </c>
      <c r="D22">
        <v>31.91</v>
      </c>
      <c r="E22">
        <v>34.18</v>
      </c>
      <c r="F22">
        <v>31.72</v>
      </c>
      <c r="G22">
        <v>0</v>
      </c>
      <c r="H22">
        <v>6.02</v>
      </c>
      <c r="I22">
        <v>15.06</v>
      </c>
      <c r="J22">
        <v>0</v>
      </c>
    </row>
    <row r="23" spans="1:10" x14ac:dyDescent="0.3">
      <c r="A23">
        <v>22</v>
      </c>
      <c r="C23" t="s">
        <v>104</v>
      </c>
      <c r="D23">
        <v>31.86</v>
      </c>
      <c r="E23">
        <v>33.369999999999997</v>
      </c>
      <c r="F23">
        <v>28.98</v>
      </c>
      <c r="G23">
        <v>20.05</v>
      </c>
      <c r="H23">
        <v>7.79</v>
      </c>
      <c r="I23">
        <v>14.58</v>
      </c>
      <c r="J23">
        <v>14.41</v>
      </c>
    </row>
    <row r="24" spans="1:10" x14ac:dyDescent="0.3">
      <c r="A24">
        <v>23</v>
      </c>
      <c r="C24" t="s">
        <v>53</v>
      </c>
      <c r="D24">
        <v>31.83</v>
      </c>
      <c r="E24">
        <v>34.4</v>
      </c>
      <c r="F24">
        <v>30.58</v>
      </c>
      <c r="G24">
        <v>21.48</v>
      </c>
      <c r="H24">
        <v>10.63</v>
      </c>
      <c r="I24">
        <v>29.97</v>
      </c>
      <c r="J24">
        <v>20.55</v>
      </c>
    </row>
    <row r="25" spans="1:10" x14ac:dyDescent="0.3">
      <c r="A25">
        <v>24</v>
      </c>
      <c r="C25" t="s">
        <v>102</v>
      </c>
      <c r="D25">
        <v>31.79</v>
      </c>
      <c r="E25">
        <v>33.630000000000003</v>
      </c>
      <c r="F25">
        <v>31.18</v>
      </c>
      <c r="G25">
        <v>23.75</v>
      </c>
      <c r="H25">
        <v>13.36</v>
      </c>
      <c r="I25">
        <v>44.64</v>
      </c>
      <c r="J25">
        <v>21.73</v>
      </c>
    </row>
    <row r="26" spans="1:10" x14ac:dyDescent="0.3">
      <c r="A26">
        <v>25</v>
      </c>
      <c r="C26" t="s">
        <v>50</v>
      </c>
      <c r="D26">
        <v>31.68</v>
      </c>
      <c r="E26">
        <v>33</v>
      </c>
      <c r="F26">
        <v>29.56</v>
      </c>
      <c r="G26">
        <v>18.96</v>
      </c>
      <c r="H26">
        <v>11.68</v>
      </c>
      <c r="I26">
        <v>31.64</v>
      </c>
      <c r="J26">
        <v>0</v>
      </c>
    </row>
    <row r="27" spans="1:10" x14ac:dyDescent="0.3">
      <c r="A27">
        <v>26</v>
      </c>
      <c r="C27" t="s">
        <v>77</v>
      </c>
      <c r="D27">
        <v>31.53</v>
      </c>
      <c r="E27">
        <v>32.950000000000003</v>
      </c>
      <c r="F27">
        <v>29.78</v>
      </c>
      <c r="G27">
        <v>0</v>
      </c>
      <c r="H27">
        <v>9.34</v>
      </c>
      <c r="I27">
        <v>31.77</v>
      </c>
      <c r="J27">
        <v>0</v>
      </c>
    </row>
    <row r="28" spans="1:10" x14ac:dyDescent="0.3">
      <c r="A28">
        <v>27</v>
      </c>
      <c r="C28" t="s">
        <v>77</v>
      </c>
      <c r="D28">
        <v>31.52</v>
      </c>
      <c r="E28">
        <v>32.58</v>
      </c>
      <c r="F28">
        <v>30.66</v>
      </c>
      <c r="G28">
        <v>0</v>
      </c>
      <c r="H28">
        <v>8.3000000000000007</v>
      </c>
      <c r="I28">
        <v>15.5</v>
      </c>
      <c r="J28">
        <v>0</v>
      </c>
    </row>
    <row r="29" spans="1:10" x14ac:dyDescent="0.3">
      <c r="A29">
        <v>28</v>
      </c>
      <c r="C29" t="s">
        <v>34</v>
      </c>
      <c r="D29">
        <v>31.16</v>
      </c>
      <c r="E29">
        <v>34</v>
      </c>
      <c r="F29">
        <v>26.37</v>
      </c>
      <c r="G29">
        <v>0</v>
      </c>
      <c r="H29">
        <v>8.74</v>
      </c>
      <c r="I29">
        <v>22.35</v>
      </c>
      <c r="J29">
        <v>19.7</v>
      </c>
    </row>
    <row r="30" spans="1:10" x14ac:dyDescent="0.3">
      <c r="A30">
        <v>29</v>
      </c>
      <c r="C30" t="s">
        <v>36</v>
      </c>
      <c r="D30">
        <v>31.13</v>
      </c>
      <c r="E30">
        <v>32.39</v>
      </c>
      <c r="F30">
        <v>29.15</v>
      </c>
      <c r="G30">
        <v>0</v>
      </c>
      <c r="H30">
        <v>12.34</v>
      </c>
      <c r="I30">
        <v>35.340000000000003</v>
      </c>
      <c r="J30">
        <v>0</v>
      </c>
    </row>
    <row r="31" spans="1:10" x14ac:dyDescent="0.3">
      <c r="A31">
        <v>30</v>
      </c>
      <c r="C31" t="s">
        <v>50</v>
      </c>
      <c r="D31">
        <v>30.99</v>
      </c>
      <c r="E31">
        <v>33.200000000000003</v>
      </c>
      <c r="F31">
        <v>28.89</v>
      </c>
      <c r="G31">
        <v>0</v>
      </c>
      <c r="H31">
        <v>7.22</v>
      </c>
      <c r="I31">
        <v>20.39</v>
      </c>
      <c r="J31">
        <v>0</v>
      </c>
    </row>
    <row r="32" spans="1:10" x14ac:dyDescent="0.3">
      <c r="A32">
        <v>31</v>
      </c>
      <c r="C32" t="s">
        <v>36</v>
      </c>
      <c r="D32">
        <v>30.79</v>
      </c>
      <c r="E32">
        <v>32.58</v>
      </c>
      <c r="F32">
        <v>28.95</v>
      </c>
      <c r="G32">
        <v>0</v>
      </c>
      <c r="H32">
        <v>8.64</v>
      </c>
      <c r="I32">
        <v>27.3</v>
      </c>
      <c r="J32">
        <v>0</v>
      </c>
    </row>
    <row r="33" spans="1:10" x14ac:dyDescent="0.3">
      <c r="A33">
        <v>32</v>
      </c>
      <c r="C33" t="s">
        <v>80</v>
      </c>
      <c r="D33">
        <v>30.6</v>
      </c>
      <c r="E33">
        <v>32.32</v>
      </c>
      <c r="F33">
        <v>28.64</v>
      </c>
      <c r="G33">
        <v>24.22</v>
      </c>
      <c r="H33">
        <v>13.52</v>
      </c>
      <c r="I33">
        <v>36.65</v>
      </c>
      <c r="J33">
        <v>0</v>
      </c>
    </row>
    <row r="34" spans="1:10" x14ac:dyDescent="0.3">
      <c r="A34">
        <v>33</v>
      </c>
      <c r="C34" t="s">
        <v>80</v>
      </c>
      <c r="D34">
        <v>30.24</v>
      </c>
      <c r="E34">
        <v>31.44</v>
      </c>
      <c r="F34">
        <v>29.52</v>
      </c>
      <c r="G34">
        <v>25.83</v>
      </c>
      <c r="H34">
        <v>13.58</v>
      </c>
      <c r="I34">
        <v>39.020000000000003</v>
      </c>
      <c r="J34">
        <v>15.99</v>
      </c>
    </row>
    <row r="35" spans="1:10" x14ac:dyDescent="0.3">
      <c r="A35">
        <v>34</v>
      </c>
      <c r="C35" t="s">
        <v>40</v>
      </c>
      <c r="D35">
        <v>29.87</v>
      </c>
      <c r="E35">
        <v>31.7</v>
      </c>
      <c r="F35">
        <v>26.73</v>
      </c>
      <c r="G35">
        <v>0</v>
      </c>
      <c r="H35">
        <v>7.57</v>
      </c>
      <c r="I35">
        <v>16.2</v>
      </c>
      <c r="J35">
        <v>0</v>
      </c>
    </row>
    <row r="36" spans="1:10" x14ac:dyDescent="0.3">
      <c r="A36">
        <v>35</v>
      </c>
      <c r="C36" t="s">
        <v>60</v>
      </c>
      <c r="D36">
        <v>29.59</v>
      </c>
      <c r="E36">
        <v>32.15</v>
      </c>
      <c r="F36">
        <v>26.07</v>
      </c>
      <c r="G36">
        <v>0</v>
      </c>
      <c r="H36">
        <v>0</v>
      </c>
      <c r="I36">
        <v>8.16</v>
      </c>
      <c r="J36">
        <v>0</v>
      </c>
    </row>
    <row r="37" spans="1:10" x14ac:dyDescent="0.3">
      <c r="A37">
        <v>36</v>
      </c>
      <c r="C37" t="s">
        <v>60</v>
      </c>
      <c r="D37">
        <v>29.57</v>
      </c>
      <c r="E37">
        <v>31.72</v>
      </c>
      <c r="F37">
        <v>28.31</v>
      </c>
      <c r="G37">
        <v>23.8</v>
      </c>
      <c r="H37">
        <v>6.64</v>
      </c>
      <c r="I37">
        <v>16.97</v>
      </c>
      <c r="J37">
        <v>0</v>
      </c>
    </row>
    <row r="38" spans="1:10" x14ac:dyDescent="0.3">
      <c r="A38">
        <v>37</v>
      </c>
      <c r="C38" t="s">
        <v>40</v>
      </c>
      <c r="D38">
        <v>29.34</v>
      </c>
      <c r="E38">
        <v>31.1</v>
      </c>
      <c r="F38">
        <v>27.08</v>
      </c>
      <c r="G38">
        <v>0</v>
      </c>
      <c r="H38">
        <v>10.08</v>
      </c>
      <c r="I38">
        <v>28.63</v>
      </c>
      <c r="J38">
        <v>11.37</v>
      </c>
    </row>
    <row r="39" spans="1:10" x14ac:dyDescent="0.3">
      <c r="A39">
        <v>38</v>
      </c>
      <c r="C39" t="s">
        <v>52</v>
      </c>
      <c r="D39">
        <v>29.15</v>
      </c>
      <c r="E39">
        <v>30.7</v>
      </c>
      <c r="F39">
        <v>27.85</v>
      </c>
      <c r="G39">
        <v>0</v>
      </c>
      <c r="H39">
        <v>0</v>
      </c>
      <c r="I39">
        <v>9.91</v>
      </c>
      <c r="J39">
        <v>0</v>
      </c>
    </row>
    <row r="40" spans="1:10" x14ac:dyDescent="0.3">
      <c r="A40">
        <v>39</v>
      </c>
      <c r="C40" t="s">
        <v>41</v>
      </c>
      <c r="D40">
        <v>28.94</v>
      </c>
      <c r="E40">
        <v>29.9</v>
      </c>
      <c r="F40">
        <v>26.49</v>
      </c>
      <c r="G40">
        <v>0</v>
      </c>
      <c r="H40">
        <v>9.3699999999999992</v>
      </c>
      <c r="I40">
        <v>25.57</v>
      </c>
      <c r="J40">
        <v>14.27</v>
      </c>
    </row>
    <row r="41" spans="1:10" x14ac:dyDescent="0.3">
      <c r="A41">
        <v>40</v>
      </c>
      <c r="C41" t="s">
        <v>42</v>
      </c>
      <c r="D41">
        <v>28.76</v>
      </c>
      <c r="E41">
        <v>29.9</v>
      </c>
      <c r="F41">
        <v>28.85</v>
      </c>
      <c r="G41">
        <v>24.17</v>
      </c>
      <c r="H41">
        <v>0</v>
      </c>
      <c r="I41">
        <v>18.29</v>
      </c>
      <c r="J41">
        <v>14.72</v>
      </c>
    </row>
    <row r="42" spans="1:10" x14ac:dyDescent="0.3">
      <c r="A42">
        <v>41</v>
      </c>
      <c r="C42" t="s">
        <v>42</v>
      </c>
      <c r="D42">
        <v>28.14</v>
      </c>
      <c r="E42">
        <v>30</v>
      </c>
      <c r="F42">
        <v>28.25</v>
      </c>
      <c r="G42">
        <v>24.57</v>
      </c>
      <c r="H42">
        <v>0</v>
      </c>
      <c r="I42">
        <v>17.37</v>
      </c>
      <c r="J42">
        <v>16.149999999999999</v>
      </c>
    </row>
    <row r="43" spans="1:10" x14ac:dyDescent="0.3">
      <c r="A43">
        <v>42</v>
      </c>
      <c r="C43" t="s">
        <v>105</v>
      </c>
      <c r="D43">
        <v>27.65</v>
      </c>
      <c r="E43">
        <v>29.73</v>
      </c>
      <c r="F43">
        <v>25.03</v>
      </c>
      <c r="G43">
        <v>19.670000000000002</v>
      </c>
      <c r="H43">
        <v>10.86</v>
      </c>
      <c r="I43">
        <v>32.11</v>
      </c>
      <c r="J43">
        <v>15.02</v>
      </c>
    </row>
    <row r="44" spans="1:10" x14ac:dyDescent="0.3">
      <c r="A44">
        <v>43</v>
      </c>
      <c r="C44" t="s">
        <v>52</v>
      </c>
      <c r="D44">
        <v>27.64</v>
      </c>
      <c r="E44">
        <v>29.1</v>
      </c>
      <c r="F44">
        <v>26.13</v>
      </c>
      <c r="G44">
        <v>0</v>
      </c>
      <c r="H44">
        <v>0</v>
      </c>
      <c r="I44">
        <v>5.73</v>
      </c>
      <c r="J44">
        <v>0</v>
      </c>
    </row>
    <row r="45" spans="1:10" x14ac:dyDescent="0.3">
      <c r="A45">
        <v>44</v>
      </c>
      <c r="C45" t="s">
        <v>105</v>
      </c>
      <c r="D45">
        <v>25.65</v>
      </c>
      <c r="E45">
        <v>27.02</v>
      </c>
      <c r="F45">
        <v>23.23</v>
      </c>
      <c r="G45">
        <v>15.35</v>
      </c>
      <c r="H45">
        <v>0</v>
      </c>
      <c r="I45">
        <v>14.37</v>
      </c>
      <c r="J45">
        <v>13.31</v>
      </c>
    </row>
    <row r="46" spans="1:10" x14ac:dyDescent="0.3">
      <c r="A46">
        <v>45</v>
      </c>
      <c r="C46" t="s">
        <v>62</v>
      </c>
      <c r="D46">
        <v>24.55</v>
      </c>
      <c r="E46">
        <v>26.1</v>
      </c>
      <c r="F46">
        <v>23.67</v>
      </c>
      <c r="G46">
        <v>21.61</v>
      </c>
      <c r="H46">
        <v>16.02</v>
      </c>
      <c r="I46">
        <v>56.47</v>
      </c>
      <c r="J46">
        <v>18.25</v>
      </c>
    </row>
    <row r="47" spans="1:10" x14ac:dyDescent="0.3">
      <c r="A47">
        <v>46</v>
      </c>
      <c r="C47" t="s">
        <v>62</v>
      </c>
      <c r="D47">
        <v>24.55</v>
      </c>
      <c r="E47">
        <v>26.1</v>
      </c>
      <c r="F47">
        <v>23.67</v>
      </c>
      <c r="G47">
        <v>21.61</v>
      </c>
      <c r="H47">
        <v>16.02</v>
      </c>
      <c r="I47">
        <v>56.47</v>
      </c>
      <c r="J47">
        <v>18.25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Guide</vt:lpstr>
      <vt:lpstr>Totalt</vt:lpstr>
      <vt:lpstr>Resultat</vt:lpstr>
      <vt:lpstr>Results_of_the_day</vt:lpstr>
      <vt:lpstr>Results_of_the_day_old (2)</vt:lpstr>
      <vt:lpstr>Regler</vt:lpstr>
      <vt:lpstr>Temp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2025-06-11T19:42:02Z</dcterms:created>
  <dcterms:modified xsi:type="dcterms:W3CDTF">2026-03-12T06:20:50Z</dcterms:modified>
</cp:coreProperties>
</file>