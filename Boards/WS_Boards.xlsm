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B1346FFF-7841-4138-A1FF-B61F590D975D}" xr6:coauthVersionLast="47" xr6:coauthVersionMax="47" xr10:uidLastSave="{00000000-0000-0000-0000-000000000000}"/>
  <bookViews>
    <workbookView xWindow="-120" yWindow="-120" windowWidth="38640" windowHeight="21120" tabRatio="981" xr2:uid="{00000000-000D-0000-FFFF-FFFF00000000}"/>
  </bookViews>
  <sheets>
    <sheet name="Boards Catalogue" sheetId="4" r:id="rId1"/>
    <sheet name="AI Prompt" sheetId="16" r:id="rId2"/>
    <sheet name="Sheet1" sheetId="25" r:id="rId3"/>
    <sheet name="Class" sheetId="17" r:id="rId4"/>
    <sheet name="APPROVED SERIES PRODUCTION " sheetId="15" r:id="rId5"/>
    <sheet name="GPS-Boards-Validation" sheetId="1" r:id="rId6"/>
    <sheet name="Temp-Berra-ToAddAfterReview" sheetId="8" r:id="rId7"/>
    <sheet name="Temp-Berra-unit-remove" sheetId="9" r:id="rId8"/>
    <sheet name="2023_SB_iSonic" sheetId="26" r:id="rId9"/>
    <sheet name="Sheet3" sheetId="27" r:id="rId10"/>
  </sheets>
  <functionGroups builtInGroupCount="19"/>
  <definedNames>
    <definedName name="_xlnm._FilterDatabase" localSheetId="4" hidden="1">'APPROVED SERIES PRODUCTION '!$C$1:$I$1466</definedName>
    <definedName name="_xlnm._FilterDatabase" localSheetId="0" hidden="1">'Boards Catalogue'!$A$1:$U$513</definedName>
    <definedName name="_xlnm._FilterDatabase" localSheetId="5" hidden="1">'GPS-Boards-Validation'!$A$1:$I$1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B5" i="4"/>
  <c r="C5" i="4"/>
  <c r="D5" i="4"/>
  <c r="E5" i="4"/>
  <c r="A4" i="4"/>
  <c r="B4" i="4"/>
  <c r="C4" i="4"/>
  <c r="D4" i="4"/>
  <c r="E4" i="4"/>
  <c r="A6" i="4"/>
  <c r="B6" i="4"/>
  <c r="C6" i="4"/>
  <c r="D6" i="4"/>
  <c r="E6" i="4"/>
  <c r="A3" i="4"/>
  <c r="B3" i="4"/>
  <c r="C3" i="4"/>
  <c r="D3" i="4"/>
  <c r="E3" i="4"/>
  <c r="A2" i="4"/>
  <c r="B2" i="4"/>
  <c r="C2" i="4"/>
  <c r="D2" i="4"/>
  <c r="E2" i="4"/>
  <c r="A7" i="4"/>
  <c r="B7" i="4"/>
  <c r="C7" i="4"/>
  <c r="D7" i="4"/>
  <c r="E7" i="4"/>
  <c r="I4" i="4"/>
  <c r="F4" i="4" s="1"/>
  <c r="I6" i="4"/>
  <c r="F6" i="4" s="1"/>
  <c r="I3" i="4"/>
  <c r="H3" i="4" s="1"/>
  <c r="I2" i="4"/>
  <c r="F2" i="4" s="1"/>
  <c r="I7" i="4"/>
  <c r="F7" i="4" s="1"/>
  <c r="A453" i="4"/>
  <c r="B453" i="4"/>
  <c r="C453" i="4"/>
  <c r="D453" i="4"/>
  <c r="E453" i="4"/>
  <c r="I453" i="4"/>
  <c r="H453" i="4" s="1"/>
  <c r="A447" i="4"/>
  <c r="B447" i="4"/>
  <c r="C447" i="4"/>
  <c r="D447" i="4"/>
  <c r="E447" i="4"/>
  <c r="I447" i="4"/>
  <c r="F447" i="4" s="1"/>
  <c r="A449" i="4"/>
  <c r="B449" i="4"/>
  <c r="C449" i="4"/>
  <c r="D449" i="4"/>
  <c r="E449" i="4"/>
  <c r="I449" i="4"/>
  <c r="F449" i="4" s="1"/>
  <c r="A451" i="4"/>
  <c r="B451" i="4"/>
  <c r="C451" i="4"/>
  <c r="D451" i="4"/>
  <c r="E451" i="4"/>
  <c r="I451" i="4"/>
  <c r="F451" i="4" s="1"/>
  <c r="A437" i="4"/>
  <c r="B437" i="4"/>
  <c r="C437" i="4"/>
  <c r="D437" i="4"/>
  <c r="E437" i="4"/>
  <c r="I437" i="4"/>
  <c r="F437" i="4" s="1"/>
  <c r="A439" i="4"/>
  <c r="B439" i="4"/>
  <c r="C439" i="4"/>
  <c r="D439" i="4"/>
  <c r="E439" i="4"/>
  <c r="I439" i="4"/>
  <c r="F439" i="4" s="1"/>
  <c r="A441" i="4"/>
  <c r="B441" i="4"/>
  <c r="C441" i="4"/>
  <c r="D441" i="4"/>
  <c r="E441" i="4"/>
  <c r="I441" i="4"/>
  <c r="F441" i="4" s="1"/>
  <c r="A443" i="4"/>
  <c r="B443" i="4"/>
  <c r="C443" i="4"/>
  <c r="D443" i="4"/>
  <c r="E443" i="4"/>
  <c r="I443" i="4"/>
  <c r="F443" i="4" s="1"/>
  <c r="A445" i="4"/>
  <c r="B445" i="4"/>
  <c r="C445" i="4"/>
  <c r="D445" i="4"/>
  <c r="E445" i="4"/>
  <c r="I445" i="4"/>
  <c r="F445" i="4" s="1"/>
  <c r="A448" i="4"/>
  <c r="B448" i="4"/>
  <c r="C448" i="4"/>
  <c r="D448" i="4"/>
  <c r="E448" i="4"/>
  <c r="I448" i="4"/>
  <c r="F448" i="4" s="1"/>
  <c r="A450" i="4"/>
  <c r="B450" i="4"/>
  <c r="C450" i="4"/>
  <c r="D450" i="4"/>
  <c r="E450" i="4"/>
  <c r="I450" i="4"/>
  <c r="F450" i="4" s="1"/>
  <c r="A452" i="4"/>
  <c r="B452" i="4"/>
  <c r="C452" i="4"/>
  <c r="D452" i="4"/>
  <c r="E452" i="4"/>
  <c r="I452" i="4"/>
  <c r="F452" i="4" s="1"/>
  <c r="A438" i="4"/>
  <c r="B438" i="4"/>
  <c r="C438" i="4"/>
  <c r="D438" i="4"/>
  <c r="E438" i="4"/>
  <c r="I438" i="4"/>
  <c r="H438" i="4" s="1"/>
  <c r="A440" i="4"/>
  <c r="B440" i="4"/>
  <c r="C440" i="4"/>
  <c r="D440" i="4"/>
  <c r="E440" i="4"/>
  <c r="I440" i="4"/>
  <c r="F440" i="4" s="1"/>
  <c r="A442" i="4"/>
  <c r="B442" i="4"/>
  <c r="C442" i="4"/>
  <c r="D442" i="4"/>
  <c r="E442" i="4"/>
  <c r="I442" i="4"/>
  <c r="F442" i="4" s="1"/>
  <c r="A444" i="4"/>
  <c r="B444" i="4"/>
  <c r="C444" i="4"/>
  <c r="D444" i="4"/>
  <c r="E444" i="4"/>
  <c r="I444" i="4"/>
  <c r="F444" i="4" s="1"/>
  <c r="A446" i="4"/>
  <c r="B446" i="4"/>
  <c r="C446" i="4"/>
  <c r="D446" i="4"/>
  <c r="E446" i="4"/>
  <c r="I446" i="4"/>
  <c r="F446" i="4" s="1"/>
  <c r="A465" i="4"/>
  <c r="B465" i="4"/>
  <c r="C465" i="4"/>
  <c r="D465" i="4"/>
  <c r="E465" i="4"/>
  <c r="I465" i="4"/>
  <c r="F465" i="4" s="1"/>
  <c r="A466" i="4"/>
  <c r="B466" i="4"/>
  <c r="C466" i="4"/>
  <c r="D466" i="4"/>
  <c r="E466" i="4"/>
  <c r="I466" i="4"/>
  <c r="F466" i="4" s="1"/>
  <c r="A458" i="4"/>
  <c r="B458" i="4"/>
  <c r="C458" i="4"/>
  <c r="D458" i="4"/>
  <c r="E458" i="4"/>
  <c r="I458" i="4"/>
  <c r="F458" i="4" s="1"/>
  <c r="A459" i="4"/>
  <c r="B459" i="4"/>
  <c r="C459" i="4"/>
  <c r="D459" i="4"/>
  <c r="E459" i="4"/>
  <c r="I459" i="4"/>
  <c r="F459" i="4" s="1"/>
  <c r="A460" i="4"/>
  <c r="B460" i="4"/>
  <c r="C460" i="4"/>
  <c r="D460" i="4"/>
  <c r="E460" i="4"/>
  <c r="I460" i="4"/>
  <c r="H460" i="4" s="1"/>
  <c r="A461" i="4"/>
  <c r="B461" i="4"/>
  <c r="C461" i="4"/>
  <c r="D461" i="4"/>
  <c r="E461" i="4"/>
  <c r="I461" i="4"/>
  <c r="F461" i="4" s="1"/>
  <c r="A493" i="4"/>
  <c r="B493" i="4"/>
  <c r="C493" i="4"/>
  <c r="D493" i="4"/>
  <c r="E493" i="4"/>
  <c r="I493" i="4"/>
  <c r="F493" i="4" s="1"/>
  <c r="A494" i="4"/>
  <c r="B494" i="4"/>
  <c r="C494" i="4"/>
  <c r="D494" i="4"/>
  <c r="E494" i="4"/>
  <c r="I494" i="4"/>
  <c r="H494" i="4" s="1"/>
  <c r="A489" i="4"/>
  <c r="B489" i="4"/>
  <c r="C489" i="4"/>
  <c r="D489" i="4"/>
  <c r="E489" i="4"/>
  <c r="I489" i="4"/>
  <c r="H489" i="4" s="1"/>
  <c r="A490" i="4"/>
  <c r="B490" i="4"/>
  <c r="C490" i="4"/>
  <c r="D490" i="4"/>
  <c r="E490" i="4"/>
  <c r="I490" i="4"/>
  <c r="H490" i="4" s="1"/>
  <c r="A491" i="4"/>
  <c r="B491" i="4"/>
  <c r="C491" i="4"/>
  <c r="D491" i="4"/>
  <c r="E491" i="4"/>
  <c r="I491" i="4"/>
  <c r="F491" i="4" s="1"/>
  <c r="A492" i="4"/>
  <c r="B492" i="4"/>
  <c r="C492" i="4"/>
  <c r="D492" i="4"/>
  <c r="E492" i="4"/>
  <c r="I492" i="4"/>
  <c r="F492" i="4" s="1"/>
  <c r="A462" i="4"/>
  <c r="B462" i="4"/>
  <c r="C462" i="4"/>
  <c r="D462" i="4"/>
  <c r="E462" i="4"/>
  <c r="I462" i="4"/>
  <c r="F462" i="4" s="1"/>
  <c r="A463" i="4"/>
  <c r="B463" i="4"/>
  <c r="C463" i="4"/>
  <c r="D463" i="4"/>
  <c r="E463" i="4"/>
  <c r="I463" i="4"/>
  <c r="F463" i="4" s="1"/>
  <c r="A464" i="4"/>
  <c r="B464" i="4"/>
  <c r="C464" i="4"/>
  <c r="D464" i="4"/>
  <c r="E464" i="4"/>
  <c r="I464" i="4"/>
  <c r="F464" i="4" s="1"/>
  <c r="A471" i="4"/>
  <c r="B471" i="4"/>
  <c r="C471" i="4"/>
  <c r="D471" i="4"/>
  <c r="E471" i="4"/>
  <c r="I471" i="4"/>
  <c r="F471" i="4" s="1"/>
  <c r="A472" i="4"/>
  <c r="B472" i="4"/>
  <c r="C472" i="4"/>
  <c r="D472" i="4"/>
  <c r="E472" i="4"/>
  <c r="I472" i="4"/>
  <c r="F472" i="4" s="1"/>
  <c r="A467" i="4"/>
  <c r="B467" i="4"/>
  <c r="C467" i="4"/>
  <c r="D467" i="4"/>
  <c r="E467" i="4"/>
  <c r="I467" i="4"/>
  <c r="H467" i="4" s="1"/>
  <c r="A468" i="4"/>
  <c r="B468" i="4"/>
  <c r="C468" i="4"/>
  <c r="D468" i="4"/>
  <c r="E468" i="4"/>
  <c r="I468" i="4"/>
  <c r="F468" i="4" s="1"/>
  <c r="A469" i="4"/>
  <c r="B469" i="4"/>
  <c r="C469" i="4"/>
  <c r="D469" i="4"/>
  <c r="E469" i="4"/>
  <c r="I469" i="4"/>
  <c r="F469" i="4" s="1"/>
  <c r="A470" i="4"/>
  <c r="B470" i="4"/>
  <c r="C470" i="4"/>
  <c r="D470" i="4"/>
  <c r="E470" i="4"/>
  <c r="I470" i="4"/>
  <c r="F470" i="4" s="1"/>
  <c r="A512" i="4"/>
  <c r="B512" i="4"/>
  <c r="C512" i="4"/>
  <c r="D512" i="4"/>
  <c r="E512" i="4"/>
  <c r="I512" i="4"/>
  <c r="F512" i="4" s="1"/>
  <c r="A513" i="4"/>
  <c r="B513" i="4"/>
  <c r="C513" i="4"/>
  <c r="D513" i="4"/>
  <c r="E513" i="4"/>
  <c r="I513" i="4"/>
  <c r="H513" i="4" s="1"/>
  <c r="A508" i="4"/>
  <c r="B508" i="4"/>
  <c r="C508" i="4"/>
  <c r="D508" i="4"/>
  <c r="E508" i="4"/>
  <c r="I508" i="4"/>
  <c r="F508" i="4" s="1"/>
  <c r="A509" i="4"/>
  <c r="B509" i="4"/>
  <c r="C509" i="4"/>
  <c r="D509" i="4"/>
  <c r="E509" i="4"/>
  <c r="I509" i="4"/>
  <c r="F509" i="4" s="1"/>
  <c r="A510" i="4"/>
  <c r="B510" i="4"/>
  <c r="C510" i="4"/>
  <c r="D510" i="4"/>
  <c r="E510" i="4"/>
  <c r="I510" i="4"/>
  <c r="F510" i="4" s="1"/>
  <c r="A511" i="4"/>
  <c r="B511" i="4"/>
  <c r="C511" i="4"/>
  <c r="D511" i="4"/>
  <c r="E511" i="4"/>
  <c r="I511" i="4"/>
  <c r="H511" i="4" s="1"/>
  <c r="A473" i="4"/>
  <c r="B473" i="4"/>
  <c r="C473" i="4"/>
  <c r="D473" i="4"/>
  <c r="E473" i="4"/>
  <c r="I473" i="4"/>
  <c r="H473" i="4" s="1"/>
  <c r="A474" i="4"/>
  <c r="B474" i="4"/>
  <c r="C474" i="4"/>
  <c r="D474" i="4"/>
  <c r="E474" i="4"/>
  <c r="I474" i="4"/>
  <c r="F474" i="4" s="1"/>
  <c r="A475" i="4"/>
  <c r="B475" i="4"/>
  <c r="C475" i="4"/>
  <c r="D475" i="4"/>
  <c r="E475" i="4"/>
  <c r="I475" i="4"/>
  <c r="F475" i="4" s="1"/>
  <c r="A476" i="4"/>
  <c r="B476" i="4"/>
  <c r="C476" i="4"/>
  <c r="D476" i="4"/>
  <c r="E476" i="4"/>
  <c r="I476" i="4"/>
  <c r="H476" i="4" s="1"/>
  <c r="A477" i="4"/>
  <c r="B477" i="4"/>
  <c r="C477" i="4"/>
  <c r="D477" i="4"/>
  <c r="E477" i="4"/>
  <c r="I477" i="4"/>
  <c r="H477" i="4" s="1"/>
  <c r="A482" i="4"/>
  <c r="B482" i="4"/>
  <c r="C482" i="4"/>
  <c r="D482" i="4"/>
  <c r="E482" i="4"/>
  <c r="I482" i="4"/>
  <c r="F482" i="4" s="1"/>
  <c r="A483" i="4"/>
  <c r="B483" i="4"/>
  <c r="C483" i="4"/>
  <c r="D483" i="4"/>
  <c r="E483" i="4"/>
  <c r="I483" i="4"/>
  <c r="H483" i="4" s="1"/>
  <c r="A478" i="4"/>
  <c r="B478" i="4"/>
  <c r="C478" i="4"/>
  <c r="D478" i="4"/>
  <c r="E478" i="4"/>
  <c r="I478" i="4"/>
  <c r="F478" i="4" s="1"/>
  <c r="A479" i="4"/>
  <c r="B479" i="4"/>
  <c r="C479" i="4"/>
  <c r="D479" i="4"/>
  <c r="E479" i="4"/>
  <c r="I479" i="4"/>
  <c r="F479" i="4" s="1"/>
  <c r="A480" i="4"/>
  <c r="B480" i="4"/>
  <c r="C480" i="4"/>
  <c r="D480" i="4"/>
  <c r="E480" i="4"/>
  <c r="I480" i="4"/>
  <c r="F480" i="4" s="1"/>
  <c r="A481" i="4"/>
  <c r="B481" i="4"/>
  <c r="C481" i="4"/>
  <c r="D481" i="4"/>
  <c r="E481" i="4"/>
  <c r="I481" i="4"/>
  <c r="H481" i="4" s="1"/>
  <c r="A503" i="4"/>
  <c r="B503" i="4"/>
  <c r="C503" i="4"/>
  <c r="D503" i="4"/>
  <c r="E503" i="4"/>
  <c r="I503" i="4"/>
  <c r="F503" i="4" s="1"/>
  <c r="A504" i="4"/>
  <c r="B504" i="4"/>
  <c r="C504" i="4"/>
  <c r="D504" i="4"/>
  <c r="E504" i="4"/>
  <c r="I504" i="4"/>
  <c r="F504" i="4" s="1"/>
  <c r="A505" i="4"/>
  <c r="B505" i="4"/>
  <c r="C505" i="4"/>
  <c r="D505" i="4"/>
  <c r="E505" i="4"/>
  <c r="I505" i="4"/>
  <c r="F505" i="4" s="1"/>
  <c r="A506" i="4"/>
  <c r="B506" i="4"/>
  <c r="C506" i="4"/>
  <c r="D506" i="4"/>
  <c r="E506" i="4"/>
  <c r="I506" i="4"/>
  <c r="F506" i="4" s="1"/>
  <c r="A507" i="4"/>
  <c r="B507" i="4"/>
  <c r="C507" i="4"/>
  <c r="D507" i="4"/>
  <c r="E507" i="4"/>
  <c r="I507" i="4"/>
  <c r="F507" i="4" s="1"/>
  <c r="I8" i="4"/>
  <c r="H8" i="4" s="1"/>
  <c r="I9" i="4"/>
  <c r="H9" i="4" s="1"/>
  <c r="I10" i="4"/>
  <c r="H10" i="4" s="1"/>
  <c r="I11" i="4"/>
  <c r="H11" i="4" s="1"/>
  <c r="I12" i="4"/>
  <c r="H12" i="4" s="1"/>
  <c r="I13" i="4"/>
  <c r="H13" i="4" s="1"/>
  <c r="I14" i="4"/>
  <c r="H14" i="4" s="1"/>
  <c r="I15" i="4"/>
  <c r="H15" i="4" s="1"/>
  <c r="I16" i="4"/>
  <c r="H16" i="4" s="1"/>
  <c r="I17" i="4"/>
  <c r="H17" i="4" s="1"/>
  <c r="I18" i="4"/>
  <c r="H18" i="4" s="1"/>
  <c r="I19" i="4"/>
  <c r="H19" i="4" s="1"/>
  <c r="I20" i="4"/>
  <c r="H20" i="4" s="1"/>
  <c r="I21" i="4"/>
  <c r="H21" i="4" s="1"/>
  <c r="I22" i="4"/>
  <c r="H22" i="4" s="1"/>
  <c r="I23" i="4"/>
  <c r="H23" i="4" s="1"/>
  <c r="I24" i="4"/>
  <c r="H24" i="4" s="1"/>
  <c r="I25" i="4"/>
  <c r="H25" i="4" s="1"/>
  <c r="I26" i="4"/>
  <c r="H26" i="4" s="1"/>
  <c r="I27" i="4"/>
  <c r="H27" i="4" s="1"/>
  <c r="I28" i="4"/>
  <c r="H28" i="4" s="1"/>
  <c r="I29" i="4"/>
  <c r="H29" i="4" s="1"/>
  <c r="I30" i="4"/>
  <c r="H30" i="4" s="1"/>
  <c r="I31" i="4"/>
  <c r="H31" i="4" s="1"/>
  <c r="I32" i="4"/>
  <c r="H32" i="4" s="1"/>
  <c r="I33" i="4"/>
  <c r="H33" i="4" s="1"/>
  <c r="I34" i="4"/>
  <c r="H34" i="4" s="1"/>
  <c r="I35" i="4"/>
  <c r="H35" i="4" s="1"/>
  <c r="I36" i="4"/>
  <c r="H36" i="4" s="1"/>
  <c r="I37" i="4"/>
  <c r="H37" i="4" s="1"/>
  <c r="I38" i="4"/>
  <c r="H38" i="4" s="1"/>
  <c r="I39" i="4"/>
  <c r="H39" i="4" s="1"/>
  <c r="I40" i="4"/>
  <c r="H40" i="4" s="1"/>
  <c r="I41" i="4"/>
  <c r="H41" i="4" s="1"/>
  <c r="I42" i="4"/>
  <c r="H42" i="4" s="1"/>
  <c r="I43" i="4"/>
  <c r="H43" i="4" s="1"/>
  <c r="I44" i="4"/>
  <c r="H44" i="4" s="1"/>
  <c r="I45" i="4"/>
  <c r="H45" i="4" s="1"/>
  <c r="I46" i="4"/>
  <c r="H46" i="4" s="1"/>
  <c r="I47" i="4"/>
  <c r="H47" i="4" s="1"/>
  <c r="I48" i="4"/>
  <c r="H48" i="4" s="1"/>
  <c r="I49" i="4"/>
  <c r="H49" i="4" s="1"/>
  <c r="I50" i="4"/>
  <c r="H50" i="4" s="1"/>
  <c r="I51" i="4"/>
  <c r="H51" i="4" s="1"/>
  <c r="I52" i="4"/>
  <c r="H52" i="4" s="1"/>
  <c r="I53" i="4"/>
  <c r="H53" i="4" s="1"/>
  <c r="I54" i="4"/>
  <c r="H54" i="4" s="1"/>
  <c r="I55" i="4"/>
  <c r="H55" i="4" s="1"/>
  <c r="I56" i="4"/>
  <c r="H56" i="4" s="1"/>
  <c r="I57" i="4"/>
  <c r="H57" i="4" s="1"/>
  <c r="I58" i="4"/>
  <c r="H58" i="4" s="1"/>
  <c r="I59" i="4"/>
  <c r="H59" i="4" s="1"/>
  <c r="I60" i="4"/>
  <c r="H60" i="4" s="1"/>
  <c r="I61" i="4"/>
  <c r="H61" i="4" s="1"/>
  <c r="I62" i="4"/>
  <c r="H62" i="4" s="1"/>
  <c r="I63" i="4"/>
  <c r="H63" i="4" s="1"/>
  <c r="I64" i="4"/>
  <c r="H64" i="4" s="1"/>
  <c r="I65" i="4"/>
  <c r="H65" i="4" s="1"/>
  <c r="I66" i="4"/>
  <c r="H66" i="4" s="1"/>
  <c r="I67" i="4"/>
  <c r="H67" i="4" s="1"/>
  <c r="I68" i="4"/>
  <c r="H68" i="4" s="1"/>
  <c r="I69" i="4"/>
  <c r="H69" i="4" s="1"/>
  <c r="I70" i="4"/>
  <c r="H70" i="4" s="1"/>
  <c r="I71" i="4"/>
  <c r="H71" i="4" s="1"/>
  <c r="I72" i="4"/>
  <c r="H72" i="4" s="1"/>
  <c r="I73" i="4"/>
  <c r="H73" i="4" s="1"/>
  <c r="I74" i="4"/>
  <c r="H74" i="4" s="1"/>
  <c r="I75" i="4"/>
  <c r="H75" i="4" s="1"/>
  <c r="I76" i="4"/>
  <c r="H76" i="4" s="1"/>
  <c r="I77" i="4"/>
  <c r="H77" i="4" s="1"/>
  <c r="I78" i="4"/>
  <c r="H78" i="4" s="1"/>
  <c r="I79" i="4"/>
  <c r="H79" i="4" s="1"/>
  <c r="I80" i="4"/>
  <c r="H80" i="4" s="1"/>
  <c r="I81" i="4"/>
  <c r="H81" i="4" s="1"/>
  <c r="I82" i="4"/>
  <c r="H82" i="4" s="1"/>
  <c r="I83" i="4"/>
  <c r="H83" i="4" s="1"/>
  <c r="I84" i="4"/>
  <c r="H84" i="4" s="1"/>
  <c r="I85" i="4"/>
  <c r="H85" i="4" s="1"/>
  <c r="I86" i="4"/>
  <c r="H86" i="4" s="1"/>
  <c r="I87" i="4"/>
  <c r="H87" i="4" s="1"/>
  <c r="I88" i="4"/>
  <c r="H88" i="4" s="1"/>
  <c r="I89" i="4"/>
  <c r="H89" i="4" s="1"/>
  <c r="I90" i="4"/>
  <c r="H90" i="4" s="1"/>
  <c r="I91" i="4"/>
  <c r="H91" i="4" s="1"/>
  <c r="I92" i="4"/>
  <c r="H92" i="4" s="1"/>
  <c r="I93" i="4"/>
  <c r="H93" i="4" s="1"/>
  <c r="I94" i="4"/>
  <c r="H94" i="4" s="1"/>
  <c r="I95" i="4"/>
  <c r="H95" i="4" s="1"/>
  <c r="I96" i="4"/>
  <c r="H96" i="4" s="1"/>
  <c r="I97" i="4"/>
  <c r="H97" i="4" s="1"/>
  <c r="I98" i="4"/>
  <c r="H98" i="4" s="1"/>
  <c r="I99" i="4"/>
  <c r="H99" i="4" s="1"/>
  <c r="I100" i="4"/>
  <c r="H100" i="4" s="1"/>
  <c r="I101" i="4"/>
  <c r="H101" i="4" s="1"/>
  <c r="I102" i="4"/>
  <c r="H102" i="4" s="1"/>
  <c r="I103" i="4"/>
  <c r="H103" i="4" s="1"/>
  <c r="I104" i="4"/>
  <c r="H104" i="4" s="1"/>
  <c r="I105" i="4"/>
  <c r="H105" i="4" s="1"/>
  <c r="I106" i="4"/>
  <c r="H106" i="4" s="1"/>
  <c r="I107" i="4"/>
  <c r="H107" i="4" s="1"/>
  <c r="I108" i="4"/>
  <c r="H108" i="4" s="1"/>
  <c r="I109" i="4"/>
  <c r="H109" i="4" s="1"/>
  <c r="I110" i="4"/>
  <c r="H110" i="4" s="1"/>
  <c r="I111" i="4"/>
  <c r="H111" i="4" s="1"/>
  <c r="I112" i="4"/>
  <c r="H112" i="4" s="1"/>
  <c r="I113" i="4"/>
  <c r="H113" i="4" s="1"/>
  <c r="I114" i="4"/>
  <c r="H114" i="4" s="1"/>
  <c r="I115" i="4"/>
  <c r="H115" i="4" s="1"/>
  <c r="I116" i="4"/>
  <c r="H116" i="4" s="1"/>
  <c r="I117" i="4"/>
  <c r="H117" i="4" s="1"/>
  <c r="I118" i="4"/>
  <c r="H118" i="4" s="1"/>
  <c r="I119" i="4"/>
  <c r="H119" i="4" s="1"/>
  <c r="I120" i="4"/>
  <c r="H120" i="4" s="1"/>
  <c r="I121" i="4"/>
  <c r="H121" i="4" s="1"/>
  <c r="I122" i="4"/>
  <c r="H122" i="4" s="1"/>
  <c r="I123" i="4"/>
  <c r="H123" i="4" s="1"/>
  <c r="I124" i="4"/>
  <c r="H124" i="4" s="1"/>
  <c r="I125" i="4"/>
  <c r="H125" i="4" s="1"/>
  <c r="I126" i="4"/>
  <c r="H126" i="4" s="1"/>
  <c r="I127" i="4"/>
  <c r="H127" i="4" s="1"/>
  <c r="I128" i="4"/>
  <c r="H128" i="4" s="1"/>
  <c r="I129" i="4"/>
  <c r="H129" i="4" s="1"/>
  <c r="I130" i="4"/>
  <c r="H130" i="4" s="1"/>
  <c r="I131" i="4"/>
  <c r="H131" i="4" s="1"/>
  <c r="I132" i="4"/>
  <c r="H132" i="4" s="1"/>
  <c r="I133" i="4"/>
  <c r="H133" i="4" s="1"/>
  <c r="I134" i="4"/>
  <c r="H134" i="4" s="1"/>
  <c r="I135" i="4"/>
  <c r="H135" i="4" s="1"/>
  <c r="I136" i="4"/>
  <c r="H136" i="4" s="1"/>
  <c r="I137" i="4"/>
  <c r="H137" i="4" s="1"/>
  <c r="I138" i="4"/>
  <c r="H138" i="4" s="1"/>
  <c r="I139" i="4"/>
  <c r="H139" i="4" s="1"/>
  <c r="I140" i="4"/>
  <c r="H140" i="4" s="1"/>
  <c r="I141" i="4"/>
  <c r="H141" i="4" s="1"/>
  <c r="I142" i="4"/>
  <c r="H142" i="4" s="1"/>
  <c r="I143" i="4"/>
  <c r="H143" i="4" s="1"/>
  <c r="I144" i="4"/>
  <c r="H144" i="4" s="1"/>
  <c r="I145" i="4"/>
  <c r="H145" i="4" s="1"/>
  <c r="I146" i="4"/>
  <c r="H146" i="4" s="1"/>
  <c r="I147" i="4"/>
  <c r="H147" i="4" s="1"/>
  <c r="I148" i="4"/>
  <c r="H148" i="4" s="1"/>
  <c r="I149" i="4"/>
  <c r="H149" i="4" s="1"/>
  <c r="I150" i="4"/>
  <c r="H150" i="4" s="1"/>
  <c r="I151" i="4"/>
  <c r="H151" i="4" s="1"/>
  <c r="I152" i="4"/>
  <c r="H152" i="4" s="1"/>
  <c r="I153" i="4"/>
  <c r="H153" i="4" s="1"/>
  <c r="I154" i="4"/>
  <c r="H154" i="4" s="1"/>
  <c r="I155" i="4"/>
  <c r="H155" i="4" s="1"/>
  <c r="I156" i="4"/>
  <c r="H156" i="4" s="1"/>
  <c r="I157" i="4"/>
  <c r="H157" i="4" s="1"/>
  <c r="I158" i="4"/>
  <c r="H158" i="4" s="1"/>
  <c r="I159" i="4"/>
  <c r="H159" i="4" s="1"/>
  <c r="I160" i="4"/>
  <c r="H160" i="4" s="1"/>
  <c r="I161" i="4"/>
  <c r="H161" i="4" s="1"/>
  <c r="I162" i="4"/>
  <c r="H162" i="4" s="1"/>
  <c r="I163" i="4"/>
  <c r="H163" i="4" s="1"/>
  <c r="I164" i="4"/>
  <c r="H164" i="4" s="1"/>
  <c r="I165" i="4"/>
  <c r="H165" i="4" s="1"/>
  <c r="I166" i="4"/>
  <c r="H166" i="4" s="1"/>
  <c r="I167" i="4"/>
  <c r="H167" i="4" s="1"/>
  <c r="I168" i="4"/>
  <c r="H168" i="4" s="1"/>
  <c r="I169" i="4"/>
  <c r="H169" i="4" s="1"/>
  <c r="I170" i="4"/>
  <c r="H170" i="4" s="1"/>
  <c r="I171" i="4"/>
  <c r="H171" i="4" s="1"/>
  <c r="I172" i="4"/>
  <c r="H172" i="4" s="1"/>
  <c r="I173" i="4"/>
  <c r="H173" i="4" s="1"/>
  <c r="I174" i="4"/>
  <c r="H174" i="4" s="1"/>
  <c r="I175" i="4"/>
  <c r="H175" i="4" s="1"/>
  <c r="I176" i="4"/>
  <c r="H176" i="4" s="1"/>
  <c r="I177" i="4"/>
  <c r="H177" i="4" s="1"/>
  <c r="I178" i="4"/>
  <c r="H178" i="4" s="1"/>
  <c r="I179" i="4"/>
  <c r="H179" i="4" s="1"/>
  <c r="I180" i="4"/>
  <c r="H180" i="4" s="1"/>
  <c r="I181" i="4"/>
  <c r="H181" i="4" s="1"/>
  <c r="I182" i="4"/>
  <c r="H182" i="4" s="1"/>
  <c r="I183" i="4"/>
  <c r="H183" i="4" s="1"/>
  <c r="I184" i="4"/>
  <c r="H184" i="4" s="1"/>
  <c r="I185" i="4"/>
  <c r="H185" i="4" s="1"/>
  <c r="I186" i="4"/>
  <c r="H186" i="4" s="1"/>
  <c r="I187" i="4"/>
  <c r="H187" i="4" s="1"/>
  <c r="I188" i="4"/>
  <c r="H188" i="4" s="1"/>
  <c r="I189" i="4"/>
  <c r="H189" i="4" s="1"/>
  <c r="I190" i="4"/>
  <c r="H190" i="4" s="1"/>
  <c r="I191" i="4"/>
  <c r="H191" i="4" s="1"/>
  <c r="I192" i="4"/>
  <c r="H192" i="4" s="1"/>
  <c r="I193" i="4"/>
  <c r="H193" i="4" s="1"/>
  <c r="I194" i="4"/>
  <c r="H194" i="4" s="1"/>
  <c r="I195" i="4"/>
  <c r="H195" i="4" s="1"/>
  <c r="I196" i="4"/>
  <c r="H196" i="4" s="1"/>
  <c r="I197" i="4"/>
  <c r="H197" i="4" s="1"/>
  <c r="I198" i="4"/>
  <c r="H198" i="4" s="1"/>
  <c r="I199" i="4"/>
  <c r="H199" i="4" s="1"/>
  <c r="I200" i="4"/>
  <c r="H200" i="4" s="1"/>
  <c r="I201" i="4"/>
  <c r="H201" i="4" s="1"/>
  <c r="I202" i="4"/>
  <c r="H202" i="4" s="1"/>
  <c r="I203" i="4"/>
  <c r="H203" i="4" s="1"/>
  <c r="I204" i="4"/>
  <c r="H204" i="4" s="1"/>
  <c r="I205" i="4"/>
  <c r="H205" i="4" s="1"/>
  <c r="I206" i="4"/>
  <c r="H206" i="4" s="1"/>
  <c r="I207" i="4"/>
  <c r="H207" i="4" s="1"/>
  <c r="I208" i="4"/>
  <c r="H208" i="4" s="1"/>
  <c r="I209" i="4"/>
  <c r="H209" i="4" s="1"/>
  <c r="I210" i="4"/>
  <c r="H210" i="4" s="1"/>
  <c r="I211" i="4"/>
  <c r="H211" i="4" s="1"/>
  <c r="I212" i="4"/>
  <c r="H212" i="4" s="1"/>
  <c r="I213" i="4"/>
  <c r="H213" i="4" s="1"/>
  <c r="I214" i="4"/>
  <c r="H214" i="4" s="1"/>
  <c r="I215" i="4"/>
  <c r="H215" i="4" s="1"/>
  <c r="I216" i="4"/>
  <c r="H216" i="4" s="1"/>
  <c r="I217" i="4"/>
  <c r="H217" i="4" s="1"/>
  <c r="I218" i="4"/>
  <c r="H218" i="4" s="1"/>
  <c r="I219" i="4"/>
  <c r="H219" i="4" s="1"/>
  <c r="I220" i="4"/>
  <c r="H220" i="4" s="1"/>
  <c r="I221" i="4"/>
  <c r="H221" i="4" s="1"/>
  <c r="I222" i="4"/>
  <c r="H222" i="4" s="1"/>
  <c r="I223" i="4"/>
  <c r="H223" i="4" s="1"/>
  <c r="I224" i="4"/>
  <c r="H224" i="4" s="1"/>
  <c r="I225" i="4"/>
  <c r="H225" i="4" s="1"/>
  <c r="I226" i="4"/>
  <c r="H226" i="4" s="1"/>
  <c r="I227" i="4"/>
  <c r="H227" i="4" s="1"/>
  <c r="I228" i="4"/>
  <c r="H228" i="4" s="1"/>
  <c r="I229" i="4"/>
  <c r="H229" i="4" s="1"/>
  <c r="I230" i="4"/>
  <c r="H230" i="4" s="1"/>
  <c r="I231" i="4"/>
  <c r="H231" i="4" s="1"/>
  <c r="I232" i="4"/>
  <c r="H232" i="4" s="1"/>
  <c r="I233" i="4"/>
  <c r="H233" i="4" s="1"/>
  <c r="I234" i="4"/>
  <c r="H234" i="4" s="1"/>
  <c r="I235" i="4"/>
  <c r="H235" i="4" s="1"/>
  <c r="I236" i="4"/>
  <c r="H236" i="4" s="1"/>
  <c r="I237" i="4"/>
  <c r="H237" i="4" s="1"/>
  <c r="I238" i="4"/>
  <c r="H238" i="4" s="1"/>
  <c r="I239" i="4"/>
  <c r="H239" i="4" s="1"/>
  <c r="I240" i="4"/>
  <c r="H240" i="4" s="1"/>
  <c r="I241" i="4"/>
  <c r="H241" i="4" s="1"/>
  <c r="I242" i="4"/>
  <c r="H242" i="4" s="1"/>
  <c r="I243" i="4"/>
  <c r="H243" i="4" s="1"/>
  <c r="I244" i="4"/>
  <c r="H244" i="4" s="1"/>
  <c r="I245" i="4"/>
  <c r="H245" i="4" s="1"/>
  <c r="I246" i="4"/>
  <c r="H246" i="4" s="1"/>
  <c r="I247" i="4"/>
  <c r="H247" i="4" s="1"/>
  <c r="I248" i="4"/>
  <c r="H248" i="4" s="1"/>
  <c r="I249" i="4"/>
  <c r="H249" i="4" s="1"/>
  <c r="I250" i="4"/>
  <c r="H250" i="4" s="1"/>
  <c r="I251" i="4"/>
  <c r="H251" i="4" s="1"/>
  <c r="I252" i="4"/>
  <c r="H252" i="4" s="1"/>
  <c r="I253" i="4"/>
  <c r="H253" i="4" s="1"/>
  <c r="I254" i="4"/>
  <c r="H254" i="4" s="1"/>
  <c r="I255" i="4"/>
  <c r="H255" i="4" s="1"/>
  <c r="I256" i="4"/>
  <c r="H256" i="4" s="1"/>
  <c r="I257" i="4"/>
  <c r="H257" i="4" s="1"/>
  <c r="I258" i="4"/>
  <c r="H258" i="4" s="1"/>
  <c r="I259" i="4"/>
  <c r="H259" i="4" s="1"/>
  <c r="I260" i="4"/>
  <c r="H260" i="4" s="1"/>
  <c r="I261" i="4"/>
  <c r="H261" i="4" s="1"/>
  <c r="I262" i="4"/>
  <c r="H262" i="4" s="1"/>
  <c r="I263" i="4"/>
  <c r="H263" i="4" s="1"/>
  <c r="I264" i="4"/>
  <c r="H264" i="4" s="1"/>
  <c r="I265" i="4"/>
  <c r="H265" i="4" s="1"/>
  <c r="I266" i="4"/>
  <c r="H266" i="4" s="1"/>
  <c r="I267" i="4"/>
  <c r="H267" i="4" s="1"/>
  <c r="I268" i="4"/>
  <c r="H268" i="4" s="1"/>
  <c r="I270" i="4"/>
  <c r="H270" i="4" s="1"/>
  <c r="I269" i="4"/>
  <c r="H269" i="4" s="1"/>
  <c r="I272" i="4"/>
  <c r="H272" i="4" s="1"/>
  <c r="I271" i="4"/>
  <c r="H271" i="4" s="1"/>
  <c r="I273" i="4"/>
  <c r="H273" i="4" s="1"/>
  <c r="I274" i="4"/>
  <c r="H274" i="4" s="1"/>
  <c r="I275" i="4"/>
  <c r="H275" i="4" s="1"/>
  <c r="I276" i="4"/>
  <c r="H276" i="4" s="1"/>
  <c r="I277" i="4"/>
  <c r="H277" i="4" s="1"/>
  <c r="I278" i="4"/>
  <c r="H278" i="4" s="1"/>
  <c r="I279" i="4"/>
  <c r="H279" i="4" s="1"/>
  <c r="I280" i="4"/>
  <c r="H280" i="4" s="1"/>
  <c r="I281" i="4"/>
  <c r="H281" i="4" s="1"/>
  <c r="I282" i="4"/>
  <c r="H282" i="4" s="1"/>
  <c r="I283" i="4"/>
  <c r="H283" i="4" s="1"/>
  <c r="I284" i="4"/>
  <c r="H284" i="4" s="1"/>
  <c r="I285" i="4"/>
  <c r="H285" i="4" s="1"/>
  <c r="I286" i="4"/>
  <c r="H286" i="4" s="1"/>
  <c r="I287" i="4"/>
  <c r="H287" i="4" s="1"/>
  <c r="I288" i="4"/>
  <c r="H288" i="4" s="1"/>
  <c r="I289" i="4"/>
  <c r="H289" i="4" s="1"/>
  <c r="I290" i="4"/>
  <c r="H290" i="4" s="1"/>
  <c r="I291" i="4"/>
  <c r="H291" i="4" s="1"/>
  <c r="I292" i="4"/>
  <c r="H292" i="4" s="1"/>
  <c r="I293" i="4"/>
  <c r="H293" i="4" s="1"/>
  <c r="I294" i="4"/>
  <c r="H294" i="4" s="1"/>
  <c r="I295" i="4"/>
  <c r="H295" i="4" s="1"/>
  <c r="I296" i="4"/>
  <c r="H296" i="4" s="1"/>
  <c r="I297" i="4"/>
  <c r="H297" i="4" s="1"/>
  <c r="I298" i="4"/>
  <c r="H298" i="4" s="1"/>
  <c r="I299" i="4"/>
  <c r="H299" i="4" s="1"/>
  <c r="I300" i="4"/>
  <c r="H300" i="4" s="1"/>
  <c r="I301" i="4"/>
  <c r="H301" i="4" s="1"/>
  <c r="I302" i="4"/>
  <c r="H302" i="4" s="1"/>
  <c r="I303" i="4"/>
  <c r="H303" i="4" s="1"/>
  <c r="I304" i="4"/>
  <c r="H304" i="4" s="1"/>
  <c r="I305" i="4"/>
  <c r="H305" i="4" s="1"/>
  <c r="I306" i="4"/>
  <c r="H306" i="4" s="1"/>
  <c r="I307" i="4"/>
  <c r="H307" i="4" s="1"/>
  <c r="I308" i="4"/>
  <c r="H308" i="4" s="1"/>
  <c r="I309" i="4"/>
  <c r="H309" i="4" s="1"/>
  <c r="I310" i="4"/>
  <c r="H310" i="4" s="1"/>
  <c r="I311" i="4"/>
  <c r="H311" i="4" s="1"/>
  <c r="I312" i="4"/>
  <c r="H312" i="4" s="1"/>
  <c r="I313" i="4"/>
  <c r="H313" i="4" s="1"/>
  <c r="I314" i="4"/>
  <c r="H314" i="4" s="1"/>
  <c r="I315" i="4"/>
  <c r="H315" i="4" s="1"/>
  <c r="I316" i="4"/>
  <c r="H316" i="4" s="1"/>
  <c r="I317" i="4"/>
  <c r="H317" i="4" s="1"/>
  <c r="I318" i="4"/>
  <c r="H318" i="4" s="1"/>
  <c r="I319" i="4"/>
  <c r="H319" i="4" s="1"/>
  <c r="I320" i="4"/>
  <c r="H320" i="4" s="1"/>
  <c r="I321" i="4"/>
  <c r="H321" i="4" s="1"/>
  <c r="I322" i="4"/>
  <c r="H322" i="4" s="1"/>
  <c r="I323" i="4"/>
  <c r="H323" i="4" s="1"/>
  <c r="I324" i="4"/>
  <c r="H324" i="4" s="1"/>
  <c r="I325" i="4"/>
  <c r="H325" i="4" s="1"/>
  <c r="I326" i="4"/>
  <c r="H326" i="4" s="1"/>
  <c r="I327" i="4"/>
  <c r="H327" i="4" s="1"/>
  <c r="I328" i="4"/>
  <c r="H328" i="4" s="1"/>
  <c r="I329" i="4"/>
  <c r="H329" i="4" s="1"/>
  <c r="I330" i="4"/>
  <c r="H330" i="4" s="1"/>
  <c r="I331" i="4"/>
  <c r="H331" i="4" s="1"/>
  <c r="I332" i="4"/>
  <c r="H332" i="4" s="1"/>
  <c r="I333" i="4"/>
  <c r="H333" i="4" s="1"/>
  <c r="I334" i="4"/>
  <c r="H334" i="4" s="1"/>
  <c r="I335" i="4"/>
  <c r="H335" i="4" s="1"/>
  <c r="I336" i="4"/>
  <c r="H336" i="4" s="1"/>
  <c r="I337" i="4"/>
  <c r="H337" i="4" s="1"/>
  <c r="I338" i="4"/>
  <c r="H338" i="4" s="1"/>
  <c r="I339" i="4"/>
  <c r="H339" i="4" s="1"/>
  <c r="I340" i="4"/>
  <c r="H340" i="4" s="1"/>
  <c r="I341" i="4"/>
  <c r="H341" i="4" s="1"/>
  <c r="I342" i="4"/>
  <c r="H342" i="4" s="1"/>
  <c r="I343" i="4"/>
  <c r="H343" i="4" s="1"/>
  <c r="I344" i="4"/>
  <c r="H344" i="4" s="1"/>
  <c r="I345" i="4"/>
  <c r="H345" i="4" s="1"/>
  <c r="I346" i="4"/>
  <c r="H346" i="4" s="1"/>
  <c r="I347" i="4"/>
  <c r="H347" i="4" s="1"/>
  <c r="I348" i="4"/>
  <c r="H348" i="4" s="1"/>
  <c r="I349" i="4"/>
  <c r="H349" i="4" s="1"/>
  <c r="I350" i="4"/>
  <c r="H350" i="4" s="1"/>
  <c r="I351" i="4"/>
  <c r="H351" i="4" s="1"/>
  <c r="I352" i="4"/>
  <c r="H352" i="4" s="1"/>
  <c r="I353" i="4"/>
  <c r="H353" i="4" s="1"/>
  <c r="I354" i="4"/>
  <c r="H354" i="4" s="1"/>
  <c r="I355" i="4"/>
  <c r="H355" i="4" s="1"/>
  <c r="I356" i="4"/>
  <c r="H356" i="4" s="1"/>
  <c r="I357" i="4"/>
  <c r="H357" i="4" s="1"/>
  <c r="I358" i="4"/>
  <c r="H358" i="4" s="1"/>
  <c r="I359" i="4"/>
  <c r="H359" i="4" s="1"/>
  <c r="I360" i="4"/>
  <c r="H360" i="4" s="1"/>
  <c r="I361" i="4"/>
  <c r="H361" i="4" s="1"/>
  <c r="I362" i="4"/>
  <c r="H362" i="4" s="1"/>
  <c r="I363" i="4"/>
  <c r="H363" i="4" s="1"/>
  <c r="I364" i="4"/>
  <c r="H364" i="4" s="1"/>
  <c r="I365" i="4"/>
  <c r="H365" i="4" s="1"/>
  <c r="I366" i="4"/>
  <c r="H366" i="4" s="1"/>
  <c r="I367" i="4"/>
  <c r="H367" i="4" s="1"/>
  <c r="I368" i="4"/>
  <c r="H368" i="4" s="1"/>
  <c r="I369" i="4"/>
  <c r="H369" i="4" s="1"/>
  <c r="I370" i="4"/>
  <c r="H370" i="4" s="1"/>
  <c r="I371" i="4"/>
  <c r="H371" i="4" s="1"/>
  <c r="I372" i="4"/>
  <c r="H372" i="4" s="1"/>
  <c r="I373" i="4"/>
  <c r="H373" i="4" s="1"/>
  <c r="I374" i="4"/>
  <c r="H374" i="4" s="1"/>
  <c r="I375" i="4"/>
  <c r="H375" i="4" s="1"/>
  <c r="I376" i="4"/>
  <c r="H376" i="4" s="1"/>
  <c r="I377" i="4"/>
  <c r="H377" i="4" s="1"/>
  <c r="I378" i="4"/>
  <c r="H378" i="4" s="1"/>
  <c r="I379" i="4"/>
  <c r="H379" i="4" s="1"/>
  <c r="I380" i="4"/>
  <c r="H380" i="4" s="1"/>
  <c r="I381" i="4"/>
  <c r="H381" i="4" s="1"/>
  <c r="I382" i="4"/>
  <c r="H382" i="4" s="1"/>
  <c r="I383" i="4"/>
  <c r="H383" i="4" s="1"/>
  <c r="I384" i="4"/>
  <c r="H384" i="4" s="1"/>
  <c r="I385" i="4"/>
  <c r="H385" i="4" s="1"/>
  <c r="I386" i="4"/>
  <c r="H386" i="4" s="1"/>
  <c r="I387" i="4"/>
  <c r="H387" i="4" s="1"/>
  <c r="I388" i="4"/>
  <c r="H388" i="4" s="1"/>
  <c r="I389" i="4"/>
  <c r="H389" i="4" s="1"/>
  <c r="I390" i="4"/>
  <c r="H390" i="4" s="1"/>
  <c r="I391" i="4"/>
  <c r="H391" i="4" s="1"/>
  <c r="I392" i="4"/>
  <c r="H392" i="4" s="1"/>
  <c r="I393" i="4"/>
  <c r="H393" i="4" s="1"/>
  <c r="I394" i="4"/>
  <c r="H394" i="4" s="1"/>
  <c r="I395" i="4"/>
  <c r="H395" i="4" s="1"/>
  <c r="I396" i="4"/>
  <c r="H396" i="4" s="1"/>
  <c r="I397" i="4"/>
  <c r="H397" i="4" s="1"/>
  <c r="I398" i="4"/>
  <c r="H398" i="4" s="1"/>
  <c r="I399" i="4"/>
  <c r="H399" i="4" s="1"/>
  <c r="I400" i="4"/>
  <c r="H400" i="4" s="1"/>
  <c r="I401" i="4"/>
  <c r="H401" i="4" s="1"/>
  <c r="I402" i="4"/>
  <c r="H402" i="4" s="1"/>
  <c r="I403" i="4"/>
  <c r="H403" i="4" s="1"/>
  <c r="I404" i="4"/>
  <c r="H404" i="4" s="1"/>
  <c r="I405" i="4"/>
  <c r="H405" i="4" s="1"/>
  <c r="I406" i="4"/>
  <c r="H406" i="4" s="1"/>
  <c r="I407" i="4"/>
  <c r="H407" i="4" s="1"/>
  <c r="I408" i="4"/>
  <c r="H408" i="4" s="1"/>
  <c r="I409" i="4"/>
  <c r="H409" i="4" s="1"/>
  <c r="I410" i="4"/>
  <c r="H410" i="4" s="1"/>
  <c r="I411" i="4"/>
  <c r="H411" i="4" s="1"/>
  <c r="I412" i="4"/>
  <c r="H412" i="4" s="1"/>
  <c r="I413" i="4"/>
  <c r="H413" i="4" s="1"/>
  <c r="I414" i="4"/>
  <c r="H414" i="4" s="1"/>
  <c r="I415" i="4"/>
  <c r="H415" i="4" s="1"/>
  <c r="I416" i="4"/>
  <c r="H416" i="4" s="1"/>
  <c r="I417" i="4"/>
  <c r="H417" i="4" s="1"/>
  <c r="I418" i="4"/>
  <c r="H418" i="4" s="1"/>
  <c r="I419" i="4"/>
  <c r="H419" i="4" s="1"/>
  <c r="I420" i="4"/>
  <c r="H420" i="4" s="1"/>
  <c r="I421" i="4"/>
  <c r="H421" i="4" s="1"/>
  <c r="I422" i="4"/>
  <c r="H422" i="4" s="1"/>
  <c r="I423" i="4"/>
  <c r="H423" i="4" s="1"/>
  <c r="I424" i="4"/>
  <c r="H424" i="4" s="1"/>
  <c r="I425" i="4"/>
  <c r="H425" i="4" s="1"/>
  <c r="I426" i="4"/>
  <c r="H426" i="4" s="1"/>
  <c r="I427" i="4"/>
  <c r="H427" i="4" s="1"/>
  <c r="I428" i="4"/>
  <c r="H428" i="4" s="1"/>
  <c r="I429" i="4"/>
  <c r="H429" i="4" s="1"/>
  <c r="I430" i="4"/>
  <c r="H430" i="4" s="1"/>
  <c r="I431" i="4"/>
  <c r="H431" i="4" s="1"/>
  <c r="I432" i="4"/>
  <c r="H432" i="4" s="1"/>
  <c r="I433" i="4"/>
  <c r="H433" i="4" s="1"/>
  <c r="I434" i="4"/>
  <c r="H434" i="4" s="1"/>
  <c r="I435" i="4"/>
  <c r="H435" i="4" s="1"/>
  <c r="I436" i="4"/>
  <c r="H436" i="4" s="1"/>
  <c r="I454" i="4"/>
  <c r="H454" i="4" s="1"/>
  <c r="I455" i="4"/>
  <c r="H455" i="4" s="1"/>
  <c r="I456" i="4"/>
  <c r="H456" i="4" s="1"/>
  <c r="I457" i="4"/>
  <c r="H457" i="4" s="1"/>
  <c r="I484" i="4"/>
  <c r="H484" i="4" s="1"/>
  <c r="I485" i="4"/>
  <c r="H485" i="4" s="1"/>
  <c r="I486" i="4"/>
  <c r="H486" i="4" s="1"/>
  <c r="I487" i="4"/>
  <c r="H487" i="4" s="1"/>
  <c r="I488" i="4"/>
  <c r="H488" i="4" s="1"/>
  <c r="I495" i="4"/>
  <c r="H495" i="4" s="1"/>
  <c r="I496" i="4"/>
  <c r="H496" i="4" s="1"/>
  <c r="I497" i="4"/>
  <c r="H497" i="4" s="1"/>
  <c r="I498" i="4"/>
  <c r="H498" i="4" s="1"/>
  <c r="I499" i="4"/>
  <c r="H499" i="4" s="1"/>
  <c r="I500" i="4"/>
  <c r="H500" i="4" s="1"/>
  <c r="I501" i="4"/>
  <c r="H501" i="4" s="1"/>
  <c r="I502" i="4"/>
  <c r="H502" i="4" s="1"/>
  <c r="A378" i="4"/>
  <c r="A300" i="4"/>
  <c r="A301" i="4"/>
  <c r="A383" i="4"/>
  <c r="A384" i="4"/>
  <c r="A231" i="4"/>
  <c r="A230" i="4"/>
  <c r="A299" i="4"/>
  <c r="A382" i="4"/>
  <c r="A111" i="4"/>
  <c r="A46" i="4"/>
  <c r="A99" i="4"/>
  <c r="A229" i="4"/>
  <c r="A298" i="4"/>
  <c r="A381" i="4"/>
  <c r="A45" i="4"/>
  <c r="A98" i="4"/>
  <c r="A228" i="4"/>
  <c r="A297" i="4"/>
  <c r="A380" i="4"/>
  <c r="A213" i="4"/>
  <c r="A286" i="4"/>
  <c r="A364" i="4"/>
  <c r="A316" i="4"/>
  <c r="A399" i="4"/>
  <c r="A110" i="4"/>
  <c r="A159" i="4"/>
  <c r="A186" i="4"/>
  <c r="A246" i="4"/>
  <c r="A398" i="4"/>
  <c r="A109" i="4"/>
  <c r="A90" i="4"/>
  <c r="A39" i="4"/>
  <c r="A44" i="4"/>
  <c r="A97" i="4"/>
  <c r="A227" i="4"/>
  <c r="A296" i="4"/>
  <c r="A379" i="4"/>
  <c r="A245" i="4"/>
  <c r="A315" i="4"/>
  <c r="A425" i="4"/>
  <c r="A106" i="4"/>
  <c r="A107" i="4"/>
  <c r="A202" i="4"/>
  <c r="A276" i="4"/>
  <c r="A277" i="4"/>
  <c r="A350" i="4"/>
  <c r="A351" i="4"/>
  <c r="A414" i="4"/>
  <c r="A104" i="4"/>
  <c r="A105" i="4"/>
  <c r="A185" i="4"/>
  <c r="A175" i="4"/>
  <c r="A88" i="4"/>
  <c r="A89" i="4"/>
  <c r="A391" i="4"/>
  <c r="A96" i="4"/>
  <c r="A226" i="4"/>
  <c r="A348" i="4"/>
  <c r="A349" i="4"/>
  <c r="A413" i="4"/>
  <c r="A389" i="4"/>
  <c r="A201" i="4"/>
  <c r="A274" i="4"/>
  <c r="A275" i="4"/>
  <c r="A16" i="4"/>
  <c r="A51" i="4"/>
  <c r="A239" i="4"/>
  <c r="A240" i="4"/>
  <c r="A308" i="4"/>
  <c r="A309" i="4"/>
  <c r="A37" i="4"/>
  <c r="A38" i="4"/>
  <c r="A102" i="4"/>
  <c r="A103" i="4"/>
  <c r="A138" i="4"/>
  <c r="A139" i="4"/>
  <c r="A140" i="4"/>
  <c r="A314" i="4"/>
  <c r="A372" i="4"/>
  <c r="A373" i="4"/>
  <c r="A397" i="4"/>
  <c r="A396" i="4"/>
  <c r="A80" i="4"/>
  <c r="A455" i="4"/>
  <c r="A487" i="4"/>
  <c r="A184" i="4"/>
  <c r="A424" i="4"/>
  <c r="A136" i="4"/>
  <c r="A137" i="4"/>
  <c r="A244" i="4"/>
  <c r="A499" i="4"/>
  <c r="A361" i="4"/>
  <c r="A343" i="4"/>
  <c r="A344" i="4"/>
  <c r="A345" i="4"/>
  <c r="A346" i="4"/>
  <c r="A347" i="4"/>
  <c r="A412" i="4"/>
  <c r="A68" i="4"/>
  <c r="A69" i="4"/>
  <c r="A86" i="4"/>
  <c r="A87" i="4"/>
  <c r="A100" i="4"/>
  <c r="A101" i="4"/>
  <c r="A50" i="4"/>
  <c r="A200" i="4"/>
  <c r="A272" i="4"/>
  <c r="A271" i="4"/>
  <c r="A273" i="4"/>
  <c r="A388" i="4"/>
  <c r="A133" i="4"/>
  <c r="A134" i="4"/>
  <c r="A135" i="4"/>
  <c r="A313" i="4"/>
  <c r="A395" i="4"/>
  <c r="A436" i="4"/>
  <c r="A35" i="4"/>
  <c r="A36" i="4"/>
  <c r="A237" i="4"/>
  <c r="A238" i="4"/>
  <c r="A306" i="4"/>
  <c r="A307" i="4"/>
  <c r="A390" i="4"/>
  <c r="A173" i="4"/>
  <c r="A174" i="4"/>
  <c r="A183" i="4"/>
  <c r="A243" i="4"/>
  <c r="A131" i="4"/>
  <c r="A132" i="4"/>
  <c r="A423" i="4"/>
  <c r="A13" i="4"/>
  <c r="A486" i="4"/>
  <c r="A360" i="4"/>
  <c r="A370" i="4"/>
  <c r="A371" i="4"/>
  <c r="A79" i="4"/>
  <c r="A85" i="4"/>
  <c r="A405" i="4"/>
  <c r="A15" i="4"/>
  <c r="A205" i="4"/>
  <c r="A26" i="4"/>
  <c r="A171" i="4"/>
  <c r="A172" i="4"/>
  <c r="A128" i="4"/>
  <c r="A129" i="4"/>
  <c r="A130" i="4"/>
  <c r="A340" i="4"/>
  <c r="A341" i="4"/>
  <c r="A342" i="4"/>
  <c r="A498" i="4"/>
  <c r="A411" i="4"/>
  <c r="A49" i="4"/>
  <c r="A394" i="4"/>
  <c r="A182" i="4"/>
  <c r="A242" i="4"/>
  <c r="A312" i="4"/>
  <c r="A199" i="4"/>
  <c r="A268" i="4"/>
  <c r="A270" i="4"/>
  <c r="A269" i="4"/>
  <c r="A126" i="4"/>
  <c r="A127" i="4"/>
  <c r="A212" i="4"/>
  <c r="A66" i="4"/>
  <c r="A67" i="4"/>
  <c r="A454" i="4"/>
  <c r="A485" i="4"/>
  <c r="A387" i="4"/>
  <c r="A393" i="4"/>
  <c r="A497" i="4"/>
  <c r="A193" i="4"/>
  <c r="A311" i="4"/>
  <c r="A435" i="4"/>
  <c r="A56" i="4"/>
  <c r="A57" i="4"/>
  <c r="A84" i="4"/>
  <c r="A235" i="4"/>
  <c r="A236" i="4"/>
  <c r="A304" i="4"/>
  <c r="A305" i="4"/>
  <c r="A255" i="4"/>
  <c r="A256" i="4"/>
  <c r="A325" i="4"/>
  <c r="A326" i="4"/>
  <c r="A404" i="4"/>
  <c r="A241" i="4"/>
  <c r="A169" i="4"/>
  <c r="A170" i="4"/>
  <c r="A12" i="4"/>
  <c r="A204" i="4"/>
  <c r="A123" i="4"/>
  <c r="A124" i="4"/>
  <c r="A125" i="4"/>
  <c r="A198" i="4"/>
  <c r="A265" i="4"/>
  <c r="A266" i="4"/>
  <c r="A267" i="4"/>
  <c r="A285" i="4"/>
  <c r="A363" i="4"/>
  <c r="A181" i="4"/>
  <c r="A48" i="4"/>
  <c r="A121" i="4"/>
  <c r="A122" i="4"/>
  <c r="A119" i="4"/>
  <c r="A120" i="4"/>
  <c r="A337" i="4"/>
  <c r="A338" i="4"/>
  <c r="A339" i="4"/>
  <c r="A422" i="4"/>
  <c r="A410" i="4"/>
  <c r="A108" i="4"/>
  <c r="A93" i="4"/>
  <c r="A94" i="4"/>
  <c r="A217" i="4"/>
  <c r="A78" i="4"/>
  <c r="A369" i="4"/>
  <c r="A359" i="4"/>
  <c r="A431" i="4"/>
  <c r="A216" i="4"/>
  <c r="A288" i="4"/>
  <c r="A365" i="4"/>
  <c r="A25" i="4"/>
  <c r="A392" i="4"/>
  <c r="A40" i="4"/>
  <c r="A41" i="4"/>
  <c r="A415" i="4"/>
  <c r="A310" i="4"/>
  <c r="A496" i="4"/>
  <c r="A149" i="4"/>
  <c r="A150" i="4"/>
  <c r="A192" i="4"/>
  <c r="A197" i="4"/>
  <c r="A263" i="4"/>
  <c r="A264" i="4"/>
  <c r="A484" i="4"/>
  <c r="A167" i="4"/>
  <c r="A168" i="4"/>
  <c r="A54" i="4"/>
  <c r="A55" i="4"/>
  <c r="A322" i="4"/>
  <c r="A323" i="4"/>
  <c r="A324" i="4"/>
  <c r="A403" i="4"/>
  <c r="A252" i="4"/>
  <c r="A253" i="4"/>
  <c r="A254" i="4"/>
  <c r="A14" i="4"/>
  <c r="A21" i="4"/>
  <c r="A427" i="4"/>
  <c r="A34" i="4"/>
  <c r="A82" i="4"/>
  <c r="A211" i="4"/>
  <c r="A116" i="4"/>
  <c r="A117" i="4"/>
  <c r="A118" i="4"/>
  <c r="A114" i="4"/>
  <c r="A115" i="4"/>
  <c r="A495" i="4"/>
  <c r="A47" i="4"/>
  <c r="A352" i="4"/>
  <c r="A113" i="4"/>
  <c r="A112" i="4"/>
  <c r="A160" i="4"/>
  <c r="A335" i="4"/>
  <c r="A336" i="4"/>
  <c r="A409" i="4"/>
  <c r="A215" i="4"/>
  <c r="A287" i="4"/>
  <c r="A11" i="4"/>
  <c r="A83" i="4"/>
  <c r="A91" i="4"/>
  <c r="A92" i="4"/>
  <c r="A147" i="4"/>
  <c r="A148" i="4"/>
  <c r="A214" i="4"/>
  <c r="A64" i="4"/>
  <c r="A65" i="4"/>
  <c r="A162" i="4"/>
  <c r="A233" i="4"/>
  <c r="A234" i="4"/>
  <c r="A302" i="4"/>
  <c r="A303" i="4"/>
  <c r="A386" i="4"/>
  <c r="A368" i="4"/>
  <c r="A434" i="4"/>
  <c r="A191" i="4"/>
  <c r="A206" i="4"/>
  <c r="A225" i="4"/>
  <c r="A284" i="4"/>
  <c r="A421" i="4"/>
  <c r="A294" i="4"/>
  <c r="A377" i="4"/>
  <c r="A203" i="4"/>
  <c r="A251" i="4"/>
  <c r="A278" i="4"/>
  <c r="A279" i="4"/>
  <c r="A180" i="4"/>
  <c r="A158" i="4"/>
  <c r="A179" i="4"/>
  <c r="A42" i="4"/>
  <c r="A43" i="4"/>
  <c r="A402" i="4"/>
  <c r="A321" i="4"/>
  <c r="A457" i="4"/>
  <c r="A488" i="4"/>
  <c r="A196" i="4"/>
  <c r="A502" i="4"/>
  <c r="A24" i="4"/>
  <c r="A62" i="4"/>
  <c r="A63" i="4"/>
  <c r="A332" i="4"/>
  <c r="A333" i="4"/>
  <c r="A334" i="4"/>
  <c r="A408" i="4"/>
  <c r="A260" i="4"/>
  <c r="A261" i="4"/>
  <c r="A262" i="4"/>
  <c r="A81" i="4"/>
  <c r="A219" i="4"/>
  <c r="A153" i="4"/>
  <c r="A154" i="4"/>
  <c r="A362" i="4"/>
  <c r="A426" i="4"/>
  <c r="A430" i="4"/>
  <c r="A290" i="4"/>
  <c r="A420" i="4"/>
  <c r="A77" i="4"/>
  <c r="A27" i="4"/>
  <c r="A145" i="4"/>
  <c r="A146" i="4"/>
  <c r="A367" i="4"/>
  <c r="A166" i="4"/>
  <c r="A10" i="4"/>
  <c r="A358" i="4"/>
  <c r="A433" i="4"/>
  <c r="A76" i="4"/>
  <c r="A161" i="4"/>
  <c r="A401" i="4"/>
  <c r="A95" i="4"/>
  <c r="A320" i="4"/>
  <c r="A177" i="4"/>
  <c r="A178" i="4"/>
  <c r="A190" i="4"/>
  <c r="A210" i="4"/>
  <c r="A232" i="4"/>
  <c r="A19" i="4"/>
  <c r="A20" i="4"/>
  <c r="A250" i="4"/>
  <c r="A224" i="4"/>
  <c r="A283" i="4"/>
  <c r="A293" i="4"/>
  <c r="A376" i="4"/>
  <c r="A151" i="4"/>
  <c r="A152" i="4"/>
  <c r="A157" i="4"/>
  <c r="A221" i="4"/>
  <c r="A419" i="4"/>
  <c r="A218" i="4"/>
  <c r="A289" i="4"/>
  <c r="A23" i="4"/>
  <c r="A53" i="4"/>
  <c r="A195" i="4"/>
  <c r="A357" i="4"/>
  <c r="A75" i="4"/>
  <c r="A366" i="4"/>
  <c r="A432" i="4"/>
  <c r="A60" i="4"/>
  <c r="A61" i="4"/>
  <c r="A329" i="4"/>
  <c r="A330" i="4"/>
  <c r="A331" i="4"/>
  <c r="A407" i="4"/>
  <c r="A257" i="4"/>
  <c r="A258" i="4"/>
  <c r="A259" i="4"/>
  <c r="A429" i="4"/>
  <c r="A165" i="4"/>
  <c r="A74" i="4"/>
  <c r="A143" i="4"/>
  <c r="A144" i="4"/>
  <c r="A223" i="4"/>
  <c r="A282" i="4"/>
  <c r="A356" i="4"/>
  <c r="A9" i="4"/>
  <c r="A292" i="4"/>
  <c r="A375" i="4"/>
  <c r="A209" i="4"/>
  <c r="A418" i="4"/>
  <c r="A32" i="4"/>
  <c r="A33" i="4"/>
  <c r="A400" i="4"/>
  <c r="A319" i="4"/>
  <c r="A176" i="4"/>
  <c r="A189" i="4"/>
  <c r="A249" i="4"/>
  <c r="A18" i="4"/>
  <c r="A73" i="4"/>
  <c r="A428" i="4"/>
  <c r="A156" i="4"/>
  <c r="A456" i="4"/>
  <c r="A22" i="4"/>
  <c r="A220" i="4"/>
  <c r="A194" i="4"/>
  <c r="A281" i="4"/>
  <c r="A417" i="4"/>
  <c r="A72" i="4"/>
  <c r="A291" i="4"/>
  <c r="A374" i="4"/>
  <c r="A164" i="4"/>
  <c r="A58" i="4"/>
  <c r="A59" i="4"/>
  <c r="A327" i="4"/>
  <c r="A328" i="4"/>
  <c r="A355" i="4"/>
  <c r="A406" i="4"/>
  <c r="A208" i="4"/>
  <c r="A30" i="4"/>
  <c r="A31" i="4"/>
  <c r="A501" i="4"/>
  <c r="A141" i="4"/>
  <c r="A142" i="4"/>
  <c r="A222" i="4"/>
  <c r="A385" i="4"/>
  <c r="A8" i="4"/>
  <c r="A71" i="4"/>
  <c r="A248" i="4"/>
  <c r="A318" i="4"/>
  <c r="A416" i="4"/>
  <c r="A70" i="4"/>
  <c r="A207" i="4"/>
  <c r="A28" i="4"/>
  <c r="A29" i="4"/>
  <c r="A280" i="4"/>
  <c r="A354" i="4"/>
  <c r="A155" i="4"/>
  <c r="A188" i="4"/>
  <c r="A17" i="4"/>
  <c r="A52" i="4"/>
  <c r="A163" i="4"/>
  <c r="A500" i="4"/>
  <c r="A353" i="4"/>
  <c r="A187" i="4"/>
  <c r="A247" i="4"/>
  <c r="A317" i="4"/>
  <c r="D378" i="4"/>
  <c r="D300" i="4"/>
  <c r="D301" i="4"/>
  <c r="D383" i="4"/>
  <c r="D384" i="4"/>
  <c r="D231" i="4"/>
  <c r="D230" i="4"/>
  <c r="D299" i="4"/>
  <c r="D382" i="4"/>
  <c r="D111" i="4"/>
  <c r="D46" i="4"/>
  <c r="D99" i="4"/>
  <c r="D229" i="4"/>
  <c r="D298" i="4"/>
  <c r="D381" i="4"/>
  <c r="D45" i="4"/>
  <c r="D98" i="4"/>
  <c r="D228" i="4"/>
  <c r="D297" i="4"/>
  <c r="D380" i="4"/>
  <c r="D213" i="4"/>
  <c r="D286" i="4"/>
  <c r="D364" i="4"/>
  <c r="D316" i="4"/>
  <c r="D399" i="4"/>
  <c r="D110" i="4"/>
  <c r="D159" i="4"/>
  <c r="D186" i="4"/>
  <c r="D246" i="4"/>
  <c r="D398" i="4"/>
  <c r="D109" i="4"/>
  <c r="D90" i="4"/>
  <c r="D39" i="4"/>
  <c r="D44" i="4"/>
  <c r="D97" i="4"/>
  <c r="D227" i="4"/>
  <c r="D296" i="4"/>
  <c r="D379" i="4"/>
  <c r="D245" i="4"/>
  <c r="D315" i="4"/>
  <c r="D425" i="4"/>
  <c r="D106" i="4"/>
  <c r="D107" i="4"/>
  <c r="D202" i="4"/>
  <c r="D276" i="4"/>
  <c r="D277" i="4"/>
  <c r="D350" i="4"/>
  <c r="D351" i="4"/>
  <c r="D414" i="4"/>
  <c r="D104" i="4"/>
  <c r="D105" i="4"/>
  <c r="D185" i="4"/>
  <c r="D175" i="4"/>
  <c r="D88" i="4"/>
  <c r="D89" i="4"/>
  <c r="D391" i="4"/>
  <c r="D96" i="4"/>
  <c r="D226" i="4"/>
  <c r="D348" i="4"/>
  <c r="D349" i="4"/>
  <c r="D413" i="4"/>
  <c r="D389" i="4"/>
  <c r="D201" i="4"/>
  <c r="D274" i="4"/>
  <c r="D275" i="4"/>
  <c r="D16" i="4"/>
  <c r="D51" i="4"/>
  <c r="D239" i="4"/>
  <c r="D240" i="4"/>
  <c r="D308" i="4"/>
  <c r="D309" i="4"/>
  <c r="D37" i="4"/>
  <c r="D38" i="4"/>
  <c r="D102" i="4"/>
  <c r="D103" i="4"/>
  <c r="D138" i="4"/>
  <c r="D139" i="4"/>
  <c r="D140" i="4"/>
  <c r="D314" i="4"/>
  <c r="D372" i="4"/>
  <c r="D373" i="4"/>
  <c r="D397" i="4"/>
  <c r="D396" i="4"/>
  <c r="D80" i="4"/>
  <c r="D455" i="4"/>
  <c r="D487" i="4"/>
  <c r="D184" i="4"/>
  <c r="D424" i="4"/>
  <c r="D136" i="4"/>
  <c r="D137" i="4"/>
  <c r="D244" i="4"/>
  <c r="D499" i="4"/>
  <c r="D361" i="4"/>
  <c r="D343" i="4"/>
  <c r="D344" i="4"/>
  <c r="D345" i="4"/>
  <c r="D346" i="4"/>
  <c r="D347" i="4"/>
  <c r="D412" i="4"/>
  <c r="D68" i="4"/>
  <c r="D69" i="4"/>
  <c r="D86" i="4"/>
  <c r="D87" i="4"/>
  <c r="D100" i="4"/>
  <c r="D101" i="4"/>
  <c r="D50" i="4"/>
  <c r="D200" i="4"/>
  <c r="D272" i="4"/>
  <c r="D271" i="4"/>
  <c r="D273" i="4"/>
  <c r="D388" i="4"/>
  <c r="D133" i="4"/>
  <c r="D134" i="4"/>
  <c r="D135" i="4"/>
  <c r="D313" i="4"/>
  <c r="D395" i="4"/>
  <c r="D436" i="4"/>
  <c r="D35" i="4"/>
  <c r="D36" i="4"/>
  <c r="D237" i="4"/>
  <c r="D238" i="4"/>
  <c r="D306" i="4"/>
  <c r="D307" i="4"/>
  <c r="D390" i="4"/>
  <c r="D173" i="4"/>
  <c r="D174" i="4"/>
  <c r="D183" i="4"/>
  <c r="D243" i="4"/>
  <c r="D131" i="4"/>
  <c r="D132" i="4"/>
  <c r="D423" i="4"/>
  <c r="D13" i="4"/>
  <c r="D486" i="4"/>
  <c r="D360" i="4"/>
  <c r="D370" i="4"/>
  <c r="D371" i="4"/>
  <c r="D79" i="4"/>
  <c r="D85" i="4"/>
  <c r="D405" i="4"/>
  <c r="D15" i="4"/>
  <c r="D205" i="4"/>
  <c r="D26" i="4"/>
  <c r="D171" i="4"/>
  <c r="D172" i="4"/>
  <c r="D128" i="4"/>
  <c r="D129" i="4"/>
  <c r="D130" i="4"/>
  <c r="D340" i="4"/>
  <c r="D341" i="4"/>
  <c r="D342" i="4"/>
  <c r="D498" i="4"/>
  <c r="D411" i="4"/>
  <c r="D49" i="4"/>
  <c r="D394" i="4"/>
  <c r="D182" i="4"/>
  <c r="D242" i="4"/>
  <c r="D312" i="4"/>
  <c r="D199" i="4"/>
  <c r="D268" i="4"/>
  <c r="D270" i="4"/>
  <c r="D269" i="4"/>
  <c r="D126" i="4"/>
  <c r="D127" i="4"/>
  <c r="D212" i="4"/>
  <c r="D66" i="4"/>
  <c r="D67" i="4"/>
  <c r="D454" i="4"/>
  <c r="D485" i="4"/>
  <c r="D387" i="4"/>
  <c r="D393" i="4"/>
  <c r="D497" i="4"/>
  <c r="D193" i="4"/>
  <c r="D311" i="4"/>
  <c r="D435" i="4"/>
  <c r="D56" i="4"/>
  <c r="D57" i="4"/>
  <c r="D84" i="4"/>
  <c r="D235" i="4"/>
  <c r="D236" i="4"/>
  <c r="D304" i="4"/>
  <c r="D305" i="4"/>
  <c r="D255" i="4"/>
  <c r="D256" i="4"/>
  <c r="D325" i="4"/>
  <c r="D326" i="4"/>
  <c r="D404" i="4"/>
  <c r="D241" i="4"/>
  <c r="D169" i="4"/>
  <c r="D170" i="4"/>
  <c r="D12" i="4"/>
  <c r="D204" i="4"/>
  <c r="D123" i="4"/>
  <c r="D124" i="4"/>
  <c r="D125" i="4"/>
  <c r="D198" i="4"/>
  <c r="D265" i="4"/>
  <c r="D266" i="4"/>
  <c r="D267" i="4"/>
  <c r="D285" i="4"/>
  <c r="D363" i="4"/>
  <c r="D181" i="4"/>
  <c r="D48" i="4"/>
  <c r="D121" i="4"/>
  <c r="D122" i="4"/>
  <c r="D119" i="4"/>
  <c r="D120" i="4"/>
  <c r="D337" i="4"/>
  <c r="D338" i="4"/>
  <c r="D339" i="4"/>
  <c r="D422" i="4"/>
  <c r="D410" i="4"/>
  <c r="D108" i="4"/>
  <c r="D93" i="4"/>
  <c r="D94" i="4"/>
  <c r="D217" i="4"/>
  <c r="D78" i="4"/>
  <c r="D369" i="4"/>
  <c r="D359" i="4"/>
  <c r="D431" i="4"/>
  <c r="D216" i="4"/>
  <c r="D288" i="4"/>
  <c r="D365" i="4"/>
  <c r="D25" i="4"/>
  <c r="D392" i="4"/>
  <c r="D40" i="4"/>
  <c r="D41" i="4"/>
  <c r="D415" i="4"/>
  <c r="D310" i="4"/>
  <c r="D496" i="4"/>
  <c r="D149" i="4"/>
  <c r="D150" i="4"/>
  <c r="D192" i="4"/>
  <c r="D197" i="4"/>
  <c r="D263" i="4"/>
  <c r="D264" i="4"/>
  <c r="D484" i="4"/>
  <c r="D167" i="4"/>
  <c r="D168" i="4"/>
  <c r="D54" i="4"/>
  <c r="D55" i="4"/>
  <c r="D322" i="4"/>
  <c r="D323" i="4"/>
  <c r="D324" i="4"/>
  <c r="D403" i="4"/>
  <c r="D252" i="4"/>
  <c r="D253" i="4"/>
  <c r="D254" i="4"/>
  <c r="D14" i="4"/>
  <c r="D21" i="4"/>
  <c r="D427" i="4"/>
  <c r="D34" i="4"/>
  <c r="D82" i="4"/>
  <c r="D211" i="4"/>
  <c r="D116" i="4"/>
  <c r="D117" i="4"/>
  <c r="D118" i="4"/>
  <c r="D114" i="4"/>
  <c r="D115" i="4"/>
  <c r="D495" i="4"/>
  <c r="D47" i="4"/>
  <c r="D352" i="4"/>
  <c r="D113" i="4"/>
  <c r="D112" i="4"/>
  <c r="D160" i="4"/>
  <c r="D335" i="4"/>
  <c r="D336" i="4"/>
  <c r="D409" i="4"/>
  <c r="D215" i="4"/>
  <c r="D287" i="4"/>
  <c r="D11" i="4"/>
  <c r="D83" i="4"/>
  <c r="D91" i="4"/>
  <c r="D92" i="4"/>
  <c r="D147" i="4"/>
  <c r="D148" i="4"/>
  <c r="D214" i="4"/>
  <c r="D64" i="4"/>
  <c r="D65" i="4"/>
  <c r="D162" i="4"/>
  <c r="D233" i="4"/>
  <c r="D234" i="4"/>
  <c r="D302" i="4"/>
  <c r="D303" i="4"/>
  <c r="D386" i="4"/>
  <c r="D368" i="4"/>
  <c r="D434" i="4"/>
  <c r="D191" i="4"/>
  <c r="D206" i="4"/>
  <c r="D225" i="4"/>
  <c r="D284" i="4"/>
  <c r="D421" i="4"/>
  <c r="D294" i="4"/>
  <c r="D377" i="4"/>
  <c r="D203" i="4"/>
  <c r="D251" i="4"/>
  <c r="D278" i="4"/>
  <c r="D279" i="4"/>
  <c r="D180" i="4"/>
  <c r="D158" i="4"/>
  <c r="D179" i="4"/>
  <c r="D42" i="4"/>
  <c r="D43" i="4"/>
  <c r="D402" i="4"/>
  <c r="D321" i="4"/>
  <c r="D457" i="4"/>
  <c r="D488" i="4"/>
  <c r="D196" i="4"/>
  <c r="D502" i="4"/>
  <c r="D24" i="4"/>
  <c r="D62" i="4"/>
  <c r="D63" i="4"/>
  <c r="D332" i="4"/>
  <c r="D333" i="4"/>
  <c r="D334" i="4"/>
  <c r="D408" i="4"/>
  <c r="D260" i="4"/>
  <c r="D261" i="4"/>
  <c r="D262" i="4"/>
  <c r="D81" i="4"/>
  <c r="D219" i="4"/>
  <c r="D153" i="4"/>
  <c r="D154" i="4"/>
  <c r="D362" i="4"/>
  <c r="D426" i="4"/>
  <c r="D430" i="4"/>
  <c r="D290" i="4"/>
  <c r="D420" i="4"/>
  <c r="D77" i="4"/>
  <c r="D27" i="4"/>
  <c r="D145" i="4"/>
  <c r="D146" i="4"/>
  <c r="D367" i="4"/>
  <c r="D166" i="4"/>
  <c r="D10" i="4"/>
  <c r="D358" i="4"/>
  <c r="D433" i="4"/>
  <c r="D76" i="4"/>
  <c r="D161" i="4"/>
  <c r="D401" i="4"/>
  <c r="D95" i="4"/>
  <c r="D320" i="4"/>
  <c r="D177" i="4"/>
  <c r="D178" i="4"/>
  <c r="D190" i="4"/>
  <c r="D210" i="4"/>
  <c r="D232" i="4"/>
  <c r="D19" i="4"/>
  <c r="D20" i="4"/>
  <c r="D250" i="4"/>
  <c r="D224" i="4"/>
  <c r="D283" i="4"/>
  <c r="D293" i="4"/>
  <c r="D376" i="4"/>
  <c r="D151" i="4"/>
  <c r="D152" i="4"/>
  <c r="D157" i="4"/>
  <c r="D221" i="4"/>
  <c r="D419" i="4"/>
  <c r="D218" i="4"/>
  <c r="D289" i="4"/>
  <c r="D23" i="4"/>
  <c r="D53" i="4"/>
  <c r="D195" i="4"/>
  <c r="D357" i="4"/>
  <c r="D75" i="4"/>
  <c r="D366" i="4"/>
  <c r="D432" i="4"/>
  <c r="D60" i="4"/>
  <c r="D61" i="4"/>
  <c r="D329" i="4"/>
  <c r="D330" i="4"/>
  <c r="D331" i="4"/>
  <c r="D407" i="4"/>
  <c r="D257" i="4"/>
  <c r="D258" i="4"/>
  <c r="D259" i="4"/>
  <c r="D429" i="4"/>
  <c r="D165" i="4"/>
  <c r="D74" i="4"/>
  <c r="D143" i="4"/>
  <c r="D144" i="4"/>
  <c r="D223" i="4"/>
  <c r="D282" i="4"/>
  <c r="D356" i="4"/>
  <c r="D9" i="4"/>
  <c r="D292" i="4"/>
  <c r="D375" i="4"/>
  <c r="D209" i="4"/>
  <c r="D418" i="4"/>
  <c r="D32" i="4"/>
  <c r="D33" i="4"/>
  <c r="D400" i="4"/>
  <c r="D319" i="4"/>
  <c r="D176" i="4"/>
  <c r="D189" i="4"/>
  <c r="D249" i="4"/>
  <c r="D18" i="4"/>
  <c r="D73" i="4"/>
  <c r="D428" i="4"/>
  <c r="D156" i="4"/>
  <c r="D456" i="4"/>
  <c r="D22" i="4"/>
  <c r="D220" i="4"/>
  <c r="D194" i="4"/>
  <c r="D281" i="4"/>
  <c r="D417" i="4"/>
  <c r="D72" i="4"/>
  <c r="D291" i="4"/>
  <c r="D374" i="4"/>
  <c r="D164" i="4"/>
  <c r="D58" i="4"/>
  <c r="D59" i="4"/>
  <c r="D327" i="4"/>
  <c r="D328" i="4"/>
  <c r="D355" i="4"/>
  <c r="D406" i="4"/>
  <c r="D208" i="4"/>
  <c r="D30" i="4"/>
  <c r="D31" i="4"/>
  <c r="D501" i="4"/>
  <c r="D141" i="4"/>
  <c r="D142" i="4"/>
  <c r="D222" i="4"/>
  <c r="D385" i="4"/>
  <c r="D8" i="4"/>
  <c r="D71" i="4"/>
  <c r="D248" i="4"/>
  <c r="D318" i="4"/>
  <c r="D416" i="4"/>
  <c r="D70" i="4"/>
  <c r="D207" i="4"/>
  <c r="D28" i="4"/>
  <c r="D29" i="4"/>
  <c r="D280" i="4"/>
  <c r="D354" i="4"/>
  <c r="D155" i="4"/>
  <c r="D188" i="4"/>
  <c r="D17" i="4"/>
  <c r="D52" i="4"/>
  <c r="D163" i="4"/>
  <c r="D500" i="4"/>
  <c r="D353" i="4"/>
  <c r="D187" i="4"/>
  <c r="D247" i="4"/>
  <c r="D317" i="4"/>
  <c r="E378" i="4"/>
  <c r="E300" i="4"/>
  <c r="E301" i="4"/>
  <c r="E383" i="4"/>
  <c r="E384" i="4"/>
  <c r="E231" i="4"/>
  <c r="E230" i="4"/>
  <c r="E299" i="4"/>
  <c r="E382" i="4"/>
  <c r="E111" i="4"/>
  <c r="E46" i="4"/>
  <c r="E99" i="4"/>
  <c r="E229" i="4"/>
  <c r="E298" i="4"/>
  <c r="E381" i="4"/>
  <c r="E45" i="4"/>
  <c r="E98" i="4"/>
  <c r="E228" i="4"/>
  <c r="E297" i="4"/>
  <c r="E380" i="4"/>
  <c r="E213" i="4"/>
  <c r="E286" i="4"/>
  <c r="E364" i="4"/>
  <c r="E316" i="4"/>
  <c r="E399" i="4"/>
  <c r="E110" i="4"/>
  <c r="E159" i="4"/>
  <c r="E186" i="4"/>
  <c r="E246" i="4"/>
  <c r="E398" i="4"/>
  <c r="E109" i="4"/>
  <c r="E90" i="4"/>
  <c r="E39" i="4"/>
  <c r="E44" i="4"/>
  <c r="E97" i="4"/>
  <c r="E227" i="4"/>
  <c r="E296" i="4"/>
  <c r="E379" i="4"/>
  <c r="E245" i="4"/>
  <c r="E315" i="4"/>
  <c r="E425" i="4"/>
  <c r="E106" i="4"/>
  <c r="E107" i="4"/>
  <c r="E202" i="4"/>
  <c r="E276" i="4"/>
  <c r="E277" i="4"/>
  <c r="E350" i="4"/>
  <c r="E351" i="4"/>
  <c r="E414" i="4"/>
  <c r="E104" i="4"/>
  <c r="E105" i="4"/>
  <c r="E185" i="4"/>
  <c r="E175" i="4"/>
  <c r="E88" i="4"/>
  <c r="E89" i="4"/>
  <c r="E391" i="4"/>
  <c r="E96" i="4"/>
  <c r="E226" i="4"/>
  <c r="E348" i="4"/>
  <c r="E349" i="4"/>
  <c r="E413" i="4"/>
  <c r="E389" i="4"/>
  <c r="E201" i="4"/>
  <c r="E274" i="4"/>
  <c r="E275" i="4"/>
  <c r="E16" i="4"/>
  <c r="E51" i="4"/>
  <c r="E239" i="4"/>
  <c r="E240" i="4"/>
  <c r="E308" i="4"/>
  <c r="E309" i="4"/>
  <c r="E37" i="4"/>
  <c r="E38" i="4"/>
  <c r="E102" i="4"/>
  <c r="E103" i="4"/>
  <c r="E138" i="4"/>
  <c r="E139" i="4"/>
  <c r="E140" i="4"/>
  <c r="E314" i="4"/>
  <c r="E372" i="4"/>
  <c r="E373" i="4"/>
  <c r="E397" i="4"/>
  <c r="E396" i="4"/>
  <c r="E80" i="4"/>
  <c r="E455" i="4"/>
  <c r="E487" i="4"/>
  <c r="E184" i="4"/>
  <c r="E424" i="4"/>
  <c r="E136" i="4"/>
  <c r="E137" i="4"/>
  <c r="E244" i="4"/>
  <c r="E499" i="4"/>
  <c r="E361" i="4"/>
  <c r="E343" i="4"/>
  <c r="E344" i="4"/>
  <c r="E345" i="4"/>
  <c r="E346" i="4"/>
  <c r="E347" i="4"/>
  <c r="E412" i="4"/>
  <c r="E68" i="4"/>
  <c r="E69" i="4"/>
  <c r="E86" i="4"/>
  <c r="E87" i="4"/>
  <c r="E100" i="4"/>
  <c r="E101" i="4"/>
  <c r="E50" i="4"/>
  <c r="E200" i="4"/>
  <c r="E272" i="4"/>
  <c r="E271" i="4"/>
  <c r="E273" i="4"/>
  <c r="E388" i="4"/>
  <c r="E133" i="4"/>
  <c r="E134" i="4"/>
  <c r="E135" i="4"/>
  <c r="E313" i="4"/>
  <c r="E395" i="4"/>
  <c r="E436" i="4"/>
  <c r="E35" i="4"/>
  <c r="E36" i="4"/>
  <c r="E237" i="4"/>
  <c r="E238" i="4"/>
  <c r="E306" i="4"/>
  <c r="E307" i="4"/>
  <c r="E390" i="4"/>
  <c r="E173" i="4"/>
  <c r="E174" i="4"/>
  <c r="E183" i="4"/>
  <c r="E243" i="4"/>
  <c r="E131" i="4"/>
  <c r="E132" i="4"/>
  <c r="E423" i="4"/>
  <c r="E13" i="4"/>
  <c r="E486" i="4"/>
  <c r="E360" i="4"/>
  <c r="E370" i="4"/>
  <c r="E371" i="4"/>
  <c r="E79" i="4"/>
  <c r="E85" i="4"/>
  <c r="E405" i="4"/>
  <c r="E15" i="4"/>
  <c r="E205" i="4"/>
  <c r="E26" i="4"/>
  <c r="E171" i="4"/>
  <c r="E172" i="4"/>
  <c r="E128" i="4"/>
  <c r="E129" i="4"/>
  <c r="E130" i="4"/>
  <c r="E340" i="4"/>
  <c r="E341" i="4"/>
  <c r="E342" i="4"/>
  <c r="E498" i="4"/>
  <c r="E411" i="4"/>
  <c r="E49" i="4"/>
  <c r="E394" i="4"/>
  <c r="E182" i="4"/>
  <c r="E242" i="4"/>
  <c r="E312" i="4"/>
  <c r="E199" i="4"/>
  <c r="E268" i="4"/>
  <c r="E270" i="4"/>
  <c r="E269" i="4"/>
  <c r="E126" i="4"/>
  <c r="E127" i="4"/>
  <c r="E212" i="4"/>
  <c r="E66" i="4"/>
  <c r="E67" i="4"/>
  <c r="E454" i="4"/>
  <c r="E485" i="4"/>
  <c r="E387" i="4"/>
  <c r="E393" i="4"/>
  <c r="E497" i="4"/>
  <c r="E193" i="4"/>
  <c r="E311" i="4"/>
  <c r="E435" i="4"/>
  <c r="E56" i="4"/>
  <c r="E57" i="4"/>
  <c r="E84" i="4"/>
  <c r="E235" i="4"/>
  <c r="E236" i="4"/>
  <c r="E304" i="4"/>
  <c r="E305" i="4"/>
  <c r="E255" i="4"/>
  <c r="E256" i="4"/>
  <c r="E325" i="4"/>
  <c r="E326" i="4"/>
  <c r="E404" i="4"/>
  <c r="E241" i="4"/>
  <c r="E169" i="4"/>
  <c r="E170" i="4"/>
  <c r="E12" i="4"/>
  <c r="E204" i="4"/>
  <c r="E123" i="4"/>
  <c r="E124" i="4"/>
  <c r="E125" i="4"/>
  <c r="E198" i="4"/>
  <c r="E265" i="4"/>
  <c r="E266" i="4"/>
  <c r="E267" i="4"/>
  <c r="E285" i="4"/>
  <c r="E363" i="4"/>
  <c r="E181" i="4"/>
  <c r="E48" i="4"/>
  <c r="E121" i="4"/>
  <c r="E122" i="4"/>
  <c r="E119" i="4"/>
  <c r="E120" i="4"/>
  <c r="E337" i="4"/>
  <c r="E338" i="4"/>
  <c r="E339" i="4"/>
  <c r="E422" i="4"/>
  <c r="E410" i="4"/>
  <c r="E108" i="4"/>
  <c r="E93" i="4"/>
  <c r="E94" i="4"/>
  <c r="E217" i="4"/>
  <c r="E78" i="4"/>
  <c r="E369" i="4"/>
  <c r="E359" i="4"/>
  <c r="E431" i="4"/>
  <c r="E216" i="4"/>
  <c r="E288" i="4"/>
  <c r="E365" i="4"/>
  <c r="E25" i="4"/>
  <c r="E392" i="4"/>
  <c r="E40" i="4"/>
  <c r="E41" i="4"/>
  <c r="E415" i="4"/>
  <c r="E310" i="4"/>
  <c r="E496" i="4"/>
  <c r="E149" i="4"/>
  <c r="E150" i="4"/>
  <c r="E192" i="4"/>
  <c r="E197" i="4"/>
  <c r="E263" i="4"/>
  <c r="E264" i="4"/>
  <c r="E484" i="4"/>
  <c r="E167" i="4"/>
  <c r="E168" i="4"/>
  <c r="E54" i="4"/>
  <c r="E55" i="4"/>
  <c r="E322" i="4"/>
  <c r="E323" i="4"/>
  <c r="E324" i="4"/>
  <c r="E403" i="4"/>
  <c r="E252" i="4"/>
  <c r="E253" i="4"/>
  <c r="E254" i="4"/>
  <c r="E14" i="4"/>
  <c r="E21" i="4"/>
  <c r="E427" i="4"/>
  <c r="E34" i="4"/>
  <c r="E82" i="4"/>
  <c r="E211" i="4"/>
  <c r="E116" i="4"/>
  <c r="E117" i="4"/>
  <c r="E118" i="4"/>
  <c r="E114" i="4"/>
  <c r="E115" i="4"/>
  <c r="E495" i="4"/>
  <c r="E47" i="4"/>
  <c r="E352" i="4"/>
  <c r="E113" i="4"/>
  <c r="E112" i="4"/>
  <c r="E160" i="4"/>
  <c r="E335" i="4"/>
  <c r="E336" i="4"/>
  <c r="E409" i="4"/>
  <c r="E215" i="4"/>
  <c r="E287" i="4"/>
  <c r="E11" i="4"/>
  <c r="E83" i="4"/>
  <c r="E91" i="4"/>
  <c r="E92" i="4"/>
  <c r="E147" i="4"/>
  <c r="E148" i="4"/>
  <c r="E214" i="4"/>
  <c r="E64" i="4"/>
  <c r="E65" i="4"/>
  <c r="E162" i="4"/>
  <c r="E233" i="4"/>
  <c r="E234" i="4"/>
  <c r="E302" i="4"/>
  <c r="E303" i="4"/>
  <c r="E386" i="4"/>
  <c r="E368" i="4"/>
  <c r="E434" i="4"/>
  <c r="E191" i="4"/>
  <c r="E206" i="4"/>
  <c r="E225" i="4"/>
  <c r="E284" i="4"/>
  <c r="E421" i="4"/>
  <c r="E294" i="4"/>
  <c r="E377" i="4"/>
  <c r="E203" i="4"/>
  <c r="E251" i="4"/>
  <c r="E278" i="4"/>
  <c r="E279" i="4"/>
  <c r="E180" i="4"/>
  <c r="E158" i="4"/>
  <c r="E179" i="4"/>
  <c r="E42" i="4"/>
  <c r="E43" i="4"/>
  <c r="E402" i="4"/>
  <c r="E321" i="4"/>
  <c r="E457" i="4"/>
  <c r="E488" i="4"/>
  <c r="E196" i="4"/>
  <c r="E502" i="4"/>
  <c r="E24" i="4"/>
  <c r="E62" i="4"/>
  <c r="E63" i="4"/>
  <c r="E332" i="4"/>
  <c r="E333" i="4"/>
  <c r="E334" i="4"/>
  <c r="E408" i="4"/>
  <c r="E260" i="4"/>
  <c r="E261" i="4"/>
  <c r="E262" i="4"/>
  <c r="E81" i="4"/>
  <c r="E219" i="4"/>
  <c r="E153" i="4"/>
  <c r="E154" i="4"/>
  <c r="E362" i="4"/>
  <c r="E426" i="4"/>
  <c r="E430" i="4"/>
  <c r="E290" i="4"/>
  <c r="E420" i="4"/>
  <c r="E77" i="4"/>
  <c r="E27" i="4"/>
  <c r="E145" i="4"/>
  <c r="E146" i="4"/>
  <c r="E367" i="4"/>
  <c r="E166" i="4"/>
  <c r="E10" i="4"/>
  <c r="E358" i="4"/>
  <c r="E433" i="4"/>
  <c r="E76" i="4"/>
  <c r="E161" i="4"/>
  <c r="E401" i="4"/>
  <c r="E95" i="4"/>
  <c r="E320" i="4"/>
  <c r="E177" i="4"/>
  <c r="E178" i="4"/>
  <c r="E190" i="4"/>
  <c r="E210" i="4"/>
  <c r="E232" i="4"/>
  <c r="E19" i="4"/>
  <c r="E20" i="4"/>
  <c r="E250" i="4"/>
  <c r="E224" i="4"/>
  <c r="E283" i="4"/>
  <c r="E293" i="4"/>
  <c r="E376" i="4"/>
  <c r="E151" i="4"/>
  <c r="E152" i="4"/>
  <c r="E157" i="4"/>
  <c r="E221" i="4"/>
  <c r="E419" i="4"/>
  <c r="E218" i="4"/>
  <c r="E289" i="4"/>
  <c r="E23" i="4"/>
  <c r="E53" i="4"/>
  <c r="E195" i="4"/>
  <c r="E357" i="4"/>
  <c r="E75" i="4"/>
  <c r="E366" i="4"/>
  <c r="E432" i="4"/>
  <c r="E60" i="4"/>
  <c r="E61" i="4"/>
  <c r="E329" i="4"/>
  <c r="E330" i="4"/>
  <c r="E331" i="4"/>
  <c r="E407" i="4"/>
  <c r="E257" i="4"/>
  <c r="E258" i="4"/>
  <c r="E259" i="4"/>
  <c r="E429" i="4"/>
  <c r="E165" i="4"/>
  <c r="E74" i="4"/>
  <c r="E143" i="4"/>
  <c r="E144" i="4"/>
  <c r="E223" i="4"/>
  <c r="E282" i="4"/>
  <c r="E356" i="4"/>
  <c r="E9" i="4"/>
  <c r="E292" i="4"/>
  <c r="E375" i="4"/>
  <c r="E209" i="4"/>
  <c r="E418" i="4"/>
  <c r="E32" i="4"/>
  <c r="E33" i="4"/>
  <c r="E400" i="4"/>
  <c r="E319" i="4"/>
  <c r="E176" i="4"/>
  <c r="E189" i="4"/>
  <c r="E249" i="4"/>
  <c r="E18" i="4"/>
  <c r="E73" i="4"/>
  <c r="E428" i="4"/>
  <c r="E156" i="4"/>
  <c r="E456" i="4"/>
  <c r="E22" i="4"/>
  <c r="E220" i="4"/>
  <c r="E194" i="4"/>
  <c r="E281" i="4"/>
  <c r="E417" i="4"/>
  <c r="E72" i="4"/>
  <c r="E291" i="4"/>
  <c r="E374" i="4"/>
  <c r="E164" i="4"/>
  <c r="E58" i="4"/>
  <c r="E59" i="4"/>
  <c r="E327" i="4"/>
  <c r="E328" i="4"/>
  <c r="E355" i="4"/>
  <c r="E406" i="4"/>
  <c r="E208" i="4"/>
  <c r="E30" i="4"/>
  <c r="E31" i="4"/>
  <c r="E501" i="4"/>
  <c r="E141" i="4"/>
  <c r="E142" i="4"/>
  <c r="E222" i="4"/>
  <c r="E385" i="4"/>
  <c r="E8" i="4"/>
  <c r="E71" i="4"/>
  <c r="E248" i="4"/>
  <c r="E318" i="4"/>
  <c r="E416" i="4"/>
  <c r="E70" i="4"/>
  <c r="E207" i="4"/>
  <c r="E28" i="4"/>
  <c r="E29" i="4"/>
  <c r="E280" i="4"/>
  <c r="E354" i="4"/>
  <c r="E155" i="4"/>
  <c r="E188" i="4"/>
  <c r="E17" i="4"/>
  <c r="E52" i="4"/>
  <c r="E163" i="4"/>
  <c r="E500" i="4"/>
  <c r="E353" i="4"/>
  <c r="E187" i="4"/>
  <c r="E247" i="4"/>
  <c r="E317" i="4"/>
  <c r="C378" i="4"/>
  <c r="C300" i="4"/>
  <c r="C301" i="4"/>
  <c r="C383" i="4"/>
  <c r="C384" i="4"/>
  <c r="C231" i="4"/>
  <c r="C230" i="4"/>
  <c r="C299" i="4"/>
  <c r="C382" i="4"/>
  <c r="C111" i="4"/>
  <c r="C46" i="4"/>
  <c r="C99" i="4"/>
  <c r="C229" i="4"/>
  <c r="C298" i="4"/>
  <c r="C381" i="4"/>
  <c r="C45" i="4"/>
  <c r="C98" i="4"/>
  <c r="C228" i="4"/>
  <c r="C297" i="4"/>
  <c r="C380" i="4"/>
  <c r="C213" i="4"/>
  <c r="C286" i="4"/>
  <c r="C364" i="4"/>
  <c r="C316" i="4"/>
  <c r="C399" i="4"/>
  <c r="C110" i="4"/>
  <c r="C159" i="4"/>
  <c r="C186" i="4"/>
  <c r="C246" i="4"/>
  <c r="C398" i="4"/>
  <c r="C109" i="4"/>
  <c r="C90" i="4"/>
  <c r="C39" i="4"/>
  <c r="C44" i="4"/>
  <c r="C97" i="4"/>
  <c r="C227" i="4"/>
  <c r="C296" i="4"/>
  <c r="C379" i="4"/>
  <c r="C245" i="4"/>
  <c r="C315" i="4"/>
  <c r="C425" i="4"/>
  <c r="C106" i="4"/>
  <c r="C107" i="4"/>
  <c r="C202" i="4"/>
  <c r="C276" i="4"/>
  <c r="C277" i="4"/>
  <c r="C350" i="4"/>
  <c r="C351" i="4"/>
  <c r="C414" i="4"/>
  <c r="C104" i="4"/>
  <c r="C105" i="4"/>
  <c r="C185" i="4"/>
  <c r="C175" i="4"/>
  <c r="C88" i="4"/>
  <c r="C89" i="4"/>
  <c r="C391" i="4"/>
  <c r="C96" i="4"/>
  <c r="C226" i="4"/>
  <c r="C348" i="4"/>
  <c r="C349" i="4"/>
  <c r="C413" i="4"/>
  <c r="C389" i="4"/>
  <c r="C201" i="4"/>
  <c r="C274" i="4"/>
  <c r="C275" i="4"/>
  <c r="C16" i="4"/>
  <c r="C51" i="4"/>
  <c r="C239" i="4"/>
  <c r="C240" i="4"/>
  <c r="C308" i="4"/>
  <c r="C309" i="4"/>
  <c r="C37" i="4"/>
  <c r="C38" i="4"/>
  <c r="C102" i="4"/>
  <c r="C103" i="4"/>
  <c r="C138" i="4"/>
  <c r="C139" i="4"/>
  <c r="C140" i="4"/>
  <c r="C314" i="4"/>
  <c r="C372" i="4"/>
  <c r="C373" i="4"/>
  <c r="C397" i="4"/>
  <c r="C396" i="4"/>
  <c r="C80" i="4"/>
  <c r="C455" i="4"/>
  <c r="C487" i="4"/>
  <c r="C184" i="4"/>
  <c r="C424" i="4"/>
  <c r="C136" i="4"/>
  <c r="C137" i="4"/>
  <c r="C244" i="4"/>
  <c r="C499" i="4"/>
  <c r="C361" i="4"/>
  <c r="C343" i="4"/>
  <c r="C344" i="4"/>
  <c r="C345" i="4"/>
  <c r="C346" i="4"/>
  <c r="C347" i="4"/>
  <c r="C412" i="4"/>
  <c r="C68" i="4"/>
  <c r="C69" i="4"/>
  <c r="C86" i="4"/>
  <c r="C87" i="4"/>
  <c r="C100" i="4"/>
  <c r="C101" i="4"/>
  <c r="C50" i="4"/>
  <c r="C200" i="4"/>
  <c r="C272" i="4"/>
  <c r="C271" i="4"/>
  <c r="C273" i="4"/>
  <c r="C388" i="4"/>
  <c r="C133" i="4"/>
  <c r="C134" i="4"/>
  <c r="C135" i="4"/>
  <c r="C313" i="4"/>
  <c r="C395" i="4"/>
  <c r="C436" i="4"/>
  <c r="C35" i="4"/>
  <c r="C36" i="4"/>
  <c r="C237" i="4"/>
  <c r="C238" i="4"/>
  <c r="C306" i="4"/>
  <c r="C307" i="4"/>
  <c r="C390" i="4"/>
  <c r="C173" i="4"/>
  <c r="C174" i="4"/>
  <c r="C183" i="4"/>
  <c r="C243" i="4"/>
  <c r="C131" i="4"/>
  <c r="C132" i="4"/>
  <c r="C423" i="4"/>
  <c r="C13" i="4"/>
  <c r="C486" i="4"/>
  <c r="C360" i="4"/>
  <c r="C370" i="4"/>
  <c r="C371" i="4"/>
  <c r="C79" i="4"/>
  <c r="C85" i="4"/>
  <c r="C405" i="4"/>
  <c r="C15" i="4"/>
  <c r="C205" i="4"/>
  <c r="C26" i="4"/>
  <c r="C171" i="4"/>
  <c r="C172" i="4"/>
  <c r="C128" i="4"/>
  <c r="C129" i="4"/>
  <c r="C130" i="4"/>
  <c r="C340" i="4"/>
  <c r="C341" i="4"/>
  <c r="C342" i="4"/>
  <c r="C498" i="4"/>
  <c r="C411" i="4"/>
  <c r="C49" i="4"/>
  <c r="C394" i="4"/>
  <c r="C182" i="4"/>
  <c r="C242" i="4"/>
  <c r="C312" i="4"/>
  <c r="C199" i="4"/>
  <c r="C268" i="4"/>
  <c r="C270" i="4"/>
  <c r="C269" i="4"/>
  <c r="C126" i="4"/>
  <c r="C127" i="4"/>
  <c r="C212" i="4"/>
  <c r="C66" i="4"/>
  <c r="C67" i="4"/>
  <c r="C454" i="4"/>
  <c r="C485" i="4"/>
  <c r="C387" i="4"/>
  <c r="C393" i="4"/>
  <c r="C497" i="4"/>
  <c r="C193" i="4"/>
  <c r="C311" i="4"/>
  <c r="C435" i="4"/>
  <c r="C56" i="4"/>
  <c r="C57" i="4"/>
  <c r="C84" i="4"/>
  <c r="C235" i="4"/>
  <c r="C236" i="4"/>
  <c r="C304" i="4"/>
  <c r="C305" i="4"/>
  <c r="C255" i="4"/>
  <c r="C256" i="4"/>
  <c r="C325" i="4"/>
  <c r="C326" i="4"/>
  <c r="C404" i="4"/>
  <c r="C241" i="4"/>
  <c r="C169" i="4"/>
  <c r="C170" i="4"/>
  <c r="C12" i="4"/>
  <c r="C204" i="4"/>
  <c r="C123" i="4"/>
  <c r="C124" i="4"/>
  <c r="C125" i="4"/>
  <c r="C198" i="4"/>
  <c r="C265" i="4"/>
  <c r="C266" i="4"/>
  <c r="C267" i="4"/>
  <c r="C285" i="4"/>
  <c r="C363" i="4"/>
  <c r="C181" i="4"/>
  <c r="C48" i="4"/>
  <c r="C121" i="4"/>
  <c r="C122" i="4"/>
  <c r="C119" i="4"/>
  <c r="C120" i="4"/>
  <c r="C337" i="4"/>
  <c r="C338" i="4"/>
  <c r="C339" i="4"/>
  <c r="C422" i="4"/>
  <c r="C410" i="4"/>
  <c r="C108" i="4"/>
  <c r="C93" i="4"/>
  <c r="C94" i="4"/>
  <c r="C217" i="4"/>
  <c r="C78" i="4"/>
  <c r="C369" i="4"/>
  <c r="C359" i="4"/>
  <c r="C431" i="4"/>
  <c r="C216" i="4"/>
  <c r="C288" i="4"/>
  <c r="C365" i="4"/>
  <c r="C25" i="4"/>
  <c r="C392" i="4"/>
  <c r="C40" i="4"/>
  <c r="C41" i="4"/>
  <c r="C415" i="4"/>
  <c r="C310" i="4"/>
  <c r="C496" i="4"/>
  <c r="C149" i="4"/>
  <c r="C150" i="4"/>
  <c r="C192" i="4"/>
  <c r="C197" i="4"/>
  <c r="C263" i="4"/>
  <c r="C264" i="4"/>
  <c r="C484" i="4"/>
  <c r="C167" i="4"/>
  <c r="C168" i="4"/>
  <c r="C54" i="4"/>
  <c r="C55" i="4"/>
  <c r="C322" i="4"/>
  <c r="C323" i="4"/>
  <c r="C324" i="4"/>
  <c r="C403" i="4"/>
  <c r="C252" i="4"/>
  <c r="C253" i="4"/>
  <c r="C254" i="4"/>
  <c r="C14" i="4"/>
  <c r="C21" i="4"/>
  <c r="C427" i="4"/>
  <c r="C34" i="4"/>
  <c r="C82" i="4"/>
  <c r="C211" i="4"/>
  <c r="C116" i="4"/>
  <c r="C117" i="4"/>
  <c r="C118" i="4"/>
  <c r="C114" i="4"/>
  <c r="C115" i="4"/>
  <c r="C495" i="4"/>
  <c r="C47" i="4"/>
  <c r="C352" i="4"/>
  <c r="C113" i="4"/>
  <c r="C112" i="4"/>
  <c r="C160" i="4"/>
  <c r="C335" i="4"/>
  <c r="C336" i="4"/>
  <c r="C409" i="4"/>
  <c r="C215" i="4"/>
  <c r="C287" i="4"/>
  <c r="C11" i="4"/>
  <c r="C83" i="4"/>
  <c r="C91" i="4"/>
  <c r="C92" i="4"/>
  <c r="C147" i="4"/>
  <c r="C148" i="4"/>
  <c r="C214" i="4"/>
  <c r="C64" i="4"/>
  <c r="C65" i="4"/>
  <c r="C162" i="4"/>
  <c r="C233" i="4"/>
  <c r="C234" i="4"/>
  <c r="C302" i="4"/>
  <c r="C303" i="4"/>
  <c r="C386" i="4"/>
  <c r="C368" i="4"/>
  <c r="C434" i="4"/>
  <c r="C191" i="4"/>
  <c r="C206" i="4"/>
  <c r="C225" i="4"/>
  <c r="C284" i="4"/>
  <c r="C421" i="4"/>
  <c r="C294" i="4"/>
  <c r="C377" i="4"/>
  <c r="C203" i="4"/>
  <c r="C251" i="4"/>
  <c r="C278" i="4"/>
  <c r="C279" i="4"/>
  <c r="C180" i="4"/>
  <c r="C158" i="4"/>
  <c r="C179" i="4"/>
  <c r="C42" i="4"/>
  <c r="C43" i="4"/>
  <c r="C402" i="4"/>
  <c r="C321" i="4"/>
  <c r="C457" i="4"/>
  <c r="C488" i="4"/>
  <c r="C196" i="4"/>
  <c r="C502" i="4"/>
  <c r="C24" i="4"/>
  <c r="C62" i="4"/>
  <c r="C63" i="4"/>
  <c r="C332" i="4"/>
  <c r="C333" i="4"/>
  <c r="C334" i="4"/>
  <c r="C408" i="4"/>
  <c r="C260" i="4"/>
  <c r="C261" i="4"/>
  <c r="C262" i="4"/>
  <c r="C81" i="4"/>
  <c r="C219" i="4"/>
  <c r="C153" i="4"/>
  <c r="C154" i="4"/>
  <c r="C362" i="4"/>
  <c r="C426" i="4"/>
  <c r="C430" i="4"/>
  <c r="C290" i="4"/>
  <c r="C420" i="4"/>
  <c r="C77" i="4"/>
  <c r="C27" i="4"/>
  <c r="C145" i="4"/>
  <c r="C146" i="4"/>
  <c r="C367" i="4"/>
  <c r="C166" i="4"/>
  <c r="C10" i="4"/>
  <c r="C358" i="4"/>
  <c r="C433" i="4"/>
  <c r="C76" i="4"/>
  <c r="C161" i="4"/>
  <c r="C401" i="4"/>
  <c r="C95" i="4"/>
  <c r="C320" i="4"/>
  <c r="C177" i="4"/>
  <c r="C178" i="4"/>
  <c r="C190" i="4"/>
  <c r="C210" i="4"/>
  <c r="C232" i="4"/>
  <c r="C19" i="4"/>
  <c r="C20" i="4"/>
  <c r="C250" i="4"/>
  <c r="C224" i="4"/>
  <c r="C283" i="4"/>
  <c r="C293" i="4"/>
  <c r="C376" i="4"/>
  <c r="C151" i="4"/>
  <c r="C152" i="4"/>
  <c r="C157" i="4"/>
  <c r="C221" i="4"/>
  <c r="C419" i="4"/>
  <c r="C218" i="4"/>
  <c r="C289" i="4"/>
  <c r="C23" i="4"/>
  <c r="C53" i="4"/>
  <c r="C195" i="4"/>
  <c r="C357" i="4"/>
  <c r="C75" i="4"/>
  <c r="C366" i="4"/>
  <c r="C432" i="4"/>
  <c r="C60" i="4"/>
  <c r="C61" i="4"/>
  <c r="C329" i="4"/>
  <c r="C330" i="4"/>
  <c r="C331" i="4"/>
  <c r="C407" i="4"/>
  <c r="C257" i="4"/>
  <c r="C258" i="4"/>
  <c r="C259" i="4"/>
  <c r="C429" i="4"/>
  <c r="C165" i="4"/>
  <c r="C74" i="4"/>
  <c r="C143" i="4"/>
  <c r="C144" i="4"/>
  <c r="C223" i="4"/>
  <c r="C282" i="4"/>
  <c r="C356" i="4"/>
  <c r="C9" i="4"/>
  <c r="C292" i="4"/>
  <c r="C375" i="4"/>
  <c r="C209" i="4"/>
  <c r="C418" i="4"/>
  <c r="C32" i="4"/>
  <c r="C33" i="4"/>
  <c r="C400" i="4"/>
  <c r="C319" i="4"/>
  <c r="C176" i="4"/>
  <c r="C189" i="4"/>
  <c r="C249" i="4"/>
  <c r="C18" i="4"/>
  <c r="C73" i="4"/>
  <c r="C428" i="4"/>
  <c r="C156" i="4"/>
  <c r="C456" i="4"/>
  <c r="C22" i="4"/>
  <c r="C220" i="4"/>
  <c r="C194" i="4"/>
  <c r="C281" i="4"/>
  <c r="C417" i="4"/>
  <c r="C72" i="4"/>
  <c r="C291" i="4"/>
  <c r="C374" i="4"/>
  <c r="C164" i="4"/>
  <c r="C58" i="4"/>
  <c r="C59" i="4"/>
  <c r="C327" i="4"/>
  <c r="C328" i="4"/>
  <c r="C355" i="4"/>
  <c r="C406" i="4"/>
  <c r="C208" i="4"/>
  <c r="C30" i="4"/>
  <c r="C31" i="4"/>
  <c r="C501" i="4"/>
  <c r="C141" i="4"/>
  <c r="C142" i="4"/>
  <c r="C222" i="4"/>
  <c r="C385" i="4"/>
  <c r="C8" i="4"/>
  <c r="C71" i="4"/>
  <c r="C248" i="4"/>
  <c r="C318" i="4"/>
  <c r="C416" i="4"/>
  <c r="C70" i="4"/>
  <c r="C207" i="4"/>
  <c r="C28" i="4"/>
  <c r="C29" i="4"/>
  <c r="C280" i="4"/>
  <c r="C354" i="4"/>
  <c r="C155" i="4"/>
  <c r="C188" i="4"/>
  <c r="C17" i="4"/>
  <c r="C52" i="4"/>
  <c r="C163" i="4"/>
  <c r="C500" i="4"/>
  <c r="C353" i="4"/>
  <c r="C187" i="4"/>
  <c r="C247" i="4"/>
  <c r="C317" i="4"/>
  <c r="B378" i="4"/>
  <c r="B300" i="4"/>
  <c r="B301" i="4"/>
  <c r="B383" i="4"/>
  <c r="B384" i="4"/>
  <c r="B231" i="4"/>
  <c r="B230" i="4"/>
  <c r="B299" i="4"/>
  <c r="B382" i="4"/>
  <c r="B111" i="4"/>
  <c r="B46" i="4"/>
  <c r="B99" i="4"/>
  <c r="B229" i="4"/>
  <c r="B298" i="4"/>
  <c r="B381" i="4"/>
  <c r="B45" i="4"/>
  <c r="B98" i="4"/>
  <c r="B228" i="4"/>
  <c r="B297" i="4"/>
  <c r="B380" i="4"/>
  <c r="B213" i="4"/>
  <c r="B286" i="4"/>
  <c r="B364" i="4"/>
  <c r="B316" i="4"/>
  <c r="B399" i="4"/>
  <c r="B110" i="4"/>
  <c r="B159" i="4"/>
  <c r="B186" i="4"/>
  <c r="B246" i="4"/>
  <c r="B398" i="4"/>
  <c r="B109" i="4"/>
  <c r="B90" i="4"/>
  <c r="B39" i="4"/>
  <c r="B44" i="4"/>
  <c r="B97" i="4"/>
  <c r="B227" i="4"/>
  <c r="B296" i="4"/>
  <c r="B379" i="4"/>
  <c r="B245" i="4"/>
  <c r="B315" i="4"/>
  <c r="B425" i="4"/>
  <c r="B106" i="4"/>
  <c r="B107" i="4"/>
  <c r="B202" i="4"/>
  <c r="B276" i="4"/>
  <c r="B277" i="4"/>
  <c r="B350" i="4"/>
  <c r="B351" i="4"/>
  <c r="B414" i="4"/>
  <c r="B104" i="4"/>
  <c r="B105" i="4"/>
  <c r="B185" i="4"/>
  <c r="B175" i="4"/>
  <c r="B88" i="4"/>
  <c r="B89" i="4"/>
  <c r="B391" i="4"/>
  <c r="B96" i="4"/>
  <c r="B226" i="4"/>
  <c r="B348" i="4"/>
  <c r="B349" i="4"/>
  <c r="B413" i="4"/>
  <c r="B389" i="4"/>
  <c r="B201" i="4"/>
  <c r="B274" i="4"/>
  <c r="B275" i="4"/>
  <c r="B16" i="4"/>
  <c r="B51" i="4"/>
  <c r="B239" i="4"/>
  <c r="B240" i="4"/>
  <c r="B308" i="4"/>
  <c r="B309" i="4"/>
  <c r="B37" i="4"/>
  <c r="B38" i="4"/>
  <c r="B102" i="4"/>
  <c r="B103" i="4"/>
  <c r="B138" i="4"/>
  <c r="B139" i="4"/>
  <c r="B140" i="4"/>
  <c r="B314" i="4"/>
  <c r="B372" i="4"/>
  <c r="B373" i="4"/>
  <c r="B397" i="4"/>
  <c r="B396" i="4"/>
  <c r="B80" i="4"/>
  <c r="B455" i="4"/>
  <c r="B487" i="4"/>
  <c r="B184" i="4"/>
  <c r="B424" i="4"/>
  <c r="B136" i="4"/>
  <c r="B137" i="4"/>
  <c r="B244" i="4"/>
  <c r="B499" i="4"/>
  <c r="B361" i="4"/>
  <c r="B343" i="4"/>
  <c r="B344" i="4"/>
  <c r="B345" i="4"/>
  <c r="B346" i="4"/>
  <c r="B347" i="4"/>
  <c r="B412" i="4"/>
  <c r="B68" i="4"/>
  <c r="B69" i="4"/>
  <c r="B86" i="4"/>
  <c r="B87" i="4"/>
  <c r="B100" i="4"/>
  <c r="B101" i="4"/>
  <c r="B50" i="4"/>
  <c r="B200" i="4"/>
  <c r="B272" i="4"/>
  <c r="B271" i="4"/>
  <c r="B273" i="4"/>
  <c r="B388" i="4"/>
  <c r="B133" i="4"/>
  <c r="B134" i="4"/>
  <c r="B135" i="4"/>
  <c r="B313" i="4"/>
  <c r="B395" i="4"/>
  <c r="B436" i="4"/>
  <c r="B35" i="4"/>
  <c r="B36" i="4"/>
  <c r="B237" i="4"/>
  <c r="B238" i="4"/>
  <c r="B306" i="4"/>
  <c r="B307" i="4"/>
  <c r="B390" i="4"/>
  <c r="B173" i="4"/>
  <c r="B174" i="4"/>
  <c r="B183" i="4"/>
  <c r="B243" i="4"/>
  <c r="B131" i="4"/>
  <c r="B132" i="4"/>
  <c r="B423" i="4"/>
  <c r="B13" i="4"/>
  <c r="B486" i="4"/>
  <c r="B360" i="4"/>
  <c r="B370" i="4"/>
  <c r="B371" i="4"/>
  <c r="B79" i="4"/>
  <c r="B85" i="4"/>
  <c r="B405" i="4"/>
  <c r="B15" i="4"/>
  <c r="B205" i="4"/>
  <c r="B26" i="4"/>
  <c r="B171" i="4"/>
  <c r="B172" i="4"/>
  <c r="B128" i="4"/>
  <c r="B129" i="4"/>
  <c r="B130" i="4"/>
  <c r="B340" i="4"/>
  <c r="B341" i="4"/>
  <c r="B342" i="4"/>
  <c r="B498" i="4"/>
  <c r="B411" i="4"/>
  <c r="B49" i="4"/>
  <c r="B394" i="4"/>
  <c r="B182" i="4"/>
  <c r="B242" i="4"/>
  <c r="B312" i="4"/>
  <c r="B199" i="4"/>
  <c r="B268" i="4"/>
  <c r="B270" i="4"/>
  <c r="B269" i="4"/>
  <c r="B126" i="4"/>
  <c r="B127" i="4"/>
  <c r="B212" i="4"/>
  <c r="B66" i="4"/>
  <c r="B67" i="4"/>
  <c r="B454" i="4"/>
  <c r="B485" i="4"/>
  <c r="B387" i="4"/>
  <c r="B393" i="4"/>
  <c r="B497" i="4"/>
  <c r="B193" i="4"/>
  <c r="B311" i="4"/>
  <c r="B435" i="4"/>
  <c r="B56" i="4"/>
  <c r="B57" i="4"/>
  <c r="B84" i="4"/>
  <c r="B235" i="4"/>
  <c r="B236" i="4"/>
  <c r="B304" i="4"/>
  <c r="B305" i="4"/>
  <c r="B255" i="4"/>
  <c r="B256" i="4"/>
  <c r="B325" i="4"/>
  <c r="B326" i="4"/>
  <c r="B404" i="4"/>
  <c r="B241" i="4"/>
  <c r="B169" i="4"/>
  <c r="B170" i="4"/>
  <c r="B12" i="4"/>
  <c r="B204" i="4"/>
  <c r="B123" i="4"/>
  <c r="B124" i="4"/>
  <c r="B125" i="4"/>
  <c r="B198" i="4"/>
  <c r="B265" i="4"/>
  <c r="B266" i="4"/>
  <c r="B267" i="4"/>
  <c r="B285" i="4"/>
  <c r="B363" i="4"/>
  <c r="B181" i="4"/>
  <c r="B48" i="4"/>
  <c r="B121" i="4"/>
  <c r="B122" i="4"/>
  <c r="B119" i="4"/>
  <c r="B120" i="4"/>
  <c r="B337" i="4"/>
  <c r="B338" i="4"/>
  <c r="B339" i="4"/>
  <c r="B422" i="4"/>
  <c r="B410" i="4"/>
  <c r="B108" i="4"/>
  <c r="B93" i="4"/>
  <c r="B94" i="4"/>
  <c r="B217" i="4"/>
  <c r="B78" i="4"/>
  <c r="B369" i="4"/>
  <c r="B359" i="4"/>
  <c r="B431" i="4"/>
  <c r="B216" i="4"/>
  <c r="B288" i="4"/>
  <c r="B365" i="4"/>
  <c r="B25" i="4"/>
  <c r="B392" i="4"/>
  <c r="B40" i="4"/>
  <c r="B41" i="4"/>
  <c r="B415" i="4"/>
  <c r="B310" i="4"/>
  <c r="B496" i="4"/>
  <c r="B149" i="4"/>
  <c r="B150" i="4"/>
  <c r="B192" i="4"/>
  <c r="B197" i="4"/>
  <c r="B263" i="4"/>
  <c r="B264" i="4"/>
  <c r="B484" i="4"/>
  <c r="B167" i="4"/>
  <c r="B168" i="4"/>
  <c r="B54" i="4"/>
  <c r="B55" i="4"/>
  <c r="B322" i="4"/>
  <c r="B323" i="4"/>
  <c r="B324" i="4"/>
  <c r="B403" i="4"/>
  <c r="B252" i="4"/>
  <c r="B253" i="4"/>
  <c r="B254" i="4"/>
  <c r="B14" i="4"/>
  <c r="B21" i="4"/>
  <c r="B427" i="4"/>
  <c r="B34" i="4"/>
  <c r="B82" i="4"/>
  <c r="B211" i="4"/>
  <c r="B116" i="4"/>
  <c r="B117" i="4"/>
  <c r="B118" i="4"/>
  <c r="B114" i="4"/>
  <c r="B115" i="4"/>
  <c r="B495" i="4"/>
  <c r="B47" i="4"/>
  <c r="B352" i="4"/>
  <c r="B113" i="4"/>
  <c r="B112" i="4"/>
  <c r="B160" i="4"/>
  <c r="B335" i="4"/>
  <c r="B336" i="4"/>
  <c r="B409" i="4"/>
  <c r="B215" i="4"/>
  <c r="B287" i="4"/>
  <c r="B11" i="4"/>
  <c r="B83" i="4"/>
  <c r="B91" i="4"/>
  <c r="B92" i="4"/>
  <c r="B147" i="4"/>
  <c r="B148" i="4"/>
  <c r="B214" i="4"/>
  <c r="B64" i="4"/>
  <c r="B65" i="4"/>
  <c r="B162" i="4"/>
  <c r="B233" i="4"/>
  <c r="B234" i="4"/>
  <c r="B302" i="4"/>
  <c r="B303" i="4"/>
  <c r="B386" i="4"/>
  <c r="B368" i="4"/>
  <c r="B434" i="4"/>
  <c r="B191" i="4"/>
  <c r="B206" i="4"/>
  <c r="B225" i="4"/>
  <c r="B284" i="4"/>
  <c r="B421" i="4"/>
  <c r="B294" i="4"/>
  <c r="B377" i="4"/>
  <c r="B203" i="4"/>
  <c r="B251" i="4"/>
  <c r="B278" i="4"/>
  <c r="B279" i="4"/>
  <c r="B180" i="4"/>
  <c r="B158" i="4"/>
  <c r="B179" i="4"/>
  <c r="B42" i="4"/>
  <c r="B43" i="4"/>
  <c r="B402" i="4"/>
  <c r="B321" i="4"/>
  <c r="B457" i="4"/>
  <c r="B488" i="4"/>
  <c r="B196" i="4"/>
  <c r="B502" i="4"/>
  <c r="B24" i="4"/>
  <c r="B62" i="4"/>
  <c r="B63" i="4"/>
  <c r="B332" i="4"/>
  <c r="B333" i="4"/>
  <c r="B334" i="4"/>
  <c r="B408" i="4"/>
  <c r="B260" i="4"/>
  <c r="B261" i="4"/>
  <c r="B262" i="4"/>
  <c r="B81" i="4"/>
  <c r="B219" i="4"/>
  <c r="B153" i="4"/>
  <c r="B154" i="4"/>
  <c r="B362" i="4"/>
  <c r="B426" i="4"/>
  <c r="B430" i="4"/>
  <c r="B290" i="4"/>
  <c r="B420" i="4"/>
  <c r="B77" i="4"/>
  <c r="B27" i="4"/>
  <c r="B145" i="4"/>
  <c r="B146" i="4"/>
  <c r="B367" i="4"/>
  <c r="B166" i="4"/>
  <c r="B10" i="4"/>
  <c r="B358" i="4"/>
  <c r="B433" i="4"/>
  <c r="B76" i="4"/>
  <c r="B161" i="4"/>
  <c r="B401" i="4"/>
  <c r="B95" i="4"/>
  <c r="B320" i="4"/>
  <c r="B177" i="4"/>
  <c r="B178" i="4"/>
  <c r="B190" i="4"/>
  <c r="B210" i="4"/>
  <c r="B232" i="4"/>
  <c r="B19" i="4"/>
  <c r="B20" i="4"/>
  <c r="B250" i="4"/>
  <c r="B224" i="4"/>
  <c r="B283" i="4"/>
  <c r="B293" i="4"/>
  <c r="B376" i="4"/>
  <c r="B151" i="4"/>
  <c r="B152" i="4"/>
  <c r="B157" i="4"/>
  <c r="B221" i="4"/>
  <c r="B419" i="4"/>
  <c r="B218" i="4"/>
  <c r="B289" i="4"/>
  <c r="B23" i="4"/>
  <c r="B53" i="4"/>
  <c r="B195" i="4"/>
  <c r="B357" i="4"/>
  <c r="B75" i="4"/>
  <c r="B366" i="4"/>
  <c r="B432" i="4"/>
  <c r="B60" i="4"/>
  <c r="B61" i="4"/>
  <c r="B329" i="4"/>
  <c r="B330" i="4"/>
  <c r="B331" i="4"/>
  <c r="B407" i="4"/>
  <c r="B257" i="4"/>
  <c r="B258" i="4"/>
  <c r="B259" i="4"/>
  <c r="B429" i="4"/>
  <c r="B165" i="4"/>
  <c r="B74" i="4"/>
  <c r="B143" i="4"/>
  <c r="B144" i="4"/>
  <c r="B223" i="4"/>
  <c r="B282" i="4"/>
  <c r="B356" i="4"/>
  <c r="B9" i="4"/>
  <c r="B292" i="4"/>
  <c r="B375" i="4"/>
  <c r="B209" i="4"/>
  <c r="B418" i="4"/>
  <c r="B32" i="4"/>
  <c r="B33" i="4"/>
  <c r="B400" i="4"/>
  <c r="B319" i="4"/>
  <c r="B176" i="4"/>
  <c r="B189" i="4"/>
  <c r="B249" i="4"/>
  <c r="B18" i="4"/>
  <c r="B73" i="4"/>
  <c r="B428" i="4"/>
  <c r="B156" i="4"/>
  <c r="B456" i="4"/>
  <c r="B22" i="4"/>
  <c r="B220" i="4"/>
  <c r="B194" i="4"/>
  <c r="B281" i="4"/>
  <c r="B417" i="4"/>
  <c r="B72" i="4"/>
  <c r="B291" i="4"/>
  <c r="B374" i="4"/>
  <c r="B164" i="4"/>
  <c r="B58" i="4"/>
  <c r="B59" i="4"/>
  <c r="B327" i="4"/>
  <c r="B328" i="4"/>
  <c r="B355" i="4"/>
  <c r="B406" i="4"/>
  <c r="B208" i="4"/>
  <c r="B30" i="4"/>
  <c r="B31" i="4"/>
  <c r="B501" i="4"/>
  <c r="B141" i="4"/>
  <c r="B142" i="4"/>
  <c r="B222" i="4"/>
  <c r="B385" i="4"/>
  <c r="B8" i="4"/>
  <c r="B71" i="4"/>
  <c r="B248" i="4"/>
  <c r="B318" i="4"/>
  <c r="B416" i="4"/>
  <c r="B70" i="4"/>
  <c r="B207" i="4"/>
  <c r="B28" i="4"/>
  <c r="B29" i="4"/>
  <c r="B280" i="4"/>
  <c r="B354" i="4"/>
  <c r="B155" i="4"/>
  <c r="B188" i="4"/>
  <c r="B17" i="4"/>
  <c r="B52" i="4"/>
  <c r="B163" i="4"/>
  <c r="B500" i="4"/>
  <c r="B353" i="4"/>
  <c r="B187" i="4"/>
  <c r="B247" i="4"/>
  <c r="B317" i="4"/>
  <c r="C295" i="4"/>
  <c r="B295" i="4"/>
  <c r="E295" i="4"/>
  <c r="D295" i="4"/>
  <c r="A295" i="4"/>
  <c r="M2" i="9"/>
  <c r="I5" i="4"/>
  <c r="F5" i="4" s="1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G3" i="4" a="1"/>
  <c r="G7" i="4" a="1"/>
  <c r="G11" i="4" a="1"/>
  <c r="G15" i="4" a="1"/>
  <c r="G19" i="4" a="1"/>
  <c r="G23" i="4" a="1"/>
  <c r="G27" i="4" a="1"/>
  <c r="G4" i="4" a="1"/>
  <c r="G8" i="4" a="1"/>
  <c r="G12" i="4" a="1"/>
  <c r="G16" i="4" a="1"/>
  <c r="G20" i="4" a="1"/>
  <c r="G24" i="4" a="1"/>
  <c r="G28" i="4" a="1"/>
  <c r="G5" i="4" a="1"/>
  <c r="G9" i="4" a="1"/>
  <c r="G13" i="4" a="1"/>
  <c r="G17" i="4" a="1"/>
  <c r="G6" i="4" a="1"/>
  <c r="G10" i="4" a="1"/>
  <c r="G14" i="4" a="1"/>
  <c r="G18" i="4" a="1"/>
  <c r="G22" i="4" a="1"/>
  <c r="G26" i="4" a="1"/>
  <c r="G30" i="4" a="1"/>
  <c r="G34" i="4" a="1"/>
  <c r="G38" i="4" a="1"/>
  <c r="G42" i="4" a="1"/>
  <c r="G46" i="4" a="1"/>
  <c r="G21" i="4" a="1"/>
  <c r="G37" i="4" a="1"/>
  <c r="G43" i="4" a="1"/>
  <c r="G60" i="4" a="1"/>
  <c r="G76" i="4" a="1"/>
  <c r="G92" i="4" a="1"/>
  <c r="G108" i="4" a="1"/>
  <c r="G124" i="4" a="1"/>
  <c r="G140" i="4" a="1"/>
  <c r="G156" i="4" a="1"/>
  <c r="G172" i="4" a="1"/>
  <c r="G188" i="4" a="1"/>
  <c r="G204" i="4" a="1"/>
  <c r="G220" i="4" a="1"/>
  <c r="G236" i="4" a="1"/>
  <c r="G252" i="4" a="1"/>
  <c r="G262" i="4" a="1"/>
  <c r="G271" i="4" a="1"/>
  <c r="G276" i="4" a="1"/>
  <c r="G285" i="4" a="1"/>
  <c r="G294" i="4" a="1"/>
  <c r="G303" i="4" a="1"/>
  <c r="G308" i="4" a="1"/>
  <c r="G317" i="4" a="1"/>
  <c r="G326" i="4" a="1"/>
  <c r="G335" i="4" a="1"/>
  <c r="G340" i="4" a="1"/>
  <c r="G344" i="4" a="1"/>
  <c r="G348" i="4" a="1"/>
  <c r="G352" i="4" a="1"/>
  <c r="G356" i="4" a="1"/>
  <c r="G360" i="4" a="1"/>
  <c r="G364" i="4" a="1"/>
  <c r="G368" i="4" a="1"/>
  <c r="G372" i="4" a="1"/>
  <c r="G376" i="4" a="1"/>
  <c r="G380" i="4" a="1"/>
  <c r="G384" i="4" a="1"/>
  <c r="G388" i="4" a="1"/>
  <c r="G392" i="4" a="1"/>
  <c r="G396" i="4" a="1"/>
  <c r="G400" i="4" a="1"/>
  <c r="G404" i="4" a="1"/>
  <c r="G408" i="4" a="1"/>
  <c r="G412" i="4" a="1"/>
  <c r="G416" i="4" a="1"/>
  <c r="G420" i="4" a="1"/>
  <c r="G424" i="4" a="1"/>
  <c r="G428" i="4" a="1"/>
  <c r="G432" i="4" a="1"/>
  <c r="G436" i="4" a="1"/>
  <c r="G31" i="4" a="1"/>
  <c r="G44" i="4" a="1"/>
  <c r="G50" i="4" a="1"/>
  <c r="G55" i="4" a="1"/>
  <c r="G61" i="4" a="1"/>
  <c r="G66" i="4" a="1"/>
  <c r="G71" i="4" a="1"/>
  <c r="G77" i="4" a="1"/>
  <c r="G82" i="4" a="1"/>
  <c r="G87" i="4" a="1"/>
  <c r="G93" i="4" a="1"/>
  <c r="G98" i="4" a="1"/>
  <c r="G103" i="4" a="1"/>
  <c r="G109" i="4" a="1"/>
  <c r="G114" i="4" a="1"/>
  <c r="G119" i="4" a="1"/>
  <c r="G125" i="4" a="1"/>
  <c r="G130" i="4" a="1"/>
  <c r="G135" i="4" a="1"/>
  <c r="G141" i="4" a="1"/>
  <c r="G146" i="4" a="1"/>
  <c r="G151" i="4" a="1"/>
  <c r="G157" i="4" a="1"/>
  <c r="G162" i="4" a="1"/>
  <c r="G167" i="4" a="1"/>
  <c r="G173" i="4" a="1"/>
  <c r="G178" i="4" a="1"/>
  <c r="G183" i="4" a="1"/>
  <c r="G189" i="4" a="1"/>
  <c r="G194" i="4" a="1"/>
  <c r="G199" i="4" a="1"/>
  <c r="G205" i="4" a="1"/>
  <c r="G210" i="4" a="1"/>
  <c r="G215" i="4" a="1"/>
  <c r="G221" i="4" a="1"/>
  <c r="G226" i="4" a="1"/>
  <c r="G231" i="4" a="1"/>
  <c r="G237" i="4" a="1"/>
  <c r="G242" i="4" a="1"/>
  <c r="G247" i="4" a="1"/>
  <c r="G253" i="4" a="1"/>
  <c r="G258" i="4" a="1"/>
  <c r="G267" i="4" a="1"/>
  <c r="G272" i="4" a="1"/>
  <c r="G281" i="4" a="1"/>
  <c r="G290" i="4" a="1"/>
  <c r="G299" i="4" a="1"/>
  <c r="G304" i="4" a="1"/>
  <c r="G313" i="4" a="1"/>
  <c r="G322" i="4" a="1"/>
  <c r="G331" i="4" a="1"/>
  <c r="G336" i="4" a="1"/>
  <c r="G32" i="4" a="1"/>
  <c r="G45" i="4" a="1"/>
  <c r="G56" i="4" a="1"/>
  <c r="G72" i="4" a="1"/>
  <c r="G88" i="4" a="1"/>
  <c r="G104" i="4" a="1"/>
  <c r="G120" i="4" a="1"/>
  <c r="G136" i="4" a="1"/>
  <c r="G152" i="4" a="1"/>
  <c r="G168" i="4" a="1"/>
  <c r="G184" i="4" a="1"/>
  <c r="G200" i="4" a="1"/>
  <c r="G216" i="4" a="1"/>
  <c r="G232" i="4" a="1"/>
  <c r="G248" i="4" a="1"/>
  <c r="G263" i="4" a="1"/>
  <c r="G268" i="4" a="1"/>
  <c r="G277" i="4" a="1"/>
  <c r="G286" i="4" a="1"/>
  <c r="G295" i="4" a="1"/>
  <c r="G300" i="4" a="1"/>
  <c r="G309" i="4" a="1"/>
  <c r="G318" i="4" a="1"/>
  <c r="G327" i="4" a="1"/>
  <c r="G332" i="4" a="1"/>
  <c r="G341" i="4" a="1"/>
  <c r="G345" i="4" a="1"/>
  <c r="G349" i="4" a="1"/>
  <c r="G353" i="4" a="1"/>
  <c r="G357" i="4" a="1"/>
  <c r="G361" i="4" a="1"/>
  <c r="G365" i="4" a="1"/>
  <c r="G369" i="4" a="1"/>
  <c r="G373" i="4" a="1"/>
  <c r="G377" i="4" a="1"/>
  <c r="G381" i="4" a="1"/>
  <c r="G385" i="4" a="1"/>
  <c r="G389" i="4" a="1"/>
  <c r="G393" i="4" a="1"/>
  <c r="G397" i="4" a="1"/>
  <c r="G401" i="4" a="1"/>
  <c r="G405" i="4" a="1"/>
  <c r="G409" i="4" a="1"/>
  <c r="G413" i="4" a="1"/>
  <c r="G417" i="4" a="1"/>
  <c r="G421" i="4" a="1"/>
  <c r="G425" i="4" a="1"/>
  <c r="G429" i="4" a="1"/>
  <c r="G25" i="4" a="1"/>
  <c r="G33" i="4" a="1"/>
  <c r="G39" i="4" a="1"/>
  <c r="G51" i="4" a="1"/>
  <c r="G57" i="4" a="1"/>
  <c r="G62" i="4" a="1"/>
  <c r="G67" i="4" a="1"/>
  <c r="G73" i="4" a="1"/>
  <c r="G78" i="4" a="1"/>
  <c r="G83" i="4" a="1"/>
  <c r="G89" i="4" a="1"/>
  <c r="G94" i="4" a="1"/>
  <c r="G99" i="4" a="1"/>
  <c r="G105" i="4" a="1"/>
  <c r="G110" i="4" a="1"/>
  <c r="G115" i="4" a="1"/>
  <c r="G121" i="4" a="1"/>
  <c r="G126" i="4" a="1"/>
  <c r="G131" i="4" a="1"/>
  <c r="G137" i="4" a="1"/>
  <c r="G142" i="4" a="1"/>
  <c r="G147" i="4" a="1"/>
  <c r="G153" i="4" a="1"/>
  <c r="G158" i="4" a="1"/>
  <c r="G163" i="4" a="1"/>
  <c r="G169" i="4" a="1"/>
  <c r="G174" i="4" a="1"/>
  <c r="G179" i="4" a="1"/>
  <c r="G185" i="4" a="1"/>
  <c r="G190" i="4" a="1"/>
  <c r="G195" i="4" a="1"/>
  <c r="G201" i="4" a="1"/>
  <c r="G206" i="4" a="1"/>
  <c r="G211" i="4" a="1"/>
  <c r="G217" i="4" a="1"/>
  <c r="G222" i="4" a="1"/>
  <c r="G227" i="4" a="1"/>
  <c r="G233" i="4" a="1"/>
  <c r="G238" i="4" a="1"/>
  <c r="G243" i="4" a="1"/>
  <c r="G249" i="4" a="1"/>
  <c r="G254" i="4" a="1"/>
  <c r="G259" i="4" a="1"/>
  <c r="G264" i="4" a="1"/>
  <c r="G273" i="4" a="1"/>
  <c r="G282" i="4" a="1"/>
  <c r="G291" i="4" a="1"/>
  <c r="G296" i="4" a="1"/>
  <c r="G305" i="4" a="1"/>
  <c r="G314" i="4" a="1"/>
  <c r="G323" i="4" a="1"/>
  <c r="G328" i="4" a="1"/>
  <c r="G337" i="4" a="1"/>
  <c r="G40" i="4" a="1"/>
  <c r="G52" i="4" a="1"/>
  <c r="G68" i="4" a="1"/>
  <c r="G84" i="4" a="1"/>
  <c r="G100" i="4" a="1"/>
  <c r="G116" i="4" a="1"/>
  <c r="G132" i="4" a="1"/>
  <c r="G148" i="4" a="1"/>
  <c r="G164" i="4" a="1"/>
  <c r="G180" i="4" a="1"/>
  <c r="G196" i="4" a="1"/>
  <c r="G212" i="4" a="1"/>
  <c r="G228" i="4" a="1"/>
  <c r="G244" i="4" a="1"/>
  <c r="G260" i="4" a="1"/>
  <c r="G269" i="4" a="1"/>
  <c r="G278" i="4" a="1"/>
  <c r="G287" i="4" a="1"/>
  <c r="G292" i="4" a="1"/>
  <c r="G301" i="4" a="1"/>
  <c r="G310" i="4" a="1"/>
  <c r="G319" i="4" a="1"/>
  <c r="G324" i="4" a="1"/>
  <c r="G333" i="4" a="1"/>
  <c r="G342" i="4" a="1"/>
  <c r="G346" i="4" a="1"/>
  <c r="G350" i="4" a="1"/>
  <c r="G354" i="4" a="1"/>
  <c r="G358" i="4" a="1"/>
  <c r="G362" i="4" a="1"/>
  <c r="G366" i="4" a="1"/>
  <c r="G370" i="4" a="1"/>
  <c r="G374" i="4" a="1"/>
  <c r="G378" i="4" a="1"/>
  <c r="G382" i="4" a="1"/>
  <c r="G386" i="4" a="1"/>
  <c r="G390" i="4" a="1"/>
  <c r="G394" i="4" a="1"/>
  <c r="G398" i="4" a="1"/>
  <c r="G402" i="4" a="1"/>
  <c r="G406" i="4" a="1"/>
  <c r="G410" i="4" a="1"/>
  <c r="G414" i="4" a="1"/>
  <c r="G418" i="4" a="1"/>
  <c r="G422" i="4" a="1"/>
  <c r="G426" i="4" a="1"/>
  <c r="G29" i="4" a="1"/>
  <c r="G35" i="4" a="1"/>
  <c r="G48" i="4" a="1"/>
  <c r="G64" i="4" a="1"/>
  <c r="G80" i="4" a="1"/>
  <c r="G96" i="4" a="1"/>
  <c r="G112" i="4" a="1"/>
  <c r="G128" i="4" a="1"/>
  <c r="G144" i="4" a="1"/>
  <c r="G160" i="4" a="1"/>
  <c r="G176" i="4" a="1"/>
  <c r="G192" i="4" a="1"/>
  <c r="G208" i="4" a="1"/>
  <c r="G224" i="4" a="1"/>
  <c r="G240" i="4" a="1"/>
  <c r="G256" i="4" a="1"/>
  <c r="G261" i="4" a="1"/>
  <c r="G270" i="4" a="1"/>
  <c r="G279" i="4" a="1"/>
  <c r="G284" i="4" a="1"/>
  <c r="G293" i="4" a="1"/>
  <c r="G302" i="4" a="1"/>
  <c r="G311" i="4" a="1"/>
  <c r="G316" i="4" a="1"/>
  <c r="G325" i="4" a="1"/>
  <c r="G334" i="4" a="1"/>
  <c r="G343" i="4" a="1"/>
  <c r="G347" i="4" a="1"/>
  <c r="G351" i="4" a="1"/>
  <c r="G355" i="4" a="1"/>
  <c r="G359" i="4" a="1"/>
  <c r="G363" i="4" a="1"/>
  <c r="G367" i="4" a="1"/>
  <c r="G371" i="4" a="1"/>
  <c r="G375" i="4" a="1"/>
  <c r="G379" i="4" a="1"/>
  <c r="G383" i="4" a="1"/>
  <c r="G387" i="4" a="1"/>
  <c r="G391" i="4" a="1"/>
  <c r="G395" i="4" a="1"/>
  <c r="G399" i="4" a="1"/>
  <c r="G403" i="4" a="1"/>
  <c r="G407" i="4" a="1"/>
  <c r="G411" i="4" a="1"/>
  <c r="G415" i="4" a="1"/>
  <c r="G419" i="4" a="1"/>
  <c r="G423" i="4" a="1"/>
  <c r="G427" i="4" a="1"/>
  <c r="G431" i="4" a="1"/>
  <c r="G435" i="4" a="1"/>
  <c r="G439" i="4" a="1"/>
  <c r="G443" i="4" a="1"/>
  <c r="G447" i="4" a="1"/>
  <c r="G451" i="4" a="1"/>
  <c r="G455" i="4" a="1"/>
  <c r="G459" i="4" a="1"/>
  <c r="G463" i="4" a="1"/>
  <c r="G467" i="4" a="1"/>
  <c r="G471" i="4" a="1"/>
  <c r="G47" i="4" a="1"/>
  <c r="G69" i="4" a="1"/>
  <c r="G90" i="4" a="1"/>
  <c r="G111" i="4" a="1"/>
  <c r="G133" i="4" a="1"/>
  <c r="G154" i="4" a="1"/>
  <c r="G175" i="4" a="1"/>
  <c r="G197" i="4" a="1"/>
  <c r="G218" i="4" a="1"/>
  <c r="G239" i="4" a="1"/>
  <c r="G297" i="4" a="1"/>
  <c r="G315" i="4" a="1"/>
  <c r="G430" i="4" a="1"/>
  <c r="G438" i="4" a="1"/>
  <c r="G444" i="4" a="1"/>
  <c r="G457" i="4" a="1"/>
  <c r="G470" i="4" a="1"/>
  <c r="G485" i="4" a="1"/>
  <c r="G490" i="4" a="1"/>
  <c r="G499" i="4" a="1"/>
  <c r="G63" i="4" a="1"/>
  <c r="G234" i="4" a="1"/>
  <c r="G86" i="4" a="1"/>
  <c r="G214" i="4" a="1"/>
  <c r="G312" i="4" a="1"/>
  <c r="G469" i="4" a="1"/>
  <c r="G489" i="4" a="1"/>
  <c r="G49" i="4" a="1"/>
  <c r="G70" i="4" a="1"/>
  <c r="G91" i="4" a="1"/>
  <c r="G113" i="4" a="1"/>
  <c r="G134" i="4" a="1"/>
  <c r="G155" i="4" a="1"/>
  <c r="G177" i="4" a="1"/>
  <c r="G198" i="4" a="1"/>
  <c r="G219" i="4" a="1"/>
  <c r="G241" i="4" a="1"/>
  <c r="G280" i="4" a="1"/>
  <c r="G298" i="4" a="1"/>
  <c r="G445" i="4" a="1"/>
  <c r="G458" i="4" a="1"/>
  <c r="G464" i="4" a="1"/>
  <c r="G476" i="4" a="1"/>
  <c r="G481" i="4" a="1"/>
  <c r="G486" i="4" a="1"/>
  <c r="G495" i="4" a="1"/>
  <c r="G504" i="4" a="1"/>
  <c r="G508" i="4" a="1"/>
  <c r="G512" i="4" a="1"/>
  <c r="G85" i="4" a="1"/>
  <c r="G191" i="4" a="1"/>
  <c r="G274" i="4" a="1"/>
  <c r="G468" i="4" a="1"/>
  <c r="G150" i="4" a="1"/>
  <c r="G275" i="4" a="1"/>
  <c r="G456" i="4" a="1"/>
  <c r="G480" i="4" a="1"/>
  <c r="G503" i="4" a="1"/>
  <c r="G53" i="4" a="1"/>
  <c r="G74" i="4" a="1"/>
  <c r="G95" i="4" a="1"/>
  <c r="G117" i="4" a="1"/>
  <c r="G138" i="4" a="1"/>
  <c r="G159" i="4" a="1"/>
  <c r="G181" i="4" a="1"/>
  <c r="G202" i="4" a="1"/>
  <c r="G223" i="4" a="1"/>
  <c r="G245" i="4" a="1"/>
  <c r="G265" i="4" a="1"/>
  <c r="G283" i="4" a="1"/>
  <c r="G320" i="4" a="1"/>
  <c r="G338" i="4" a="1"/>
  <c r="G446" i="4" a="1"/>
  <c r="G452" i="4" a="1"/>
  <c r="G465" i="4" a="1"/>
  <c r="G477" i="4" a="1"/>
  <c r="G482" i="4" a="1"/>
  <c r="G491" i="4" a="1"/>
  <c r="G500" i="4" a="1"/>
  <c r="G127" i="4" a="1"/>
  <c r="G255" i="4" a="1"/>
  <c r="G462" i="4" a="1"/>
  <c r="G498" i="4" a="1"/>
  <c r="G107" i="4" a="1"/>
  <c r="G171" i="4" a="1"/>
  <c r="G257" i="4" a="1"/>
  <c r="G437" i="4" a="1"/>
  <c r="G475" i="4" a="1"/>
  <c r="G511" i="4" a="1"/>
  <c r="G54" i="4" a="1"/>
  <c r="G75" i="4" a="1"/>
  <c r="G97" i="4" a="1"/>
  <c r="G118" i="4" a="1"/>
  <c r="G139" i="4" a="1"/>
  <c r="G161" i="4" a="1"/>
  <c r="G182" i="4" a="1"/>
  <c r="G203" i="4" a="1"/>
  <c r="G225" i="4" a="1"/>
  <c r="G246" i="4" a="1"/>
  <c r="G266" i="4" a="1"/>
  <c r="G321" i="4" a="1"/>
  <c r="G339" i="4" a="1"/>
  <c r="G433" i="4" a="1"/>
  <c r="G440" i="4" a="1"/>
  <c r="G453" i="4" a="1"/>
  <c r="G466" i="4" a="1"/>
  <c r="G472" i="4" a="1"/>
  <c r="G478" i="4" a="1"/>
  <c r="G487" i="4" a="1"/>
  <c r="G496" i="4" a="1"/>
  <c r="G505" i="4" a="1"/>
  <c r="G509" i="4" a="1"/>
  <c r="G513" i="4" a="1"/>
  <c r="G106" i="4" a="1"/>
  <c r="G170" i="4" a="1"/>
  <c r="G329" i="4" a="1"/>
  <c r="G484" i="4" a="1"/>
  <c r="G65" i="4" a="1"/>
  <c r="G235" i="4" a="1"/>
  <c r="G330" i="4" a="1"/>
  <c r="G450" i="4" a="1"/>
  <c r="G494" i="4" a="1"/>
  <c r="G58" i="4" a="1"/>
  <c r="G79" i="4" a="1"/>
  <c r="G101" i="4" a="1"/>
  <c r="G122" i="4" a="1"/>
  <c r="G143" i="4" a="1"/>
  <c r="G165" i="4" a="1"/>
  <c r="G186" i="4" a="1"/>
  <c r="G207" i="4" a="1"/>
  <c r="G229" i="4" a="1"/>
  <c r="G250" i="4" a="1"/>
  <c r="G288" i="4" a="1"/>
  <c r="G306" i="4" a="1"/>
  <c r="G434" i="4" a="1"/>
  <c r="G441" i="4" a="1"/>
  <c r="G454" i="4" a="1"/>
  <c r="G460" i="4" a="1"/>
  <c r="G473" i="4" a="1"/>
  <c r="G483" i="4" a="1"/>
  <c r="G492" i="4" a="1"/>
  <c r="G501" i="4" a="1"/>
  <c r="G149" i="4" a="1"/>
  <c r="G193" i="4" a="1"/>
  <c r="G36" i="4" a="1"/>
  <c r="G59" i="4" a="1"/>
  <c r="G81" i="4" a="1"/>
  <c r="G102" i="4" a="1"/>
  <c r="G123" i="4" a="1"/>
  <c r="G145" i="4" a="1"/>
  <c r="G166" i="4" a="1"/>
  <c r="G187" i="4" a="1"/>
  <c r="G209" i="4" a="1"/>
  <c r="G230" i="4" a="1"/>
  <c r="G251" i="4" a="1"/>
  <c r="G289" i="4" a="1"/>
  <c r="G307" i="4" a="1"/>
  <c r="G442" i="4" a="1"/>
  <c r="G448" i="4" a="1"/>
  <c r="G461" i="4" a="1"/>
  <c r="G474" i="4" a="1"/>
  <c r="G479" i="4" a="1"/>
  <c r="G488" i="4" a="1"/>
  <c r="G497" i="4" a="1"/>
  <c r="G502" i="4" a="1"/>
  <c r="G506" i="4" a="1"/>
  <c r="G510" i="4" a="1"/>
  <c r="G41" i="4" a="1"/>
  <c r="G213" i="4" a="1"/>
  <c r="G449" i="4" a="1"/>
  <c r="G493" i="4" a="1"/>
  <c r="G129" i="4" a="1"/>
  <c r="G507" i="4" a="1"/>
  <c r="G2" i="4" a="1"/>
  <c r="G507" i="4" l="1"/>
  <c r="G129" i="4"/>
  <c r="G493" i="4"/>
  <c r="G449" i="4"/>
  <c r="G213" i="4"/>
  <c r="G41" i="4"/>
  <c r="G510" i="4"/>
  <c r="G506" i="4"/>
  <c r="G502" i="4"/>
  <c r="G497" i="4"/>
  <c r="G488" i="4"/>
  <c r="G479" i="4"/>
  <c r="G474" i="4"/>
  <c r="G461" i="4"/>
  <c r="G448" i="4"/>
  <c r="G442" i="4"/>
  <c r="G307" i="4"/>
  <c r="G289" i="4"/>
  <c r="G251" i="4"/>
  <c r="G230" i="4"/>
  <c r="G209" i="4"/>
  <c r="G187" i="4"/>
  <c r="G166" i="4"/>
  <c r="G145" i="4"/>
  <c r="G123" i="4"/>
  <c r="G102" i="4"/>
  <c r="G81" i="4"/>
  <c r="G59" i="4"/>
  <c r="G36" i="4"/>
  <c r="G193" i="4"/>
  <c r="G149" i="4"/>
  <c r="G501" i="4"/>
  <c r="G492" i="4"/>
  <c r="G483" i="4"/>
  <c r="G473" i="4"/>
  <c r="G460" i="4"/>
  <c r="G454" i="4"/>
  <c r="G441" i="4"/>
  <c r="G434" i="4"/>
  <c r="G306" i="4"/>
  <c r="G288" i="4"/>
  <c r="G250" i="4"/>
  <c r="G229" i="4"/>
  <c r="G207" i="4"/>
  <c r="G186" i="4"/>
  <c r="G165" i="4"/>
  <c r="G143" i="4"/>
  <c r="G122" i="4"/>
  <c r="G101" i="4"/>
  <c r="G79" i="4"/>
  <c r="G58" i="4"/>
  <c r="G494" i="4"/>
  <c r="G450" i="4"/>
  <c r="G330" i="4"/>
  <c r="G235" i="4"/>
  <c r="G65" i="4"/>
  <c r="G484" i="4"/>
  <c r="G329" i="4"/>
  <c r="G170" i="4"/>
  <c r="G106" i="4"/>
  <c r="G513" i="4"/>
  <c r="G509" i="4"/>
  <c r="G505" i="4"/>
  <c r="G496" i="4"/>
  <c r="G487" i="4"/>
  <c r="G478" i="4"/>
  <c r="G472" i="4"/>
  <c r="G466" i="4"/>
  <c r="G453" i="4"/>
  <c r="G440" i="4"/>
  <c r="G433" i="4"/>
  <c r="G339" i="4"/>
  <c r="G321" i="4"/>
  <c r="G266" i="4"/>
  <c r="G246" i="4"/>
  <c r="G225" i="4"/>
  <c r="G203" i="4"/>
  <c r="G182" i="4"/>
  <c r="G161" i="4"/>
  <c r="G139" i="4"/>
  <c r="G118" i="4"/>
  <c r="G97" i="4"/>
  <c r="G75" i="4"/>
  <c r="G54" i="4"/>
  <c r="G511" i="4"/>
  <c r="G475" i="4"/>
  <c r="G437" i="4"/>
  <c r="G257" i="4"/>
  <c r="G171" i="4"/>
  <c r="G107" i="4"/>
  <c r="G498" i="4"/>
  <c r="G462" i="4"/>
  <c r="G255" i="4"/>
  <c r="G127" i="4"/>
  <c r="G500" i="4"/>
  <c r="G491" i="4"/>
  <c r="G482" i="4"/>
  <c r="G477" i="4"/>
  <c r="G465" i="4"/>
  <c r="G452" i="4"/>
  <c r="G446" i="4"/>
  <c r="G338" i="4"/>
  <c r="G320" i="4"/>
  <c r="G283" i="4"/>
  <c r="G265" i="4"/>
  <c r="G245" i="4"/>
  <c r="G223" i="4"/>
  <c r="G202" i="4"/>
  <c r="G181" i="4"/>
  <c r="G159" i="4"/>
  <c r="G138" i="4"/>
  <c r="G117" i="4"/>
  <c r="G95" i="4"/>
  <c r="G74" i="4"/>
  <c r="G53" i="4"/>
  <c r="G503" i="4"/>
  <c r="G480" i="4"/>
  <c r="G456" i="4"/>
  <c r="G275" i="4"/>
  <c r="G150" i="4"/>
  <c r="G468" i="4"/>
  <c r="G274" i="4"/>
  <c r="G191" i="4"/>
  <c r="G85" i="4"/>
  <c r="G512" i="4"/>
  <c r="G508" i="4"/>
  <c r="G504" i="4"/>
  <c r="G495" i="4"/>
  <c r="G486" i="4"/>
  <c r="G481" i="4"/>
  <c r="G476" i="4"/>
  <c r="G464" i="4"/>
  <c r="G458" i="4"/>
  <c r="G445" i="4"/>
  <c r="G298" i="4"/>
  <c r="G280" i="4"/>
  <c r="G241" i="4"/>
  <c r="G219" i="4"/>
  <c r="G198" i="4"/>
  <c r="G177" i="4"/>
  <c r="G155" i="4"/>
  <c r="G134" i="4"/>
  <c r="G113" i="4"/>
  <c r="G91" i="4"/>
  <c r="G70" i="4"/>
  <c r="G49" i="4"/>
  <c r="G489" i="4"/>
  <c r="G469" i="4"/>
  <c r="G312" i="4"/>
  <c r="G214" i="4"/>
  <c r="G86" i="4"/>
  <c r="G234" i="4"/>
  <c r="G63" i="4"/>
  <c r="G499" i="4"/>
  <c r="G490" i="4"/>
  <c r="G485" i="4"/>
  <c r="G470" i="4"/>
  <c r="G457" i="4"/>
  <c r="G444" i="4"/>
  <c r="G438" i="4"/>
  <c r="G430" i="4"/>
  <c r="G315" i="4"/>
  <c r="G297" i="4"/>
  <c r="G239" i="4"/>
  <c r="G218" i="4"/>
  <c r="G197" i="4"/>
  <c r="G175" i="4"/>
  <c r="G154" i="4"/>
  <c r="G133" i="4"/>
  <c r="G111" i="4"/>
  <c r="G90" i="4"/>
  <c r="G69" i="4"/>
  <c r="G47" i="4"/>
  <c r="G471" i="4"/>
  <c r="G467" i="4"/>
  <c r="G463" i="4"/>
  <c r="G459" i="4"/>
  <c r="G455" i="4"/>
  <c r="G451" i="4"/>
  <c r="G447" i="4"/>
  <c r="G443" i="4"/>
  <c r="G439" i="4"/>
  <c r="G435" i="4"/>
  <c r="G431" i="4"/>
  <c r="G427" i="4"/>
  <c r="G423" i="4"/>
  <c r="G419" i="4"/>
  <c r="G415" i="4"/>
  <c r="G411" i="4"/>
  <c r="G407" i="4"/>
  <c r="G403" i="4"/>
  <c r="G399" i="4"/>
  <c r="G395" i="4"/>
  <c r="G391" i="4"/>
  <c r="G387" i="4"/>
  <c r="G383" i="4"/>
  <c r="G379" i="4"/>
  <c r="G375" i="4"/>
  <c r="G371" i="4"/>
  <c r="G367" i="4"/>
  <c r="G363" i="4"/>
  <c r="G359" i="4"/>
  <c r="G355" i="4"/>
  <c r="G351" i="4"/>
  <c r="G347" i="4"/>
  <c r="G343" i="4"/>
  <c r="G334" i="4"/>
  <c r="G325" i="4"/>
  <c r="G316" i="4"/>
  <c r="G311" i="4"/>
  <c r="G302" i="4"/>
  <c r="G293" i="4"/>
  <c r="G284" i="4"/>
  <c r="G279" i="4"/>
  <c r="G270" i="4"/>
  <c r="G261" i="4"/>
  <c r="G256" i="4"/>
  <c r="G240" i="4"/>
  <c r="G224" i="4"/>
  <c r="G208" i="4"/>
  <c r="G192" i="4"/>
  <c r="G176" i="4"/>
  <c r="G160" i="4"/>
  <c r="G144" i="4"/>
  <c r="G128" i="4"/>
  <c r="G112" i="4"/>
  <c r="G96" i="4"/>
  <c r="G80" i="4"/>
  <c r="G64" i="4"/>
  <c r="G48" i="4"/>
  <c r="G35" i="4"/>
  <c r="G29" i="4"/>
  <c r="G426" i="4"/>
  <c r="G422" i="4"/>
  <c r="G418" i="4"/>
  <c r="G414" i="4"/>
  <c r="G410" i="4"/>
  <c r="G406" i="4"/>
  <c r="G402" i="4"/>
  <c r="G398" i="4"/>
  <c r="G394" i="4"/>
  <c r="G390" i="4"/>
  <c r="G386" i="4"/>
  <c r="G382" i="4"/>
  <c r="G378" i="4"/>
  <c r="G374" i="4"/>
  <c r="G370" i="4"/>
  <c r="G366" i="4"/>
  <c r="G362" i="4"/>
  <c r="G358" i="4"/>
  <c r="G354" i="4"/>
  <c r="G350" i="4"/>
  <c r="G346" i="4"/>
  <c r="G342" i="4"/>
  <c r="G333" i="4"/>
  <c r="G324" i="4"/>
  <c r="G319" i="4"/>
  <c r="G310" i="4"/>
  <c r="G301" i="4"/>
  <c r="G292" i="4"/>
  <c r="G287" i="4"/>
  <c r="G278" i="4"/>
  <c r="G269" i="4"/>
  <c r="G260" i="4"/>
  <c r="G244" i="4"/>
  <c r="G228" i="4"/>
  <c r="G212" i="4"/>
  <c r="G196" i="4"/>
  <c r="G180" i="4"/>
  <c r="G164" i="4"/>
  <c r="G148" i="4"/>
  <c r="G132" i="4"/>
  <c r="G116" i="4"/>
  <c r="G100" i="4"/>
  <c r="G84" i="4"/>
  <c r="G68" i="4"/>
  <c r="G52" i="4"/>
  <c r="G40" i="4"/>
  <c r="G337" i="4"/>
  <c r="G328" i="4"/>
  <c r="G323" i="4"/>
  <c r="G314" i="4"/>
  <c r="G305" i="4"/>
  <c r="G296" i="4"/>
  <c r="G291" i="4"/>
  <c r="G282" i="4"/>
  <c r="G273" i="4"/>
  <c r="G264" i="4"/>
  <c r="G259" i="4"/>
  <c r="G254" i="4"/>
  <c r="G249" i="4"/>
  <c r="G243" i="4"/>
  <c r="G238" i="4"/>
  <c r="G233" i="4"/>
  <c r="G227" i="4"/>
  <c r="G222" i="4"/>
  <c r="G217" i="4"/>
  <c r="G211" i="4"/>
  <c r="G206" i="4"/>
  <c r="G201" i="4"/>
  <c r="G195" i="4"/>
  <c r="G190" i="4"/>
  <c r="G185" i="4"/>
  <c r="G179" i="4"/>
  <c r="G174" i="4"/>
  <c r="G169" i="4"/>
  <c r="G163" i="4"/>
  <c r="G158" i="4"/>
  <c r="G153" i="4"/>
  <c r="G147" i="4"/>
  <c r="G142" i="4"/>
  <c r="G137" i="4"/>
  <c r="G131" i="4"/>
  <c r="G126" i="4"/>
  <c r="G121" i="4"/>
  <c r="G115" i="4"/>
  <c r="G110" i="4"/>
  <c r="G105" i="4"/>
  <c r="G99" i="4"/>
  <c r="G94" i="4"/>
  <c r="G89" i="4"/>
  <c r="G83" i="4"/>
  <c r="G78" i="4"/>
  <c r="G73" i="4"/>
  <c r="G67" i="4"/>
  <c r="G62" i="4"/>
  <c r="G57" i="4"/>
  <c r="G51" i="4"/>
  <c r="G39" i="4"/>
  <c r="G33" i="4"/>
  <c r="G25" i="4"/>
  <c r="G429" i="4"/>
  <c r="G425" i="4"/>
  <c r="G421" i="4"/>
  <c r="G417" i="4"/>
  <c r="G413" i="4"/>
  <c r="G409" i="4"/>
  <c r="G405" i="4"/>
  <c r="G401" i="4"/>
  <c r="G397" i="4"/>
  <c r="G393" i="4"/>
  <c r="G389" i="4"/>
  <c r="G385" i="4"/>
  <c r="G381" i="4"/>
  <c r="G377" i="4"/>
  <c r="G373" i="4"/>
  <c r="G369" i="4"/>
  <c r="G365" i="4"/>
  <c r="G361" i="4"/>
  <c r="G357" i="4"/>
  <c r="G353" i="4"/>
  <c r="G349" i="4"/>
  <c r="G345" i="4"/>
  <c r="G341" i="4"/>
  <c r="G332" i="4"/>
  <c r="G327" i="4"/>
  <c r="G318" i="4"/>
  <c r="G309" i="4"/>
  <c r="G300" i="4"/>
  <c r="G295" i="4"/>
  <c r="G286" i="4"/>
  <c r="G277" i="4"/>
  <c r="G268" i="4"/>
  <c r="G263" i="4"/>
  <c r="G248" i="4"/>
  <c r="G232" i="4"/>
  <c r="G216" i="4"/>
  <c r="G200" i="4"/>
  <c r="G184" i="4"/>
  <c r="G168" i="4"/>
  <c r="G152" i="4"/>
  <c r="G136" i="4"/>
  <c r="G120" i="4"/>
  <c r="G104" i="4"/>
  <c r="G88" i="4"/>
  <c r="G72" i="4"/>
  <c r="G56" i="4"/>
  <c r="G45" i="4"/>
  <c r="G32" i="4"/>
  <c r="G336" i="4"/>
  <c r="G331" i="4"/>
  <c r="G322" i="4"/>
  <c r="G313" i="4"/>
  <c r="G304" i="4"/>
  <c r="G299" i="4"/>
  <c r="G290" i="4"/>
  <c r="G281" i="4"/>
  <c r="G272" i="4"/>
  <c r="G267" i="4"/>
  <c r="G258" i="4"/>
  <c r="G253" i="4"/>
  <c r="G247" i="4"/>
  <c r="G242" i="4"/>
  <c r="G237" i="4"/>
  <c r="G231" i="4"/>
  <c r="G226" i="4"/>
  <c r="G221" i="4"/>
  <c r="G215" i="4"/>
  <c r="G210" i="4"/>
  <c r="G205" i="4"/>
  <c r="G199" i="4"/>
  <c r="G194" i="4"/>
  <c r="G189" i="4"/>
  <c r="G183" i="4"/>
  <c r="G178" i="4"/>
  <c r="G173" i="4"/>
  <c r="G167" i="4"/>
  <c r="G162" i="4"/>
  <c r="G157" i="4"/>
  <c r="G151" i="4"/>
  <c r="G146" i="4"/>
  <c r="G141" i="4"/>
  <c r="G135" i="4"/>
  <c r="G130" i="4"/>
  <c r="G125" i="4"/>
  <c r="G119" i="4"/>
  <c r="G114" i="4"/>
  <c r="G109" i="4"/>
  <c r="G103" i="4"/>
  <c r="G98" i="4"/>
  <c r="G93" i="4"/>
  <c r="G87" i="4"/>
  <c r="G82" i="4"/>
  <c r="G77" i="4"/>
  <c r="G71" i="4"/>
  <c r="G66" i="4"/>
  <c r="G61" i="4"/>
  <c r="G55" i="4"/>
  <c r="G50" i="4"/>
  <c r="G44" i="4"/>
  <c r="G31" i="4"/>
  <c r="G436" i="4"/>
  <c r="G432" i="4"/>
  <c r="G428" i="4"/>
  <c r="G424" i="4"/>
  <c r="G420" i="4"/>
  <c r="G416" i="4"/>
  <c r="G412" i="4"/>
  <c r="G408" i="4"/>
  <c r="G404" i="4"/>
  <c r="G400" i="4"/>
  <c r="G396" i="4"/>
  <c r="G392" i="4"/>
  <c r="G388" i="4"/>
  <c r="G384" i="4"/>
  <c r="G380" i="4"/>
  <c r="G376" i="4"/>
  <c r="G372" i="4"/>
  <c r="G368" i="4"/>
  <c r="G364" i="4"/>
  <c r="G360" i="4"/>
  <c r="G356" i="4"/>
  <c r="G352" i="4"/>
  <c r="G348" i="4"/>
  <c r="G344" i="4"/>
  <c r="G340" i="4"/>
  <c r="G335" i="4"/>
  <c r="G326" i="4"/>
  <c r="G317" i="4"/>
  <c r="G308" i="4"/>
  <c r="G303" i="4"/>
  <c r="G294" i="4"/>
  <c r="G285" i="4"/>
  <c r="G276" i="4"/>
  <c r="G271" i="4"/>
  <c r="G262" i="4"/>
  <c r="G252" i="4"/>
  <c r="G236" i="4"/>
  <c r="G220" i="4"/>
  <c r="G204" i="4"/>
  <c r="G188" i="4"/>
  <c r="G172" i="4"/>
  <c r="G156" i="4"/>
  <c r="G140" i="4"/>
  <c r="G124" i="4"/>
  <c r="G108" i="4"/>
  <c r="G92" i="4"/>
  <c r="G76" i="4"/>
  <c r="G60" i="4"/>
  <c r="G43" i="4"/>
  <c r="G37" i="4"/>
  <c r="G21" i="4"/>
  <c r="G46" i="4"/>
  <c r="G42" i="4"/>
  <c r="G38" i="4"/>
  <c r="G34" i="4"/>
  <c r="G30" i="4"/>
  <c r="G26" i="4"/>
  <c r="G22" i="4"/>
  <c r="G18" i="4"/>
  <c r="G14" i="4"/>
  <c r="G10" i="4"/>
  <c r="G6" i="4"/>
  <c r="G17" i="4"/>
  <c r="G13" i="4"/>
  <c r="G9" i="4"/>
  <c r="G5" i="4"/>
  <c r="G28" i="4"/>
  <c r="G24" i="4"/>
  <c r="G20" i="4"/>
  <c r="G16" i="4"/>
  <c r="G12" i="4"/>
  <c r="G8" i="4"/>
  <c r="G4" i="4"/>
  <c r="G27" i="4"/>
  <c r="G23" i="4"/>
  <c r="G19" i="4"/>
  <c r="G15" i="4"/>
  <c r="G11" i="4"/>
  <c r="G7" i="4"/>
  <c r="G3" i="4"/>
  <c r="G2" i="4"/>
  <c r="H2" i="4"/>
  <c r="H7" i="4"/>
  <c r="H6" i="4"/>
  <c r="H491" i="4"/>
  <c r="H4" i="4"/>
  <c r="F3" i="4"/>
  <c r="H447" i="4"/>
  <c r="H472" i="4"/>
  <c r="H439" i="4"/>
  <c r="H492" i="4"/>
  <c r="H462" i="4"/>
  <c r="H452" i="4"/>
  <c r="H450" i="4"/>
  <c r="H448" i="4"/>
  <c r="H469" i="4"/>
  <c r="H468" i="4"/>
  <c r="H451" i="4"/>
  <c r="H510" i="4"/>
  <c r="H470" i="4"/>
  <c r="F494" i="4"/>
  <c r="H441" i="4"/>
  <c r="F489" i="4"/>
  <c r="H459" i="4"/>
  <c r="H458" i="4"/>
  <c r="H466" i="4"/>
  <c r="H443" i="4"/>
  <c r="H449" i="4"/>
  <c r="H475" i="4"/>
  <c r="H471" i="4"/>
  <c r="H464" i="4"/>
  <c r="H461" i="4"/>
  <c r="H444" i="4"/>
  <c r="H442" i="4"/>
  <c r="H440" i="4"/>
  <c r="H493" i="4"/>
  <c r="H446" i="4"/>
  <c r="H437" i="4"/>
  <c r="H445" i="4"/>
  <c r="F438" i="4"/>
  <c r="F453" i="4"/>
  <c r="H465" i="4"/>
  <c r="F460" i="4"/>
  <c r="H463" i="4"/>
  <c r="F467" i="4"/>
  <c r="F490" i="4"/>
  <c r="H512" i="4"/>
  <c r="F511" i="4"/>
  <c r="F513" i="4"/>
  <c r="F476" i="4"/>
  <c r="H474" i="4"/>
  <c r="H509" i="4"/>
  <c r="H508" i="4"/>
  <c r="F477" i="4"/>
  <c r="F473" i="4"/>
  <c r="H480" i="4"/>
  <c r="H507" i="4"/>
  <c r="H482" i="4"/>
  <c r="H479" i="4"/>
  <c r="H478" i="4"/>
  <c r="F481" i="4"/>
  <c r="F483" i="4"/>
  <c r="H504" i="4"/>
  <c r="H503" i="4"/>
  <c r="H506" i="4"/>
  <c r="H505" i="4"/>
  <c r="F159" i="4"/>
  <c r="F151" i="4"/>
  <c r="F143" i="4"/>
  <c r="F135" i="4"/>
  <c r="F127" i="4"/>
  <c r="F496" i="4"/>
  <c r="F119" i="4"/>
  <c r="F175" i="4"/>
  <c r="F111" i="4"/>
  <c r="F167" i="4"/>
  <c r="F103" i="4"/>
  <c r="F495" i="4"/>
  <c r="F174" i="4"/>
  <c r="F166" i="4"/>
  <c r="F158" i="4"/>
  <c r="F150" i="4"/>
  <c r="F142" i="4"/>
  <c r="F134" i="4"/>
  <c r="F126" i="4"/>
  <c r="F118" i="4"/>
  <c r="F110" i="4"/>
  <c r="F102" i="4"/>
  <c r="F502" i="4"/>
  <c r="F173" i="4"/>
  <c r="F165" i="4"/>
  <c r="F157" i="4"/>
  <c r="F149" i="4"/>
  <c r="F141" i="4"/>
  <c r="F133" i="4"/>
  <c r="F125" i="4"/>
  <c r="F117" i="4"/>
  <c r="F109" i="4"/>
  <c r="F101" i="4"/>
  <c r="F501" i="4"/>
  <c r="F180" i="4"/>
  <c r="F172" i="4"/>
  <c r="F164" i="4"/>
  <c r="F156" i="4"/>
  <c r="F148" i="4"/>
  <c r="F140" i="4"/>
  <c r="F132" i="4"/>
  <c r="F124" i="4"/>
  <c r="F116" i="4"/>
  <c r="F108" i="4"/>
  <c r="F100" i="4"/>
  <c r="F500" i="4"/>
  <c r="F179" i="4"/>
  <c r="F171" i="4"/>
  <c r="F163" i="4"/>
  <c r="F155" i="4"/>
  <c r="F147" i="4"/>
  <c r="F139" i="4"/>
  <c r="F131" i="4"/>
  <c r="F123" i="4"/>
  <c r="F115" i="4"/>
  <c r="F107" i="4"/>
  <c r="F499" i="4"/>
  <c r="F178" i="4"/>
  <c r="F170" i="4"/>
  <c r="F162" i="4"/>
  <c r="F154" i="4"/>
  <c r="F146" i="4"/>
  <c r="F138" i="4"/>
  <c r="F130" i="4"/>
  <c r="F122" i="4"/>
  <c r="F114" i="4"/>
  <c r="F106" i="4"/>
  <c r="F498" i="4"/>
  <c r="F177" i="4"/>
  <c r="F169" i="4"/>
  <c r="F161" i="4"/>
  <c r="F153" i="4"/>
  <c r="F145" i="4"/>
  <c r="F137" i="4"/>
  <c r="F129" i="4"/>
  <c r="F121" i="4"/>
  <c r="F113" i="4"/>
  <c r="F105" i="4"/>
  <c r="F497" i="4"/>
  <c r="F176" i="4"/>
  <c r="F168" i="4"/>
  <c r="F160" i="4"/>
  <c r="F152" i="4"/>
  <c r="F144" i="4"/>
  <c r="F136" i="4"/>
  <c r="F128" i="4"/>
  <c r="F120" i="4"/>
  <c r="F112" i="4"/>
  <c r="F104" i="4"/>
  <c r="A149" i="15"/>
  <c r="A702" i="15"/>
  <c r="A703" i="15"/>
  <c r="A704" i="15"/>
  <c r="A705" i="15"/>
  <c r="A706" i="15"/>
  <c r="A966" i="15"/>
  <c r="A1261" i="15"/>
  <c r="A1302" i="15"/>
  <c r="A1335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F20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70" i="4"/>
  <c r="F269" i="4"/>
  <c r="F272" i="4"/>
  <c r="F271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54" i="4"/>
  <c r="F455" i="4"/>
  <c r="F456" i="4"/>
  <c r="F457" i="4"/>
  <c r="F484" i="4"/>
  <c r="F485" i="4"/>
  <c r="F486" i="4"/>
  <c r="F487" i="4"/>
  <c r="F488" i="4"/>
  <c r="F8" i="4"/>
  <c r="F9" i="4"/>
  <c r="F10" i="4"/>
  <c r="F11" i="4"/>
  <c r="F12" i="4"/>
  <c r="F13" i="4"/>
  <c r="F16" i="4"/>
  <c r="F17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18" i="4"/>
  <c r="F19" i="4"/>
  <c r="F14" i="4"/>
  <c r="F15" i="4"/>
  <c r="H5" i="4"/>
  <c r="M3" i="9"/>
  <c r="N3" i="9"/>
  <c r="O3" i="9"/>
  <c r="M4" i="9"/>
  <c r="N4" i="9"/>
  <c r="O4" i="9"/>
  <c r="M5" i="9"/>
  <c r="N5" i="9"/>
  <c r="O5" i="9"/>
  <c r="M6" i="9"/>
  <c r="N6" i="9"/>
  <c r="O6" i="9"/>
  <c r="M7" i="9"/>
  <c r="N7" i="9"/>
  <c r="O7" i="9"/>
  <c r="M8" i="9"/>
  <c r="N8" i="9"/>
  <c r="O8" i="9"/>
  <c r="M9" i="9"/>
  <c r="N9" i="9"/>
  <c r="O9" i="9"/>
  <c r="M10" i="9"/>
  <c r="N10" i="9"/>
  <c r="O10" i="9"/>
  <c r="M11" i="9"/>
  <c r="N11" i="9"/>
  <c r="O11" i="9"/>
  <c r="M12" i="9"/>
  <c r="N12" i="9"/>
  <c r="O12" i="9"/>
  <c r="M13" i="9"/>
  <c r="N13" i="9"/>
  <c r="O13" i="9"/>
  <c r="M14" i="9"/>
  <c r="N14" i="9"/>
  <c r="O14" i="9"/>
  <c r="M15" i="9"/>
  <c r="N15" i="9"/>
  <c r="O15" i="9"/>
  <c r="M16" i="9"/>
  <c r="N16" i="9"/>
  <c r="O16" i="9"/>
  <c r="M17" i="9"/>
  <c r="N17" i="9"/>
  <c r="O17" i="9"/>
  <c r="M18" i="9"/>
  <c r="N18" i="9"/>
  <c r="O18" i="9"/>
  <c r="M19" i="9"/>
  <c r="N19" i="9"/>
  <c r="O19" i="9"/>
  <c r="M20" i="9"/>
  <c r="N20" i="9"/>
  <c r="O20" i="9"/>
  <c r="M21" i="9"/>
  <c r="N21" i="9"/>
  <c r="O21" i="9"/>
  <c r="M22" i="9"/>
  <c r="N22" i="9"/>
  <c r="O22" i="9"/>
  <c r="M23" i="9"/>
  <c r="N23" i="9"/>
  <c r="O23" i="9"/>
  <c r="M24" i="9"/>
  <c r="N24" i="9"/>
  <c r="O24" i="9"/>
  <c r="M25" i="9"/>
  <c r="N25" i="9"/>
  <c r="O25" i="9"/>
  <c r="M26" i="9"/>
  <c r="N26" i="9"/>
  <c r="O26" i="9"/>
  <c r="M27" i="9"/>
  <c r="N27" i="9"/>
  <c r="O27" i="9"/>
  <c r="M28" i="9"/>
  <c r="N28" i="9"/>
  <c r="O28" i="9"/>
  <c r="M29" i="9"/>
  <c r="N29" i="9"/>
  <c r="O29" i="9"/>
  <c r="M30" i="9"/>
  <c r="N30" i="9"/>
  <c r="O30" i="9"/>
  <c r="M31" i="9"/>
  <c r="N31" i="9"/>
  <c r="O31" i="9"/>
  <c r="M32" i="9"/>
  <c r="N32" i="9"/>
  <c r="O32" i="9"/>
  <c r="M33" i="9"/>
  <c r="N33" i="9"/>
  <c r="O33" i="9"/>
  <c r="M34" i="9"/>
  <c r="N34" i="9"/>
  <c r="O34" i="9"/>
  <c r="M35" i="9"/>
  <c r="N35" i="9"/>
  <c r="O35" i="9"/>
  <c r="M36" i="9"/>
  <c r="N36" i="9"/>
  <c r="O36" i="9"/>
  <c r="M37" i="9"/>
  <c r="N37" i="9"/>
  <c r="O37" i="9"/>
  <c r="M38" i="9"/>
  <c r="N38" i="9"/>
  <c r="O38" i="9"/>
  <c r="M39" i="9"/>
  <c r="N39" i="9"/>
  <c r="O39" i="9"/>
  <c r="M40" i="9"/>
  <c r="N40" i="9"/>
  <c r="O40" i="9"/>
  <c r="M41" i="9"/>
  <c r="N41" i="9"/>
  <c r="O41" i="9"/>
  <c r="M42" i="9"/>
  <c r="N42" i="9"/>
  <c r="O42" i="9"/>
  <c r="M43" i="9"/>
  <c r="N43" i="9"/>
  <c r="O43" i="9"/>
  <c r="M44" i="9"/>
  <c r="N44" i="9"/>
  <c r="O44" i="9"/>
  <c r="M45" i="9"/>
  <c r="N45" i="9"/>
  <c r="O45" i="9"/>
  <c r="M46" i="9"/>
  <c r="N46" i="9"/>
  <c r="O46" i="9"/>
  <c r="M47" i="9"/>
  <c r="N47" i="9"/>
  <c r="O47" i="9"/>
  <c r="M48" i="9"/>
  <c r="N48" i="9"/>
  <c r="O48" i="9"/>
  <c r="M49" i="9"/>
  <c r="N49" i="9"/>
  <c r="O49" i="9"/>
  <c r="M50" i="9"/>
  <c r="N50" i="9"/>
  <c r="O50" i="9"/>
  <c r="M51" i="9"/>
  <c r="N51" i="9"/>
  <c r="O51" i="9"/>
  <c r="M52" i="9"/>
  <c r="N52" i="9"/>
  <c r="O52" i="9"/>
  <c r="M53" i="9"/>
  <c r="N53" i="9"/>
  <c r="O53" i="9"/>
  <c r="M54" i="9"/>
  <c r="N54" i="9"/>
  <c r="O54" i="9"/>
  <c r="M55" i="9"/>
  <c r="N55" i="9"/>
  <c r="O55" i="9"/>
  <c r="M56" i="9"/>
  <c r="N56" i="9"/>
  <c r="O56" i="9"/>
  <c r="M57" i="9"/>
  <c r="N57" i="9"/>
  <c r="O57" i="9"/>
  <c r="M58" i="9"/>
  <c r="N58" i="9"/>
  <c r="O58" i="9"/>
  <c r="M59" i="9"/>
  <c r="N59" i="9"/>
  <c r="O59" i="9"/>
  <c r="M60" i="9"/>
  <c r="N60" i="9"/>
  <c r="O60" i="9"/>
  <c r="M61" i="9"/>
  <c r="N61" i="9"/>
  <c r="O61" i="9"/>
  <c r="M62" i="9"/>
  <c r="N62" i="9"/>
  <c r="O62" i="9"/>
  <c r="M63" i="9"/>
  <c r="N63" i="9"/>
  <c r="O63" i="9"/>
  <c r="M64" i="9"/>
  <c r="N64" i="9"/>
  <c r="O64" i="9"/>
  <c r="M65" i="9"/>
  <c r="N65" i="9"/>
  <c r="O65" i="9"/>
  <c r="M66" i="9"/>
  <c r="N66" i="9"/>
  <c r="O66" i="9"/>
  <c r="M67" i="9"/>
  <c r="N67" i="9"/>
  <c r="O67" i="9"/>
  <c r="M68" i="9"/>
  <c r="N68" i="9"/>
  <c r="O68" i="9"/>
  <c r="M69" i="9"/>
  <c r="N69" i="9"/>
  <c r="O69" i="9"/>
  <c r="M70" i="9"/>
  <c r="N70" i="9"/>
  <c r="O70" i="9"/>
  <c r="M71" i="9"/>
  <c r="N71" i="9"/>
  <c r="O71" i="9"/>
  <c r="M72" i="9"/>
  <c r="N72" i="9"/>
  <c r="O72" i="9"/>
  <c r="M73" i="9"/>
  <c r="N73" i="9"/>
  <c r="O73" i="9"/>
  <c r="M74" i="9"/>
  <c r="N74" i="9"/>
  <c r="O74" i="9"/>
  <c r="M75" i="9"/>
  <c r="N75" i="9"/>
  <c r="O75" i="9"/>
  <c r="M76" i="9"/>
  <c r="N76" i="9"/>
  <c r="O76" i="9"/>
  <c r="M77" i="9"/>
  <c r="N77" i="9"/>
  <c r="O77" i="9"/>
  <c r="M78" i="9"/>
  <c r="N78" i="9"/>
  <c r="O78" i="9"/>
  <c r="M79" i="9"/>
  <c r="N79" i="9"/>
  <c r="O79" i="9"/>
  <c r="M80" i="9"/>
  <c r="N80" i="9"/>
  <c r="O80" i="9"/>
  <c r="M81" i="9"/>
  <c r="N81" i="9"/>
  <c r="O81" i="9"/>
  <c r="M82" i="9"/>
  <c r="N82" i="9"/>
  <c r="O82" i="9"/>
  <c r="M83" i="9"/>
  <c r="N83" i="9"/>
  <c r="O83" i="9"/>
  <c r="M84" i="9"/>
  <c r="N84" i="9"/>
  <c r="O84" i="9"/>
  <c r="N2" i="9"/>
  <c r="O2" i="9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K10" i="1" l="1"/>
  <c r="K15" i="1"/>
  <c r="K7" i="1"/>
  <c r="K28" i="1"/>
  <c r="K20" i="1"/>
  <c r="K12" i="1"/>
  <c r="K33" i="1"/>
  <c r="K30" i="1"/>
  <c r="K25" i="1"/>
  <c r="K22" i="1"/>
  <c r="K17" i="1"/>
  <c r="K14" i="1"/>
  <c r="K9" i="1"/>
  <c r="K6" i="1"/>
  <c r="K2" i="1"/>
  <c r="K27" i="1"/>
  <c r="K19" i="1"/>
  <c r="K11" i="1"/>
  <c r="K3" i="1"/>
  <c r="K32" i="1"/>
  <c r="K24" i="1"/>
  <c r="K16" i="1"/>
  <c r="K8" i="1"/>
  <c r="K34" i="1"/>
  <c r="K26" i="1"/>
  <c r="K18" i="1"/>
  <c r="P27" i="1" l="1"/>
  <c r="P23" i="1"/>
  <c r="Q19" i="1"/>
  <c r="P15" i="1"/>
  <c r="P34" i="1"/>
  <c r="Q14" i="1"/>
  <c r="Q34" i="1"/>
  <c r="P25" i="1"/>
  <c r="P21" i="1"/>
  <c r="Q25" i="1"/>
  <c r="Q7" i="1"/>
  <c r="Q12" i="1"/>
  <c r="Q10" i="1"/>
  <c r="P4" i="1"/>
  <c r="P2" i="1"/>
  <c r="P31" i="1"/>
  <c r="P6" i="1"/>
  <c r="P17" i="1"/>
  <c r="Q28" i="1"/>
  <c r="Q23" i="1"/>
  <c r="Q8" i="1"/>
  <c r="P33" i="1"/>
  <c r="Q20" i="1"/>
  <c r="P14" i="1"/>
  <c r="Q33" i="1"/>
  <c r="Q16" i="1"/>
  <c r="P12" i="1"/>
  <c r="P3" i="1"/>
  <c r="P19" i="1"/>
  <c r="P30" i="1"/>
  <c r="P5" i="1"/>
  <c r="Q4" i="1"/>
  <c r="Q29" i="1"/>
  <c r="Q5" i="1"/>
  <c r="P8" i="1"/>
  <c r="Q27" i="1"/>
  <c r="P20" i="1"/>
  <c r="P26" i="1"/>
  <c r="Q13" i="1"/>
  <c r="Q9" i="1"/>
  <c r="P16" i="1"/>
  <c r="Q2" i="1"/>
  <c r="P28" i="1"/>
  <c r="Q22" i="1"/>
  <c r="P13" i="1"/>
  <c r="P32" i="1"/>
  <c r="Q31" i="1"/>
  <c r="Q30" i="1"/>
  <c r="P24" i="1"/>
  <c r="Q26" i="1"/>
  <c r="Q3" i="1"/>
  <c r="P9" i="1"/>
  <c r="Q21" i="1"/>
  <c r="Q24" i="1"/>
  <c r="P10" i="1"/>
  <c r="P29" i="1"/>
  <c r="Q17" i="1"/>
  <c r="Q11" i="1"/>
  <c r="Q6" i="1"/>
  <c r="P7" i="1"/>
  <c r="Q15" i="1"/>
  <c r="P18" i="1"/>
  <c r="P22" i="1"/>
  <c r="Q18" i="1"/>
  <c r="P11" i="1"/>
  <c r="Q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I1" authorId="0" shapeId="0" xr:uid="{2D1C702E-2368-4DF4-8A52-143E0E2B2AED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4 digit</t>
        </r>
      </text>
    </comment>
    <comment ref="J1" authorId="0" shapeId="0" xr:uid="{C93B7754-5246-4D4E-973B-09536A7F76F1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text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<sst xmlns="http://schemas.openxmlformats.org/spreadsheetml/2006/main" count="9457" uniqueCount="2365">
  <si>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</si>
  <si>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</si>
  <si>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</si>
  <si>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</si>
  <si>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</si>
  <si>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</si>
  <si>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</si>
  <si>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</si>
  <si>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</si>
  <si>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</si>
  <si>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</si>
  <si>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</si>
  <si>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</si>
  <si>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</si>
  <si>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</si>
  <si>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</si>
  <si>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</si>
  <si>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</si>
  <si>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</si>
  <si>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</si>
  <si>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</si>
  <si>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</si>
  <si>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</si>
  <si>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</si>
  <si>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</si>
  <si>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</si>
  <si>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</si>
  <si>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</si>
  <si>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</si>
  <si>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</si>
  <si>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</si>
  <si>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</si>
  <si>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</si>
  <si>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</si>
  <si>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</si>
  <si>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</si>
  <si>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</si>
  <si>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</si>
  <si>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</si>
  <si>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</si>
  <si>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</si>
  <si>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</si>
  <si>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</si>
  <si>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</si>
  <si>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</si>
  <si>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</si>
  <si>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</si>
  <si>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</si>
  <si>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</si>
  <si>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</si>
  <si>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</si>
  <si>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</si>
  <si>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</si>
  <si>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</si>
  <si>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</si>
  <si>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</si>
  <si>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</si>
  <si>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</si>
  <si>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</si>
  <si>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</si>
  <si>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</si>
  <si>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</si>
  <si>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</si>
  <si>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</si>
  <si>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</si>
  <si>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</si>
  <si>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</si>
  <si>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</si>
  <si>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</si>
  <si>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</si>
  <si>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</si>
  <si>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</si>
  <si>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</si>
  <si>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</si>
  <si>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</si>
  <si>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</si>
  <si>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</si>
  <si>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</si>
  <si>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</si>
  <si>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</si>
  <si>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</si>
  <si>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</si>
  <si>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</si>
  <si>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</si>
  <si>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</si>
  <si>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</si>
  <si>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</si>
  <si>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</si>
  <si>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</si>
  <si>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</si>
  <si>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</si>
  <si>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</si>
  <si>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</si>
  <si>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</si>
  <si>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</si>
  <si>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</si>
  <si>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</si>
  <si>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</si>
  <si>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</si>
  <si>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</si>
  <si>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</si>
  <si>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</si>
  <si>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</si>
  <si>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</si>
  <si>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</si>
  <si>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</si>
  <si>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</si>
  <si>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</si>
  <si>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</si>
  <si>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</si>
  <si>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</si>
  <si>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</si>
  <si>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</si>
  <si>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</si>
  <si>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</si>
  <si>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</si>
  <si>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</si>
  <si>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</si>
  <si>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</si>
  <si>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</si>
  <si>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</si>
  <si>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</si>
  <si>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</si>
  <si>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</si>
  <si>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</si>
  <si>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</si>
  <si>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</si>
  <si>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</si>
  <si>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</si>
  <si>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</si>
  <si>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</si>
  <si>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</si>
  <si>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</si>
  <si>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</si>
  <si>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</si>
  <si>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</si>
  <si>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</si>
  <si>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</si>
  <si>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</si>
  <si>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</si>
  <si>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</si>
  <si>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</si>
  <si>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</si>
  <si>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</si>
  <si>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</si>
  <si>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</si>
  <si>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</si>
  <si>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</si>
  <si>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</si>
  <si>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</si>
  <si>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</si>
  <si>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</si>
  <si>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</si>
  <si>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</si>
  <si>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</si>
  <si>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</si>
  <si>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</si>
  <si>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</si>
  <si>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</si>
  <si>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</si>
  <si>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</si>
  <si>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</si>
  <si>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</si>
  <si>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</si>
  <si>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</si>
  <si>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</si>
  <si>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</si>
  <si>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</si>
  <si>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</si>
  <si>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</si>
  <si>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</si>
  <si>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</si>
  <si>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</si>
  <si>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</si>
  <si>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</si>
  <si>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</si>
  <si>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</si>
  <si>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</si>
  <si>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</si>
  <si>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</si>
  <si>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</si>
  <si>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</si>
  <si>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</si>
  <si>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</si>
  <si>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</si>
  <si>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</si>
  <si>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</si>
  <si>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</si>
  <si>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</si>
  <si>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</si>
  <si>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</si>
  <si>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</si>
  <si>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</si>
  <si>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</si>
  <si>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</si>
  <si>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</si>
  <si>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</si>
  <si>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</si>
  <si>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</si>
  <si>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</si>
  <si>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</si>
  <si>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</si>
  <si>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</si>
  <si>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</si>
  <si>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</si>
  <si>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</si>
  <si>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</si>
  <si>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</si>
  <si>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</si>
  <si>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</si>
  <si>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</si>
  <si>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</si>
  <si>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</si>
  <si>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</si>
  <si>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</si>
  <si>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</si>
  <si>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</si>
  <si>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</si>
  <si>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</si>
  <si>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</si>
  <si>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</si>
  <si>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</si>
  <si>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</si>
  <si>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</si>
  <si>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</si>
  <si>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</si>
  <si>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</si>
  <si>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</si>
  <si>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</si>
  <si>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</si>
  <si>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</si>
  <si>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</si>
  <si>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</si>
  <si>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</si>
  <si>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</si>
  <si>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</si>
  <si>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</si>
  <si>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</si>
  <si>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</si>
  <si>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</si>
  <si>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</si>
  <si>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</si>
  <si>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</si>
  <si>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</si>
  <si>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</si>
  <si>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</si>
  <si>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</si>
  <si>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</si>
  <si>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</si>
  <si>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</si>
  <si>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</si>
  <si>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</si>
  <si>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</si>
  <si>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</si>
  <si>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</si>
  <si>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</si>
  <si>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</si>
  <si>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</si>
  <si>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</si>
  <si>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</si>
  <si>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</si>
  <si>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</si>
  <si>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</si>
  <si>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</si>
  <si>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</si>
  <si>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</si>
  <si>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</si>
  <si>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</si>
  <si>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</si>
  <si>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</si>
  <si>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</si>
  <si>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</si>
  <si>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</si>
  <si>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</si>
  <si>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</si>
  <si>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</si>
  <si>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</si>
  <si>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</si>
  <si>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</si>
  <si>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</si>
  <si>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</si>
  <si>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</si>
  <si>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</si>
  <si>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</si>
  <si>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</si>
  <si>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</si>
  <si>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</si>
  <si>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</si>
  <si>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</si>
  <si>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</si>
  <si>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</si>
  <si>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</si>
  <si>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</si>
  <si>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</si>
  <si>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</si>
  <si>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</si>
  <si>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</si>
  <si>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</si>
  <si>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</si>
  <si>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</si>
  <si>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</si>
  <si>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</si>
  <si>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</si>
  <si>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</si>
  <si>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</si>
  <si>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</si>
  <si>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</si>
  <si>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</si>
  <si>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</si>
  <si>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</si>
  <si>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</si>
  <si>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</si>
  <si>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</si>
  <si>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</si>
  <si>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</si>
  <si>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</si>
  <si>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</si>
  <si>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</si>
  <si>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</si>
  <si>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</si>
  <si>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</si>
  <si>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</si>
  <si>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</si>
  <si>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</si>
  <si>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</si>
  <si>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</si>
  <si>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</si>
  <si>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</si>
  <si>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</si>
  <si>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</si>
  <si>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</si>
  <si>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</si>
  <si>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</si>
  <si>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</si>
  <si>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</si>
  <si>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</si>
  <si>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</si>
  <si>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</si>
  <si>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</si>
  <si>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</si>
  <si>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</si>
  <si>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</si>
  <si>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</si>
  <si>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</si>
  <si>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</si>
  <si>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</si>
  <si>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</si>
  <si>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</si>
  <si>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</si>
  <si>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</si>
  <si>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</si>
  <si>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</si>
  <si>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</si>
  <si>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</si>
  <si>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</si>
  <si>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</si>
  <si>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</si>
  <si>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</si>
  <si>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</si>
  <si>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</si>
  <si>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</si>
  <si>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</si>
  <si>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</si>
  <si>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</si>
  <si>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</si>
  <si>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</si>
  <si>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</si>
  <si>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</si>
  <si>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</si>
  <si>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</si>
  <si>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</si>
  <si>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</si>
  <si>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</si>
  <si>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</si>
  <si>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</si>
  <si>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</si>
  <si>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</si>
  <si>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</si>
  <si>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</si>
  <si>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</si>
  <si>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</si>
  <si>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</si>
  <si>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</si>
  <si>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</si>
  <si>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</si>
  <si>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</si>
  <si>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</si>
  <si>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</si>
  <si>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</si>
  <si>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</si>
  <si>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</si>
  <si>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</si>
  <si>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</si>
  <si>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</si>
  <si>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</si>
  <si>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</si>
  <si>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</si>
  <si>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</si>
  <si>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</si>
  <si>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</si>
  <si>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</si>
  <si>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</si>
  <si>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</si>
  <si>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</si>
  <si>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</si>
  <si>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</si>
  <si>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</si>
  <si>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</si>
  <si>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</si>
  <si>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</si>
  <si>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</si>
  <si>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</si>
  <si>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</si>
  <si>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</si>
  <si>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</si>
  <si>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</si>
  <si>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</si>
  <si>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</si>
  <si>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</si>
  <si>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</si>
  <si>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</si>
  <si>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</si>
  <si>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</si>
  <si>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</si>
  <si>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</si>
  <si>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</si>
  <si>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</si>
  <si>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</si>
  <si>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</si>
  <si>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</si>
  <si>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</si>
  <si>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</si>
  <si>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</si>
  <si>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</si>
  <si>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</si>
  <si>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</si>
  <si>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</si>
  <si>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</si>
  <si>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</si>
  <si>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</si>
  <si>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</si>
  <si>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</si>
  <si>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</si>
  <si>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</si>
  <si>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</si>
  <si>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</si>
  <si>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</si>
  <si>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</si>
  <si>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</si>
  <si>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</si>
  <si>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</si>
  <si>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</si>
  <si>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</si>
  <si>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</si>
  <si>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</si>
  <si>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</si>
  <si>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</si>
  <si>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</si>
  <si>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</si>
  <si>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</si>
  <si>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</si>
  <si>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</si>
  <si>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</si>
  <si>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</si>
  <si>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</si>
  <si>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</si>
  <si>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</si>
  <si>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</si>
  <si>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</si>
  <si>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</si>
  <si>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</si>
  <si>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</si>
  <si>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</si>
  <si>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</si>
  <si>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</si>
  <si>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</si>
  <si>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</si>
  <si>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</si>
  <si>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</si>
  <si>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</si>
  <si>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</si>
  <si>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</si>
  <si>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</si>
  <si>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</si>
  <si>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</si>
  <si>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</si>
  <si>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</si>
  <si>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</si>
  <si>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</si>
  <si>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</si>
  <si>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</si>
  <si>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</si>
  <si>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</si>
  <si>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</si>
  <si>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</si>
  <si>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</si>
  <si>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</si>
  <si>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</si>
  <si>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</si>
  <si>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</si>
  <si>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</si>
  <si>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</si>
  <si>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</si>
  <si>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</si>
  <si>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</si>
  <si>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</si>
  <si>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</si>
  <si>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</si>
  <si>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</si>
  <si>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</si>
  <si>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</si>
  <si>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</si>
  <si>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</si>
  <si>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</si>
  <si>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</si>
  <si>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</si>
  <si>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</si>
  <si>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</si>
  <si>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</si>
  <si>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</si>
  <si>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</si>
  <si>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</si>
  <si>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</si>
  <si>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</si>
  <si>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</si>
  <si>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</si>
  <si>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</si>
  <si>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</si>
  <si>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</si>
  <si>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</si>
  <si>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</si>
  <si>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</si>
  <si>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</si>
  <si>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</si>
  <si>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</si>
  <si>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</si>
  <si>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</si>
  <si>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</si>
  <si>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</si>
  <si>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</si>
  <si>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</si>
  <si>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</si>
  <si>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</si>
  <si>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</si>
  <si>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</si>
  <si>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</si>
  <si>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</si>
  <si>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</si>
  <si>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</si>
  <si>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</si>
  <si>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</si>
  <si>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</si>
  <si>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</si>
  <si>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</si>
  <si>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</si>
  <si>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</si>
  <si>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</si>
  <si>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</si>
  <si>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</si>
  <si>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</si>
  <si>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</si>
  <si>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</si>
  <si>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</si>
  <si>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</si>
  <si>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</si>
  <si>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</si>
  <si>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</si>
  <si>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</si>
  <si>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</si>
  <si>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</si>
  <si>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</si>
  <si>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</si>
  <si>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</si>
  <si>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</si>
  <si>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</si>
  <si>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</si>
  <si>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</si>
  <si>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</si>
  <si>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</si>
  <si>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</si>
  <si>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</si>
  <si>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</si>
  <si>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</si>
  <si>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</si>
  <si>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</si>
  <si>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</si>
  <si>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</si>
  <si>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</si>
  <si>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</si>
  <si>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</si>
  <si>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</si>
  <si>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</si>
  <si>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</si>
  <si>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</si>
  <si>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</si>
  <si>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</si>
  <si>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</si>
  <si>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</si>
  <si>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</si>
  <si>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</si>
  <si>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</si>
  <si>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</si>
  <si>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</si>
  <si>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</si>
  <si>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</si>
  <si>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</si>
  <si>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</si>
  <si>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</si>
  <si>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</si>
  <si>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</si>
  <si>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</si>
  <si>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</si>
  <si>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</si>
  <si>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</si>
  <si>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</si>
  <si>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</si>
  <si>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</si>
  <si>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</si>
  <si>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</si>
  <si>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</si>
  <si>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</si>
  <si>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</si>
  <si>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</si>
  <si>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</si>
  <si>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</si>
  <si>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</si>
  <si>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</si>
  <si>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</si>
  <si>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</si>
  <si>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</si>
  <si>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</si>
  <si>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</si>
  <si>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</si>
  <si>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</si>
  <si>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</si>
  <si>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</si>
  <si>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</si>
  <si>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</si>
  <si>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</si>
  <si>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</si>
  <si>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</si>
  <si>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</si>
  <si>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</si>
  <si>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</si>
  <si>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</si>
  <si>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</si>
  <si>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</si>
  <si>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</si>
  <si>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</si>
  <si>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</si>
  <si>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</si>
  <si>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</si>
  <si>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</si>
  <si>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</si>
  <si>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</si>
  <si>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</si>
  <si>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</si>
  <si>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</si>
  <si>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</si>
  <si>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</si>
  <si>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</si>
  <si>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</si>
  <si>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</si>
  <si>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</si>
  <si>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</si>
  <si>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</si>
  <si>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</si>
  <si>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</si>
  <si>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</si>
  <si>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</si>
  <si>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</si>
  <si>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</si>
  <si>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</si>
  <si>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</si>
  <si>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</si>
  <si>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</si>
  <si>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</si>
  <si>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</si>
  <si>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</si>
  <si>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</si>
  <si>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</si>
  <si>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</si>
  <si>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</si>
  <si>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</si>
  <si>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</si>
  <si>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</si>
  <si>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</si>
  <si>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</si>
  <si>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</si>
  <si>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</si>
  <si>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</si>
  <si>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</si>
  <si>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</si>
  <si>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</si>
  <si>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</si>
  <si>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</si>
  <si>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</si>
  <si>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</si>
  <si>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</si>
  <si>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</si>
  <si>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</si>
  <si>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</si>
  <si>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</si>
  <si>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</si>
  <si>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</si>
  <si>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</si>
  <si>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</si>
  <si>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</si>
  <si>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</si>
  <si>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</si>
  <si>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</si>
  <si>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</si>
  <si>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</si>
  <si>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</si>
  <si>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</si>
  <si>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</si>
  <si>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</si>
  <si>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</si>
  <si>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</si>
  <si>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</si>
  <si>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</si>
  <si>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</si>
  <si>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</si>
  <si>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</si>
  <si>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</si>
  <si>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</si>
  <si>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</si>
  <si>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</si>
  <si>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</si>
  <si>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</si>
  <si>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</si>
  <si>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</si>
  <si>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</si>
  <si>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</si>
  <si>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</si>
  <si>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</si>
  <si>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</si>
  <si>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</si>
  <si>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</si>
  <si>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</si>
  <si>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</si>
  <si>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</si>
  <si>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</si>
  <si>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</si>
  <si>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</si>
  <si>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</si>
  <si>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</si>
  <si>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</si>
  <si>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</si>
  <si>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</si>
  <si>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</si>
  <si>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</si>
  <si>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</si>
  <si>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</si>
  <si>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</si>
  <si>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</si>
  <si>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</si>
  <si>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</si>
  <si>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</si>
  <si>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</si>
  <si>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</si>
  <si>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</si>
  <si>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</si>
  <si>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</si>
  <si>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</si>
  <si>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</si>
  <si>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</si>
  <si>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</si>
  <si>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</si>
  <si>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</si>
  <si>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</si>
  <si>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</si>
  <si>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</si>
  <si>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</si>
  <si>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</si>
  <si>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</si>
  <si>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</si>
  <si>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</si>
  <si>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</si>
  <si>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</si>
  <si>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</si>
  <si>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</si>
  <si>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</si>
  <si>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</si>
  <si>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</si>
  <si>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</si>
  <si>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</si>
  <si>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</si>
  <si>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</si>
  <si>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</si>
  <si>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</si>
  <si>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</si>
  <si>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</si>
  <si>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</si>
  <si>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</si>
  <si>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</si>
  <si>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</si>
  <si>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</si>
  <si>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</si>
  <si>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</si>
  <si>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</si>
  <si>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</si>
  <si>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</si>
  <si>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</si>
  <si>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</si>
  <si>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</si>
  <si>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</si>
  <si>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</si>
  <si>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</si>
  <si>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</si>
  <si>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</si>
  <si>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</si>
  <si>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</si>
  <si>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</si>
  <si>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</si>
  <si>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</si>
  <si>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</si>
  <si>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</si>
  <si>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</si>
  <si>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</si>
  <si>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</si>
  <si>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</si>
  <si>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</si>
  <si>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</si>
  <si>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</si>
  <si>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</si>
  <si>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</si>
  <si>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</si>
  <si>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</si>
  <si>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</si>
  <si>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</si>
  <si>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</si>
  <si>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</si>
  <si>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</si>
  <si>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</si>
  <si>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</si>
  <si>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</si>
  <si>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</si>
  <si>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</si>
  <si>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</si>
  <si>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</si>
  <si>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</si>
  <si>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</si>
  <si>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</si>
  <si>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</si>
  <si>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</si>
  <si>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</si>
  <si>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</si>
  <si>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</si>
  <si>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</si>
  <si>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</si>
  <si>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</si>
  <si>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</si>
  <si>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</si>
  <si>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</si>
  <si>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</si>
  <si>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</si>
  <si>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</si>
  <si>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</si>
  <si>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</si>
  <si>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</si>
  <si>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</si>
  <si>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</si>
  <si>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</si>
  <si>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</si>
  <si>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</si>
  <si>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</si>
  <si>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</si>
  <si>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</si>
  <si>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</si>
  <si>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</si>
  <si>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</si>
  <si>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</si>
  <si>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</si>
  <si>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</si>
  <si>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</si>
  <si>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</si>
  <si>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</si>
  <si>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</si>
  <si>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</si>
  <si>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</si>
  <si>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</si>
  <si>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</si>
  <si>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</si>
  <si>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</si>
  <si>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</si>
  <si>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</si>
  <si>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</si>
  <si>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</si>
  <si>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</si>
  <si>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</si>
  <si>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</si>
  <si>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</si>
  <si>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</si>
  <si>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</si>
  <si>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</si>
  <si>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</si>
  <si>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</si>
  <si>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</si>
  <si>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</si>
  <si>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</si>
  <si>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</si>
  <si>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</si>
  <si>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</si>
  <si>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</si>
  <si>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</si>
  <si>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</si>
  <si>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</si>
  <si>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</si>
  <si>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</si>
  <si>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</si>
  <si>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</si>
  <si>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</si>
  <si>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</si>
  <si>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</si>
  <si>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</si>
  <si>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</si>
  <si>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</si>
  <si>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</si>
  <si>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</si>
  <si>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</si>
  <si>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</si>
  <si>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</si>
  <si>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</si>
  <si>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</si>
  <si>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</si>
  <si>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</si>
  <si>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</si>
  <si>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</si>
  <si>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</si>
  <si>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</si>
  <si>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</si>
  <si>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</si>
  <si>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</si>
  <si>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</si>
  <si>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</si>
  <si>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</si>
  <si>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</si>
  <si>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</si>
  <si>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</si>
  <si>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</si>
  <si>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</si>
  <si>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</si>
  <si>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</si>
  <si>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</si>
  <si>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</si>
  <si>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</si>
  <si>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</si>
  <si>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</si>
  <si>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</si>
  <si>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</si>
  <si>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</si>
  <si>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</si>
  <si>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</si>
  <si>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</si>
  <si>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</si>
  <si>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</si>
  <si>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</si>
  <si>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</si>
  <si>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</si>
  <si>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</si>
  <si>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</si>
  <si>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</si>
  <si>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</si>
  <si>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</si>
  <si>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</si>
  <si>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</si>
  <si>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</si>
  <si>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</si>
  <si>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</si>
  <si>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</si>
  <si>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</si>
  <si>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</si>
  <si>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</si>
  <si>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</si>
  <si>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</si>
  <si>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</si>
  <si>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</si>
  <si>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</si>
  <si>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</si>
  <si>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</si>
  <si>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</si>
  <si>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</si>
  <si>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</si>
  <si>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</si>
  <si>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</si>
  <si>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</si>
  <si>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</si>
  <si>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</si>
  <si>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</si>
  <si>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</si>
  <si>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</si>
  <si>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</si>
  <si>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</si>
  <si>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</si>
  <si>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</si>
  <si>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</si>
  <si>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</si>
  <si>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</si>
  <si>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</si>
  <si>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</si>
  <si>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</si>
  <si>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</si>
  <si>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</si>
  <si>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</si>
  <si>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</si>
  <si>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</si>
  <si>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</si>
  <si>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</si>
  <si>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</si>
  <si>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</si>
  <si>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</si>
  <si>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</si>
  <si>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</si>
  <si>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</si>
  <si>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</si>
  <si>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</si>
  <si>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</si>
  <si>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</si>
  <si>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</si>
  <si>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</si>
  <si>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</si>
  <si>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</si>
  <si>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</si>
  <si>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</si>
  <si>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</si>
  <si>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</si>
  <si>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</si>
  <si>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</si>
  <si>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</si>
  <si>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</si>
  <si>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</si>
  <si>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</si>
  <si>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</si>
  <si>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</si>
  <si>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</si>
  <si>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</si>
  <si>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</si>
  <si>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</si>
  <si>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</si>
  <si>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</si>
  <si>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</si>
  <si>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</si>
  <si>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</si>
  <si>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</si>
  <si>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</si>
  <si>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</si>
  <si>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</si>
  <si>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</si>
  <si>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</si>
  <si>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</si>
  <si>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</si>
  <si>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</si>
  <si>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</si>
  <si>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</si>
  <si>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</si>
  <si>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</si>
  <si>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</si>
  <si>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</si>
  <si>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</si>
  <si>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</si>
  <si>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</si>
  <si>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</si>
  <si>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</si>
  <si>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</si>
  <si>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</si>
  <si>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</si>
  <si>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</si>
  <si>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</si>
  <si>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</si>
  <si>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</si>
  <si>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</si>
  <si>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</si>
  <si>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</si>
  <si>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</si>
  <si>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</si>
  <si>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</si>
  <si>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</si>
  <si>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</si>
  <si>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</si>
  <si>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</si>
  <si>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</si>
  <si>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</si>
  <si>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</si>
  <si>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</si>
  <si>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</si>
  <si>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</si>
  <si>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</si>
  <si>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</si>
  <si>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</si>
  <si>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</si>
  <si>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</si>
  <si>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</si>
  <si>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</si>
  <si>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</si>
  <si>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</si>
  <si>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</si>
  <si>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</si>
  <si>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</si>
  <si>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</si>
  <si>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</si>
  <si>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</si>
  <si>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</si>
  <si>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</si>
  <si>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</si>
  <si>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</si>
  <si>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</si>
  <si>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</si>
  <si>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</si>
  <si>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</si>
  <si>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</si>
  <si>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</si>
  <si>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</si>
  <si>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</si>
  <si>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</si>
  <si>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</si>
  <si>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</si>
  <si>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</si>
  <si>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</si>
  <si>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</si>
  <si>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</si>
  <si>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</si>
  <si>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</si>
  <si>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</si>
  <si>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</si>
  <si>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</si>
  <si>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</si>
  <si>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</si>
  <si>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</si>
  <si>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</si>
  <si>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</si>
  <si>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</si>
  <si>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</si>
  <si>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</si>
  <si>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</si>
  <si>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</si>
  <si>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</si>
  <si>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</si>
  <si>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</si>
  <si>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</si>
  <si>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</si>
  <si>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</si>
  <si>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</si>
  <si>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</si>
  <si>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</si>
  <si>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</si>
  <si>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</si>
  <si>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</si>
  <si>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</si>
  <si>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</si>
  <si>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</si>
  <si>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</si>
  <si>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</si>
  <si>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</si>
  <si>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</si>
  <si>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</si>
  <si>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</si>
  <si>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</si>
  <si>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</si>
  <si>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</si>
  <si>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</si>
  <si>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</si>
  <si>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</si>
  <si>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</si>
  <si>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</si>
  <si>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</si>
  <si>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</si>
  <si>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</si>
  <si>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</si>
  <si>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</si>
  <si>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</si>
  <si>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</si>
  <si>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</si>
  <si>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</si>
  <si>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</si>
  <si>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</si>
  <si>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</si>
  <si>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</si>
  <si>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</si>
  <si>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</si>
  <si>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</si>
  <si>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</si>
  <si>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</si>
  <si>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</si>
  <si>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</si>
  <si>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</si>
  <si>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</si>
  <si>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</si>
  <si>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</si>
  <si>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</si>
  <si>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</si>
  <si>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</si>
  <si>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</si>
  <si>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</si>
  <si>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</si>
  <si>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</si>
  <si>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</si>
  <si>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</si>
  <si>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</si>
  <si>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</si>
  <si>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</si>
  <si>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</si>
  <si>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</si>
  <si>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</si>
  <si>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</si>
  <si>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</si>
  <si>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</si>
  <si>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</si>
  <si>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</si>
  <si>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</si>
  <si>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</si>
  <si>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</si>
  <si>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</si>
  <si>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</si>
  <si>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</si>
  <si>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</si>
  <si>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</si>
  <si>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</si>
  <si>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</si>
  <si>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</si>
  <si>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</si>
  <si>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</si>
  <si>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</si>
  <si>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</si>
  <si>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</si>
  <si>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</si>
  <si>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</si>
  <si>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</si>
  <si>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</si>
  <si>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</si>
  <si>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</si>
  <si>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</si>
  <si>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</si>
  <si>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</si>
  <si>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</si>
  <si>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</si>
  <si>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</si>
  <si>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</si>
  <si>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</si>
  <si>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</si>
  <si>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</si>
  <si>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</si>
  <si>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</si>
  <si>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</si>
  <si>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</si>
  <si>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</si>
  <si>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</si>
  <si>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</si>
  <si>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</si>
  <si>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</si>
  <si>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</si>
  <si>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</si>
  <si>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</si>
  <si>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</si>
  <si>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</si>
  <si>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</si>
  <si>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</si>
  <si>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</si>
  <si>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</si>
  <si>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</si>
  <si>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</si>
  <si>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</si>
  <si>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</si>
  <si>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</si>
  <si>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</si>
  <si>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</si>
  <si>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</si>
  <si>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</si>
  <si>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</si>
  <si>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</si>
  <si>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</si>
  <si>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</si>
  <si>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</si>
  <si>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</si>
  <si>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</si>
  <si>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</si>
  <si>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</si>
  <si>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</si>
  <si>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</si>
  <si>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</si>
  <si>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</si>
  <si>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</si>
  <si>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</si>
  <si>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</si>
  <si>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</si>
  <si>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</si>
  <si>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</si>
  <si>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</si>
  <si>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</si>
  <si>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</si>
  <si>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</si>
  <si>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</si>
  <si>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</si>
  <si>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</si>
  <si>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</si>
  <si>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</si>
  <si>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</si>
  <si>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</si>
  <si>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</si>
  <si>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</si>
  <si>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</si>
  <si>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</si>
  <si>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</si>
  <si>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</si>
  <si>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</si>
  <si>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</si>
  <si>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</si>
  <si>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</si>
  <si>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</si>
  <si>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</si>
  <si>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</si>
  <si>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</si>
  <si>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</si>
  <si>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</si>
  <si>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</si>
  <si>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</si>
  <si>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</si>
  <si>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</si>
  <si>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</si>
  <si>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</si>
  <si>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</si>
  <si>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</si>
  <si>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</si>
  <si>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</si>
  <si>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</si>
  <si>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</si>
  <si>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</si>
  <si>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</si>
  <si>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</si>
  <si>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</si>
  <si>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</si>
  <si>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</si>
  <si>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</si>
  <si>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</si>
  <si>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</si>
  <si>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</si>
  <si>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</si>
  <si>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</si>
  <si>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</si>
  <si>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</si>
  <si>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</si>
  <si>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</si>
  <si>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</si>
  <si>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</si>
  <si>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</si>
  <si>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</si>
  <si>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</si>
  <si>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</si>
  <si>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</si>
  <si>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</si>
  <si>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</si>
  <si>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</si>
  <si>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</si>
  <si>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</si>
  <si>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</si>
  <si>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</si>
  <si>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</si>
  <si>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</si>
  <si>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</si>
  <si>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</si>
  <si>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</si>
  <si>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</si>
  <si>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</si>
  <si>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</si>
  <si>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</si>
  <si>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</si>
  <si>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</si>
  <si>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</si>
  <si>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</si>
  <si>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</si>
  <si>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</si>
  <si>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</si>
  <si>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</si>
  <si>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</si>
  <si>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</si>
  <si>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</si>
  <si>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</si>
  <si>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</si>
  <si>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</si>
  <si>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</si>
  <si>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</si>
  <si>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</si>
  <si>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</si>
  <si>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</si>
  <si>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</si>
  <si>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</si>
  <si>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</si>
  <si>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</si>
  <si>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</si>
  <si>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</si>
  <si>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</si>
  <si>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</si>
  <si>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</si>
  <si>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</si>
  <si>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</si>
  <si>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</si>
  <si>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</si>
  <si>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</si>
  <si>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</si>
  <si>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</si>
  <si>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</si>
  <si>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</si>
  <si>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</si>
  <si>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</si>
  <si>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</si>
  <si>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</si>
  <si>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</si>
  <si>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</si>
  <si>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</si>
  <si>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</si>
  <si>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</si>
  <si>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</si>
  <si>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</si>
  <si>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</si>
  <si>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</si>
  <si>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</si>
  <si>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</si>
  <si>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</si>
  <si>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</si>
  <si>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</si>
  <si>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</si>
  <si>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</si>
  <si>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</si>
  <si>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</si>
  <si>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</si>
  <si>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</si>
  <si>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</si>
  <si>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</si>
  <si>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</si>
  <si>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</si>
  <si>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</si>
  <si>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</si>
  <si>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</si>
  <si>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</si>
  <si>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</si>
  <si>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</si>
  <si>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</si>
  <si>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</si>
  <si>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</si>
  <si>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</si>
  <si>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</si>
  <si>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</si>
  <si>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</si>
  <si>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</si>
  <si>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</si>
  <si>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</si>
  <si>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</si>
  <si>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</si>
  <si>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</si>
  <si>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</si>
  <si>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</si>
  <si>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</si>
  <si>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</si>
  <si>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</si>
  <si>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</si>
  <si>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</si>
  <si>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</si>
  <si>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</si>
  <si>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</si>
  <si>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</si>
  <si>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</si>
  <si>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</si>
  <si>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</si>
  <si>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</si>
  <si>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</si>
  <si>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</si>
  <si>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</si>
  <si>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</si>
  <si>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</si>
  <si>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</si>
  <si>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</si>
  <si>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</si>
  <si>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</si>
  <si>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</si>
  <si>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</si>
  <si>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</si>
  <si>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</si>
  <si>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</si>
  <si>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</si>
  <si>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</si>
  <si>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</si>
  <si>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</si>
  <si>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</si>
  <si>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</si>
  <si>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</si>
  <si>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</si>
  <si>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</si>
  <si>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</si>
  <si>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</si>
  <si>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</si>
  <si>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</si>
  <si>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</si>
  <si>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</si>
  <si>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</si>
  <si>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</si>
  <si>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</si>
  <si>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</si>
  <si>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</si>
  <si>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</si>
  <si>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</si>
  <si>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</si>
  <si>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</si>
  <si>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</si>
  <si>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</si>
  <si>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</si>
  <si>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</si>
  <si>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</si>
  <si>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</si>
  <si>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</si>
  <si>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</si>
  <si>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</si>
  <si>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</si>
  <si>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</si>
  <si>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</si>
  <si>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</si>
  <si>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</si>
  <si>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</si>
  <si>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</si>
  <si>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</si>
  <si>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</si>
  <si>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</si>
  <si>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</si>
  <si>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</si>
  <si>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</si>
  <si>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</si>
  <si>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</si>
  <si>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</si>
  <si>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</si>
  <si>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</si>
  <si>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</si>
  <si>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</si>
  <si>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</si>
  <si>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</si>
  <si>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</si>
  <si>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</si>
  <si>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</si>
  <si>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</si>
  <si>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</si>
  <si>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</si>
  <si>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</si>
  <si>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</si>
  <si>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</si>
  <si>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</si>
  <si>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</si>
  <si>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</si>
  <si>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</si>
  <si>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</si>
  <si>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</si>
  <si>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</si>
  <si>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</si>
  <si>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</si>
  <si>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</si>
  <si>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</si>
  <si>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</si>
  <si>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</si>
  <si>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</si>
  <si>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</si>
  <si>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</si>
  <si>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</si>
  <si>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</si>
  <si>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</si>
  <si>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</si>
  <si>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</si>
  <si>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</si>
  <si>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</si>
  <si>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</si>
  <si>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</si>
  <si>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</si>
  <si>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</si>
  <si>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</si>
  <si>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</si>
  <si>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</si>
  <si>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</si>
  <si>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</si>
  <si>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</si>
  <si>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</si>
  <si>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</si>
  <si>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</si>
  <si>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</si>
  <si>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</si>
  <si>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</si>
  <si>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</si>
  <si>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</si>
  <si>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</si>
  <si>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</si>
  <si>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</si>
  <si>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</si>
  <si>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</si>
  <si>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</si>
  <si>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</si>
  <si>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</si>
  <si>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</si>
  <si>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</si>
  <si>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</si>
  <si>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</si>
  <si>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</si>
  <si>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</si>
  <si>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</si>
  <si>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</si>
  <si>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</si>
  <si>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</si>
  <si>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</si>
  <si>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</si>
  <si>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</si>
  <si>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</si>
  <si>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</si>
  <si>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</si>
  <si>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</si>
  <si>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</si>
  <si>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</si>
  <si>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</si>
  <si>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</si>
  <si>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</si>
  <si>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</si>
  <si>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</si>
  <si>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</si>
  <si>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</si>
  <si>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</si>
  <si>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</si>
  <si>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</si>
  <si>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</si>
  <si>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</si>
  <si>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</si>
  <si>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</si>
  <si>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</si>
  <si>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</si>
  <si>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</si>
  <si>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</si>
  <si>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</si>
  <si>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</si>
  <si>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</si>
  <si>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</si>
  <si>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</si>
  <si>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</si>
  <si>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</si>
  <si>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</si>
  <si>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</si>
  <si>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</si>
  <si>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</si>
  <si>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</si>
  <si>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</si>
  <si>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</si>
  <si>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</si>
  <si>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</si>
  <si>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</si>
  <si>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</si>
  <si>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</si>
  <si>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</si>
  <si>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</si>
  <si>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</si>
  <si>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</si>
  <si>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</si>
  <si>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</si>
  <si>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</si>
  <si>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</si>
  <si>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</si>
  <si>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</si>
  <si>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</si>
  <si>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</si>
  <si>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</si>
  <si>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</si>
  <si>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</si>
  <si>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</si>
  <si>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</si>
  <si>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</si>
  <si>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</si>
  <si>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</si>
  <si>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</si>
  <si>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</si>
  <si>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</si>
  <si>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</si>
  <si>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</si>
  <si>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</si>
  <si>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</si>
  <si>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</si>
  <si>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</si>
  <si>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</si>
  <si>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</si>
  <si>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</si>
  <si>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</si>
  <si>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</si>
  <si>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</si>
  <si>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</si>
  <si>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</si>
  <si>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</si>
  <si>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</si>
  <si>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</si>
  <si>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</si>
  <si>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</si>
  <si>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</si>
  <si>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</si>
  <si>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</si>
  <si>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</si>
  <si>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</si>
  <si>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</si>
  <si>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</si>
  <si>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</si>
  <si>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</si>
  <si>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</si>
  <si>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</si>
  <si>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</si>
  <si>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</si>
  <si>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</si>
  <si>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</si>
  <si>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</si>
  <si>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</si>
  <si>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</si>
  <si>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</si>
  <si>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</si>
  <si>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</si>
  <si>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</si>
  <si>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</si>
  <si>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</si>
  <si>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</si>
  <si>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</si>
  <si>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</si>
  <si>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</si>
  <si>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</si>
  <si>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</si>
  <si>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</si>
  <si>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</si>
  <si>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</si>
  <si>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</si>
  <si>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</si>
  <si>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</si>
  <si>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</si>
  <si>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</si>
  <si>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</si>
  <si>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</si>
  <si>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</si>
  <si>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</si>
  <si>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</si>
  <si>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</si>
  <si>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</si>
  <si>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</si>
  <si>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</si>
  <si>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</si>
  <si>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</si>
  <si>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</si>
  <si>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</si>
  <si>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</si>
  <si>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</si>
  <si>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</si>
  <si>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</si>
  <si>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</si>
  <si>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</si>
  <si>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</si>
  <si>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</si>
  <si>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</si>
  <si>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</si>
  <si>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</si>
  <si>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</si>
  <si>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</si>
  <si>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</si>
  <si>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</si>
  <si>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</si>
  <si>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</si>
  <si>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</si>
  <si>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</si>
  <si>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</si>
  <si>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</si>
  <si>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</si>
  <si>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</si>
  <si>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</si>
  <si>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</si>
  <si>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</si>
  <si>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</si>
  <si>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</si>
  <si>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</si>
  <si>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</si>
  <si>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</si>
  <si>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</si>
  <si>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</si>
  <si>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</si>
  <si>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</si>
  <si>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</si>
  <si>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</si>
  <si>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</si>
  <si>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</si>
  <si>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</si>
  <si>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</si>
  <si>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</si>
  <si>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</si>
  <si>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</si>
  <si>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</si>
  <si>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</si>
  <si>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</si>
  <si>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</si>
  <si>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</si>
  <si>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</si>
  <si>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</si>
  <si>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</si>
  <si>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</si>
  <si>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</si>
  <si>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</si>
  <si>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</si>
  <si>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</si>
  <si>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</si>
  <si>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</si>
  <si>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</si>
  <si>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</si>
  <si>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</si>
  <si>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</si>
  <si>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</si>
  <si>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</si>
  <si>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</si>
  <si>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</si>
  <si>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</si>
  <si>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</si>
  <si>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</si>
  <si>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</si>
  <si>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</si>
  <si>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</si>
  <si>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</si>
  <si>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</si>
  <si>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</si>
  <si>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</si>
  <si>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</si>
  <si>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</si>
  <si>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</si>
  <si>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</si>
  <si>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</si>
  <si>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</si>
  <si>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</si>
  <si>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</si>
  <si>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</si>
  <si>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</si>
  <si>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</si>
  <si>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</si>
  <si>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</si>
  <si>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</si>
  <si>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</si>
  <si>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</si>
  <si>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</si>
  <si>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</si>
  <si>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</si>
  <si>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</si>
  <si>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</si>
  <si>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</si>
  <si>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</si>
  <si>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</si>
  <si>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</si>
  <si>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</si>
  <si>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</si>
  <si>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</si>
  <si>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</si>
  <si>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</si>
  <si>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</si>
  <si>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</si>
  <si>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</si>
  <si>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</si>
  <si>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</si>
  <si>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</si>
  <si>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</si>
  <si>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</si>
  <si>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</si>
  <si>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</si>
  <si>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</si>
  <si>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</si>
  <si>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</si>
  <si>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</si>
  <si>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</si>
  <si>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</si>
  <si>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</si>
  <si>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</si>
  <si>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</si>
  <si>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</si>
  <si>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</si>
  <si>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</si>
  <si>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</si>
  <si>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</si>
  <si>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</si>
  <si>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</si>
  <si>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</si>
  <si>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</si>
  <si>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</si>
  <si>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</si>
  <si>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</si>
  <si>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</si>
  <si>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</si>
  <si>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</si>
  <si>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</si>
  <si>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</si>
  <si>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</si>
  <si>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</si>
  <si>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</si>
  <si>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</si>
  <si>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</si>
  <si>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</si>
  <si>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</si>
  <si>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</si>
  <si>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</si>
  <si>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</si>
  <si>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</si>
  <si>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</si>
  <si>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</si>
  <si>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</si>
  <si>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</si>
  <si>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</si>
  <si>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</si>
  <si>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</si>
  <si>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</si>
  <si>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</si>
  <si>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</si>
  <si>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</si>
  <si>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</si>
  <si>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</si>
  <si>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</si>
  <si>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</si>
  <si>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</si>
  <si>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</si>
  <si>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</si>
  <si>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</si>
  <si>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</si>
  <si>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</si>
  <si>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</si>
  <si>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</si>
  <si>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</si>
  <si>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</si>
  <si>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</si>
  <si>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</si>
  <si>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</si>
  <si>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</si>
  <si>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</si>
  <si>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</si>
  <si>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</si>
  <si>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</si>
  <si>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</si>
  <si>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</si>
  <si>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</si>
  <si>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</si>
  <si>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</si>
  <si>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</si>
  <si>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</si>
  <si>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</si>
  <si>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</si>
  <si>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</si>
  <si>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</si>
  <si>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</si>
  <si>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</si>
  <si>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</si>
  <si>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</si>
  <si>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</si>
  <si>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</si>
  <si>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</si>
  <si>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</si>
  <si>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</si>
  <si>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</si>
  <si>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</si>
  <si>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</si>
  <si>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</si>
  <si>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</si>
  <si>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</si>
  <si>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</si>
  <si>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</si>
  <si>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</si>
  <si>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</si>
  <si>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</si>
  <si>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</si>
  <si>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</si>
  <si>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</si>
  <si>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</si>
  <si>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</si>
  <si>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</si>
  <si>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</si>
  <si>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</si>
  <si>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</si>
  <si>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</si>
  <si>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</si>
  <si>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</si>
  <si>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</si>
  <si>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</si>
  <si>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</si>
  <si>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</si>
  <si>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</si>
  <si>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</si>
  <si>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</si>
  <si>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</si>
  <si>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</si>
  <si>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</si>
  <si>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</si>
  <si>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</si>
  <si>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</si>
  <si>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</si>
  <si>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</si>
  <si>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</si>
  <si>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</si>
  <si>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</si>
  <si>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</si>
  <si>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</si>
  <si>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</si>
  <si>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</si>
  <si>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</si>
  <si>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</si>
  <si>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</si>
  <si>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</si>
  <si>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</si>
  <si>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</si>
  <si>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</si>
  <si>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</si>
  <si>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</si>
  <si>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</si>
  <si>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</si>
  <si>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</si>
  <si>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</si>
  <si>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</si>
  <si>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</si>
  <si>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</si>
  <si>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</si>
  <si>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</si>
  <si>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</si>
  <si>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</si>
  <si>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</si>
  <si>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</si>
  <si>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</si>
  <si>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</si>
  <si>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</si>
  <si>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</si>
  <si>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</si>
  <si>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</si>
  <si>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</si>
  <si>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</si>
  <si>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</si>
  <si>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</si>
  <si>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</si>
  <si>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</si>
  <si>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</si>
  <si>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</si>
  <si>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</si>
  <si>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</si>
  <si>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</si>
  <si>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</si>
  <si>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</si>
  <si>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</si>
  <si>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</si>
  <si>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</si>
  <si>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</si>
  <si>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</si>
  <si>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</si>
  <si>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</si>
  <si>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</si>
  <si>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5.8 Kgs ±5%</t>
  </si>
  <si>
    <t>5.0–7.0</t>
  </si>
  <si>
    <t>6.1 Kgs ±5%</t>
  </si>
  <si>
    <t>5.5–7.5</t>
  </si>
  <si>
    <t>6.4 Kgs ±5%</t>
  </si>
  <si>
    <t>6.0–7.8</t>
  </si>
  <si>
    <t>6.5–8.5</t>
  </si>
  <si>
    <t>6.7 Kgs ±5%</t>
  </si>
  <si>
    <t>8.5–9.5</t>
  </si>
  <si>
    <t>7.3 Kgs ±5%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</si>
  <si>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</si>
  <si>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</si>
  <si>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</si>
  <si>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</si>
  <si>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</si>
  <si>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</si>
  <si>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</si>
  <si>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</si>
  <si>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</si>
  <si>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</si>
  <si>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</si>
  <si>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</si>
  <si>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</si>
  <si>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</si>
  <si>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</si>
  <si>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</si>
  <si>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</si>
  <si>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</si>
  <si>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</si>
  <si>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</si>
  <si>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</si>
  <si>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</si>
  <si>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</si>
  <si>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</si>
  <si>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</si>
  <si>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</si>
  <si>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</si>
  <si>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</si>
  <si>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</si>
  <si>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</si>
  <si>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</si>
  <si>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</si>
  <si>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</si>
  <si>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</si>
  <si>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</si>
  <si>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</si>
  <si>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</si>
  <si>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</si>
  <si>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</si>
  <si>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</si>
  <si>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</si>
  <si>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</si>
  <si>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</si>
  <si>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</si>
  <si>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</si>
  <si>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</si>
  <si>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</si>
  <si>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</si>
  <si>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</si>
  <si>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</si>
  <si>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</si>
  <si>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</si>
  <si>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</si>
  <si>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</si>
  <si>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</si>
  <si>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</si>
  <si>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</si>
  <si>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</si>
  <si>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</si>
  <si>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</si>
  <si>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</si>
  <si>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</si>
  <si>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</si>
  <si>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</si>
  <si>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</si>
  <si>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</si>
  <si>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</si>
  <si>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</si>
  <si>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</si>
  <si>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</si>
  <si>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</si>
  <si>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</si>
  <si>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</si>
  <si>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</si>
  <si>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</si>
  <si>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</si>
  <si>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</si>
  <si>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</si>
  <si>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</si>
  <si>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</si>
  <si>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</si>
  <si>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</si>
  <si>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</si>
  <si>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</si>
  <si>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</si>
  <si>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</si>
  <si>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</si>
  <si>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</si>
  <si>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</si>
  <si>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</si>
  <si>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</si>
  <si>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</si>
  <si>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</si>
  <si>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</si>
  <si>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</si>
  <si>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</si>
  <si>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</si>
  <si>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</si>
  <si>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</si>
  <si>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</si>
  <si>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</si>
  <si>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</si>
  <si>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</si>
  <si>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</si>
  <si>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</si>
  <si>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</si>
  <si>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</si>
  <si>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</si>
  <si>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</si>
  <si>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</si>
  <si>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</si>
  <si>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</si>
  <si>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</si>
  <si>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</si>
  <si>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</si>
  <si>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</si>
  <si>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</si>
  <si>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</si>
  <si>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</si>
  <si>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</si>
  <si>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</si>
  <si>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</si>
  <si>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</si>
  <si>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</si>
  <si>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</si>
  <si>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</si>
  <si>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</si>
  <si>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</si>
  <si>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</si>
  <si>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</si>
  <si>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</si>
  <si>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</si>
  <si>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</si>
  <si>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</si>
  <si>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</si>
  <si>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</si>
  <si>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</si>
  <si>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</si>
  <si>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</si>
  <si>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</si>
  <si>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</si>
  <si>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</si>
  <si>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</si>
  <si>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</si>
  <si>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</si>
  <si>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</si>
  <si>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</si>
  <si>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</si>
  <si>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</si>
  <si>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</si>
  <si>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</si>
  <si>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</si>
  <si>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</si>
  <si>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</si>
  <si>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</si>
  <si>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</si>
  <si>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</si>
  <si>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</si>
  <si>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</si>
  <si>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</si>
  <si>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</si>
  <si>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</si>
  <si>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</si>
  <si>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</si>
  <si>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</si>
  <si>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</si>
  <si>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</si>
  <si>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</si>
  <si>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</si>
  <si>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</si>
  <si>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</si>
  <si>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</si>
  <si>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</si>
  <si>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</si>
  <si>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</si>
  <si>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</si>
  <si>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</si>
  <si>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</si>
  <si>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</si>
  <si>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</si>
  <si>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</si>
  <si>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</si>
  <si>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</si>
  <si>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</si>
  <si>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</si>
  <si>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</si>
  <si>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</si>
  <si>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</si>
  <si>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</si>
  <si>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</si>
  <si>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</si>
  <si>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</si>
  <si>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</si>
  <si>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</si>
  <si>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</si>
  <si>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</si>
  <si>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</si>
  <si>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</si>
  <si>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</si>
  <si>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</si>
  <si>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</si>
  <si>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</si>
  <si>
    <t>Wingboard</t>
  </si>
  <si>
    <t>Speed/Slalom Xtra Small</t>
  </si>
  <si>
    <t>Formula (&gt;95)</t>
  </si>
  <si>
    <t>Special / Longboard</t>
  </si>
  <si>
    <t>We One</t>
  </si>
  <si>
    <t>We Race 58</t>
  </si>
  <si>
    <t>We Race 68</t>
  </si>
  <si>
    <t>We Race 78</t>
  </si>
  <si>
    <t>We Race 83</t>
  </si>
  <si>
    <t>Berra_ID</t>
  </si>
  <si>
    <t>Technology</t>
  </si>
  <si>
    <t>Deep Tuttle foil box / 32–38 cm</t>
  </si>
  <si>
    <t>≤7.5 m²</t>
  </si>
  <si>
    <t>Deep Tuttle foil box / 36–44 cm</t>
  </si>
  <si>
    <t>≤8.5 m²</t>
  </si>
  <si>
    <t>Deep Tuttle foil box / 38–46 cm</t>
  </si>
  <si>
    <t>≤9.5 m²</t>
  </si>
  <si>
    <t>Deep Tuttle foil box / 40–48 cm</t>
  </si>
  <si>
    <t>≤10.0 m²</t>
  </si>
  <si>
    <t>Deep Tuttle foil box / 42–50 cm</t>
  </si>
  <si>
    <t>≤10.5 m²</t>
  </si>
  <si>
    <t>Finboxes</t>
  </si>
  <si>
    <t>Fins included</t>
  </si>
  <si>
    <t>Race 69</t>
  </si>
  <si>
    <t>RACE 74</t>
  </si>
  <si>
    <t>RACE 84</t>
  </si>
  <si>
    <t>RACE 87</t>
  </si>
  <si>
    <t>RACE 58</t>
  </si>
  <si>
    <t>RACE 63</t>
  </si>
  <si>
    <t>FREE RACE 109</t>
  </si>
  <si>
    <t>FREE RACE 119</t>
  </si>
  <si>
    <t>FREE RACE 129</t>
  </si>
  <si>
    <t>FREE RACE 139</t>
  </si>
  <si>
    <t>FREE RACE 149</t>
  </si>
  <si>
    <t>Race 58</t>
  </si>
  <si>
    <t>Race 63</t>
  </si>
  <si>
    <t>Race 68</t>
  </si>
  <si>
    <t>Race 73</t>
  </si>
  <si>
    <t>Race 78</t>
  </si>
  <si>
    <t>Race 83</t>
  </si>
  <si>
    <t>Free Race 107</t>
  </si>
  <si>
    <t>3mm PVC Sandwich + Full Carbon + BIAX Nanocarbon</t>
  </si>
  <si>
    <t>≤ 7.5 m²</t>
  </si>
  <si>
    <t>Free Race 120</t>
  </si>
  <si>
    <t>Deep Tuttle Foil Ready</t>
  </si>
  <si>
    <t>≤ 8.5 m²</t>
  </si>
  <si>
    <t>Free Race 130</t>
  </si>
  <si>
    <t>≤ 9.5 m²</t>
  </si>
  <si>
    <t>Free Race 140</t>
  </si>
  <si>
    <t>≤ 10.0 m²</t>
  </si>
  <si>
    <t>Free Race 150</t>
  </si>
  <si>
    <t>≤ 10.5 m²</t>
  </si>
  <si>
    <t>Starboard</t>
  </si>
  <si>
    <t>Carbon Reflex Sandwich</t>
  </si>
  <si>
    <t>Drake Slalom DW 30</t>
  </si>
  <si>
    <t>5.0–6.2 m²</t>
  </si>
  <si>
    <t>5.70 kg</t>
  </si>
  <si>
    <t>Drake Slalom DW 32</t>
  </si>
  <si>
    <t>5.5–7.0 m²</t>
  </si>
  <si>
    <t>6.05 kg</t>
  </si>
  <si>
    <t>Drake Slalom DW 36</t>
  </si>
  <si>
    <t>6.2–7.8 m²</t>
  </si>
  <si>
    <t>6.34 kg</t>
  </si>
  <si>
    <t>Drake Slalom DW 38</t>
  </si>
  <si>
    <t>7.0–8.6 m²</t>
  </si>
  <si>
    <t>6.66 kg</t>
  </si>
  <si>
    <t>Drake Slalom DW 42</t>
  </si>
  <si>
    <t>7.8–9.2 m²</t>
  </si>
  <si>
    <t>6.81 kg</t>
  </si>
  <si>
    <t>Foil Box</t>
  </si>
  <si>
    <t>Drake Slalom DW 46</t>
  </si>
  <si>
    <t>7.8–10.0 m²</t>
  </si>
  <si>
    <t>7.65 kg</t>
  </si>
  <si>
    <t>iSonic Speed 40</t>
  </si>
  <si>
    <t>4.0–5.6 m²</t>
  </si>
  <si>
    <t>4.3 kg</t>
  </si>
  <si>
    <t>iSonic Speed 45</t>
  </si>
  <si>
    <t>4.5–5.6 m²</t>
  </si>
  <si>
    <t>4.63 kg</t>
  </si>
  <si>
    <t>iSonic Speed 52</t>
  </si>
  <si>
    <t>4.98 kg</t>
  </si>
  <si>
    <t>Type aka Model</t>
  </si>
  <si>
    <t>Tecknology</t>
  </si>
  <si>
    <t>RRS / Recommended Sail Sizes</t>
  </si>
  <si>
    <t>Without Fin</t>
  </si>
  <si>
    <t>Tuttle</t>
  </si>
  <si>
    <t>Deep Tuttle</t>
  </si>
  <si>
    <t>5.0 - 6.2</t>
  </si>
  <si>
    <t>5.5 - 7.0</t>
  </si>
  <si>
    <t>6.2 - 7.8</t>
  </si>
  <si>
    <t>7.0 - 8.6</t>
  </si>
  <si>
    <t>7.8 - 9.2</t>
  </si>
  <si>
    <t>7.8 - 10.0</t>
  </si>
  <si>
    <t>Carbon Reflex</t>
  </si>
  <si>
    <t>4.5 - 5.6</t>
  </si>
  <si>
    <t>4.7 - 6.2</t>
  </si>
  <si>
    <t>7.0 - 7.8</t>
  </si>
  <si>
    <t>7.8 - 9.5</t>
  </si>
  <si>
    <t>Carbon Sandwich</t>
  </si>
  <si>
    <t>iSonic 55</t>
  </si>
  <si>
    <t>Luderitz 44</t>
  </si>
  <si>
    <t>1991</t>
  </si>
  <si>
    <t>Attitude Inspiro 79</t>
  </si>
  <si>
    <t>Bullit</t>
  </si>
  <si>
    <t>Sunset</t>
  </si>
  <si>
    <t>Mistral</t>
  </si>
  <si>
    <t>Screamer</t>
  </si>
  <si>
    <t>LCS</t>
  </si>
  <si>
    <t>CHS</t>
  </si>
  <si>
    <t>1995</t>
  </si>
  <si>
    <t>FIRESTORM WOOD V2 101</t>
  </si>
  <si>
    <t>FIRESTORM LTD V2 101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</si>
</sst>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  <font>
      <b/>
      <sz val="11"/>
      <color rgb="FF000000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0" fillId="3" borderId="0" xfId="0" applyFill="1"/>
    <xf numFmtId="0" fontId="0" fillId="6" borderId="0" xfId="0" applyFill="1"/>
    <xf numFmtId="0" fontId="7" fillId="7" borderId="0" xfId="0" applyFont="1" applyFill="1"/>
    <xf numFmtId="0" fontId="7" fillId="8" borderId="0" xfId="0" applyFont="1" applyFill="1"/>
    <xf numFmtId="49" fontId="0" fillId="0" borderId="0" xfId="0" applyNumberFormat="1"/>
    <xf numFmtId="0" fontId="1" fillId="9" borderId="0" xfId="0" applyFont="1" applyFill="1"/>
    <xf numFmtId="49" fontId="1" fillId="9" borderId="0" xfId="0" applyNumberFormat="1" applyFont="1" applyFill="1"/>
    <xf numFmtId="2" fontId="0" fillId="0" borderId="0" xfId="0" applyNumberFormat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0" fillId="11" borderId="0" xfId="0" applyFill="1"/>
    <xf numFmtId="49" fontId="0" fillId="11" borderId="0" xfId="0" applyNumberFormat="1" applyFill="1"/>
    <xf numFmtId="2" fontId="0" fillId="11" borderId="0" xfId="0" applyNumberFormat="1" applyFill="1"/>
    <xf numFmtId="0" fontId="7" fillId="7" borderId="0" xfId="0" applyFont="1" applyFill="1" applyAlignment="1">
      <alignment wrapText="1"/>
    </xf>
    <xf numFmtId="49" fontId="7" fillId="7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8" borderId="0" xfId="0" applyFont="1" applyFill="1" applyAlignment="1">
      <alignment horizontal="center"/>
    </xf>
    <xf numFmtId="0" fontId="7" fillId="3" borderId="0" xfId="0" applyFont="1" applyFill="1"/>
    <xf numFmtId="0" fontId="0" fillId="12" borderId="0" xfId="0" applyFill="1"/>
    <xf numFmtId="0" fontId="1" fillId="13" borderId="0" xfId="0" applyFont="1" applyFill="1"/>
    <xf numFmtId="2" fontId="0" fillId="0" borderId="0" xfId="0" applyNumberFormat="1" applyAlignment="1">
      <alignment horizontal="right"/>
    </xf>
    <xf numFmtId="164" fontId="0" fillId="5" borderId="0" xfId="0" applyNumberFormat="1" applyFill="1" applyAlignment="1">
      <alignment horizontal="right"/>
    </xf>
    <xf numFmtId="0" fontId="2" fillId="14" borderId="0" xfId="0" applyFont="1" applyFill="1"/>
    <xf numFmtId="0" fontId="9" fillId="15" borderId="0" xfId="0" applyFont="1" applyFill="1" applyAlignment="1">
      <alignment vertical="top"/>
    </xf>
    <xf numFmtId="2" fontId="9" fillId="15" borderId="0" xfId="0" applyNumberFormat="1" applyFont="1" applyFill="1" applyAlignment="1">
      <alignment horizontal="right" vertical="top"/>
    </xf>
    <xf numFmtId="0" fontId="0" fillId="14" borderId="0" xfId="0" applyFill="1"/>
    <xf numFmtId="0" fontId="7" fillId="8" borderId="0" xfId="0" applyFont="1" applyFill="1" applyAlignment="1">
      <alignment wrapText="1"/>
    </xf>
    <xf numFmtId="0" fontId="6" fillId="7" borderId="0" xfId="0" applyFont="1" applyFill="1"/>
    <xf numFmtId="49" fontId="12" fillId="7" borderId="0" xfId="0" applyNumberFormat="1" applyFont="1" applyFill="1" applyAlignment="1">
      <alignment wrapText="1"/>
    </xf>
    <xf numFmtId="49" fontId="3" fillId="0" borderId="0" xfId="0" applyNumberFormat="1" applyFo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0</xdr:row>
          <xdr:rowOff>228600</xdr:rowOff>
        </xdr:from>
        <xdr:to>
          <xdr:col>1</xdr:col>
          <xdr:colOff>828675</xdr:colOff>
          <xdr:row>0</xdr:row>
          <xdr:rowOff>552450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971550</xdr:colOff>
          <xdr:row>0</xdr:row>
          <xdr:rowOff>238125</xdr:rowOff>
        </xdr:from>
        <xdr:to>
          <xdr:col>1</xdr:col>
          <xdr:colOff>2162175</xdr:colOff>
          <xdr:row>0</xdr:row>
          <xdr:rowOff>676275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txt for</a:t>
              </a:r>
            </a:p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 Bulk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171453</xdr:colOff>
      <xdr:row>3</xdr:row>
      <xdr:rowOff>128586</xdr:rowOff>
    </xdr:from>
    <xdr:to>
      <xdr:col>24</xdr:col>
      <xdr:colOff>123827</xdr:colOff>
      <xdr:row>23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84DA4-6124-486A-A020-D3CC50590B89}"/>
            </a:ext>
          </a:extLst>
        </xdr:cNvPr>
        <xdr:cNvSpPr txBox="1"/>
      </xdr:nvSpPr>
      <xdr:spPr>
        <a:xfrm>
          <a:off x="9991728" y="709611"/>
          <a:ext cx="6048374" cy="37195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>
              <a:latin typeface="Aptos Narrow" panose="020B0004020202020204" pitchFamily="34" charset="0"/>
            </a:rPr>
            <a:t>Task:</a:t>
          </a:r>
          <a:r>
            <a:rPr lang="sv-SE" sz="1200">
              <a:latin typeface="Aptos Narrow" panose="020B0004020202020204" pitchFamily="34" charset="0"/>
            </a:rPr>
            <a:t> Create a technical specification table for windsurfing bords.</a:t>
          </a:r>
          <a:r>
            <a:rPr lang="sv-SE" sz="1200" baseline="0">
              <a:latin typeface="Aptos Narrow" panose="020B0004020202020204" pitchFamily="34" charset="0"/>
            </a:rPr>
            <a:t> No links nor explanation should be inluced. Output tab separated the table that could by copied in to Excel. Add the table to a new sheet named by Type. Purge brand name from type.</a:t>
          </a:r>
        </a:p>
        <a:p>
          <a:endParaRPr lang="sv-SE" sz="12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Reapeat</a:t>
          </a:r>
          <a:r>
            <a:rPr lang="sv-SE" sz="1200" b="1" baseline="0">
              <a:latin typeface="Aptos Narrow" panose="020B0004020202020204" pitchFamily="34" charset="0"/>
            </a:rPr>
            <a:t> to a</a:t>
          </a:r>
          <a:r>
            <a:rPr lang="sv-SE" sz="1200" b="1">
              <a:latin typeface="Aptos Narrow" panose="020B0004020202020204" pitchFamily="34" charset="0"/>
            </a:rPr>
            <a:t>sk for input  </a:t>
          </a:r>
          <a:r>
            <a:rPr lang="sv-SE" sz="1200" b="0">
              <a:latin typeface="Aptos Narrow" panose="020B0004020202020204" pitchFamily="34" charset="0"/>
            </a:rPr>
            <a:t>(</a:t>
          </a:r>
          <a:r>
            <a:rPr lang="sv-SE" sz="12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Board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200" b="1">
              <a:latin typeface="Aptos Narrow" panose="020B0004020202020204" pitchFamily="34" charset="0"/>
            </a:rPr>
            <a:t>Output Format:</a:t>
          </a:r>
          <a:r>
            <a:rPr lang="sv-SE" sz="1200">
              <a:latin typeface="Aptos Narrow" panose="020B0004020202020204" pitchFamily="34" charset="0"/>
            </a:rPr>
            <a:t> Please generate a table with the columns in this exact order: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Year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(The</a:t>
          </a:r>
          <a:r>
            <a:rPr lang="sv-SE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same v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alue for all rows)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Brand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(The same value for all rows)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Type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aka Model (Extract from source and suffix with volume or width)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Width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Length</a:t>
          </a:r>
          <a:r>
            <a:rPr lang="sv-SE" sz="12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Tecknology 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Finboxes</a:t>
          </a:r>
          <a:r>
            <a:rPr lang="sv-SE" sz="1200" b="1" baseline="0">
              <a:latin typeface="Aptos Narrow" panose="020B0004020202020204" pitchFamily="34" charset="0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Fins included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latin typeface="Aptos Narrow" panose="020B0004020202020204" pitchFamily="34" charset="0"/>
            </a:rPr>
            <a:t>RRS / Recomended Sail Sizes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r>
            <a:rPr lang="sv-SE" sz="1200" b="1">
              <a:latin typeface="Aptos Narrow" panose="020B0004020202020204" pitchFamily="34" charset="0"/>
            </a:rPr>
            <a:t>Weight</a:t>
          </a:r>
          <a:r>
            <a:rPr lang="sv-SE" sz="1200">
              <a:latin typeface="Aptos Narrow" panose="020B0004020202020204" pitchFamily="34" charset="0"/>
            </a:rPr>
            <a:t> 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3</xdr:row>
      <xdr:rowOff>85725</xdr:rowOff>
    </xdr:from>
    <xdr:to>
      <xdr:col>13</xdr:col>
      <xdr:colOff>266702</xdr:colOff>
      <xdr:row>11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83E4DD-CB1D-4757-9A5F-CC7F905E8350}"/>
            </a:ext>
          </a:extLst>
        </xdr:cNvPr>
        <xdr:cNvSpPr txBox="1"/>
      </xdr:nvSpPr>
      <xdr:spPr>
        <a:xfrm>
          <a:off x="4905375" y="65722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https://www.weone.at/category/boards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https://www.weone.at/product/we-race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https://www.weone.at/product/we-free-race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We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One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We Race, 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We Free Race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142875</xdr:rowOff>
        </xdr:from>
        <xdr:to>
          <xdr:col>3</xdr:col>
          <xdr:colOff>1419225</xdr:colOff>
          <xdr:row>1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598253</xdr:colOff>
      <xdr:row>21</xdr:row>
      <xdr:rowOff>142875</xdr:rowOff>
    </xdr:from>
    <xdr:to>
      <xdr:col>13</xdr:col>
      <xdr:colOff>200025</xdr:colOff>
      <xdr:row>47</xdr:row>
      <xdr:rowOff>104311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C91A1D-01B8-9E46-3F60-D3A98797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853" y="4152900"/>
          <a:ext cx="8202847" cy="4914436"/>
        </a:xfrm>
        <a:prstGeom prst="rect">
          <a:avLst/>
        </a:prstGeom>
      </xdr:spPr>
    </xdr:pic>
    <xdr:clientData/>
  </xdr:twoCellAnchor>
  <xdr:twoCellAnchor editAs="oneCell">
    <xdr:from>
      <xdr:col>25</xdr:col>
      <xdr:colOff>473566</xdr:colOff>
      <xdr:row>0</xdr:row>
      <xdr:rowOff>0</xdr:rowOff>
    </xdr:from>
    <xdr:to>
      <xdr:col>30</xdr:col>
      <xdr:colOff>561976</xdr:colOff>
      <xdr:row>14</xdr:row>
      <xdr:rowOff>155748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4F2396-5B84-F569-DBD6-82CC4403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99441" y="0"/>
          <a:ext cx="3136410" cy="2832273"/>
        </a:xfrm>
        <a:prstGeom prst="rect">
          <a:avLst/>
        </a:prstGeom>
      </xdr:spPr>
    </xdr:pic>
    <xdr:clientData/>
  </xdr:twoCellAnchor>
  <xdr:twoCellAnchor editAs="oneCell">
    <xdr:from>
      <xdr:col>14</xdr:col>
      <xdr:colOff>409575</xdr:colOff>
      <xdr:row>31</xdr:row>
      <xdr:rowOff>0</xdr:rowOff>
    </xdr:from>
    <xdr:to>
      <xdr:col>25</xdr:col>
      <xdr:colOff>143774</xdr:colOff>
      <xdr:row>39</xdr:row>
      <xdr:rowOff>9739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A6274FD-C932-1C90-DD06-DB01E2BF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29850" y="5915025"/>
          <a:ext cx="6439799" cy="1533739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447674</xdr:colOff>
      <xdr:row>40</xdr:row>
      <xdr:rowOff>97205</xdr:rowOff>
    </xdr:from>
    <xdr:to>
      <xdr:col>28</xdr:col>
      <xdr:colOff>449539</xdr:colOff>
      <xdr:row>45</xdr:row>
      <xdr:rowOff>57349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387706-43FD-F97B-6CE5-3963B164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67949" y="7726730"/>
          <a:ext cx="8536265" cy="9126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1000125</xdr:colOff>
      <xdr:row>16</xdr:row>
      <xdr:rowOff>57150</xdr:rowOff>
    </xdr:from>
    <xdr:to>
      <xdr:col>16</xdr:col>
      <xdr:colOff>581025</xdr:colOff>
      <xdr:row>22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BB8D10-51E9-9345-6756-6CEDED44136D}"/>
            </a:ext>
          </a:extLst>
        </xdr:cNvPr>
        <xdr:cNvSpPr txBox="1"/>
      </xdr:nvSpPr>
      <xdr:spPr>
        <a:xfrm>
          <a:off x="7467600" y="3105150"/>
          <a:ext cx="53911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column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Calss and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set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 data to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the listed classes (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Speed/Slalom Small,</a:t>
          </a:r>
          <a:r>
            <a:rPr lang="sv-SE">
              <a:effectLst/>
            </a:rPr>
            <a:t>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Medium</a:t>
          </a:r>
          <a:r>
            <a:rPr lang="sv-SE">
              <a:effectLst/>
            </a:rPr>
            <a:t> ,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Large)</a:t>
          </a:r>
          <a:endParaRPr lang="sv-SE" sz="1100"/>
        </a:p>
      </xdr:txBody>
    </xdr:sp>
    <xdr:clientData/>
  </xdr:twoCellAnchor>
  <xdr:twoCellAnchor>
    <xdr:from>
      <xdr:col>8</xdr:col>
      <xdr:colOff>971550</xdr:colOff>
      <xdr:row>25</xdr:row>
      <xdr:rowOff>104775</xdr:rowOff>
    </xdr:from>
    <xdr:to>
      <xdr:col>16</xdr:col>
      <xdr:colOff>438150</xdr:colOff>
      <xdr:row>32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261E2D8-F646-7759-8012-C4722C307C05}"/>
            </a:ext>
          </a:extLst>
        </xdr:cNvPr>
        <xdr:cNvSpPr txBox="1"/>
      </xdr:nvSpPr>
      <xdr:spPr>
        <a:xfrm>
          <a:off x="7439025" y="4867275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100"/>
        </a:p>
        <a:p>
          <a:r>
            <a:rPr lang="sv-SE" sz="1100"/>
            <a:t>=UPPER(LEFT(M2,1))&amp;RIGHT(M2,LEN(M2)-1)</a:t>
          </a:r>
        </a:p>
      </xdr:txBody>
    </xdr:sp>
    <xdr:clientData/>
  </xdr:twoCellAnchor>
  <xdr:twoCellAnchor>
    <xdr:from>
      <xdr:col>8</xdr:col>
      <xdr:colOff>1066800</xdr:colOff>
      <xdr:row>33</xdr:row>
      <xdr:rowOff>0</xdr:rowOff>
    </xdr:from>
    <xdr:to>
      <xdr:col>17</xdr:col>
      <xdr:colOff>66675</xdr:colOff>
      <xdr:row>39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B667737-F7C8-DDEF-7025-BCCD699E93B1}"/>
            </a:ext>
          </a:extLst>
        </xdr:cNvPr>
        <xdr:cNvSpPr txBox="1"/>
      </xdr:nvSpPr>
      <xdr:spPr>
        <a:xfrm>
          <a:off x="7534275" y="6286500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=PROPER(TEXTSPLIT(M2," ",,,,))&amp;RIGHT(M2,LEN(M2)-1)</a:t>
          </a:r>
        </a:p>
        <a:p>
          <a:endParaRPr lang="sv-SE" sz="1100"/>
        </a:p>
        <a:p>
          <a:r>
            <a:rPr lang="sv-SE" sz="1100"/>
            <a:t>=PROPER(LEFT(M2,FIND(" ",M2)))</a:t>
          </a:r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885825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296900" y="88582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>
    <tabColor theme="9"/>
  </sheetPr>
  <dimension ref="A1:U513"/>
  <sheetViews>
    <sheetView tabSelected="1" zoomScale="130" zoomScaleNormal="130" workbookViewId="0">
      <pane ySplit="1" topLeftCell="A2" activePane="bottomLeft" state="frozen"/>
      <selection pane="bottomLeft" activeCell="G5" sqref="G5"/>
    </sheetView>
  </sheetViews>
  <sheetFormatPr defaultRowHeight="15" outlineLevelCol="1" x14ac:dyDescent="0.25"/>
  <cols>
    <col min="1" max="1" width="9.140625" customWidth="1" outlineLevel="1"/>
    <col min="2" max="2" width="35.28515625" customWidth="1" outlineLevel="1"/>
    <col min="3" max="3" width="13.28515625" customWidth="1" outlineLevel="1"/>
    <col min="4" max="4" width="8.28515625" customWidth="1" outlineLevel="1"/>
    <col min="5" max="5" width="7.140625" customWidth="1" outlineLevel="1"/>
    <col min="6" max="6" width="6.42578125" style="37" customWidth="1" outlineLevel="1"/>
    <col min="7" max="7" width="24.85546875" bestFit="1" customWidth="1" outlineLevel="1"/>
    <col min="8" max="8" width="33.7109375" customWidth="1" outlineLevel="1"/>
    <col min="9" max="9" width="8.85546875" customWidth="1" outlineLevel="1"/>
    <col min="10" max="10" width="10.7109375" style="18" customWidth="1"/>
    <col min="11" max="11" width="12" customWidth="1"/>
    <col min="12" max="12" width="33.140625" bestFit="1" customWidth="1"/>
    <col min="13" max="13" width="12.42578125" bestFit="1" customWidth="1"/>
    <col min="14" max="14" width="10.85546875" bestFit="1" customWidth="1"/>
    <col min="15" max="15" width="11.7109375" bestFit="1" customWidth="1"/>
    <col min="16" max="16" width="50" bestFit="1" customWidth="1"/>
    <col min="17" max="17" width="28.85546875" bestFit="1" customWidth="1"/>
    <col min="18" max="18" width="63.42578125" bestFit="1" customWidth="1"/>
    <col min="19" max="19" width="24" bestFit="1" customWidth="1"/>
    <col min="20" max="20" width="13.140625" bestFit="1" customWidth="1"/>
  </cols>
  <sheetData>
    <row r="1" spans="1:21" ht="62.25" customHeight="1" x14ac:dyDescent="0.25">
      <c r="A1" s="40" t="s">
        <v>3</v>
      </c>
      <c r="B1" s="40" t="s">
        <v>4</v>
      </c>
      <c r="C1" s="40" t="s">
        <v>355</v>
      </c>
      <c r="D1" s="40" t="s">
        <v>356</v>
      </c>
      <c r="E1" s="40" t="s">
        <v>6</v>
      </c>
      <c r="F1" s="41" t="s">
        <v>0</v>
      </c>
      <c r="G1" s="40" t="s">
        <v>7</v>
      </c>
      <c r="H1" s="17" t="s">
        <v>2262</v>
      </c>
      <c r="I1" s="43" t="s">
        <v>279</v>
      </c>
      <c r="J1" s="45" t="s">
        <v>2250</v>
      </c>
      <c r="K1" s="16" t="s">
        <v>3</v>
      </c>
      <c r="L1" s="16" t="s">
        <v>2039</v>
      </c>
      <c r="M1" s="16" t="s">
        <v>724</v>
      </c>
      <c r="N1" s="16" t="s">
        <v>123</v>
      </c>
      <c r="O1" s="16" t="s">
        <v>124</v>
      </c>
      <c r="P1" s="44" t="s">
        <v>125</v>
      </c>
      <c r="Q1" s="44" t="s">
        <v>126</v>
      </c>
      <c r="R1" s="44" t="s">
        <v>127</v>
      </c>
      <c r="S1" s="44" t="s">
        <v>128</v>
      </c>
      <c r="T1" s="44" t="s">
        <v>2040</v>
      </c>
      <c r="U1" s="44" t="s">
        <v>2240</v>
      </c>
    </row>
    <row r="2" spans="1:21" x14ac:dyDescent="0.25">
      <c r="A2" s="11" t="str">
        <f>PROPER(K2)</f>
        <v>F2</v>
      </c>
      <c r="B2" s="11" t="str">
        <f>TRIM(PROPER(LEFT(L2,IFERROR(FIND(" ",L2),99))&amp;MID(L2,IFERROR(FIND(" ",L2),99),99)))</f>
        <v>Bullit</v>
      </c>
      <c r="C2" s="11">
        <f>TRUNC(O2)</f>
        <v>295</v>
      </c>
      <c r="D2" s="11">
        <f>TRUNC(N2)</f>
        <v>60</v>
      </c>
      <c r="E2" s="11">
        <f>M2</f>
        <v>112</v>
      </c>
      <c r="F2" s="38" t="str">
        <f>I2</f>
        <v>1991</v>
      </c>
      <c r="G2" s="11" t="str" cm="1">
        <f t="array" ref="G2">gssBoardClass(A2,B2,C2,D2,E2,F2)</f>
        <v>Slalom Large</v>
      </c>
      <c r="H2" s="39" t="str">
        <f>_xlfn.CONCAT(I2,"-",LEFT(K2,2),"-",LEFT(L2,3),"-",M2,"-",TRUNC(N2),"-",TRUNC(O2))</f>
        <v>1991-F2-Bul-112-60-295</v>
      </c>
      <c r="I2" s="42" t="str">
        <f>LEFT(J2,4)</f>
        <v>1991</v>
      </c>
      <c r="J2" s="46" t="s">
        <v>2354</v>
      </c>
      <c r="K2" t="s">
        <v>999</v>
      </c>
      <c r="L2" t="s">
        <v>2356</v>
      </c>
      <c r="M2">
        <v>112</v>
      </c>
      <c r="N2">
        <v>60</v>
      </c>
      <c r="O2">
        <v>295</v>
      </c>
      <c r="Q2" t="s">
        <v>522</v>
      </c>
    </row>
    <row r="3" spans="1:21" x14ac:dyDescent="0.25">
      <c r="A3" s="11" t="str">
        <f>PROPER(K3)</f>
        <v>F2</v>
      </c>
      <c r="B3" s="11" t="str">
        <f>TRIM(PROPER(LEFT(L3,IFERROR(FIND(" ",L3),99))&amp;MID(L3,IFERROR(FIND(" ",L3),99),99)))</f>
        <v>Sunset</v>
      </c>
      <c r="C3" s="11">
        <f>TRUNC(O3)</f>
        <v>272</v>
      </c>
      <c r="D3" s="11">
        <f>TRUNC(N3)</f>
        <v>60</v>
      </c>
      <c r="E3" s="11">
        <f>M3</f>
        <v>105</v>
      </c>
      <c r="F3" s="38" t="str">
        <f>I3</f>
        <v>1991</v>
      </c>
      <c r="G3" s="11" t="str" cm="1">
        <f t="array" ref="G3">gssBoardClass(A3,B3,C3,D3,E3,F3)</f>
        <v>Slalom Medium</v>
      </c>
      <c r="H3" s="39" t="str">
        <f>_xlfn.CONCAT(I3,"-",LEFT(K3,2),"-",LEFT(L3,3),"-",M3,"-",TRUNC(N3),"-",TRUNC(O3))</f>
        <v>1991-F2-Sun-105-60-272</v>
      </c>
      <c r="I3" s="42" t="str">
        <f>LEFT(J3,4)</f>
        <v>1991</v>
      </c>
      <c r="J3" s="46" t="s">
        <v>2354</v>
      </c>
      <c r="K3" t="s">
        <v>999</v>
      </c>
      <c r="L3" t="s">
        <v>2357</v>
      </c>
      <c r="M3">
        <v>105</v>
      </c>
      <c r="N3">
        <v>60</v>
      </c>
      <c r="O3">
        <v>272</v>
      </c>
      <c r="Q3" t="s">
        <v>522</v>
      </c>
    </row>
    <row r="4" spans="1:21" x14ac:dyDescent="0.25">
      <c r="A4" s="11" t="str">
        <f>PROPER(K4)</f>
        <v>Mistral</v>
      </c>
      <c r="B4" s="11" t="str">
        <f>TRIM(PROPER(LEFT(L4,IFERROR(FIND(" ",L4),99))&amp;MID(L4,IFERROR(FIND(" ",L4),99),99)))</f>
        <v>Screamer</v>
      </c>
      <c r="C4" s="11">
        <f>TRUNC(O4)</f>
        <v>277</v>
      </c>
      <c r="D4" s="11">
        <f>TRUNC(N4)</f>
        <v>56</v>
      </c>
      <c r="E4" s="11">
        <f>M4</f>
        <v>103</v>
      </c>
      <c r="F4" s="38" t="str">
        <f>I4</f>
        <v>1991</v>
      </c>
      <c r="G4" s="11" t="str" cm="1">
        <f t="array" ref="G4">gssBoardClass(A4,B4,C4,D4,E4,F4)</f>
        <v>Slalom Medium</v>
      </c>
      <c r="H4" s="39" t="str">
        <f>_xlfn.CONCAT(I4,"-",LEFT(K4,2),"-",LEFT(L4,3),"-",M4,"-",TRUNC(N4),"-",TRUNC(O4))</f>
        <v>1991-Mi-Scr-103-56-277</v>
      </c>
      <c r="I4" s="42" t="str">
        <f>LEFT(J4,4)</f>
        <v>1991</v>
      </c>
      <c r="J4" s="46" t="s">
        <v>2354</v>
      </c>
      <c r="K4" t="s">
        <v>2358</v>
      </c>
      <c r="L4" t="s">
        <v>2359</v>
      </c>
      <c r="M4">
        <v>103</v>
      </c>
      <c r="N4">
        <v>56</v>
      </c>
      <c r="O4">
        <v>277</v>
      </c>
      <c r="P4" t="s">
        <v>2360</v>
      </c>
      <c r="Q4" t="s">
        <v>179</v>
      </c>
    </row>
    <row r="5" spans="1:21" x14ac:dyDescent="0.25">
      <c r="A5" s="11" t="str">
        <f>PROPER(K5)</f>
        <v>Tiga</v>
      </c>
      <c r="B5" s="11" t="str">
        <f>TRIM(PROPER(LEFT(L5,IFERROR(FIND(" ",L5),99))&amp;MID(L5,IFERROR(FIND(" ",L5),99),99)))</f>
        <v>260 Acr</v>
      </c>
      <c r="C5" s="11">
        <f>TRUNC(O5)</f>
        <v>260</v>
      </c>
      <c r="D5" s="11">
        <f>TRUNC(N5)</f>
        <v>55</v>
      </c>
      <c r="E5" s="11">
        <f>M5</f>
        <v>88</v>
      </c>
      <c r="F5" s="38" t="str">
        <f>I5</f>
        <v>1992</v>
      </c>
      <c r="G5" s="11" t="str" cm="1">
        <f t="array" ref="G5">gssBoardClass(A5,B5,C5,D5,E5,F5)</f>
        <v>Speed/Slalom Small</v>
      </c>
      <c r="H5" s="39" t="str">
        <f>_xlfn.CONCAT(I5,"-",LEFT(K5,2),"-",LEFT(L5,3),"-",M5,"-",TRUNC(N5),"-",TRUNC(O5))</f>
        <v>1992-Ti-260-88-55-260</v>
      </c>
      <c r="I5" s="42" t="str">
        <f>LEFT(J5,4)</f>
        <v>1992</v>
      </c>
      <c r="J5" s="46">
        <v>1992</v>
      </c>
      <c r="K5" t="s">
        <v>339</v>
      </c>
      <c r="L5" t="s">
        <v>340</v>
      </c>
      <c r="M5">
        <v>88</v>
      </c>
      <c r="N5">
        <v>55</v>
      </c>
      <c r="O5">
        <v>260</v>
      </c>
      <c r="Q5" t="s">
        <v>332</v>
      </c>
    </row>
    <row r="6" spans="1:21" x14ac:dyDescent="0.25">
      <c r="A6" s="11" t="str">
        <f>PROPER(K6)</f>
        <v>Mistral</v>
      </c>
      <c r="B6" s="11" t="str">
        <f>TRIM(PROPER(LEFT(L6,IFERROR(FIND(" ",L6),99))&amp;MID(L6,IFERROR(FIND(" ",L6),99),99)))</f>
        <v>Screamer</v>
      </c>
      <c r="C6" s="11">
        <f>TRUNC(O6)</f>
        <v>277</v>
      </c>
      <c r="D6" s="11">
        <f>TRUNC(N6)</f>
        <v>56</v>
      </c>
      <c r="E6" s="11">
        <f>M6</f>
        <v>103</v>
      </c>
      <c r="F6" s="38" t="str">
        <f>I6</f>
        <v>1995</v>
      </c>
      <c r="G6" s="11" t="str" cm="1">
        <f t="array" ref="G6">gssBoardClass(A6,B6,C6,D6,E6,F6)</f>
        <v>Slalom Medium</v>
      </c>
      <c r="H6" s="39" t="str">
        <f>_xlfn.CONCAT(I6,"-",LEFT(K6,2),"-",LEFT(L6,3),"-",M6,"-",TRUNC(N6),"-",TRUNC(O6))</f>
        <v>1995-Mi-Scr-103-56-277</v>
      </c>
      <c r="I6" s="42" t="str">
        <f>LEFT(J6,4)</f>
        <v>1995</v>
      </c>
      <c r="J6" s="46" t="s">
        <v>2362</v>
      </c>
      <c r="K6" t="s">
        <v>2358</v>
      </c>
      <c r="L6" t="s">
        <v>2359</v>
      </c>
      <c r="M6">
        <v>103</v>
      </c>
      <c r="N6">
        <v>56</v>
      </c>
      <c r="O6">
        <v>277</v>
      </c>
      <c r="P6" t="s">
        <v>2361</v>
      </c>
      <c r="Q6" t="s">
        <v>179</v>
      </c>
    </row>
    <row r="7" spans="1:21" x14ac:dyDescent="0.25">
      <c r="A7" s="11" t="str">
        <f>PROPER(K7)</f>
        <v>Ahd</v>
      </c>
      <c r="B7" s="11" t="str">
        <f>TRIM(PROPER(LEFT(L7,IFERROR(FIND(" ",L7),99))&amp;MID(L7,IFERROR(FIND(" ",L7),99),99)))</f>
        <v>Attitude Inspiro 79</v>
      </c>
      <c r="C7" s="11">
        <f>TRUNC(O7)</f>
        <v>252</v>
      </c>
      <c r="D7" s="11">
        <f>TRUNC(N7)</f>
        <v>78</v>
      </c>
      <c r="E7" s="11">
        <f>M7</f>
        <v>136</v>
      </c>
      <c r="F7" s="38" t="str">
        <f>I7</f>
        <v>2004</v>
      </c>
      <c r="G7" s="11" t="str" cm="1">
        <f t="array" ref="G7">gssBoardClass(A7,B7,C7,D7,E7,F7)</f>
        <v>Slalom Large</v>
      </c>
      <c r="H7" s="39" t="str">
        <f>_xlfn.CONCAT(I7,"-",LEFT(K7,2),"-",LEFT(L7,3),"-",M7,"-",TRUNC(N7),"-",TRUNC(O7))</f>
        <v>2004-AH-Att-136-78-252</v>
      </c>
      <c r="I7" s="42" t="str">
        <f>LEFT(J7,4)</f>
        <v>2004</v>
      </c>
      <c r="J7" s="46" t="s">
        <v>801</v>
      </c>
      <c r="K7" t="s">
        <v>784</v>
      </c>
      <c r="L7" t="s">
        <v>2355</v>
      </c>
      <c r="M7">
        <v>136</v>
      </c>
      <c r="N7">
        <v>78</v>
      </c>
      <c r="O7">
        <v>252</v>
      </c>
      <c r="Q7" t="s">
        <v>232</v>
      </c>
    </row>
    <row r="8" spans="1:21" x14ac:dyDescent="0.25">
      <c r="A8" s="11" t="str">
        <f>PROPER(K8)</f>
        <v>Fanatic</v>
      </c>
      <c r="B8" s="11" t="str">
        <f>TRIM(PROPER(LEFT(L8,IFERROR(FIND(" ",L8),99))&amp;MID(L8,IFERROR(FIND(" ",L8),99),99)))</f>
        <v>Allwave 72</v>
      </c>
      <c r="C8" s="11">
        <f>TRUNC(O8)</f>
        <v>232</v>
      </c>
      <c r="D8" s="11">
        <f>TRUNC(N8)</f>
        <v>54</v>
      </c>
      <c r="E8" s="11">
        <f>M8</f>
        <v>72</v>
      </c>
      <c r="F8" s="38" t="str">
        <f>I8</f>
        <v>2007</v>
      </c>
      <c r="G8" s="11" t="str" cm="1">
        <f t="array" ref="G8">gssBoardClass(A8,B8,C8,D8,E8,F8)</f>
        <v>Wave / Freestyle</v>
      </c>
      <c r="H8" s="39" t="str">
        <f>_xlfn.CONCAT(I8,"-",LEFT(K8,2),"-",LEFT(L8,3),"-",M8,"-",TRUNC(N8),"-",TRUNC(O8))</f>
        <v>2007-Fa-All-72-54-232</v>
      </c>
      <c r="I8" s="42" t="str">
        <f>LEFT(J8,4)</f>
        <v>2007</v>
      </c>
      <c r="J8" s="46" t="s">
        <v>1085</v>
      </c>
      <c r="K8" t="s">
        <v>1</v>
      </c>
      <c r="L8" t="s">
        <v>717</v>
      </c>
      <c r="M8">
        <v>72</v>
      </c>
      <c r="N8">
        <v>54</v>
      </c>
      <c r="O8">
        <v>232</v>
      </c>
      <c r="P8" t="s">
        <v>462</v>
      </c>
      <c r="R8" t="s">
        <v>463</v>
      </c>
    </row>
    <row r="9" spans="1:21" x14ac:dyDescent="0.25">
      <c r="A9" s="11" t="str">
        <f>PROPER(K9)</f>
        <v>Fanatic</v>
      </c>
      <c r="B9" s="11" t="str">
        <f>TRIM(PROPER(LEFT(L9,IFERROR(FIND(" ",L9),99))&amp;MID(L9,IFERROR(FIND(" ",L9),99),99)))</f>
        <v>Allwave 82</v>
      </c>
      <c r="C9" s="11">
        <f>TRUNC(O9)</f>
        <v>233</v>
      </c>
      <c r="D9" s="11">
        <f>TRUNC(N9)</f>
        <v>57</v>
      </c>
      <c r="E9" s="11">
        <f>M9</f>
        <v>82</v>
      </c>
      <c r="F9" s="38" t="str">
        <f>I9</f>
        <v>2007</v>
      </c>
      <c r="G9" s="11" t="str" cm="1">
        <f t="array" ref="G9">gssBoardClass(A9,B9,C9,D9,E9,F9)</f>
        <v>Wave / Freestyle</v>
      </c>
      <c r="H9" s="39" t="str">
        <f>_xlfn.CONCAT(I9,"-",LEFT(K9,2),"-",LEFT(L9,3),"-",M9,"-",TRUNC(N9),"-",TRUNC(O9))</f>
        <v>2007-Fa-All-82-57-233</v>
      </c>
      <c r="I9" s="42" t="str">
        <f>LEFT(J9,4)</f>
        <v>2007</v>
      </c>
      <c r="J9" s="46" t="s">
        <v>1085</v>
      </c>
      <c r="K9" t="s">
        <v>1</v>
      </c>
      <c r="L9" t="s">
        <v>716</v>
      </c>
      <c r="M9">
        <v>82</v>
      </c>
      <c r="N9">
        <v>57</v>
      </c>
      <c r="O9">
        <v>233</v>
      </c>
      <c r="P9" t="s">
        <v>462</v>
      </c>
      <c r="R9" t="s">
        <v>464</v>
      </c>
    </row>
    <row r="10" spans="1:21" x14ac:dyDescent="0.25">
      <c r="A10" s="11" t="str">
        <f>PROPER(K10)</f>
        <v>Fanatic</v>
      </c>
      <c r="B10" s="11" t="str">
        <f>TRIM(PROPER(LEFT(L10,IFERROR(FIND(" ",L10),99))&amp;MID(L10,IFERROR(FIND(" ",L10),99),99)))</f>
        <v>Aw 92</v>
      </c>
      <c r="C10" s="11">
        <f>TRUNC(O10)</f>
        <v>235</v>
      </c>
      <c r="D10" s="11">
        <f>TRUNC(N10)</f>
        <v>60</v>
      </c>
      <c r="E10" s="11">
        <f>M10</f>
        <v>92</v>
      </c>
      <c r="F10" s="38" t="str">
        <f>I10</f>
        <v>2007</v>
      </c>
      <c r="G10" s="11" t="str" cm="1">
        <f t="array" ref="G10">gssBoardClass(A10,B10,C10,D10,E10,F10)</f>
        <v>Speed/Slalom Xtra Small</v>
      </c>
      <c r="H10" s="39" t="str">
        <f>_xlfn.CONCAT(I10,"-",LEFT(K10,2),"-",LEFT(L10,3),"-",M10,"-",TRUNC(N10),"-",TRUNC(O10))</f>
        <v>2007-Fa-AW -92-60-235</v>
      </c>
      <c r="I10" s="42" t="str">
        <f>LEFT(J10,4)</f>
        <v>2007</v>
      </c>
      <c r="J10" s="46" t="s">
        <v>1085</v>
      </c>
      <c r="K10" t="s">
        <v>1</v>
      </c>
      <c r="L10" t="s">
        <v>465</v>
      </c>
      <c r="M10">
        <v>92</v>
      </c>
      <c r="N10">
        <v>60</v>
      </c>
      <c r="O10">
        <v>235</v>
      </c>
      <c r="P10" t="s">
        <v>462</v>
      </c>
      <c r="R10" t="s">
        <v>466</v>
      </c>
    </row>
    <row r="11" spans="1:21" x14ac:dyDescent="0.25">
      <c r="A11" s="11" t="str">
        <f>PROPER(K11)</f>
        <v>Fanatic</v>
      </c>
      <c r="B11" s="11" t="str">
        <f>TRIM(PROPER(LEFT(L11,IFERROR(FIND(" ",L11),99))&amp;MID(L11,IFERROR(FIND(" ",L11),99),99)))</f>
        <v>Eagle 100</v>
      </c>
      <c r="C11" s="11">
        <f>TRUNC(O11)</f>
        <v>245</v>
      </c>
      <c r="D11" s="11">
        <f>TRUNC(N11)</f>
        <v>63</v>
      </c>
      <c r="E11" s="11">
        <f>M11</f>
        <v>100</v>
      </c>
      <c r="F11" s="38" t="str">
        <f>I11</f>
        <v>2007</v>
      </c>
      <c r="G11" s="11" t="str" cm="1">
        <f t="array" ref="G11">gssBoardClass(A11,B11,C11,D11,E11,F11)</f>
        <v>Speed/Slalom Small</v>
      </c>
      <c r="H11" s="39" t="str">
        <f>_xlfn.CONCAT(I11,"-",LEFT(K11,2),"-",LEFT(L11,3),"-",M11,"-",TRUNC(N11),"-",TRUNC(O11))</f>
        <v>2007-Fa-EAG-100-63-245</v>
      </c>
      <c r="I11" s="42" t="str">
        <f>LEFT(J11,4)</f>
        <v>2007</v>
      </c>
      <c r="J11" s="46" t="s">
        <v>1085</v>
      </c>
      <c r="K11" t="s">
        <v>1</v>
      </c>
      <c r="L11" t="s">
        <v>486</v>
      </c>
      <c r="M11">
        <v>100</v>
      </c>
      <c r="N11">
        <v>63</v>
      </c>
      <c r="O11">
        <v>245</v>
      </c>
      <c r="P11" t="s">
        <v>480</v>
      </c>
      <c r="R11" t="s">
        <v>487</v>
      </c>
    </row>
    <row r="12" spans="1:21" x14ac:dyDescent="0.25">
      <c r="A12" s="11" t="str">
        <f>PROPER(K12)</f>
        <v>Fanatic</v>
      </c>
      <c r="B12" s="11" t="str">
        <f>TRIM(PROPER(LEFT(L12,IFERROR(FIND(" ",L12),99))&amp;MID(L12,IFERROR(FIND(" ",L12),99),99)))</f>
        <v>Eagle 113</v>
      </c>
      <c r="C12" s="11">
        <f>TRUNC(O12)</f>
        <v>246</v>
      </c>
      <c r="D12" s="11">
        <f>TRUNC(N12)</f>
        <v>66</v>
      </c>
      <c r="E12" s="11">
        <f>M12</f>
        <v>113</v>
      </c>
      <c r="F12" s="38" t="str">
        <f>I12</f>
        <v>2007</v>
      </c>
      <c r="G12" s="11" t="str" cm="1">
        <f t="array" ref="G12">gssBoardClass(A12,B12,C12,D12,E12,F12)</f>
        <v>Slalom Medium</v>
      </c>
      <c r="H12" s="39" t="str">
        <f>_xlfn.CONCAT(I12,"-",LEFT(K12,2),"-",LEFT(L12,3),"-",M12,"-",TRUNC(N12),"-",TRUNC(O12))</f>
        <v>2007-Fa-EAG-113-66-246</v>
      </c>
      <c r="I12" s="42" t="str">
        <f>LEFT(J12,4)</f>
        <v>2007</v>
      </c>
      <c r="J12" s="46" t="s">
        <v>1085</v>
      </c>
      <c r="K12" t="s">
        <v>1</v>
      </c>
      <c r="L12" t="s">
        <v>488</v>
      </c>
      <c r="M12">
        <v>113</v>
      </c>
      <c r="N12">
        <v>66</v>
      </c>
      <c r="O12">
        <v>246</v>
      </c>
      <c r="P12" t="s">
        <v>480</v>
      </c>
      <c r="R12" t="s">
        <v>489</v>
      </c>
    </row>
    <row r="13" spans="1:21" x14ac:dyDescent="0.25">
      <c r="A13" s="11" t="str">
        <f>PROPER(K13)</f>
        <v>Fanatic</v>
      </c>
      <c r="B13" s="11" t="str">
        <f>TRIM(PROPER(LEFT(L13,IFERROR(FIND(" ",L13),99))&amp;MID(L13,IFERROR(FIND(" ",L13),99),99)))</f>
        <v>Eagle 126</v>
      </c>
      <c r="C13" s="11">
        <f>TRUNC(O13)</f>
        <v>249</v>
      </c>
      <c r="D13" s="11">
        <f>TRUNC(N13)</f>
        <v>69</v>
      </c>
      <c r="E13" s="11">
        <f>M13</f>
        <v>126</v>
      </c>
      <c r="F13" s="38" t="str">
        <f>I13</f>
        <v>2007</v>
      </c>
      <c r="G13" s="11" t="str" cm="1">
        <f t="array" ref="G13">gssBoardClass(A13,B13,C13,D13,E13,F13)</f>
        <v>Slalom Medium</v>
      </c>
      <c r="H13" s="39" t="str">
        <f>_xlfn.CONCAT(I13,"-",LEFT(K13,2),"-",LEFT(L13,3),"-",M13,"-",TRUNC(N13),"-",TRUNC(O13))</f>
        <v>2007-Fa-EAG-126-69-249</v>
      </c>
      <c r="I13" s="42" t="str">
        <f>LEFT(J13,4)</f>
        <v>2007</v>
      </c>
      <c r="J13" s="46" t="s">
        <v>1085</v>
      </c>
      <c r="K13" t="s">
        <v>1</v>
      </c>
      <c r="L13" t="s">
        <v>490</v>
      </c>
      <c r="M13">
        <v>126</v>
      </c>
      <c r="N13">
        <v>69</v>
      </c>
      <c r="O13">
        <v>249</v>
      </c>
      <c r="P13" t="s">
        <v>480</v>
      </c>
      <c r="R13" t="s">
        <v>491</v>
      </c>
    </row>
    <row r="14" spans="1:21" x14ac:dyDescent="0.25">
      <c r="A14" s="11" t="str">
        <f>PROPER(K14)</f>
        <v>Fanatic</v>
      </c>
      <c r="B14" s="11" t="str">
        <f>TRIM(PROPER(LEFT(L14,IFERROR(FIND(" ",L14),99))&amp;MID(L14,IFERROR(FIND(" ",L14),99),99)))</f>
        <v>Falcon Sl 104</v>
      </c>
      <c r="C14" s="11">
        <f>TRUNC(O14)</f>
        <v>245</v>
      </c>
      <c r="D14" s="11">
        <f>TRUNC(N14)</f>
        <v>67</v>
      </c>
      <c r="E14" s="11">
        <f>M14</f>
        <v>104</v>
      </c>
      <c r="F14" s="38" t="str">
        <f>I14</f>
        <v>2007</v>
      </c>
      <c r="G14" s="11" t="str" cm="1">
        <f t="array" ref="G14">gssBoardClass(A14,B14,C14,D14,E14,F14)</f>
        <v>Slalom Medium</v>
      </c>
      <c r="H14" s="39" t="str">
        <f>_xlfn.CONCAT(I14,"-",LEFT(K14,2),"-",LEFT(L14,3),"-",M14,"-",TRUNC(N14),"-",TRUNC(O14))</f>
        <v>2007-Fa-FAL-104-67-245</v>
      </c>
      <c r="I14" s="42" t="str">
        <f>LEFT(J14,4)</f>
        <v>2007</v>
      </c>
      <c r="J14" s="46" t="s">
        <v>1085</v>
      </c>
      <c r="K14" t="s">
        <v>1</v>
      </c>
      <c r="L14" t="s">
        <v>508</v>
      </c>
      <c r="M14">
        <v>104</v>
      </c>
      <c r="N14">
        <v>67</v>
      </c>
      <c r="O14">
        <v>245</v>
      </c>
      <c r="P14" t="s">
        <v>504</v>
      </c>
    </row>
    <row r="15" spans="1:21" x14ac:dyDescent="0.25">
      <c r="A15" s="11" t="str">
        <f>PROPER(K15)</f>
        <v>Fanatic</v>
      </c>
      <c r="B15" s="11" t="str">
        <f>TRIM(PROPER(LEFT(L15,IFERROR(FIND(" ",L15),99))&amp;MID(L15,IFERROR(FIND(" ",L15),99),99)))</f>
        <v>Falcon Sl 124</v>
      </c>
      <c r="C15" s="11">
        <f>TRUNC(O15)</f>
        <v>245</v>
      </c>
      <c r="D15" s="11">
        <f>TRUNC(N15)</f>
        <v>76</v>
      </c>
      <c r="E15" s="11">
        <f>M15</f>
        <v>124</v>
      </c>
      <c r="F15" s="38" t="str">
        <f>I15</f>
        <v>2007</v>
      </c>
      <c r="G15" s="11" t="str" cm="1">
        <f t="array" ref="G15">gssBoardClass(A15,B15,C15,D15,E15,F15)</f>
        <v>Slalom Large</v>
      </c>
      <c r="H15" s="39" t="str">
        <f>_xlfn.CONCAT(I15,"-",LEFT(K15,2),"-",LEFT(L15,3),"-",M15,"-",TRUNC(N15),"-",TRUNC(O15))</f>
        <v>2007-Fa-FAL-124-76-245</v>
      </c>
      <c r="I15" s="42" t="str">
        <f>LEFT(J15,4)</f>
        <v>2007</v>
      </c>
      <c r="J15" s="46" t="s">
        <v>1085</v>
      </c>
      <c r="K15" t="s">
        <v>1</v>
      </c>
      <c r="L15" t="s">
        <v>509</v>
      </c>
      <c r="M15">
        <v>124</v>
      </c>
      <c r="N15">
        <v>76</v>
      </c>
      <c r="O15">
        <v>245</v>
      </c>
      <c r="P15" t="s">
        <v>504</v>
      </c>
    </row>
    <row r="16" spans="1:21" x14ac:dyDescent="0.25">
      <c r="A16" s="11" t="str">
        <f>PROPER(K16)</f>
        <v>Fanatic</v>
      </c>
      <c r="B16" s="11" t="str">
        <f>TRIM(PROPER(LEFT(L16,IFERROR(FIND(" ",L16),99))&amp;MID(L16,IFERROR(FIND(" ",L16),99),99)))</f>
        <v>Falcon Sl 145</v>
      </c>
      <c r="C16" s="11">
        <f>TRUNC(O16)</f>
        <v>245</v>
      </c>
      <c r="D16" s="11">
        <f>TRUNC(N16)</f>
        <v>85</v>
      </c>
      <c r="E16" s="11">
        <f>M16</f>
        <v>145</v>
      </c>
      <c r="F16" s="38" t="str">
        <f>I16</f>
        <v>2007</v>
      </c>
      <c r="G16" s="11" t="str" cm="1">
        <f t="array" ref="G16">gssBoardClass(A16,B16,C16,D16,E16,F16)</f>
        <v>Slalom Large</v>
      </c>
      <c r="H16" s="39" t="str">
        <f>_xlfn.CONCAT(I16,"-",LEFT(K16,2),"-",LEFT(L16,3),"-",M16,"-",TRUNC(N16),"-",TRUNC(O16))</f>
        <v>2007-Fa-FAL-145-85-245</v>
      </c>
      <c r="I16" s="42" t="str">
        <f>LEFT(J16,4)</f>
        <v>2007</v>
      </c>
      <c r="J16" s="46" t="s">
        <v>1085</v>
      </c>
      <c r="K16" t="s">
        <v>1</v>
      </c>
      <c r="L16" s="35" t="s">
        <v>510</v>
      </c>
      <c r="M16">
        <v>145</v>
      </c>
      <c r="N16">
        <v>85</v>
      </c>
      <c r="O16">
        <v>245</v>
      </c>
      <c r="P16" t="s">
        <v>504</v>
      </c>
      <c r="R16" t="s">
        <v>511</v>
      </c>
    </row>
    <row r="17" spans="1:18" x14ac:dyDescent="0.25">
      <c r="A17" s="11" t="str">
        <f>PROPER(K17)</f>
        <v>Fanatic</v>
      </c>
      <c r="B17" s="11" t="str">
        <f>TRIM(PROPER(LEFT(L17,IFERROR(FIND(" ",L17),99))&amp;MID(L17,IFERROR(FIND(" ",L17),99),99)))</f>
        <v>Falcon Speed</v>
      </c>
      <c r="C17" s="11">
        <f>TRUNC(O17)</f>
        <v>242</v>
      </c>
      <c r="D17" s="11">
        <f>TRUNC(N17)</f>
        <v>48</v>
      </c>
      <c r="E17" s="11">
        <f>M17</f>
        <v>68</v>
      </c>
      <c r="F17" s="38" t="str">
        <f>I17</f>
        <v>2007</v>
      </c>
      <c r="G17" s="11" t="str" cm="1">
        <f t="array" ref="G17">gssBoardClass(A17,B17,C17,D17,E17,F17)</f>
        <v>Speedboard</v>
      </c>
      <c r="H17" s="39" t="str">
        <f>_xlfn.CONCAT(I17,"-",LEFT(K17,2),"-",LEFT(L17,3),"-",M17,"-",TRUNC(N17),"-",TRUNC(O17))</f>
        <v>2007-Fa-FAL-68-48-242</v>
      </c>
      <c r="I17" s="42" t="str">
        <f>LEFT(J17,4)</f>
        <v>2007</v>
      </c>
      <c r="J17" s="46" t="s">
        <v>1085</v>
      </c>
      <c r="K17" t="s">
        <v>1</v>
      </c>
      <c r="L17" t="s">
        <v>503</v>
      </c>
      <c r="M17">
        <v>68</v>
      </c>
      <c r="N17">
        <v>48</v>
      </c>
      <c r="O17">
        <v>242</v>
      </c>
      <c r="P17" t="s">
        <v>504</v>
      </c>
      <c r="R17" t="s">
        <v>505</v>
      </c>
    </row>
    <row r="18" spans="1:18" x14ac:dyDescent="0.25">
      <c r="A18" s="11" t="str">
        <f>PROPER(K18)</f>
        <v>Fanatic</v>
      </c>
      <c r="B18" s="11" t="str">
        <f>TRIM(PROPER(LEFT(L18,IFERROR(FIND(" ",L18),99))&amp;MID(L18,IFERROR(FIND(" ",L18),99),99)))</f>
        <v>Falcon Sl 79</v>
      </c>
      <c r="C18" s="11">
        <f>TRUNC(O18)</f>
        <v>245</v>
      </c>
      <c r="D18" s="11">
        <f>TRUNC(N18)</f>
        <v>55</v>
      </c>
      <c r="E18" s="11">
        <f>M18</f>
        <v>79</v>
      </c>
      <c r="F18" s="38" t="str">
        <f>I18</f>
        <v>2007</v>
      </c>
      <c r="G18" s="11" t="str" cm="1">
        <f t="array" ref="G18">gssBoardClass(A18,B18,C18,D18,E18,F18)</f>
        <v>Speed/Slalom Xtra Small</v>
      </c>
      <c r="H18" s="39" t="str">
        <f>_xlfn.CONCAT(I18,"-",LEFT(K18,2),"-",LEFT(L18,3),"-",M18,"-",TRUNC(N18),"-",TRUNC(O18))</f>
        <v>2007-Fa-FAL-79-55-245</v>
      </c>
      <c r="I18" s="42" t="str">
        <f>LEFT(J18,4)</f>
        <v>2007</v>
      </c>
      <c r="J18" s="46" t="s">
        <v>1085</v>
      </c>
      <c r="K18" t="s">
        <v>1</v>
      </c>
      <c r="L18" t="s">
        <v>506</v>
      </c>
      <c r="M18">
        <v>79</v>
      </c>
      <c r="N18">
        <v>55</v>
      </c>
      <c r="O18">
        <v>245</v>
      </c>
      <c r="P18" t="s">
        <v>504</v>
      </c>
    </row>
    <row r="19" spans="1:18" x14ac:dyDescent="0.25">
      <c r="A19" s="11" t="str">
        <f>PROPER(K19)</f>
        <v>Fanatic</v>
      </c>
      <c r="B19" s="11" t="str">
        <f>TRIM(PROPER(LEFT(L19,IFERROR(FIND(" ",L19),99))&amp;MID(L19,IFERROR(FIND(" ",L19),99),99)))</f>
        <v>Falcon Sl 89</v>
      </c>
      <c r="C19" s="11">
        <f>TRUNC(O19)</f>
        <v>244</v>
      </c>
      <c r="D19" s="11">
        <f>TRUNC(N19)</f>
        <v>61</v>
      </c>
      <c r="E19" s="11">
        <f>M19</f>
        <v>89</v>
      </c>
      <c r="F19" s="38" t="str">
        <f>I19</f>
        <v>2007</v>
      </c>
      <c r="G19" s="11" t="str" cm="1">
        <f t="array" ref="G19">gssBoardClass(A19,B19,C19,D19,E19,F19)</f>
        <v>Speed/Slalom Small</v>
      </c>
      <c r="H19" s="39" t="str">
        <f>_xlfn.CONCAT(I19,"-",LEFT(K19,2),"-",LEFT(L19,3),"-",M19,"-",TRUNC(N19),"-",TRUNC(O19))</f>
        <v>2007-Fa-FAL-89-61-244</v>
      </c>
      <c r="I19" s="42" t="str">
        <f>LEFT(J19,4)</f>
        <v>2007</v>
      </c>
      <c r="J19" s="46" t="s">
        <v>1085</v>
      </c>
      <c r="K19" t="s">
        <v>1</v>
      </c>
      <c r="L19" t="s">
        <v>507</v>
      </c>
      <c r="M19">
        <v>89</v>
      </c>
      <c r="N19">
        <v>61</v>
      </c>
      <c r="O19">
        <v>244</v>
      </c>
      <c r="P19" t="s">
        <v>504</v>
      </c>
    </row>
    <row r="20" spans="1:18" x14ac:dyDescent="0.25">
      <c r="A20" s="11" t="str">
        <f>PROPER(K20)</f>
        <v>Fanatic</v>
      </c>
      <c r="B20" s="11" t="str">
        <f>TRIM(PROPER(LEFT(L20,IFERROR(FIND(" ",L20),99))&amp;MID(L20,IFERROR(FIND(" ",L20),99),99)))</f>
        <v>Falcon 90</v>
      </c>
      <c r="C20" s="11">
        <f>TRUNC(O20)</f>
        <v>244</v>
      </c>
      <c r="D20" s="11">
        <f>TRUNC(N20)</f>
        <v>61</v>
      </c>
      <c r="E20" s="11">
        <f>M20</f>
        <v>89</v>
      </c>
      <c r="F20" s="38" t="str">
        <f>I20</f>
        <v>2007</v>
      </c>
      <c r="G20" s="11" t="str" cm="1">
        <f t="array" ref="G20">gssBoardClass(A20,B20,C20,D20,E20,F20)</f>
        <v>Speed/Slalom Small</v>
      </c>
      <c r="H20" s="39" t="str">
        <f>_xlfn.CONCAT(I20,"-",LEFT(K20,2),"-",LEFT(L20,3),"-",M20,"-",TRUNC(N20),"-",TRUNC(O20))</f>
        <v>2007-Fa-Fal-89-61-244</v>
      </c>
      <c r="I20" s="42" t="str">
        <f>LEFT(J20,4)</f>
        <v>2007</v>
      </c>
      <c r="J20" s="46">
        <v>2007</v>
      </c>
      <c r="K20" t="s">
        <v>1</v>
      </c>
      <c r="L20" t="s">
        <v>1143</v>
      </c>
      <c r="M20">
        <v>89</v>
      </c>
      <c r="N20">
        <v>61</v>
      </c>
      <c r="O20">
        <v>244</v>
      </c>
      <c r="P20" t="s">
        <v>504</v>
      </c>
    </row>
    <row r="21" spans="1:18" x14ac:dyDescent="0.25">
      <c r="A21" s="11" t="str">
        <f>PROPER(K21)</f>
        <v>Fanatic</v>
      </c>
      <c r="B21" s="11" t="str">
        <f>TRIM(PROPER(LEFT(L21,IFERROR(FIND(" ",L21),99))&amp;MID(L21,IFERROR(FIND(" ",L21),99),99)))</f>
        <v>Freewave 104</v>
      </c>
      <c r="C21" s="11">
        <f>TRUNC(O21)</f>
        <v>241</v>
      </c>
      <c r="D21" s="11">
        <f>TRUNC(N21)</f>
        <v>63</v>
      </c>
      <c r="E21" s="11">
        <f>M21</f>
        <v>104</v>
      </c>
      <c r="F21" s="38" t="str">
        <f>I21</f>
        <v>2007</v>
      </c>
      <c r="G21" s="11" t="str" cm="1">
        <f t="array" ref="G21">gssBoardClass(A21,B21,C21,D21,E21,F21)</f>
        <v>Wave / Freestyle</v>
      </c>
      <c r="H21" s="39" t="str">
        <f>_xlfn.CONCAT(I21,"-",LEFT(K21,2),"-",LEFT(L21,3),"-",M21,"-",TRUNC(N21),"-",TRUNC(O21))</f>
        <v>2007-Fa-Fre-104-63-241</v>
      </c>
      <c r="I21" s="42" t="str">
        <f>LEFT(J21,4)</f>
        <v>2007</v>
      </c>
      <c r="J21" s="46" t="s">
        <v>1085</v>
      </c>
      <c r="K21" t="s">
        <v>1</v>
      </c>
      <c r="L21" t="s">
        <v>2252</v>
      </c>
      <c r="M21">
        <v>104</v>
      </c>
      <c r="N21">
        <v>63.5</v>
      </c>
      <c r="O21">
        <v>241</v>
      </c>
      <c r="P21" t="s">
        <v>457</v>
      </c>
      <c r="R21" t="s">
        <v>470</v>
      </c>
    </row>
    <row r="22" spans="1:18" x14ac:dyDescent="0.25">
      <c r="A22" s="11" t="str">
        <f>PROPER(K22)</f>
        <v>Fanatic</v>
      </c>
      <c r="B22" s="11" t="str">
        <f>TRIM(PROPER(LEFT(L22,IFERROR(FIND(" ",L22),99))&amp;MID(L22,IFERROR(FIND(" ",L22),99),99)))</f>
        <v>Freewave 77</v>
      </c>
      <c r="C22" s="11">
        <f>TRUNC(O22)</f>
        <v>237</v>
      </c>
      <c r="D22" s="11">
        <f>TRUNC(N22)</f>
        <v>56</v>
      </c>
      <c r="E22" s="11">
        <f>M22</f>
        <v>77</v>
      </c>
      <c r="F22" s="38" t="str">
        <f>I22</f>
        <v>2007</v>
      </c>
      <c r="G22" s="11" t="str" cm="1">
        <f t="array" ref="G22">gssBoardClass(A22,B22,C22,D22,E22,F22)</f>
        <v>Wave / Freestyle</v>
      </c>
      <c r="H22" s="39" t="str">
        <f>_xlfn.CONCAT(I22,"-",LEFT(K22,2),"-",LEFT(L22,3),"-",M22,"-",TRUNC(N22),"-",TRUNC(O22))</f>
        <v>2007-Fa-Fre-77-56-237</v>
      </c>
      <c r="I22" s="42" t="str">
        <f>LEFT(J22,4)</f>
        <v>2007</v>
      </c>
      <c r="J22" s="46" t="s">
        <v>1085</v>
      </c>
      <c r="K22" t="s">
        <v>1</v>
      </c>
      <c r="L22" t="s">
        <v>2251</v>
      </c>
      <c r="M22">
        <v>77</v>
      </c>
      <c r="N22">
        <v>56</v>
      </c>
      <c r="O22">
        <v>237</v>
      </c>
      <c r="P22" t="s">
        <v>457</v>
      </c>
      <c r="R22" t="s">
        <v>467</v>
      </c>
    </row>
    <row r="23" spans="1:18" x14ac:dyDescent="0.25">
      <c r="A23" s="11" t="str">
        <f>PROPER(K23)</f>
        <v>Fanatic</v>
      </c>
      <c r="B23" s="11" t="str">
        <f>TRIM(PROPER(LEFT(L23,IFERROR(FIND(" ",L23),99))&amp;MID(L23,IFERROR(FIND(" ",L23),99),99)))</f>
        <v>Freewave 86</v>
      </c>
      <c r="C23" s="11">
        <f>TRUNC(O23)</f>
        <v>239</v>
      </c>
      <c r="D23" s="11">
        <f>TRUNC(N23)</f>
        <v>58</v>
      </c>
      <c r="E23" s="11">
        <f>M23</f>
        <v>86</v>
      </c>
      <c r="F23" s="38" t="str">
        <f>I23</f>
        <v>2007</v>
      </c>
      <c r="G23" s="11" t="str" cm="1">
        <f t="array" ref="G23">gssBoardClass(A23,B23,C23,D23,E23,F23)</f>
        <v>Wave / Freestyle</v>
      </c>
      <c r="H23" s="39" t="str">
        <f>_xlfn.CONCAT(I23,"-",LEFT(K23,2),"-",LEFT(L23,3),"-",M23,"-",TRUNC(N23),"-",TRUNC(O23))</f>
        <v>2007-Fa-Fre-86-58-239</v>
      </c>
      <c r="I23" s="42" t="str">
        <f>LEFT(J23,4)</f>
        <v>2007</v>
      </c>
      <c r="J23" s="46" t="s">
        <v>1085</v>
      </c>
      <c r="K23" t="s">
        <v>1</v>
      </c>
      <c r="L23" t="s">
        <v>433</v>
      </c>
      <c r="M23">
        <v>86</v>
      </c>
      <c r="N23">
        <v>58.5</v>
      </c>
      <c r="O23">
        <v>239</v>
      </c>
      <c r="P23" t="s">
        <v>457</v>
      </c>
      <c r="R23" t="s">
        <v>468</v>
      </c>
    </row>
    <row r="24" spans="1:18" x14ac:dyDescent="0.25">
      <c r="A24" s="11" t="str">
        <f>PROPER(K24)</f>
        <v>Fanatic</v>
      </c>
      <c r="B24" s="11" t="str">
        <f>TRIM(PROPER(LEFT(L24,IFERROR(FIND(" ",L24),99))&amp;MID(L24,IFERROR(FIND(" ",L24),99),99)))</f>
        <v>Freewave 95</v>
      </c>
      <c r="C24" s="11">
        <f>TRUNC(O24)</f>
        <v>241</v>
      </c>
      <c r="D24" s="11">
        <f>TRUNC(N24)</f>
        <v>61</v>
      </c>
      <c r="E24" s="11">
        <f>M24</f>
        <v>95</v>
      </c>
      <c r="F24" s="38" t="str">
        <f>I24</f>
        <v>2007</v>
      </c>
      <c r="G24" s="11" t="str" cm="1">
        <f t="array" ref="G24">gssBoardClass(A24,B24,C24,D24,E24,F24)</f>
        <v>Wave / Freestyle</v>
      </c>
      <c r="H24" s="39" t="str">
        <f>_xlfn.CONCAT(I24,"-",LEFT(K24,2),"-",LEFT(L24,3),"-",M24,"-",TRUNC(N24),"-",TRUNC(O24))</f>
        <v>2007-Fa-Fre-95-61-241</v>
      </c>
      <c r="I24" s="42" t="str">
        <f>LEFT(J24,4)</f>
        <v>2007</v>
      </c>
      <c r="J24" s="46" t="s">
        <v>1085</v>
      </c>
      <c r="K24" t="s">
        <v>1</v>
      </c>
      <c r="L24" t="s">
        <v>718</v>
      </c>
      <c r="M24">
        <v>95</v>
      </c>
      <c r="N24">
        <v>61</v>
      </c>
      <c r="O24">
        <v>241</v>
      </c>
      <c r="P24" t="s">
        <v>457</v>
      </c>
      <c r="R24" t="s">
        <v>469</v>
      </c>
    </row>
    <row r="25" spans="1:18" x14ac:dyDescent="0.25">
      <c r="A25" s="11" t="str">
        <f>PROPER(K25)</f>
        <v>Fanatic</v>
      </c>
      <c r="B25" s="11" t="str">
        <f>TRIM(PROPER(LEFT(L25,IFERROR(FIND(" ",L25),99))&amp;MID(L25,IFERROR(FIND(" ",L25),99),99)))</f>
        <v>Hawk 108</v>
      </c>
      <c r="C25" s="11">
        <f>TRUNC(O25)</f>
        <v>247</v>
      </c>
      <c r="D25" s="11">
        <f>TRUNC(N25)</f>
        <v>62</v>
      </c>
      <c r="E25" s="11">
        <f>M25</f>
        <v>108</v>
      </c>
      <c r="F25" s="38" t="str">
        <f>I25</f>
        <v>2007</v>
      </c>
      <c r="G25" s="11" t="str" cm="1">
        <f t="array" ref="G25">gssBoardClass(A25,B25,C25,D25,E25,F25)</f>
        <v>Speed/Slalom Small</v>
      </c>
      <c r="H25" s="39" t="str">
        <f>_xlfn.CONCAT(I25,"-",LEFT(K25,2),"-",LEFT(L25,3),"-",M25,"-",TRUNC(N25),"-",TRUNC(O25))</f>
        <v>2007-Fa-HAW-108-62-247</v>
      </c>
      <c r="I25" s="42" t="str">
        <f>LEFT(J25,4)</f>
        <v>2007</v>
      </c>
      <c r="J25" s="46" t="s">
        <v>1085</v>
      </c>
      <c r="K25" t="s">
        <v>1</v>
      </c>
      <c r="L25" t="s">
        <v>482</v>
      </c>
      <c r="M25">
        <v>108</v>
      </c>
      <c r="N25">
        <v>62</v>
      </c>
      <c r="O25">
        <v>247</v>
      </c>
      <c r="P25" t="s">
        <v>480</v>
      </c>
      <c r="R25" t="s">
        <v>483</v>
      </c>
    </row>
    <row r="26" spans="1:18" x14ac:dyDescent="0.25">
      <c r="A26" s="11" t="str">
        <f>PROPER(K26)</f>
        <v>Fanatic</v>
      </c>
      <c r="B26" s="11" t="str">
        <f>TRIM(PROPER(LEFT(L26,IFERROR(FIND(" ",L26),99))&amp;MID(L26,IFERROR(FIND(" ",L26),99),99)))</f>
        <v>Hawk 123</v>
      </c>
      <c r="C26" s="11">
        <f>TRUNC(O26)</f>
        <v>249</v>
      </c>
      <c r="D26" s="11">
        <f>TRUNC(N26)</f>
        <v>66</v>
      </c>
      <c r="E26" s="11">
        <f>M26</f>
        <v>123</v>
      </c>
      <c r="F26" s="38" t="str">
        <f>I26</f>
        <v>2007</v>
      </c>
      <c r="G26" s="11" t="str" cm="1">
        <f t="array" ref="G26">gssBoardClass(A26,B26,C26,D26,E26,F26)</f>
        <v>Slalom Medium</v>
      </c>
      <c r="H26" s="39" t="str">
        <f>_xlfn.CONCAT(I26,"-",LEFT(K26,2),"-",LEFT(L26,3),"-",M26,"-",TRUNC(N26),"-",TRUNC(O26))</f>
        <v>2007-Fa-HAW-123-66-249</v>
      </c>
      <c r="I26" s="42" t="str">
        <f>LEFT(J26,4)</f>
        <v>2007</v>
      </c>
      <c r="J26" s="46" t="s">
        <v>1085</v>
      </c>
      <c r="K26" t="s">
        <v>1</v>
      </c>
      <c r="L26" t="s">
        <v>484</v>
      </c>
      <c r="M26">
        <v>123</v>
      </c>
      <c r="N26">
        <v>66</v>
      </c>
      <c r="O26">
        <v>249</v>
      </c>
      <c r="P26" t="s">
        <v>480</v>
      </c>
      <c r="R26" t="s">
        <v>485</v>
      </c>
    </row>
    <row r="27" spans="1:18" x14ac:dyDescent="0.25">
      <c r="A27" s="11" t="str">
        <f>PROPER(K27)</f>
        <v>Fanatic</v>
      </c>
      <c r="B27" s="11" t="str">
        <f>TRIM(PROPER(LEFT(L27,IFERROR(FIND(" ",L27),99))&amp;MID(L27,IFERROR(FIND(" ",L27),99),99)))</f>
        <v>Hawk 93</v>
      </c>
      <c r="C27" s="11">
        <f>TRUNC(O27)</f>
        <v>245</v>
      </c>
      <c r="D27" s="11">
        <f>TRUNC(N27)</f>
        <v>58</v>
      </c>
      <c r="E27" s="11">
        <f>M27</f>
        <v>93</v>
      </c>
      <c r="F27" s="38" t="str">
        <f>I27</f>
        <v>2007</v>
      </c>
      <c r="G27" s="11" t="str" cm="1">
        <f t="array" ref="G27">gssBoardClass(A27,B27,C27,D27,E27,F27)</f>
        <v>Speed/Slalom Xtra Small</v>
      </c>
      <c r="H27" s="39" t="str">
        <f>_xlfn.CONCAT(I27,"-",LEFT(K27,2),"-",LEFT(L27,3),"-",M27,"-",TRUNC(N27),"-",TRUNC(O27))</f>
        <v>2007-Fa-HAW-93-58-245</v>
      </c>
      <c r="I27" s="42" t="str">
        <f>LEFT(J27,4)</f>
        <v>2007</v>
      </c>
      <c r="J27" s="46" t="s">
        <v>1085</v>
      </c>
      <c r="K27" t="s">
        <v>1</v>
      </c>
      <c r="L27" t="s">
        <v>479</v>
      </c>
      <c r="M27">
        <v>93</v>
      </c>
      <c r="N27">
        <v>58</v>
      </c>
      <c r="O27">
        <v>245</v>
      </c>
      <c r="P27" t="s">
        <v>480</v>
      </c>
      <c r="R27" t="s">
        <v>481</v>
      </c>
    </row>
    <row r="28" spans="1:18" x14ac:dyDescent="0.25">
      <c r="A28" s="11" t="str">
        <f>PROPER(K28)</f>
        <v>Fanatic</v>
      </c>
      <c r="B28" s="11" t="str">
        <f>TRIM(PROPER(LEFT(L28,IFERROR(FIND(" ",L28),99))&amp;MID(L28,IFERROR(FIND(" ",L28),99),99)))</f>
        <v>Newwave 69</v>
      </c>
      <c r="C28" s="11">
        <f>TRUNC(O28)</f>
        <v>237</v>
      </c>
      <c r="D28" s="11">
        <f>TRUNC(N28)</f>
        <v>52</v>
      </c>
      <c r="E28" s="11">
        <f>M28</f>
        <v>69</v>
      </c>
      <c r="F28" s="38" t="str">
        <f>I28</f>
        <v>2007</v>
      </c>
      <c r="G28" s="11" t="str" cm="1">
        <f t="array" ref="G28">gssBoardClass(A28,B28,C28,D28,E28,F28)</f>
        <v>Wave / Freestyle</v>
      </c>
      <c r="H28" s="39" t="str">
        <f>_xlfn.CONCAT(I28,"-",LEFT(K28,2),"-",LEFT(L28,3),"-",M28,"-",TRUNC(N28),"-",TRUNC(O28))</f>
        <v>2007-Fa-New-69-52-237</v>
      </c>
      <c r="I28" s="42" t="str">
        <f>LEFT(J28,4)</f>
        <v>2007</v>
      </c>
      <c r="J28" s="46" t="s">
        <v>1085</v>
      </c>
      <c r="K28" t="s">
        <v>1</v>
      </c>
      <c r="L28" t="s">
        <v>719</v>
      </c>
      <c r="M28">
        <v>69</v>
      </c>
      <c r="N28">
        <v>52.5</v>
      </c>
      <c r="O28">
        <v>237</v>
      </c>
      <c r="P28" t="s">
        <v>457</v>
      </c>
      <c r="R28" t="s">
        <v>458</v>
      </c>
    </row>
    <row r="29" spans="1:18" x14ac:dyDescent="0.25">
      <c r="A29" s="11" t="str">
        <f>PROPER(K29)</f>
        <v>Fanatic</v>
      </c>
      <c r="B29" s="11" t="str">
        <f>TRIM(PROPER(LEFT(L29,IFERROR(FIND(" ",L29),99))&amp;MID(L29,IFERROR(FIND(" ",L29),99),99)))</f>
        <v>Newwave Te 69</v>
      </c>
      <c r="C29" s="11">
        <f>TRUNC(O29)</f>
        <v>237</v>
      </c>
      <c r="D29" s="11">
        <f>TRUNC(N29)</f>
        <v>52</v>
      </c>
      <c r="E29" s="11">
        <f>M29</f>
        <v>69</v>
      </c>
      <c r="F29" s="38" t="str">
        <f>I29</f>
        <v>2007</v>
      </c>
      <c r="G29" s="11" t="str" cm="1">
        <f t="array" ref="G29">gssBoardClass(A29,B29,C29,D29,E29,F29)</f>
        <v>Wave / Freestyle</v>
      </c>
      <c r="H29" s="39" t="str">
        <f>_xlfn.CONCAT(I29,"-",LEFT(K29,2),"-",LEFT(L29,3),"-",M29,"-",TRUNC(N29),"-",TRUNC(O29))</f>
        <v>2007-Fa-New-69-52-237</v>
      </c>
      <c r="I29" s="42" t="str">
        <f>LEFT(J29,4)</f>
        <v>2007</v>
      </c>
      <c r="J29" s="46" t="s">
        <v>1085</v>
      </c>
      <c r="K29" t="s">
        <v>1</v>
      </c>
      <c r="L29" t="s">
        <v>715</v>
      </c>
      <c r="M29">
        <v>69</v>
      </c>
      <c r="N29">
        <v>52.5</v>
      </c>
      <c r="O29">
        <v>237</v>
      </c>
      <c r="P29" t="s">
        <v>461</v>
      </c>
      <c r="R29" t="s">
        <v>458</v>
      </c>
    </row>
    <row r="30" spans="1:18" x14ac:dyDescent="0.25">
      <c r="A30" s="11" t="str">
        <f>PROPER(K30)</f>
        <v>Fanatic</v>
      </c>
      <c r="B30" s="11" t="str">
        <f>TRIM(PROPER(LEFT(L30,IFERROR(FIND(" ",L30),99))&amp;MID(L30,IFERROR(FIND(" ",L30),99),99)))</f>
        <v>Newwave 75</v>
      </c>
      <c r="C30" s="11">
        <f>TRUNC(O30)</f>
        <v>238</v>
      </c>
      <c r="D30" s="11">
        <f>TRUNC(N30)</f>
        <v>54</v>
      </c>
      <c r="E30" s="11">
        <f>M30</f>
        <v>75</v>
      </c>
      <c r="F30" s="38" t="str">
        <f>I30</f>
        <v>2007</v>
      </c>
      <c r="G30" s="11" t="str" cm="1">
        <f t="array" ref="G30">gssBoardClass(A30,B30,C30,D30,E30,F30)</f>
        <v>Wave / Freestyle</v>
      </c>
      <c r="H30" s="39" t="str">
        <f>_xlfn.CONCAT(I30,"-",LEFT(K30,2),"-",LEFT(L30,3),"-",M30,"-",TRUNC(N30),"-",TRUNC(O30))</f>
        <v>2007-Fa-New-75-54-238</v>
      </c>
      <c r="I30" s="42" t="str">
        <f>LEFT(J30,4)</f>
        <v>2007</v>
      </c>
      <c r="J30" s="46" t="s">
        <v>1085</v>
      </c>
      <c r="K30" t="s">
        <v>1</v>
      </c>
      <c r="L30" t="s">
        <v>720</v>
      </c>
      <c r="M30">
        <v>75</v>
      </c>
      <c r="N30">
        <v>54.5</v>
      </c>
      <c r="O30">
        <v>238</v>
      </c>
      <c r="P30" t="s">
        <v>457</v>
      </c>
      <c r="R30" t="s">
        <v>459</v>
      </c>
    </row>
    <row r="31" spans="1:18" x14ac:dyDescent="0.25">
      <c r="A31" s="11" t="str">
        <f>PROPER(K31)</f>
        <v>Fanatic</v>
      </c>
      <c r="B31" s="11" t="str">
        <f>TRIM(PROPER(LEFT(L31,IFERROR(FIND(" ",L31),99))&amp;MID(L31,IFERROR(FIND(" ",L31),99),99)))</f>
        <v>Newwave Te 75</v>
      </c>
      <c r="C31" s="11">
        <f>TRUNC(O31)</f>
        <v>238</v>
      </c>
      <c r="D31" s="11">
        <f>TRUNC(N31)</f>
        <v>54</v>
      </c>
      <c r="E31" s="11">
        <f>M31</f>
        <v>75</v>
      </c>
      <c r="F31" s="38" t="str">
        <f>I31</f>
        <v>2007</v>
      </c>
      <c r="G31" s="11" t="str" cm="1">
        <f t="array" ref="G31">gssBoardClass(A31,B31,C31,D31,E31,F31)</f>
        <v>Wave / Freestyle</v>
      </c>
      <c r="H31" s="39" t="str">
        <f>_xlfn.CONCAT(I31,"-",LEFT(K31,2),"-",LEFT(L31,3),"-",M31,"-",TRUNC(N31),"-",TRUNC(O31))</f>
        <v>2007-Fa-New-75-54-238</v>
      </c>
      <c r="I31" s="42" t="str">
        <f>LEFT(J31,4)</f>
        <v>2007</v>
      </c>
      <c r="J31" s="46" t="s">
        <v>1085</v>
      </c>
      <c r="K31" t="s">
        <v>1</v>
      </c>
      <c r="L31" t="s">
        <v>721</v>
      </c>
      <c r="M31">
        <v>75</v>
      </c>
      <c r="N31">
        <v>54.5</v>
      </c>
      <c r="O31">
        <v>238</v>
      </c>
      <c r="P31" t="s">
        <v>461</v>
      </c>
      <c r="R31" t="s">
        <v>459</v>
      </c>
    </row>
    <row r="32" spans="1:18" x14ac:dyDescent="0.25">
      <c r="A32" s="11" t="str">
        <f>PROPER(K32)</f>
        <v>Fanatic</v>
      </c>
      <c r="B32" s="11" t="str">
        <f>TRIM(PROPER(LEFT(L32,IFERROR(FIND(" ",L32),99))&amp;MID(L32,IFERROR(FIND(" ",L32),99),99)))</f>
        <v>Newwave 81</v>
      </c>
      <c r="C32" s="11">
        <f>TRUNC(O32)</f>
        <v>240</v>
      </c>
      <c r="D32" s="11">
        <f>TRUNC(N32)</f>
        <v>56</v>
      </c>
      <c r="E32" s="11">
        <f>M32</f>
        <v>81</v>
      </c>
      <c r="F32" s="38" t="str">
        <f>I32</f>
        <v>2007</v>
      </c>
      <c r="G32" s="11" t="str" cm="1">
        <f t="array" ref="G32">gssBoardClass(A32,B32,C32,D32,E32,F32)</f>
        <v>Wave / Freestyle</v>
      </c>
      <c r="H32" s="39" t="str">
        <f>_xlfn.CONCAT(I32,"-",LEFT(K32,2),"-",LEFT(L32,3),"-",M32,"-",TRUNC(N32),"-",TRUNC(O32))</f>
        <v>2007-Fa-New-81-56-240</v>
      </c>
      <c r="I32" s="42" t="str">
        <f>LEFT(J32,4)</f>
        <v>2007</v>
      </c>
      <c r="J32" s="46" t="s">
        <v>1085</v>
      </c>
      <c r="K32" t="s">
        <v>1</v>
      </c>
      <c r="L32" t="s">
        <v>722</v>
      </c>
      <c r="M32">
        <v>81</v>
      </c>
      <c r="N32">
        <v>56.5</v>
      </c>
      <c r="O32">
        <v>240</v>
      </c>
      <c r="P32" t="s">
        <v>457</v>
      </c>
      <c r="R32" t="s">
        <v>460</v>
      </c>
    </row>
    <row r="33" spans="1:19" x14ac:dyDescent="0.25">
      <c r="A33" s="11" t="str">
        <f>PROPER(K33)</f>
        <v>Fanatic</v>
      </c>
      <c r="B33" s="11" t="str">
        <f>TRIM(PROPER(LEFT(L33,IFERROR(FIND(" ",L33),99))&amp;MID(L33,IFERROR(FIND(" ",L33),99),99)))</f>
        <v>Newwave Te 81</v>
      </c>
      <c r="C33" s="11">
        <f>TRUNC(O33)</f>
        <v>240</v>
      </c>
      <c r="D33" s="11">
        <f>TRUNC(N33)</f>
        <v>56</v>
      </c>
      <c r="E33" s="11">
        <f>M33</f>
        <v>81</v>
      </c>
      <c r="F33" s="38" t="str">
        <f>I33</f>
        <v>2007</v>
      </c>
      <c r="G33" s="11" t="str" cm="1">
        <f t="array" ref="G33">gssBoardClass(A33,B33,C33,D33,E33,F33)</f>
        <v>Wave / Freestyle</v>
      </c>
      <c r="H33" s="39" t="str">
        <f>_xlfn.CONCAT(I33,"-",LEFT(K33,2),"-",LEFT(L33,3),"-",M33,"-",TRUNC(N33),"-",TRUNC(O33))</f>
        <v>2007-Fa-New-81-56-240</v>
      </c>
      <c r="I33" s="42" t="str">
        <f>LEFT(J33,4)</f>
        <v>2007</v>
      </c>
      <c r="J33" s="46" t="s">
        <v>1085</v>
      </c>
      <c r="K33" t="s">
        <v>1</v>
      </c>
      <c r="L33" t="s">
        <v>723</v>
      </c>
      <c r="M33">
        <v>81</v>
      </c>
      <c r="N33">
        <v>56.5</v>
      </c>
      <c r="O33">
        <v>240</v>
      </c>
      <c r="P33" t="s">
        <v>461</v>
      </c>
      <c r="R33" t="s">
        <v>460</v>
      </c>
    </row>
    <row r="34" spans="1:19" x14ac:dyDescent="0.25">
      <c r="A34" s="11" t="str">
        <f>PROPER(K34)</f>
        <v>Fanatic</v>
      </c>
      <c r="B34" s="11" t="str">
        <f>TRIM(PROPER(LEFT(L34,IFERROR(FIND(" ",L34),99))&amp;MID(L34,IFERROR(FIND(" ",L34),99),99)))</f>
        <v>Ripper 102</v>
      </c>
      <c r="C34" s="11">
        <f>TRUNC(O34)</f>
        <v>239</v>
      </c>
      <c r="D34" s="11">
        <f>TRUNC(N34)</f>
        <v>69</v>
      </c>
      <c r="E34" s="11">
        <f>M34</f>
        <v>102</v>
      </c>
      <c r="F34" s="38" t="str">
        <f>I34</f>
        <v>2007</v>
      </c>
      <c r="G34" s="11" t="str" cm="1">
        <f t="array" ref="G34">gssBoardClass(A34,B34,C34,D34,E34,F34)</f>
        <v>Slalom Medium</v>
      </c>
      <c r="H34" s="39" t="str">
        <f>_xlfn.CONCAT(I34,"-",LEFT(K34,2),"-",LEFT(L34,3),"-",M34,"-",TRUNC(N34),"-",TRUNC(O34))</f>
        <v>2007-Fa-RIP-102-69-239</v>
      </c>
      <c r="I34" s="42" t="str">
        <f>LEFT(J34,4)</f>
        <v>2007</v>
      </c>
      <c r="J34" s="46" t="s">
        <v>1085</v>
      </c>
      <c r="K34" t="s">
        <v>1</v>
      </c>
      <c r="L34" t="s">
        <v>517</v>
      </c>
      <c r="M34">
        <v>102</v>
      </c>
      <c r="N34">
        <v>69.5</v>
      </c>
      <c r="O34">
        <v>239</v>
      </c>
      <c r="P34" t="s">
        <v>513</v>
      </c>
      <c r="R34" t="s">
        <v>518</v>
      </c>
    </row>
    <row r="35" spans="1:19" x14ac:dyDescent="0.25">
      <c r="A35" s="11" t="str">
        <f>PROPER(K35)</f>
        <v>Fanatic</v>
      </c>
      <c r="B35" s="11" t="str">
        <f>TRIM(PROPER(LEFT(L35,IFERROR(FIND(" ",L35),99))&amp;MID(L35,IFERROR(FIND(" ",L35),99),99)))</f>
        <v>Shark 130 Ltd</v>
      </c>
      <c r="C35" s="11">
        <f>TRUNC(O35)</f>
        <v>258</v>
      </c>
      <c r="D35" s="11">
        <f>TRUNC(N35)</f>
        <v>70</v>
      </c>
      <c r="E35" s="11">
        <f>M35</f>
        <v>130</v>
      </c>
      <c r="F35" s="38" t="str">
        <f>I35</f>
        <v>2007</v>
      </c>
      <c r="G35" s="11" t="str" cm="1">
        <f t="array" ref="G35">gssBoardClass(A35,B35,C35,D35,E35,F35)</f>
        <v>Slalom Medium</v>
      </c>
      <c r="H35" s="39" t="str">
        <f>_xlfn.CONCAT(I35,"-",LEFT(K35,2),"-",LEFT(L35,3),"-",M35,"-",TRUNC(N35),"-",TRUNC(O35))</f>
        <v>2007-Fa-SHA-130-70-258</v>
      </c>
      <c r="I35" s="42" t="str">
        <f>LEFT(J35,4)</f>
        <v>2007</v>
      </c>
      <c r="J35" s="46" t="s">
        <v>1085</v>
      </c>
      <c r="K35" t="s">
        <v>1</v>
      </c>
      <c r="L35" t="s">
        <v>492</v>
      </c>
      <c r="M35">
        <v>130</v>
      </c>
      <c r="N35">
        <v>70</v>
      </c>
      <c r="O35">
        <v>258</v>
      </c>
      <c r="P35" t="s">
        <v>480</v>
      </c>
      <c r="R35" t="s">
        <v>493</v>
      </c>
    </row>
    <row r="36" spans="1:19" x14ac:dyDescent="0.25">
      <c r="A36" s="11" t="str">
        <f>PROPER(K36)</f>
        <v>Fanatic</v>
      </c>
      <c r="B36" s="11" t="str">
        <f>TRIM(PROPER(LEFT(L36,IFERROR(FIND(" ",L36),99))&amp;MID(L36,IFERROR(FIND(" ",L36),99),99)))</f>
        <v>Shark 130</v>
      </c>
      <c r="C36" s="11">
        <f>TRUNC(O36)</f>
        <v>258</v>
      </c>
      <c r="D36" s="11">
        <f>TRUNC(N36)</f>
        <v>70</v>
      </c>
      <c r="E36" s="11">
        <f>M36</f>
        <v>130</v>
      </c>
      <c r="F36" s="38" t="str">
        <f>I36</f>
        <v>2007</v>
      </c>
      <c r="G36" s="11" t="str" cm="1">
        <f t="array" ref="G36">gssBoardClass(A36,B36,C36,D36,E36,F36)</f>
        <v>Slalom Medium</v>
      </c>
      <c r="H36" s="39" t="str">
        <f>_xlfn.CONCAT(I36,"-",LEFT(K36,2),"-",LEFT(L36,3),"-",M36,"-",TRUNC(N36),"-",TRUNC(O36))</f>
        <v>2007-Fa-SHA-130-70-258</v>
      </c>
      <c r="I36" s="42" t="str">
        <f>LEFT(J36,4)</f>
        <v>2007</v>
      </c>
      <c r="J36" s="46" t="s">
        <v>1085</v>
      </c>
      <c r="K36" t="s">
        <v>1</v>
      </c>
      <c r="L36" t="s">
        <v>496</v>
      </c>
      <c r="M36">
        <v>130</v>
      </c>
      <c r="N36">
        <v>70</v>
      </c>
      <c r="O36">
        <v>258</v>
      </c>
      <c r="P36" t="s">
        <v>497</v>
      </c>
      <c r="R36" t="s">
        <v>498</v>
      </c>
    </row>
    <row r="37" spans="1:19" x14ac:dyDescent="0.25">
      <c r="A37" s="11" t="str">
        <f>PROPER(K37)</f>
        <v>Fanatic</v>
      </c>
      <c r="B37" s="11" t="str">
        <f>TRIM(PROPER(LEFT(L37,IFERROR(FIND(" ",L37),99))&amp;MID(L37,IFERROR(FIND(" ",L37),99),99)))</f>
        <v>Shark 145 Ltd</v>
      </c>
      <c r="C37" s="11">
        <f>TRUNC(O37)</f>
        <v>263</v>
      </c>
      <c r="D37" s="11">
        <f>TRUNC(N37)</f>
        <v>75</v>
      </c>
      <c r="E37" s="11">
        <f>M37</f>
        <v>145</v>
      </c>
      <c r="F37" s="38" t="str">
        <f>I37</f>
        <v>2007</v>
      </c>
      <c r="G37" s="11" t="str" cm="1">
        <f t="array" ref="G37">gssBoardClass(A37,B37,C37,D37,E37,F37)</f>
        <v>Slalom Large</v>
      </c>
      <c r="H37" s="39" t="str">
        <f>_xlfn.CONCAT(I37,"-",LEFT(K37,2),"-",LEFT(L37,3),"-",M37,"-",TRUNC(N37),"-",TRUNC(O37))</f>
        <v>2007-Fa-SHA-145-75-263</v>
      </c>
      <c r="I37" s="42" t="str">
        <f>LEFT(J37,4)</f>
        <v>2007</v>
      </c>
      <c r="J37" s="46" t="s">
        <v>1085</v>
      </c>
      <c r="K37" t="s">
        <v>1</v>
      </c>
      <c r="L37" t="s">
        <v>494</v>
      </c>
      <c r="M37">
        <v>145</v>
      </c>
      <c r="N37">
        <v>75</v>
      </c>
      <c r="O37">
        <v>263</v>
      </c>
      <c r="P37" t="s">
        <v>480</v>
      </c>
      <c r="R37" t="s">
        <v>495</v>
      </c>
    </row>
    <row r="38" spans="1:19" x14ac:dyDescent="0.25">
      <c r="A38" s="11" t="str">
        <f>PROPER(K38)</f>
        <v>Fanatic</v>
      </c>
      <c r="B38" s="11" t="str">
        <f>TRIM(PROPER(LEFT(L38,IFERROR(FIND(" ",L38),99))&amp;MID(L38,IFERROR(FIND(" ",L38),99),99)))</f>
        <v>Shark 145</v>
      </c>
      <c r="C38" s="11">
        <f>TRUNC(O38)</f>
        <v>263</v>
      </c>
      <c r="D38" s="11">
        <f>TRUNC(N38)</f>
        <v>75</v>
      </c>
      <c r="E38" s="11">
        <f>M38</f>
        <v>145</v>
      </c>
      <c r="F38" s="38" t="str">
        <f>I38</f>
        <v>2007</v>
      </c>
      <c r="G38" s="11" t="str" cm="1">
        <f t="array" ref="G38">gssBoardClass(A38,B38,C38,D38,E38,F38)</f>
        <v>Slalom Large</v>
      </c>
      <c r="H38" s="39" t="str">
        <f>_xlfn.CONCAT(I38,"-",LEFT(K38,2),"-",LEFT(L38,3),"-",M38,"-",TRUNC(N38),"-",TRUNC(O38))</f>
        <v>2007-Fa-SHA-145-75-263</v>
      </c>
      <c r="I38" s="42" t="str">
        <f>LEFT(J38,4)</f>
        <v>2007</v>
      </c>
      <c r="J38" s="46" t="s">
        <v>1085</v>
      </c>
      <c r="K38" t="s">
        <v>1</v>
      </c>
      <c r="L38" t="s">
        <v>499</v>
      </c>
      <c r="M38">
        <v>145</v>
      </c>
      <c r="N38">
        <v>75</v>
      </c>
      <c r="O38">
        <v>263</v>
      </c>
      <c r="P38" t="s">
        <v>497</v>
      </c>
      <c r="R38" t="s">
        <v>500</v>
      </c>
    </row>
    <row r="39" spans="1:19" x14ac:dyDescent="0.25">
      <c r="A39" s="11" t="str">
        <f>PROPER(K39)</f>
        <v>Fanatic</v>
      </c>
      <c r="B39" s="11" t="str">
        <f>TRIM(PROPER(LEFT(L39,IFERROR(FIND(" ",L39),99))&amp;MID(L39,IFERROR(FIND(" ",L39),99),99)))</f>
        <v>Shark 160</v>
      </c>
      <c r="C39" s="11">
        <f>TRUNC(O39)</f>
        <v>268</v>
      </c>
      <c r="D39" s="11">
        <f>TRUNC(N39)</f>
        <v>80</v>
      </c>
      <c r="E39" s="11">
        <f>M39</f>
        <v>160</v>
      </c>
      <c r="F39" s="38" t="str">
        <f>I39</f>
        <v>2007</v>
      </c>
      <c r="G39" s="11" t="str" cm="1">
        <f t="array" ref="G39">gssBoardClass(A39,B39,C39,D39,E39,F39)</f>
        <v>Special / Longboard</v>
      </c>
      <c r="H39" s="39" t="str">
        <f>_xlfn.CONCAT(I39,"-",LEFT(K39,2),"-",LEFT(L39,3),"-",M39,"-",TRUNC(N39),"-",TRUNC(O39))</f>
        <v>2007-Fa-SHA-160-80-268</v>
      </c>
      <c r="I39" s="42" t="str">
        <f>LEFT(J39,4)</f>
        <v>2007</v>
      </c>
      <c r="J39" s="46" t="s">
        <v>1085</v>
      </c>
      <c r="K39" t="s">
        <v>1</v>
      </c>
      <c r="L39" t="s">
        <v>501</v>
      </c>
      <c r="M39">
        <v>160</v>
      </c>
      <c r="N39">
        <v>80</v>
      </c>
      <c r="O39">
        <v>268</v>
      </c>
      <c r="P39" t="s">
        <v>497</v>
      </c>
      <c r="R39" t="s">
        <v>502</v>
      </c>
    </row>
    <row r="40" spans="1:19" x14ac:dyDescent="0.25">
      <c r="A40" s="11" t="str">
        <f>PROPER(K40)</f>
        <v>Fanatic</v>
      </c>
      <c r="B40" s="11" t="str">
        <f>TRIM(PROPER(LEFT(L40,IFERROR(FIND(" ",L40),99))&amp;MID(L40,IFERROR(FIND(" ",L40),99),99)))</f>
        <v>Skate 107</v>
      </c>
      <c r="C40" s="11">
        <f>TRUNC(O40)</f>
        <v>239</v>
      </c>
      <c r="D40" s="11">
        <f>TRUNC(N40)</f>
        <v>65</v>
      </c>
      <c r="E40" s="11">
        <f>M40</f>
        <v>107</v>
      </c>
      <c r="F40" s="38" t="str">
        <f>I40</f>
        <v>2007</v>
      </c>
      <c r="G40" s="11" t="str" cm="1">
        <f t="array" ref="G40">gssBoardClass(A40,B40,C40,D40,E40,F40)</f>
        <v>Wave / Freestyle</v>
      </c>
      <c r="H40" s="39" t="str">
        <f>_xlfn.CONCAT(I40,"-",LEFT(K40,2),"-",LEFT(L40,3),"-",M40,"-",TRUNC(N40),"-",TRUNC(O40))</f>
        <v>2007-Fa-SKA-107-65-239</v>
      </c>
      <c r="I40" s="42" t="str">
        <f>LEFT(J40,4)</f>
        <v>2007</v>
      </c>
      <c r="J40" s="46" t="s">
        <v>1085</v>
      </c>
      <c r="K40" t="s">
        <v>1</v>
      </c>
      <c r="L40" t="s">
        <v>474</v>
      </c>
      <c r="M40">
        <v>107</v>
      </c>
      <c r="N40">
        <v>65</v>
      </c>
      <c r="O40">
        <v>239</v>
      </c>
      <c r="P40" t="s">
        <v>472</v>
      </c>
      <c r="R40" t="s">
        <v>475</v>
      </c>
    </row>
    <row r="41" spans="1:19" x14ac:dyDescent="0.25">
      <c r="A41" s="11" t="str">
        <f>PROPER(K41)</f>
        <v>Fanatic</v>
      </c>
      <c r="B41" s="11" t="str">
        <f>TRIM(PROPER(LEFT(L41,IFERROR(FIND(" ",L41),99))&amp;MID(L41,IFERROR(FIND(" ",L41),99),99)))</f>
        <v>Skate Te 107</v>
      </c>
      <c r="C41" s="11">
        <f>TRUNC(O41)</f>
        <v>239</v>
      </c>
      <c r="D41" s="11">
        <f>TRUNC(N41)</f>
        <v>65</v>
      </c>
      <c r="E41" s="11">
        <f>M41</f>
        <v>107</v>
      </c>
      <c r="F41" s="38" t="str">
        <f>I41</f>
        <v>2007</v>
      </c>
      <c r="G41" s="11" t="str" cm="1">
        <f t="array" ref="G41">gssBoardClass(A41,B41,C41,D41,E41,F41)</f>
        <v>Wave / Freestyle</v>
      </c>
      <c r="H41" s="39" t="str">
        <f>_xlfn.CONCAT(I41,"-",LEFT(K41,2),"-",LEFT(L41,3),"-",M41,"-",TRUNC(N41),"-",TRUNC(O41))</f>
        <v>2007-Fa-SKA-107-65-239</v>
      </c>
      <c r="I41" s="42" t="str">
        <f>LEFT(J41,4)</f>
        <v>2007</v>
      </c>
      <c r="J41" s="46" t="s">
        <v>1085</v>
      </c>
      <c r="K41" t="s">
        <v>1</v>
      </c>
      <c r="L41" t="s">
        <v>478</v>
      </c>
      <c r="M41">
        <v>107</v>
      </c>
      <c r="N41">
        <v>65</v>
      </c>
      <c r="O41">
        <v>239</v>
      </c>
      <c r="P41" t="s">
        <v>477</v>
      </c>
      <c r="R41" t="s">
        <v>475</v>
      </c>
    </row>
    <row r="42" spans="1:19" x14ac:dyDescent="0.25">
      <c r="A42" s="11" t="str">
        <f>PROPER(K42)</f>
        <v>Fanatic</v>
      </c>
      <c r="B42" s="11" t="str">
        <f>TRIM(PROPER(LEFT(L42,IFERROR(FIND(" ",L42),99))&amp;MID(L42,IFERROR(FIND(" ",L42),99),99)))</f>
        <v>Skate 97</v>
      </c>
      <c r="C42" s="11">
        <f>TRUNC(O42)</f>
        <v>237</v>
      </c>
      <c r="D42" s="11">
        <f>TRUNC(N42)</f>
        <v>63</v>
      </c>
      <c r="E42" s="11">
        <f>M42</f>
        <v>97</v>
      </c>
      <c r="F42" s="38" t="str">
        <f>I42</f>
        <v>2007</v>
      </c>
      <c r="G42" s="11" t="str" cm="1">
        <f t="array" ref="G42">gssBoardClass(A42,B42,C42,D42,E42,F42)</f>
        <v>Wave / Freestyle</v>
      </c>
      <c r="H42" s="39" t="str">
        <f>_xlfn.CONCAT(I42,"-",LEFT(K42,2),"-",LEFT(L42,3),"-",M42,"-",TRUNC(N42),"-",TRUNC(O42))</f>
        <v>2007-Fa-SKA-97-63-237</v>
      </c>
      <c r="I42" s="42" t="str">
        <f>LEFT(J42,4)</f>
        <v>2007</v>
      </c>
      <c r="J42" s="46" t="s">
        <v>1085</v>
      </c>
      <c r="K42" t="s">
        <v>1</v>
      </c>
      <c r="L42" t="s">
        <v>471</v>
      </c>
      <c r="M42">
        <v>97</v>
      </c>
      <c r="N42">
        <v>63</v>
      </c>
      <c r="O42">
        <v>237</v>
      </c>
      <c r="P42" t="s">
        <v>472</v>
      </c>
      <c r="R42" t="s">
        <v>473</v>
      </c>
    </row>
    <row r="43" spans="1:19" x14ac:dyDescent="0.25">
      <c r="A43" s="11" t="str">
        <f>PROPER(K43)</f>
        <v>Fanatic</v>
      </c>
      <c r="B43" s="11" t="str">
        <f>TRIM(PROPER(LEFT(L43,IFERROR(FIND(" ",L43),99))&amp;MID(L43,IFERROR(FIND(" ",L43),99),99)))</f>
        <v>Skate Te 97</v>
      </c>
      <c r="C43" s="11">
        <f>TRUNC(O43)</f>
        <v>237</v>
      </c>
      <c r="D43" s="11">
        <f>TRUNC(N43)</f>
        <v>63</v>
      </c>
      <c r="E43" s="11">
        <f>M43</f>
        <v>97</v>
      </c>
      <c r="F43" s="38" t="str">
        <f>I43</f>
        <v>2007</v>
      </c>
      <c r="G43" s="11" t="str" cm="1">
        <f t="array" ref="G43">gssBoardClass(A43,B43,C43,D43,E43,F43)</f>
        <v>Wave / Freestyle</v>
      </c>
      <c r="H43" s="39" t="str">
        <f>_xlfn.CONCAT(I43,"-",LEFT(K43,2),"-",LEFT(L43,3),"-",M43,"-",TRUNC(N43),"-",TRUNC(O43))</f>
        <v>2007-Fa-SKA-97-63-237</v>
      </c>
      <c r="I43" s="42" t="str">
        <f>LEFT(J43,4)</f>
        <v>2007</v>
      </c>
      <c r="J43" s="46" t="s">
        <v>1085</v>
      </c>
      <c r="K43" t="s">
        <v>1</v>
      </c>
      <c r="L43" t="s">
        <v>476</v>
      </c>
      <c r="M43">
        <v>97</v>
      </c>
      <c r="N43">
        <v>63</v>
      </c>
      <c r="O43">
        <v>237</v>
      </c>
      <c r="P43" t="s">
        <v>477</v>
      </c>
      <c r="R43" t="s">
        <v>473</v>
      </c>
    </row>
    <row r="44" spans="1:19" x14ac:dyDescent="0.25">
      <c r="A44" s="11" t="str">
        <f>PROPER(K44)</f>
        <v>Fanatic</v>
      </c>
      <c r="B44" s="11" t="str">
        <f>TRIM(PROPER(LEFT(L44,IFERROR(FIND(" ",L44),99))&amp;MID(L44,IFERROR(FIND(" ",L44),99),99)))</f>
        <v>Viper 75</v>
      </c>
      <c r="C44" s="11">
        <f>TRUNC(O44)</f>
        <v>275</v>
      </c>
      <c r="D44" s="11">
        <f>TRUNC(N44)</f>
        <v>75</v>
      </c>
      <c r="E44" s="11">
        <f>M44</f>
        <v>160</v>
      </c>
      <c r="F44" s="38" t="str">
        <f>I44</f>
        <v>2007</v>
      </c>
      <c r="G44" s="11" t="str" cm="1">
        <f t="array" ref="G44">gssBoardClass(A44,B44,C44,D44,E44,F44)</f>
        <v>Slalom Large</v>
      </c>
      <c r="H44" s="39" t="str">
        <f>_xlfn.CONCAT(I44,"-",LEFT(K44,2),"-",LEFT(L44,3),"-",M44,"-",TRUNC(N44),"-",TRUNC(O44))</f>
        <v>2007-Fa-VIP-160-75-275</v>
      </c>
      <c r="I44" s="42" t="str">
        <f>LEFT(J44,4)</f>
        <v>2007</v>
      </c>
      <c r="J44" s="46" t="s">
        <v>1085</v>
      </c>
      <c r="K44" t="s">
        <v>1</v>
      </c>
      <c r="L44" t="s">
        <v>512</v>
      </c>
      <c r="M44">
        <v>160</v>
      </c>
      <c r="N44">
        <v>75</v>
      </c>
      <c r="O44">
        <v>275</v>
      </c>
      <c r="P44" t="s">
        <v>513</v>
      </c>
      <c r="R44" t="s">
        <v>514</v>
      </c>
    </row>
    <row r="45" spans="1:19" x14ac:dyDescent="0.25">
      <c r="A45" s="11" t="str">
        <f>PROPER(K45)</f>
        <v>Fanatic</v>
      </c>
      <c r="B45" s="11" t="str">
        <f>TRIM(PROPER(LEFT(L45,IFERROR(FIND(" ",L45),99))&amp;MID(L45,IFERROR(FIND(" ",L45),99),99)))</f>
        <v>Viper 80</v>
      </c>
      <c r="C45" s="11">
        <f>TRUNC(O45)</f>
        <v>280</v>
      </c>
      <c r="D45" s="11">
        <f>TRUNC(N45)</f>
        <v>80</v>
      </c>
      <c r="E45" s="11">
        <f>M45</f>
        <v>190</v>
      </c>
      <c r="F45" s="38" t="str">
        <f>I45</f>
        <v>2007</v>
      </c>
      <c r="G45" s="11" t="str" cm="1">
        <f t="array" ref="G45">gssBoardClass(A45,B45,C45,D45,E45,F45)</f>
        <v>Special / Longboard</v>
      </c>
      <c r="H45" s="39" t="str">
        <f>_xlfn.CONCAT(I45,"-",LEFT(K45,2),"-",LEFT(L45,3),"-",M45,"-",TRUNC(N45),"-",TRUNC(O45))</f>
        <v>2007-Fa-VIP-190-80-280</v>
      </c>
      <c r="I45" s="42" t="str">
        <f>LEFT(J45,4)</f>
        <v>2007</v>
      </c>
      <c r="J45" s="46" t="s">
        <v>1085</v>
      </c>
      <c r="K45" t="s">
        <v>1</v>
      </c>
      <c r="L45" t="s">
        <v>515</v>
      </c>
      <c r="M45">
        <v>190</v>
      </c>
      <c r="N45">
        <v>80</v>
      </c>
      <c r="O45">
        <v>280</v>
      </c>
      <c r="P45" t="s">
        <v>513</v>
      </c>
      <c r="R45" t="s">
        <v>514</v>
      </c>
    </row>
    <row r="46" spans="1:19" x14ac:dyDescent="0.25">
      <c r="A46" s="11" t="str">
        <f>PROPER(K46)</f>
        <v>Fanatic</v>
      </c>
      <c r="B46" s="11" t="str">
        <f>TRIM(PROPER(LEFT(L46,IFERROR(FIND(" ",L46),99))&amp;MID(L46,IFERROR(FIND(" ",L46),99),99)))</f>
        <v>Viper 85</v>
      </c>
      <c r="C46" s="11">
        <f>TRUNC(O46)</f>
        <v>285</v>
      </c>
      <c r="D46" s="11">
        <f>TRUNC(N46)</f>
        <v>85</v>
      </c>
      <c r="E46" s="11">
        <f>M46</f>
        <v>220</v>
      </c>
      <c r="F46" s="38" t="str">
        <f>I46</f>
        <v>2007</v>
      </c>
      <c r="G46" s="11" t="str" cm="1">
        <f t="array" ref="G46">gssBoardClass(A46,B46,C46,D46,E46,F46)</f>
        <v>Special / Longboard</v>
      </c>
      <c r="H46" s="39" t="str">
        <f>_xlfn.CONCAT(I46,"-",LEFT(K46,2),"-",LEFT(L46,3),"-",M46,"-",TRUNC(N46),"-",TRUNC(O46))</f>
        <v>2007-Fa-VIP-220-85-285</v>
      </c>
      <c r="I46" s="42" t="str">
        <f>LEFT(J46,4)</f>
        <v>2007</v>
      </c>
      <c r="J46" s="46" t="s">
        <v>1085</v>
      </c>
      <c r="K46" t="s">
        <v>1</v>
      </c>
      <c r="L46" t="s">
        <v>516</v>
      </c>
      <c r="M46">
        <v>220</v>
      </c>
      <c r="N46">
        <v>85</v>
      </c>
      <c r="O46">
        <v>285</v>
      </c>
      <c r="P46" t="s">
        <v>513</v>
      </c>
      <c r="R46" t="s">
        <v>514</v>
      </c>
    </row>
    <row r="47" spans="1:19" x14ac:dyDescent="0.25">
      <c r="A47" s="11" t="str">
        <f>PROPER(K47)</f>
        <v>Fanatic</v>
      </c>
      <c r="B47" s="11" t="str">
        <f>TRIM(PROPER(LEFT(L47,IFERROR(FIND(" ",L47),99))&amp;MID(L47,IFERROR(FIND(" ",L47),99),99)))</f>
        <v>Falcon Slalom 102</v>
      </c>
      <c r="C47" s="11">
        <f>TRUNC(O47)</f>
        <v>235</v>
      </c>
      <c r="D47" s="11">
        <f>TRUNC(N47)</f>
        <v>63</v>
      </c>
      <c r="E47" s="11">
        <f>M47</f>
        <v>102</v>
      </c>
      <c r="F47" s="38" t="str">
        <f>I47</f>
        <v>2010</v>
      </c>
      <c r="G47" s="11" t="str" cm="1">
        <f t="array" ref="G47">gssBoardClass(A47,B47,C47,D47,E47,F47)</f>
        <v>Speed/Slalom Small</v>
      </c>
      <c r="H47" s="39" t="str">
        <f>_xlfn.CONCAT(I47,"-",LEFT(K47,2),"-",LEFT(L47,3),"-",M47,"-",TRUNC(N47),"-",TRUNC(O47))</f>
        <v>2010-Fa-Fal-102-63-235</v>
      </c>
      <c r="I47" s="42" t="str">
        <f>LEFT(J47,4)</f>
        <v>2010</v>
      </c>
      <c r="J47" s="46">
        <v>2010</v>
      </c>
      <c r="K47" t="s">
        <v>1</v>
      </c>
      <c r="L47" t="s">
        <v>627</v>
      </c>
      <c r="M47">
        <v>102</v>
      </c>
      <c r="N47">
        <v>63</v>
      </c>
      <c r="O47">
        <v>235</v>
      </c>
      <c r="P47" t="s">
        <v>626</v>
      </c>
      <c r="Q47" t="s">
        <v>232</v>
      </c>
      <c r="R47" t="s">
        <v>623</v>
      </c>
      <c r="S47" t="s">
        <v>580</v>
      </c>
    </row>
    <row r="48" spans="1:19" x14ac:dyDescent="0.25">
      <c r="A48" s="11" t="str">
        <f>PROPER(K48)</f>
        <v>Fanatic</v>
      </c>
      <c r="B48" s="11" t="str">
        <f>TRIM(PROPER(LEFT(L48,IFERROR(FIND(" ",L48),99))&amp;MID(L48,IFERROR(FIND(" ",L48),99),99)))</f>
        <v>Falcon Slalom 112</v>
      </c>
      <c r="C48" s="11">
        <f>TRUNC(O48)</f>
        <v>235</v>
      </c>
      <c r="D48" s="11">
        <f>TRUNC(N48)</f>
        <v>69</v>
      </c>
      <c r="E48" s="11">
        <f>M48</f>
        <v>112</v>
      </c>
      <c r="F48" s="38" t="str">
        <f>I48</f>
        <v>2010</v>
      </c>
      <c r="G48" s="11" t="str" cm="1">
        <f t="array" ref="G48">gssBoardClass(A48,B48,C48,D48,E48,F48)</f>
        <v>Slalom Medium</v>
      </c>
      <c r="H48" s="39" t="str">
        <f>_xlfn.CONCAT(I48,"-",LEFT(K48,2),"-",LEFT(L48,3),"-",M48,"-",TRUNC(N48),"-",TRUNC(O48))</f>
        <v>2010-Fa-Fal-112-69-235</v>
      </c>
      <c r="I48" s="42" t="str">
        <f>LEFT(J48,4)</f>
        <v>2010</v>
      </c>
      <c r="J48" s="46">
        <v>2010</v>
      </c>
      <c r="K48" t="s">
        <v>1</v>
      </c>
      <c r="L48" t="s">
        <v>628</v>
      </c>
      <c r="M48">
        <v>112</v>
      </c>
      <c r="N48">
        <v>69</v>
      </c>
      <c r="O48">
        <v>235</v>
      </c>
      <c r="P48" t="s">
        <v>626</v>
      </c>
      <c r="Q48" t="s">
        <v>232</v>
      </c>
      <c r="R48" t="s">
        <v>623</v>
      </c>
      <c r="S48" t="s">
        <v>583</v>
      </c>
    </row>
    <row r="49" spans="1:19" x14ac:dyDescent="0.25">
      <c r="A49" s="11" t="str">
        <f>PROPER(K49)</f>
        <v>Fanatic</v>
      </c>
      <c r="B49" s="11" t="str">
        <f>TRIM(PROPER(LEFT(L49,IFERROR(FIND(" ",L49),99))&amp;MID(L49,IFERROR(FIND(" ",L49),99),99)))</f>
        <v>Falcon Slalom 122</v>
      </c>
      <c r="C49" s="11">
        <f>TRUNC(O49)</f>
        <v>230</v>
      </c>
      <c r="D49" s="11">
        <f>TRUNC(N49)</f>
        <v>75</v>
      </c>
      <c r="E49" s="11">
        <f>M49</f>
        <v>122</v>
      </c>
      <c r="F49" s="38" t="str">
        <f>I49</f>
        <v>2010</v>
      </c>
      <c r="G49" s="11" t="str" cm="1">
        <f t="array" ref="G49">gssBoardClass(A49,B49,C49,D49,E49,F49)</f>
        <v>Slalom Large</v>
      </c>
      <c r="H49" s="39" t="str">
        <f>_xlfn.CONCAT(I49,"-",LEFT(K49,2),"-",LEFT(L49,3),"-",M49,"-",TRUNC(N49),"-",TRUNC(O49))</f>
        <v>2010-Fa-Fal-122-75-230</v>
      </c>
      <c r="I49" s="42" t="str">
        <f>LEFT(J49,4)</f>
        <v>2010</v>
      </c>
      <c r="J49" s="46">
        <v>2010</v>
      </c>
      <c r="K49" t="s">
        <v>1</v>
      </c>
      <c r="L49" t="s">
        <v>629</v>
      </c>
      <c r="M49">
        <v>122</v>
      </c>
      <c r="N49">
        <v>75</v>
      </c>
      <c r="O49">
        <v>230</v>
      </c>
      <c r="P49" t="s">
        <v>626</v>
      </c>
      <c r="Q49" t="s">
        <v>232</v>
      </c>
      <c r="R49" t="s">
        <v>623</v>
      </c>
      <c r="S49" t="s">
        <v>603</v>
      </c>
    </row>
    <row r="50" spans="1:19" x14ac:dyDescent="0.25">
      <c r="A50" s="11" t="str">
        <f>PROPER(K50)</f>
        <v>Fanatic</v>
      </c>
      <c r="B50" s="11" t="str">
        <f>TRIM(PROPER(LEFT(L50,IFERROR(FIND(" ",L50),99))&amp;MID(L50,IFERROR(FIND(" ",L50),99),99)))</f>
        <v>Falcon Slalom 133</v>
      </c>
      <c r="C50" s="11">
        <f>TRUNC(O50)</f>
        <v>230</v>
      </c>
      <c r="D50" s="11">
        <f>TRUNC(N50)</f>
        <v>79</v>
      </c>
      <c r="E50" s="11">
        <f>M50</f>
        <v>133</v>
      </c>
      <c r="F50" s="38" t="str">
        <f>I50</f>
        <v>2010</v>
      </c>
      <c r="G50" s="11" t="str" cm="1">
        <f t="array" ref="G50">gssBoardClass(A50,B50,C50,D50,E50,F50)</f>
        <v>Slalom Large</v>
      </c>
      <c r="H50" s="39" t="str">
        <f>_xlfn.CONCAT(I50,"-",LEFT(K50,2),"-",LEFT(L50,3),"-",M50,"-",TRUNC(N50),"-",TRUNC(O50))</f>
        <v>2010-Fa-Fal-133-79-230</v>
      </c>
      <c r="I50" s="42" t="str">
        <f>LEFT(J50,4)</f>
        <v>2010</v>
      </c>
      <c r="J50" s="46">
        <v>2010</v>
      </c>
      <c r="K50" t="s">
        <v>1</v>
      </c>
      <c r="L50" t="s">
        <v>630</v>
      </c>
      <c r="M50">
        <v>133</v>
      </c>
      <c r="N50">
        <v>79</v>
      </c>
      <c r="O50">
        <v>230</v>
      </c>
      <c r="P50" t="s">
        <v>626</v>
      </c>
      <c r="Q50" t="s">
        <v>260</v>
      </c>
      <c r="R50" t="s">
        <v>623</v>
      </c>
      <c r="S50" t="s">
        <v>631</v>
      </c>
    </row>
    <row r="51" spans="1:19" x14ac:dyDescent="0.25">
      <c r="A51" s="11" t="str">
        <f>PROPER(K51)</f>
        <v>Fanatic</v>
      </c>
      <c r="B51" s="11" t="str">
        <f>TRIM(PROPER(LEFT(L51,IFERROR(FIND(" ",L51),99))&amp;MID(L51,IFERROR(FIND(" ",L51),99),99)))</f>
        <v>Falcon Slalom 145</v>
      </c>
      <c r="C51" s="11">
        <f>TRUNC(O51)</f>
        <v>230</v>
      </c>
      <c r="D51" s="11">
        <f>TRUNC(N51)</f>
        <v>85</v>
      </c>
      <c r="E51" s="11">
        <f>M51</f>
        <v>145</v>
      </c>
      <c r="F51" s="38" t="str">
        <f>I51</f>
        <v>2010</v>
      </c>
      <c r="G51" s="11" t="str" cm="1">
        <f t="array" ref="G51">gssBoardClass(A51,B51,C51,D51,E51,F51)</f>
        <v>Slalom Large</v>
      </c>
      <c r="H51" s="39" t="str">
        <f>_xlfn.CONCAT(I51,"-",LEFT(K51,2),"-",LEFT(L51,3),"-",M51,"-",TRUNC(N51),"-",TRUNC(O51))</f>
        <v>2010-Fa-Fal-145-85-230</v>
      </c>
      <c r="I51" s="42" t="str">
        <f>LEFT(J51,4)</f>
        <v>2010</v>
      </c>
      <c r="J51" s="46">
        <v>2010</v>
      </c>
      <c r="K51" t="s">
        <v>1</v>
      </c>
      <c r="L51" t="s">
        <v>632</v>
      </c>
      <c r="M51">
        <v>145</v>
      </c>
      <c r="N51">
        <v>85</v>
      </c>
      <c r="O51">
        <v>230</v>
      </c>
      <c r="P51" t="s">
        <v>626</v>
      </c>
      <c r="Q51" t="s">
        <v>260</v>
      </c>
      <c r="R51" t="s">
        <v>623</v>
      </c>
      <c r="S51" t="s">
        <v>633</v>
      </c>
    </row>
    <row r="52" spans="1:19" x14ac:dyDescent="0.25">
      <c r="A52" s="11" t="str">
        <f>PROPER(K52)</f>
        <v>Fanatic</v>
      </c>
      <c r="B52" s="11" t="str">
        <f>TRIM(PROPER(LEFT(L52,IFERROR(FIND(" ",L52),99))&amp;MID(L52,IFERROR(FIND(" ",L52),99),99)))</f>
        <v>Falcon Speed</v>
      </c>
      <c r="C52" s="11">
        <f>TRUNC(O52)</f>
        <v>242</v>
      </c>
      <c r="D52" s="11">
        <f>TRUNC(N52)</f>
        <v>48</v>
      </c>
      <c r="E52" s="11">
        <f>M52</f>
        <v>68</v>
      </c>
      <c r="F52" s="38" t="str">
        <f>I52</f>
        <v>2010</v>
      </c>
      <c r="G52" s="11" t="str" cm="1">
        <f t="array" ref="G52">gssBoardClass(A52,B52,C52,D52,E52,F52)</f>
        <v>Speedboard</v>
      </c>
      <c r="H52" s="39" t="str">
        <f>_xlfn.CONCAT(I52,"-",LEFT(K52,2),"-",LEFT(L52,3),"-",M52,"-",TRUNC(N52),"-",TRUNC(O52))</f>
        <v>2010-Fa-Fal-68-48-242</v>
      </c>
      <c r="I52" s="42" t="str">
        <f>LEFT(J52,4)</f>
        <v>2010</v>
      </c>
      <c r="J52" s="46">
        <v>2010</v>
      </c>
      <c r="K52" t="s">
        <v>1</v>
      </c>
      <c r="L52" t="s">
        <v>621</v>
      </c>
      <c r="M52">
        <v>68</v>
      </c>
      <c r="N52">
        <v>48</v>
      </c>
      <c r="O52">
        <v>242</v>
      </c>
      <c r="P52" t="s">
        <v>622</v>
      </c>
      <c r="Q52" t="s">
        <v>232</v>
      </c>
      <c r="R52" t="s">
        <v>623</v>
      </c>
      <c r="S52" t="s">
        <v>624</v>
      </c>
    </row>
    <row r="53" spans="1:19" x14ac:dyDescent="0.25">
      <c r="A53" s="11" t="str">
        <f>PROPER(K53)</f>
        <v>Fanatic</v>
      </c>
      <c r="B53" s="11" t="str">
        <f>TRIM(PROPER(LEFT(L53,IFERROR(FIND(" ",L53),99))&amp;MID(L53,IFERROR(FIND(" ",L53),99),99)))</f>
        <v>Falcon Slalom 86</v>
      </c>
      <c r="C53" s="11">
        <f>TRUNC(O53)</f>
        <v>240</v>
      </c>
      <c r="D53" s="11">
        <f>TRUNC(N53)</f>
        <v>58</v>
      </c>
      <c r="E53" s="11">
        <f>M53</f>
        <v>86</v>
      </c>
      <c r="F53" s="38" t="str">
        <f>I53</f>
        <v>2010</v>
      </c>
      <c r="G53" s="11" t="str" cm="1">
        <f t="array" ref="G53">gssBoardClass(A53,B53,C53,D53,E53,F53)</f>
        <v>Speed/Slalom Xtra Small</v>
      </c>
      <c r="H53" s="39" t="str">
        <f>_xlfn.CONCAT(I53,"-",LEFT(K53,2),"-",LEFT(L53,3),"-",M53,"-",TRUNC(N53),"-",TRUNC(O53))</f>
        <v>2010-Fa-Fal-86-58-240</v>
      </c>
      <c r="I53" s="42" t="str">
        <f>LEFT(J53,4)</f>
        <v>2010</v>
      </c>
      <c r="J53" s="46">
        <v>2010</v>
      </c>
      <c r="K53" t="s">
        <v>1</v>
      </c>
      <c r="L53" t="s">
        <v>625</v>
      </c>
      <c r="M53">
        <v>86</v>
      </c>
      <c r="N53">
        <v>58</v>
      </c>
      <c r="O53">
        <v>240</v>
      </c>
      <c r="P53" t="s">
        <v>626</v>
      </c>
      <c r="Q53" t="s">
        <v>232</v>
      </c>
      <c r="R53" t="s">
        <v>623</v>
      </c>
      <c r="S53" t="s">
        <v>567</v>
      </c>
    </row>
    <row r="54" spans="1:19" x14ac:dyDescent="0.25">
      <c r="A54" s="11" t="str">
        <f>PROPER(K54)</f>
        <v>Fanatic</v>
      </c>
      <c r="B54" s="11" t="str">
        <f>TRIM(PROPER(LEFT(L54,IFERROR(FIND(" ",L54),99))&amp;MID(L54,IFERROR(FIND(" ",L54),99),99)))</f>
        <v>Freewave 105</v>
      </c>
      <c r="C54" s="11">
        <f>TRUNC(O54)</f>
        <v>242</v>
      </c>
      <c r="D54" s="11">
        <f>TRUNC(N54)</f>
        <v>63</v>
      </c>
      <c r="E54" s="11">
        <f>M54</f>
        <v>105</v>
      </c>
      <c r="F54" s="38" t="str">
        <f>I54</f>
        <v>2010</v>
      </c>
      <c r="G54" s="11" t="str" cm="1">
        <f t="array" ref="G54">gssBoardClass(A54,B54,C54,D54,E54,F54)</f>
        <v>Wave / Freestyle</v>
      </c>
      <c r="H54" s="39" t="str">
        <f>_xlfn.CONCAT(I54,"-",LEFT(K54,2),"-",LEFT(L54,3),"-",M54,"-",TRUNC(N54),"-",TRUNC(O54))</f>
        <v>2010-Fa-Fre-105-63-242</v>
      </c>
      <c r="I54" s="42" t="str">
        <f>LEFT(J54,4)</f>
        <v>2010</v>
      </c>
      <c r="J54" s="46">
        <v>2010</v>
      </c>
      <c r="K54" t="s">
        <v>1</v>
      </c>
      <c r="L54" t="s">
        <v>554</v>
      </c>
      <c r="M54">
        <v>105</v>
      </c>
      <c r="N54">
        <v>63.5</v>
      </c>
      <c r="O54">
        <v>242</v>
      </c>
      <c r="P54" t="s">
        <v>546</v>
      </c>
      <c r="Q54" t="s">
        <v>179</v>
      </c>
      <c r="R54" t="s">
        <v>555</v>
      </c>
      <c r="S54" t="s">
        <v>556</v>
      </c>
    </row>
    <row r="55" spans="1:19" x14ac:dyDescent="0.25">
      <c r="A55" s="11" t="str">
        <f>PROPER(K55)</f>
        <v>Fanatic</v>
      </c>
      <c r="B55" s="11" t="str">
        <f>TRIM(PROPER(LEFT(L55,IFERROR(FIND(" ",L55),99))&amp;MID(L55,IFERROR(FIND(" ",L55),99),99)))</f>
        <v>Freewave Te 105</v>
      </c>
      <c r="C55" s="11">
        <f>TRUNC(O55)</f>
        <v>242</v>
      </c>
      <c r="D55" s="11">
        <f>TRUNC(N55)</f>
        <v>63</v>
      </c>
      <c r="E55" s="11">
        <f>M55</f>
        <v>105</v>
      </c>
      <c r="F55" s="38" t="str">
        <f>I55</f>
        <v>2010</v>
      </c>
      <c r="G55" s="11" t="str" cm="1">
        <f t="array" ref="G55">gssBoardClass(A55,B55,C55,D55,E55,F55)</f>
        <v>Wave / Freestyle</v>
      </c>
      <c r="H55" s="39" t="str">
        <f>_xlfn.CONCAT(I55,"-",LEFT(K55,2),"-",LEFT(L55,3),"-",M55,"-",TRUNC(N55),"-",TRUNC(O55))</f>
        <v>2010-Fa-Fre-105-63-242</v>
      </c>
      <c r="I55" s="42" t="str">
        <f>LEFT(J55,4)</f>
        <v>2010</v>
      </c>
      <c r="J55" s="46">
        <v>2010</v>
      </c>
      <c r="K55" t="s">
        <v>1</v>
      </c>
      <c r="L55" t="s">
        <v>562</v>
      </c>
      <c r="M55">
        <v>105</v>
      </c>
      <c r="N55">
        <v>63.5</v>
      </c>
      <c r="O55">
        <v>242</v>
      </c>
      <c r="P55" t="s">
        <v>520</v>
      </c>
      <c r="Q55" t="s">
        <v>179</v>
      </c>
      <c r="R55" t="s">
        <v>555</v>
      </c>
      <c r="S55" t="s">
        <v>563</v>
      </c>
    </row>
    <row r="56" spans="1:19" x14ac:dyDescent="0.25">
      <c r="A56" s="11" t="str">
        <f>PROPER(K56)</f>
        <v>Fanatic</v>
      </c>
      <c r="B56" s="11" t="str">
        <f>TRIM(PROPER(LEFT(L56,IFERROR(FIND(" ",L56),99))&amp;MID(L56,IFERROR(FIND(" ",L56),99),99)))</f>
        <v>Freewave 115</v>
      </c>
      <c r="C56" s="11">
        <f>TRUNC(O56)</f>
        <v>244</v>
      </c>
      <c r="D56" s="11">
        <f>TRUNC(N56)</f>
        <v>66</v>
      </c>
      <c r="E56" s="11">
        <f>M56</f>
        <v>115</v>
      </c>
      <c r="F56" s="38" t="str">
        <f>I56</f>
        <v>2010</v>
      </c>
      <c r="G56" s="11" t="str" cm="1">
        <f t="array" ref="G56">gssBoardClass(A56,B56,C56,D56,E56,F56)</f>
        <v>Wave / Freestyle</v>
      </c>
      <c r="H56" s="39" t="str">
        <f>_xlfn.CONCAT(I56,"-",LEFT(K56,2),"-",LEFT(L56,3),"-",M56,"-",TRUNC(N56),"-",TRUNC(O56))</f>
        <v>2010-Fa-Fre-115-66-244</v>
      </c>
      <c r="I56" s="42" t="str">
        <f>LEFT(J56,4)</f>
        <v>2010</v>
      </c>
      <c r="J56" s="46">
        <v>2010</v>
      </c>
      <c r="K56" t="s">
        <v>1</v>
      </c>
      <c r="L56" t="s">
        <v>557</v>
      </c>
      <c r="M56">
        <v>115</v>
      </c>
      <c r="N56">
        <v>66</v>
      </c>
      <c r="O56">
        <v>244</v>
      </c>
      <c r="P56" t="s">
        <v>546</v>
      </c>
      <c r="Q56" t="s">
        <v>179</v>
      </c>
      <c r="R56" t="s">
        <v>555</v>
      </c>
      <c r="S56" t="s">
        <v>558</v>
      </c>
    </row>
    <row r="57" spans="1:19" x14ac:dyDescent="0.25">
      <c r="A57" s="11" t="str">
        <f>PROPER(K57)</f>
        <v>Fanatic</v>
      </c>
      <c r="B57" s="11" t="str">
        <f>TRIM(PROPER(LEFT(L57,IFERROR(FIND(" ",L57),99))&amp;MID(L57,IFERROR(FIND(" ",L57),99),99)))</f>
        <v>Freewave Te 115</v>
      </c>
      <c r="C57" s="11">
        <f>TRUNC(O57)</f>
        <v>244</v>
      </c>
      <c r="D57" s="11">
        <f>TRUNC(N57)</f>
        <v>66</v>
      </c>
      <c r="E57" s="11">
        <f>M57</f>
        <v>115</v>
      </c>
      <c r="F57" s="38" t="str">
        <f>I57</f>
        <v>2010</v>
      </c>
      <c r="G57" s="11" t="str" cm="1">
        <f t="array" ref="G57">gssBoardClass(A57,B57,C57,D57,E57,F57)</f>
        <v>Wave / Freestyle</v>
      </c>
      <c r="H57" s="39" t="str">
        <f>_xlfn.CONCAT(I57,"-",LEFT(K57,2),"-",LEFT(L57,3),"-",M57,"-",TRUNC(N57),"-",TRUNC(O57))</f>
        <v>2010-Fa-Fre-115-66-244</v>
      </c>
      <c r="I57" s="42" t="str">
        <f>LEFT(J57,4)</f>
        <v>2010</v>
      </c>
      <c r="J57" s="46">
        <v>2010</v>
      </c>
      <c r="K57" t="s">
        <v>1</v>
      </c>
      <c r="L57" t="s">
        <v>564</v>
      </c>
      <c r="M57">
        <v>115</v>
      </c>
      <c r="N57">
        <v>66</v>
      </c>
      <c r="O57">
        <v>244</v>
      </c>
      <c r="P57" t="s">
        <v>520</v>
      </c>
      <c r="Q57" t="s">
        <v>179</v>
      </c>
      <c r="R57" t="s">
        <v>555</v>
      </c>
      <c r="S57" t="s">
        <v>558</v>
      </c>
    </row>
    <row r="58" spans="1:19" x14ac:dyDescent="0.25">
      <c r="A58" s="11" t="str">
        <f>PROPER(K58)</f>
        <v>Fanatic</v>
      </c>
      <c r="B58" s="11" t="str">
        <f>TRIM(PROPER(LEFT(L58,IFERROR(FIND(" ",L58),99))&amp;MID(L58,IFERROR(FIND(" ",L58),99),99)))</f>
        <v>Freewave 75</v>
      </c>
      <c r="C58" s="11">
        <f>TRUNC(O58)</f>
        <v>235</v>
      </c>
      <c r="D58" s="11">
        <f>TRUNC(N58)</f>
        <v>56</v>
      </c>
      <c r="E58" s="11">
        <f>M58</f>
        <v>75</v>
      </c>
      <c r="F58" s="38" t="str">
        <f>I58</f>
        <v>2010</v>
      </c>
      <c r="G58" s="11" t="str" cm="1">
        <f t="array" ref="G58">gssBoardClass(A58,B58,C58,D58,E58,F58)</f>
        <v>Wave / Freestyle</v>
      </c>
      <c r="H58" s="39" t="str">
        <f>_xlfn.CONCAT(I58,"-",LEFT(K58,2),"-",LEFT(L58,3),"-",M58,"-",TRUNC(N58),"-",TRUNC(O58))</f>
        <v>2010-Fa-Fre-75-56-235</v>
      </c>
      <c r="I58" s="42" t="str">
        <f>LEFT(J58,4)</f>
        <v>2010</v>
      </c>
      <c r="J58" s="46">
        <v>2010</v>
      </c>
      <c r="K58" t="s">
        <v>1</v>
      </c>
      <c r="L58" t="s">
        <v>545</v>
      </c>
      <c r="M58">
        <v>75</v>
      </c>
      <c r="N58">
        <v>56</v>
      </c>
      <c r="O58">
        <v>235</v>
      </c>
      <c r="P58" t="s">
        <v>546</v>
      </c>
      <c r="Q58" t="s">
        <v>522</v>
      </c>
      <c r="R58" t="s">
        <v>547</v>
      </c>
      <c r="S58" t="s">
        <v>529</v>
      </c>
    </row>
    <row r="59" spans="1:19" x14ac:dyDescent="0.25">
      <c r="A59" s="11" t="str">
        <f>PROPER(K59)</f>
        <v>Fanatic</v>
      </c>
      <c r="B59" s="11" t="str">
        <f>TRIM(PROPER(LEFT(L59,IFERROR(FIND(" ",L59),99))&amp;MID(L59,IFERROR(FIND(" ",L59),99),99)))</f>
        <v>Freewave Te 75</v>
      </c>
      <c r="C59" s="11">
        <f>TRUNC(O59)</f>
        <v>235</v>
      </c>
      <c r="D59" s="11">
        <f>TRUNC(N59)</f>
        <v>56</v>
      </c>
      <c r="E59" s="11">
        <f>M59</f>
        <v>75</v>
      </c>
      <c r="F59" s="38" t="str">
        <f>I59</f>
        <v>2010</v>
      </c>
      <c r="G59" s="11" t="str" cm="1">
        <f t="array" ref="G59">gssBoardClass(A59,B59,C59,D59,E59,F59)</f>
        <v>Wave / Freestyle</v>
      </c>
      <c r="H59" s="39" t="str">
        <f>_xlfn.CONCAT(I59,"-",LEFT(K59,2),"-",LEFT(L59,3),"-",M59,"-",TRUNC(N59),"-",TRUNC(O59))</f>
        <v>2010-Fa-Fre-75-56-235</v>
      </c>
      <c r="I59" s="42" t="str">
        <f>LEFT(J59,4)</f>
        <v>2010</v>
      </c>
      <c r="J59" s="46">
        <v>2010</v>
      </c>
      <c r="K59" t="s">
        <v>1</v>
      </c>
      <c r="L59" t="s">
        <v>559</v>
      </c>
      <c r="M59">
        <v>75</v>
      </c>
      <c r="N59">
        <v>56</v>
      </c>
      <c r="O59">
        <v>235</v>
      </c>
      <c r="P59" t="s">
        <v>520</v>
      </c>
      <c r="Q59" t="s">
        <v>522</v>
      </c>
      <c r="R59" t="s">
        <v>547</v>
      </c>
      <c r="S59" t="s">
        <v>529</v>
      </c>
    </row>
    <row r="60" spans="1:19" x14ac:dyDescent="0.25">
      <c r="A60" s="11" t="str">
        <f>PROPER(K60)</f>
        <v>Fanatic</v>
      </c>
      <c r="B60" s="11" t="str">
        <f>TRIM(PROPER(LEFT(L60,IFERROR(FIND(" ",L60),99))&amp;MID(L60,IFERROR(FIND(" ",L60),99),99)))</f>
        <v>Freewave 85</v>
      </c>
      <c r="C60" s="11">
        <f>TRUNC(O60)</f>
        <v>238</v>
      </c>
      <c r="D60" s="11">
        <f>TRUNC(N60)</f>
        <v>58</v>
      </c>
      <c r="E60" s="11">
        <f>M60</f>
        <v>85</v>
      </c>
      <c r="F60" s="38" t="str">
        <f>I60</f>
        <v>2010</v>
      </c>
      <c r="G60" s="11" t="str" cm="1">
        <f t="array" ref="G60">gssBoardClass(A60,B60,C60,D60,E60,F60)</f>
        <v>Wave / Freestyle</v>
      </c>
      <c r="H60" s="39" t="str">
        <f>_xlfn.CONCAT(I60,"-",LEFT(K60,2),"-",LEFT(L60,3),"-",M60,"-",TRUNC(N60),"-",TRUNC(O60))</f>
        <v>2010-Fa-Fre-85-58-238</v>
      </c>
      <c r="I60" s="42" t="str">
        <f>LEFT(J60,4)</f>
        <v>2010</v>
      </c>
      <c r="J60" s="46">
        <v>2010</v>
      </c>
      <c r="K60" t="s">
        <v>1</v>
      </c>
      <c r="L60" t="s">
        <v>548</v>
      </c>
      <c r="M60">
        <v>85</v>
      </c>
      <c r="N60">
        <v>58.5</v>
      </c>
      <c r="O60">
        <v>238</v>
      </c>
      <c r="P60" t="s">
        <v>546</v>
      </c>
      <c r="Q60" t="s">
        <v>179</v>
      </c>
      <c r="R60" t="s">
        <v>549</v>
      </c>
      <c r="S60" t="s">
        <v>550</v>
      </c>
    </row>
    <row r="61" spans="1:19" x14ac:dyDescent="0.25">
      <c r="A61" s="11" t="str">
        <f>PROPER(K61)</f>
        <v>Fanatic</v>
      </c>
      <c r="B61" s="11" t="str">
        <f>TRIM(PROPER(LEFT(L61,IFERROR(FIND(" ",L61),99))&amp;MID(L61,IFERROR(FIND(" ",L61),99),99)))</f>
        <v>Freewave Te 85</v>
      </c>
      <c r="C61" s="11">
        <f>TRUNC(O61)</f>
        <v>238</v>
      </c>
      <c r="D61" s="11">
        <f>TRUNC(N61)</f>
        <v>58</v>
      </c>
      <c r="E61" s="11">
        <f>M61</f>
        <v>85</v>
      </c>
      <c r="F61" s="38" t="str">
        <f>I61</f>
        <v>2010</v>
      </c>
      <c r="G61" s="11" t="str" cm="1">
        <f t="array" ref="G61">gssBoardClass(A61,B61,C61,D61,E61,F61)</f>
        <v>Wave / Freestyle</v>
      </c>
      <c r="H61" s="39" t="str">
        <f>_xlfn.CONCAT(I61,"-",LEFT(K61,2),"-",LEFT(L61,3),"-",M61,"-",TRUNC(N61),"-",TRUNC(O61))</f>
        <v>2010-Fa-Fre-85-58-238</v>
      </c>
      <c r="I61" s="42" t="str">
        <f>LEFT(J61,4)</f>
        <v>2010</v>
      </c>
      <c r="J61" s="46">
        <v>2010</v>
      </c>
      <c r="K61" t="s">
        <v>1</v>
      </c>
      <c r="L61" t="s">
        <v>560</v>
      </c>
      <c r="M61">
        <v>85</v>
      </c>
      <c r="N61">
        <v>58.5</v>
      </c>
      <c r="O61">
        <v>238</v>
      </c>
      <c r="P61" t="s">
        <v>520</v>
      </c>
      <c r="Q61" t="s">
        <v>179</v>
      </c>
      <c r="R61" t="s">
        <v>549</v>
      </c>
      <c r="S61" t="s">
        <v>550</v>
      </c>
    </row>
    <row r="62" spans="1:19" x14ac:dyDescent="0.25">
      <c r="A62" s="11" t="str">
        <f>PROPER(K62)</f>
        <v>Fanatic</v>
      </c>
      <c r="B62" s="11" t="str">
        <f>TRIM(PROPER(LEFT(L62,IFERROR(FIND(" ",L62),99))&amp;MID(L62,IFERROR(FIND(" ",L62),99),99)))</f>
        <v>Freewave 95</v>
      </c>
      <c r="C62" s="11">
        <f>TRUNC(O62)</f>
        <v>240</v>
      </c>
      <c r="D62" s="11">
        <f>TRUNC(N62)</f>
        <v>61</v>
      </c>
      <c r="E62" s="11">
        <f>M62</f>
        <v>95</v>
      </c>
      <c r="F62" s="38" t="str">
        <f>I62</f>
        <v>2010</v>
      </c>
      <c r="G62" s="11" t="str" cm="1">
        <f t="array" ref="G62">gssBoardClass(A62,B62,C62,D62,E62,F62)</f>
        <v>Wave / Freestyle</v>
      </c>
      <c r="H62" s="39" t="str">
        <f>_xlfn.CONCAT(I62,"-",LEFT(K62,2),"-",LEFT(L62,3),"-",M62,"-",TRUNC(N62),"-",TRUNC(O62))</f>
        <v>2010-Fa-Fre-95-61-240</v>
      </c>
      <c r="I62" s="42" t="str">
        <f>LEFT(J62,4)</f>
        <v>2010</v>
      </c>
      <c r="J62" s="46">
        <v>2010</v>
      </c>
      <c r="K62" t="s">
        <v>1</v>
      </c>
      <c r="L62" t="s">
        <v>551</v>
      </c>
      <c r="M62">
        <v>95</v>
      </c>
      <c r="N62">
        <v>61</v>
      </c>
      <c r="O62">
        <v>240</v>
      </c>
      <c r="P62" t="s">
        <v>546</v>
      </c>
      <c r="Q62" t="s">
        <v>179</v>
      </c>
      <c r="R62" t="s">
        <v>552</v>
      </c>
      <c r="S62" t="s">
        <v>553</v>
      </c>
    </row>
    <row r="63" spans="1:19" x14ac:dyDescent="0.25">
      <c r="A63" s="11" t="str">
        <f>PROPER(K63)</f>
        <v>Fanatic</v>
      </c>
      <c r="B63" s="11" t="str">
        <f>TRIM(PROPER(LEFT(L63,IFERROR(FIND(" ",L63),99))&amp;MID(L63,IFERROR(FIND(" ",L63),99),99)))</f>
        <v>Freewave Te 95</v>
      </c>
      <c r="C63" s="11">
        <f>TRUNC(O63)</f>
        <v>240</v>
      </c>
      <c r="D63" s="11">
        <f>TRUNC(N63)</f>
        <v>61</v>
      </c>
      <c r="E63" s="11">
        <f>M63</f>
        <v>95</v>
      </c>
      <c r="F63" s="38" t="str">
        <f>I63</f>
        <v>2010</v>
      </c>
      <c r="G63" s="11" t="str" cm="1">
        <f t="array" ref="G63">gssBoardClass(A63,B63,C63,D63,E63,F63)</f>
        <v>Wave / Freestyle</v>
      </c>
      <c r="H63" s="39" t="str">
        <f>_xlfn.CONCAT(I63,"-",LEFT(K63,2),"-",LEFT(L63,3),"-",M63,"-",TRUNC(N63),"-",TRUNC(O63))</f>
        <v>2010-Fa-Fre-95-61-240</v>
      </c>
      <c r="I63" s="42" t="str">
        <f>LEFT(J63,4)</f>
        <v>2010</v>
      </c>
      <c r="J63" s="46">
        <v>2010</v>
      </c>
      <c r="K63" t="s">
        <v>1</v>
      </c>
      <c r="L63" t="s">
        <v>561</v>
      </c>
      <c r="M63">
        <v>95</v>
      </c>
      <c r="N63">
        <v>61</v>
      </c>
      <c r="O63">
        <v>240</v>
      </c>
      <c r="P63" t="s">
        <v>520</v>
      </c>
      <c r="Q63" t="s">
        <v>179</v>
      </c>
      <c r="R63" t="s">
        <v>552</v>
      </c>
      <c r="S63" t="s">
        <v>553</v>
      </c>
    </row>
    <row r="64" spans="1:19" x14ac:dyDescent="0.25">
      <c r="A64" s="11" t="str">
        <f>PROPER(K64)</f>
        <v>Fanatic</v>
      </c>
      <c r="B64" s="11" t="str">
        <f>TRIM(PROPER(LEFT(L64,IFERROR(FIND(" ",L64),99))&amp;MID(L64,IFERROR(FIND(" ",L64),99),99)))</f>
        <v>Hawk 100</v>
      </c>
      <c r="C64" s="11">
        <f>TRUNC(O64)</f>
        <v>245</v>
      </c>
      <c r="D64" s="11">
        <f>TRUNC(N64)</f>
        <v>62</v>
      </c>
      <c r="E64" s="11">
        <f>M64</f>
        <v>100</v>
      </c>
      <c r="F64" s="38" t="str">
        <f>I64</f>
        <v>2010</v>
      </c>
      <c r="G64" s="11" t="str" cm="1">
        <f t="array" ref="G64">gssBoardClass(A64,B64,C64,D64,E64,F64)</f>
        <v>Speed/Slalom Small</v>
      </c>
      <c r="H64" s="39" t="str">
        <f>_xlfn.CONCAT(I64,"-",LEFT(K64,2),"-",LEFT(L64,3),"-",M64,"-",TRUNC(N64),"-",TRUNC(O64))</f>
        <v>2010-Fa-Haw-100-62-245</v>
      </c>
      <c r="I64" s="42" t="str">
        <f>LEFT(J64,4)</f>
        <v>2010</v>
      </c>
      <c r="J64" s="46">
        <v>2010</v>
      </c>
      <c r="K64" t="s">
        <v>1</v>
      </c>
      <c r="L64" t="s">
        <v>574</v>
      </c>
      <c r="M64">
        <v>100</v>
      </c>
      <c r="N64">
        <v>62</v>
      </c>
      <c r="O64">
        <v>245</v>
      </c>
      <c r="P64" t="s">
        <v>575</v>
      </c>
      <c r="Q64" t="s">
        <v>179</v>
      </c>
      <c r="R64" t="s">
        <v>576</v>
      </c>
      <c r="S64" t="s">
        <v>577</v>
      </c>
    </row>
    <row r="65" spans="1:19" x14ac:dyDescent="0.25">
      <c r="A65" s="11" t="str">
        <f>PROPER(K65)</f>
        <v>Fanatic</v>
      </c>
      <c r="B65" s="11" t="str">
        <f>TRIM(PROPER(LEFT(L65,IFERROR(FIND(" ",L65),99))&amp;MID(L65,IFERROR(FIND(" ",L65),99),99)))</f>
        <v>Hawk Ltd 100</v>
      </c>
      <c r="C65" s="11">
        <f>TRUNC(O65)</f>
        <v>245</v>
      </c>
      <c r="D65" s="11">
        <f>TRUNC(N65)</f>
        <v>62</v>
      </c>
      <c r="E65" s="11">
        <f>M65</f>
        <v>100</v>
      </c>
      <c r="F65" s="38" t="str">
        <f>I65</f>
        <v>2010</v>
      </c>
      <c r="G65" s="11" t="str" cm="1">
        <f t="array" ref="G65">gssBoardClass(A65,B65,C65,D65,E65,F65)</f>
        <v>Speed/Slalom Small</v>
      </c>
      <c r="H65" s="39" t="str">
        <f>_xlfn.CONCAT(I65,"-",LEFT(K65,2),"-",LEFT(L65,3),"-",M65,"-",TRUNC(N65),"-",TRUNC(O65))</f>
        <v>2010-Fa-Haw-100-62-245</v>
      </c>
      <c r="I65" s="42" t="str">
        <f>LEFT(J65,4)</f>
        <v>2010</v>
      </c>
      <c r="J65" s="46">
        <v>2010</v>
      </c>
      <c r="K65" t="s">
        <v>1</v>
      </c>
      <c r="L65" t="s">
        <v>584</v>
      </c>
      <c r="M65">
        <v>100</v>
      </c>
      <c r="N65">
        <v>62</v>
      </c>
      <c r="O65">
        <v>245</v>
      </c>
      <c r="P65" t="s">
        <v>585</v>
      </c>
      <c r="Q65" t="s">
        <v>179</v>
      </c>
      <c r="R65" t="s">
        <v>586</v>
      </c>
      <c r="S65" t="s">
        <v>577</v>
      </c>
    </row>
    <row r="66" spans="1:19" x14ac:dyDescent="0.25">
      <c r="A66" s="11" t="str">
        <f>PROPER(K66)</f>
        <v>Fanatic</v>
      </c>
      <c r="B66" s="11" t="str">
        <f>TRIM(PROPER(LEFT(L66,IFERROR(FIND(" ",L66),99))&amp;MID(L66,IFERROR(FIND(" ",L66),99),99)))</f>
        <v>Hawk 120</v>
      </c>
      <c r="C66" s="11">
        <f>TRUNC(O66)</f>
        <v>249</v>
      </c>
      <c r="D66" s="11">
        <f>TRUNC(N66)</f>
        <v>68</v>
      </c>
      <c r="E66" s="11">
        <f>M66</f>
        <v>120</v>
      </c>
      <c r="F66" s="38" t="str">
        <f>I66</f>
        <v>2010</v>
      </c>
      <c r="G66" s="11" t="str" cm="1">
        <f t="array" ref="G66">gssBoardClass(A66,B66,C66,D66,E66,F66)</f>
        <v>Slalom Medium</v>
      </c>
      <c r="H66" s="39" t="str">
        <f>_xlfn.CONCAT(I66,"-",LEFT(K66,2),"-",LEFT(L66,3),"-",M66,"-",TRUNC(N66),"-",TRUNC(O66))</f>
        <v>2010-Fa-Haw-120-68-249</v>
      </c>
      <c r="I66" s="42" t="str">
        <f>LEFT(J66,4)</f>
        <v>2010</v>
      </c>
      <c r="J66" s="46">
        <v>2010</v>
      </c>
      <c r="K66" t="s">
        <v>1</v>
      </c>
      <c r="L66" t="s">
        <v>578</v>
      </c>
      <c r="M66">
        <v>120</v>
      </c>
      <c r="N66">
        <v>68</v>
      </c>
      <c r="O66">
        <v>249</v>
      </c>
      <c r="P66" t="s">
        <v>575</v>
      </c>
      <c r="Q66" t="s">
        <v>179</v>
      </c>
      <c r="R66" t="s">
        <v>579</v>
      </c>
      <c r="S66" t="s">
        <v>580</v>
      </c>
    </row>
    <row r="67" spans="1:19" x14ac:dyDescent="0.25">
      <c r="A67" s="11" t="str">
        <f>PROPER(K67)</f>
        <v>Fanatic</v>
      </c>
      <c r="B67" s="11" t="str">
        <f>TRIM(PROPER(LEFT(L67,IFERROR(FIND(" ",L67),99))&amp;MID(L67,IFERROR(FIND(" ",L67),99),99)))</f>
        <v>Hawk Ltd 120</v>
      </c>
      <c r="C67" s="11">
        <f>TRUNC(O67)</f>
        <v>249</v>
      </c>
      <c r="D67" s="11">
        <f>TRUNC(N67)</f>
        <v>68</v>
      </c>
      <c r="E67" s="11">
        <f>M67</f>
        <v>120</v>
      </c>
      <c r="F67" s="38" t="str">
        <f>I67</f>
        <v>2010</v>
      </c>
      <c r="G67" s="11" t="str" cm="1">
        <f t="array" ref="G67">gssBoardClass(A67,B67,C67,D67,E67,F67)</f>
        <v>Slalom Medium</v>
      </c>
      <c r="H67" s="39" t="str">
        <f>_xlfn.CONCAT(I67,"-",LEFT(K67,2),"-",LEFT(L67,3),"-",M67,"-",TRUNC(N67),"-",TRUNC(O67))</f>
        <v>2010-Fa-Haw-120-68-249</v>
      </c>
      <c r="I67" s="42" t="str">
        <f>LEFT(J67,4)</f>
        <v>2010</v>
      </c>
      <c r="J67" s="46">
        <v>2010</v>
      </c>
      <c r="K67" t="s">
        <v>1</v>
      </c>
      <c r="L67" t="s">
        <v>587</v>
      </c>
      <c r="M67">
        <v>120</v>
      </c>
      <c r="N67">
        <v>68</v>
      </c>
      <c r="O67">
        <v>249</v>
      </c>
      <c r="P67" t="s">
        <v>585</v>
      </c>
      <c r="Q67" t="s">
        <v>179</v>
      </c>
      <c r="R67" t="s">
        <v>588</v>
      </c>
      <c r="S67" t="s">
        <v>580</v>
      </c>
    </row>
    <row r="68" spans="1:19" x14ac:dyDescent="0.25">
      <c r="A68" s="11" t="str">
        <f>PROPER(K68)</f>
        <v>Fanatic</v>
      </c>
      <c r="B68" s="11" t="str">
        <f>TRIM(PROPER(LEFT(L68,IFERROR(FIND(" ",L68),99))&amp;MID(L68,IFERROR(FIND(" ",L68),99),99)))</f>
        <v>Hawk 135</v>
      </c>
      <c r="C68" s="11">
        <f>TRUNC(O68)</f>
        <v>249</v>
      </c>
      <c r="D68" s="11">
        <f>TRUNC(N68)</f>
        <v>73</v>
      </c>
      <c r="E68" s="11">
        <f>M68</f>
        <v>135</v>
      </c>
      <c r="F68" s="38" t="str">
        <f>I68</f>
        <v>2010</v>
      </c>
      <c r="G68" s="11" t="str" cm="1">
        <f t="array" ref="G68">gssBoardClass(A68,B68,C68,D68,E68,F68)</f>
        <v>Slalom Medium</v>
      </c>
      <c r="H68" s="39" t="str">
        <f>_xlfn.CONCAT(I68,"-",LEFT(K68,2),"-",LEFT(L68,3),"-",M68,"-",TRUNC(N68),"-",TRUNC(O68))</f>
        <v>2010-Fa-Haw-135-73-249</v>
      </c>
      <c r="I68" s="42" t="str">
        <f>LEFT(J68,4)</f>
        <v>2010</v>
      </c>
      <c r="J68" s="46">
        <v>2010</v>
      </c>
      <c r="K68" t="s">
        <v>1</v>
      </c>
      <c r="L68" t="s">
        <v>581</v>
      </c>
      <c r="M68">
        <v>135</v>
      </c>
      <c r="N68">
        <v>73</v>
      </c>
      <c r="O68">
        <v>249</v>
      </c>
      <c r="P68" t="s">
        <v>575</v>
      </c>
      <c r="Q68" t="s">
        <v>179</v>
      </c>
      <c r="R68" t="s">
        <v>582</v>
      </c>
      <c r="S68" t="s">
        <v>583</v>
      </c>
    </row>
    <row r="69" spans="1:19" x14ac:dyDescent="0.25">
      <c r="A69" s="11" t="str">
        <f>PROPER(K69)</f>
        <v>Fanatic</v>
      </c>
      <c r="B69" s="11" t="str">
        <f>TRIM(PROPER(LEFT(L69,IFERROR(FIND(" ",L69),99))&amp;MID(L69,IFERROR(FIND(" ",L69),99),99)))</f>
        <v>Hawk Ltd 135</v>
      </c>
      <c r="C69" s="11">
        <f>TRUNC(O69)</f>
        <v>249</v>
      </c>
      <c r="D69" s="11">
        <f>TRUNC(N69)</f>
        <v>73</v>
      </c>
      <c r="E69" s="11">
        <f>M69</f>
        <v>135</v>
      </c>
      <c r="F69" s="38" t="str">
        <f>I69</f>
        <v>2010</v>
      </c>
      <c r="G69" s="11" t="str" cm="1">
        <f t="array" ref="G69">gssBoardClass(A69,B69,C69,D69,E69,F69)</f>
        <v>Slalom Medium</v>
      </c>
      <c r="H69" s="39" t="str">
        <f>_xlfn.CONCAT(I69,"-",LEFT(K69,2),"-",LEFT(L69,3),"-",M69,"-",TRUNC(N69),"-",TRUNC(O69))</f>
        <v>2010-Fa-Haw-135-73-249</v>
      </c>
      <c r="I69" s="42" t="str">
        <f>LEFT(J69,4)</f>
        <v>2010</v>
      </c>
      <c r="J69" s="46">
        <v>2010</v>
      </c>
      <c r="K69" t="s">
        <v>1</v>
      </c>
      <c r="L69" t="s">
        <v>589</v>
      </c>
      <c r="M69">
        <v>135</v>
      </c>
      <c r="N69">
        <v>73</v>
      </c>
      <c r="O69">
        <v>249</v>
      </c>
      <c r="P69" t="s">
        <v>585</v>
      </c>
      <c r="Q69" t="s">
        <v>179</v>
      </c>
      <c r="R69" t="s">
        <v>590</v>
      </c>
      <c r="S69" t="s">
        <v>583</v>
      </c>
    </row>
    <row r="70" spans="1:19" x14ac:dyDescent="0.25">
      <c r="A70" s="11" t="str">
        <f>PROPER(K70)</f>
        <v>Fanatic</v>
      </c>
      <c r="B70" s="11" t="str">
        <f>TRIM(PROPER(LEFT(L70,IFERROR(FIND(" ",L70),99))&amp;MID(L70,IFERROR(FIND(" ",L70),99),99)))</f>
        <v>Newwave Te 69</v>
      </c>
      <c r="C70" s="11">
        <f>TRUNC(O70)</f>
        <v>232</v>
      </c>
      <c r="D70" s="11">
        <f>TRUNC(N70)</f>
        <v>53</v>
      </c>
      <c r="E70" s="11">
        <f>M70</f>
        <v>69</v>
      </c>
      <c r="F70" s="38" t="str">
        <f>I70</f>
        <v>2010</v>
      </c>
      <c r="G70" s="11" t="str" cm="1">
        <f t="array" ref="G70">gssBoardClass(A70,B70,C70,D70,E70,F70)</f>
        <v>Wave / Freestyle</v>
      </c>
      <c r="H70" s="39" t="str">
        <f>_xlfn.CONCAT(I70,"-",LEFT(K70,2),"-",LEFT(L70,3),"-",M70,"-",TRUNC(N70),"-",TRUNC(O70))</f>
        <v>2010-Fa-New-69-53-232</v>
      </c>
      <c r="I70" s="42" t="str">
        <f>LEFT(J70,4)</f>
        <v>2010</v>
      </c>
      <c r="J70" s="46">
        <v>2010</v>
      </c>
      <c r="K70" t="s">
        <v>1</v>
      </c>
      <c r="L70" t="s">
        <v>519</v>
      </c>
      <c r="M70">
        <v>69</v>
      </c>
      <c r="N70">
        <v>53</v>
      </c>
      <c r="O70">
        <v>232</v>
      </c>
      <c r="P70" t="s">
        <v>520</v>
      </c>
      <c r="Q70" t="s">
        <v>522</v>
      </c>
      <c r="R70" t="s">
        <v>521</v>
      </c>
      <c r="S70" t="s">
        <v>523</v>
      </c>
    </row>
    <row r="71" spans="1:19" x14ac:dyDescent="0.25">
      <c r="A71" s="11" t="str">
        <f>PROPER(K71)</f>
        <v>Fanatic</v>
      </c>
      <c r="B71" s="11" t="str">
        <f>TRIM(PROPER(LEFT(L71,IFERROR(FIND(" ",L71),99))&amp;MID(L71,IFERROR(FIND(" ",L71),99),99)))</f>
        <v>Newwave Twin Te 72</v>
      </c>
      <c r="C71" s="11">
        <f>TRUNC(O71)</f>
        <v>230</v>
      </c>
      <c r="D71" s="11">
        <f>TRUNC(N71)</f>
        <v>53</v>
      </c>
      <c r="E71" s="11">
        <f>M71</f>
        <v>72</v>
      </c>
      <c r="F71" s="38" t="str">
        <f>I71</f>
        <v>2010</v>
      </c>
      <c r="G71" s="11" t="str" cm="1">
        <f t="array" ref="G71">gssBoardClass(A71,B71,C71,D71,E71,F71)</f>
        <v>Wave / Freestyle</v>
      </c>
      <c r="H71" s="39" t="str">
        <f>_xlfn.CONCAT(I71,"-",LEFT(K71,2),"-",LEFT(L71,3),"-",M71,"-",TRUNC(N71),"-",TRUNC(O71))</f>
        <v>2010-Fa-New-72-53-230</v>
      </c>
      <c r="I71" s="42" t="str">
        <f>LEFT(J71,4)</f>
        <v>2010</v>
      </c>
      <c r="J71" s="46">
        <v>2010</v>
      </c>
      <c r="K71" t="s">
        <v>1</v>
      </c>
      <c r="L71" t="s">
        <v>533</v>
      </c>
      <c r="M71">
        <v>72</v>
      </c>
      <c r="N71">
        <v>53.5</v>
      </c>
      <c r="O71">
        <v>230</v>
      </c>
      <c r="P71" t="s">
        <v>520</v>
      </c>
      <c r="Q71" t="s">
        <v>522</v>
      </c>
      <c r="R71" t="s">
        <v>534</v>
      </c>
      <c r="S71" t="s">
        <v>535</v>
      </c>
    </row>
    <row r="72" spans="1:19" x14ac:dyDescent="0.25">
      <c r="A72" s="11" t="str">
        <f>PROPER(K72)</f>
        <v>Fanatic</v>
      </c>
      <c r="B72" s="11" t="str">
        <f>TRIM(PROPER(LEFT(L72,IFERROR(FIND(" ",L72),99))&amp;MID(L72,IFERROR(FIND(" ",L72),99),99)))</f>
        <v>Newwave Te 76</v>
      </c>
      <c r="C72" s="11">
        <f>TRUNC(O72)</f>
        <v>234</v>
      </c>
      <c r="D72" s="11">
        <f>TRUNC(N72)</f>
        <v>55</v>
      </c>
      <c r="E72" s="11">
        <f>M72</f>
        <v>76</v>
      </c>
      <c r="F72" s="38" t="str">
        <f>I72</f>
        <v>2010</v>
      </c>
      <c r="G72" s="11" t="str" cm="1">
        <f t="array" ref="G72">gssBoardClass(A72,B72,C72,D72,E72,F72)</f>
        <v>Wave / Freestyle</v>
      </c>
      <c r="H72" s="39" t="str">
        <f>_xlfn.CONCAT(I72,"-",LEFT(K72,2),"-",LEFT(L72,3),"-",M72,"-",TRUNC(N72),"-",TRUNC(O72))</f>
        <v>2010-Fa-New-76-55-234</v>
      </c>
      <c r="I72" s="42" t="str">
        <f>LEFT(J72,4)</f>
        <v>2010</v>
      </c>
      <c r="J72" s="46">
        <v>2010</v>
      </c>
      <c r="K72" t="s">
        <v>1</v>
      </c>
      <c r="L72" t="s">
        <v>524</v>
      </c>
      <c r="M72">
        <v>76</v>
      </c>
      <c r="N72">
        <v>55</v>
      </c>
      <c r="O72">
        <v>234</v>
      </c>
      <c r="P72" t="s">
        <v>520</v>
      </c>
      <c r="Q72" t="s">
        <v>522</v>
      </c>
      <c r="R72" t="s">
        <v>525</v>
      </c>
      <c r="S72" t="s">
        <v>526</v>
      </c>
    </row>
    <row r="73" spans="1:19" x14ac:dyDescent="0.25">
      <c r="A73" s="11" t="str">
        <f>PROPER(K73)</f>
        <v>Fanatic</v>
      </c>
      <c r="B73" s="11" t="str">
        <f>TRIM(PROPER(LEFT(L73,IFERROR(FIND(" ",L73),99))&amp;MID(L73,IFERROR(FIND(" ",L73),99),99)))</f>
        <v>Newwave Twin Te 79</v>
      </c>
      <c r="C73" s="11">
        <f>TRUNC(O73)</f>
        <v>232</v>
      </c>
      <c r="D73" s="11">
        <f>TRUNC(N73)</f>
        <v>55</v>
      </c>
      <c r="E73" s="11">
        <f>M73</f>
        <v>79</v>
      </c>
      <c r="F73" s="38" t="str">
        <f>I73</f>
        <v>2010</v>
      </c>
      <c r="G73" s="11" t="str" cm="1">
        <f t="array" ref="G73">gssBoardClass(A73,B73,C73,D73,E73,F73)</f>
        <v>Wave / Freestyle</v>
      </c>
      <c r="H73" s="39" t="str">
        <f>_xlfn.CONCAT(I73,"-",LEFT(K73,2),"-",LEFT(L73,3),"-",M73,"-",TRUNC(N73),"-",TRUNC(O73))</f>
        <v>2010-Fa-New-79-55-232</v>
      </c>
      <c r="I73" s="42" t="str">
        <f>LEFT(J73,4)</f>
        <v>2010</v>
      </c>
      <c r="J73" s="46">
        <v>2010</v>
      </c>
      <c r="K73" t="s">
        <v>1</v>
      </c>
      <c r="L73" t="s">
        <v>536</v>
      </c>
      <c r="M73">
        <v>79</v>
      </c>
      <c r="N73">
        <v>55.5</v>
      </c>
      <c r="O73">
        <v>232</v>
      </c>
      <c r="P73" t="s">
        <v>520</v>
      </c>
      <c r="Q73" t="s">
        <v>522</v>
      </c>
      <c r="R73" t="s">
        <v>537</v>
      </c>
      <c r="S73" t="s">
        <v>538</v>
      </c>
    </row>
    <row r="74" spans="1:19" x14ac:dyDescent="0.25">
      <c r="A74" s="11" t="str">
        <f>PROPER(K74)</f>
        <v>Fanatic</v>
      </c>
      <c r="B74" s="11" t="str">
        <f>TRIM(PROPER(LEFT(L74,IFERROR(FIND(" ",L74),99))&amp;MID(L74,IFERROR(FIND(" ",L74),99),99)))</f>
        <v>Newwave Te 83</v>
      </c>
      <c r="C74" s="11">
        <f>TRUNC(O74)</f>
        <v>236</v>
      </c>
      <c r="D74" s="11">
        <f>TRUNC(N74)</f>
        <v>57</v>
      </c>
      <c r="E74" s="11">
        <f>M74</f>
        <v>83</v>
      </c>
      <c r="F74" s="38" t="str">
        <f>I74</f>
        <v>2010</v>
      </c>
      <c r="G74" s="11" t="str" cm="1">
        <f t="array" ref="G74">gssBoardClass(A74,B74,C74,D74,E74,F74)</f>
        <v>Wave / Freestyle</v>
      </c>
      <c r="H74" s="39" t="str">
        <f>_xlfn.CONCAT(I74,"-",LEFT(K74,2),"-",LEFT(L74,3),"-",M74,"-",TRUNC(N74),"-",TRUNC(O74))</f>
        <v>2010-Fa-New-83-57-236</v>
      </c>
      <c r="I74" s="42" t="str">
        <f>LEFT(J74,4)</f>
        <v>2010</v>
      </c>
      <c r="J74" s="46">
        <v>2010</v>
      </c>
      <c r="K74" t="s">
        <v>1</v>
      </c>
      <c r="L74" t="s">
        <v>527</v>
      </c>
      <c r="M74">
        <v>83</v>
      </c>
      <c r="N74">
        <v>57</v>
      </c>
      <c r="O74">
        <v>236</v>
      </c>
      <c r="P74" t="s">
        <v>520</v>
      </c>
      <c r="Q74" t="s">
        <v>522</v>
      </c>
      <c r="R74" t="s">
        <v>528</v>
      </c>
      <c r="S74" t="s">
        <v>529</v>
      </c>
    </row>
    <row r="75" spans="1:19" x14ac:dyDescent="0.25">
      <c r="A75" s="11" t="str">
        <f>PROPER(K75)</f>
        <v>Fanatic</v>
      </c>
      <c r="B75" s="11" t="str">
        <f>TRIM(PROPER(LEFT(L75,IFERROR(FIND(" ",L75),99))&amp;MID(L75,IFERROR(FIND(" ",L75),99),99)))</f>
        <v>Newwave Twin Te 86</v>
      </c>
      <c r="C75" s="11">
        <f>TRUNC(O75)</f>
        <v>234</v>
      </c>
      <c r="D75" s="11">
        <f>TRUNC(N75)</f>
        <v>57</v>
      </c>
      <c r="E75" s="11">
        <f>M75</f>
        <v>86</v>
      </c>
      <c r="F75" s="38" t="str">
        <f>I75</f>
        <v>2010</v>
      </c>
      <c r="G75" s="11" t="str" cm="1">
        <f t="array" ref="G75">gssBoardClass(A75,B75,C75,D75,E75,F75)</f>
        <v>Wave / Freestyle</v>
      </c>
      <c r="H75" s="39" t="str">
        <f>_xlfn.CONCAT(I75,"-",LEFT(K75,2),"-",LEFT(L75,3),"-",M75,"-",TRUNC(N75),"-",TRUNC(O75))</f>
        <v>2010-Fa-New-86-57-234</v>
      </c>
      <c r="I75" s="42" t="str">
        <f>LEFT(J75,4)</f>
        <v>2010</v>
      </c>
      <c r="J75" s="46">
        <v>2010</v>
      </c>
      <c r="K75" t="s">
        <v>1</v>
      </c>
      <c r="L75" t="s">
        <v>539</v>
      </c>
      <c r="M75">
        <v>86</v>
      </c>
      <c r="N75">
        <v>57.5</v>
      </c>
      <c r="O75">
        <v>234</v>
      </c>
      <c r="P75" t="s">
        <v>520</v>
      </c>
      <c r="Q75" t="s">
        <v>522</v>
      </c>
      <c r="R75" t="s">
        <v>540</v>
      </c>
      <c r="S75" t="s">
        <v>541</v>
      </c>
    </row>
    <row r="76" spans="1:19" x14ac:dyDescent="0.25">
      <c r="A76" s="11" t="str">
        <f>PROPER(K76)</f>
        <v>Fanatic</v>
      </c>
      <c r="B76" s="11" t="str">
        <f>TRIM(PROPER(LEFT(L76,IFERROR(FIND(" ",L76),99))&amp;MID(L76,IFERROR(FIND(" ",L76),99),99)))</f>
        <v>Newwave Te 91</v>
      </c>
      <c r="C76" s="11">
        <f>TRUNC(O76)</f>
        <v>243</v>
      </c>
      <c r="D76" s="11">
        <f>TRUNC(N76)</f>
        <v>59</v>
      </c>
      <c r="E76" s="11">
        <f>M76</f>
        <v>91</v>
      </c>
      <c r="F76" s="38" t="str">
        <f>I76</f>
        <v>2010</v>
      </c>
      <c r="G76" s="11" t="str" cm="1">
        <f t="array" ref="G76">gssBoardClass(A76,B76,C76,D76,E76,F76)</f>
        <v>Wave / Freestyle</v>
      </c>
      <c r="H76" s="39" t="str">
        <f>_xlfn.CONCAT(I76,"-",LEFT(K76,2),"-",LEFT(L76,3),"-",M76,"-",TRUNC(N76),"-",TRUNC(O76))</f>
        <v>2010-Fa-New-91-59-243</v>
      </c>
      <c r="I76" s="42" t="str">
        <f>LEFT(J76,4)</f>
        <v>2010</v>
      </c>
      <c r="J76" s="46">
        <v>2010</v>
      </c>
      <c r="K76" t="s">
        <v>1</v>
      </c>
      <c r="L76" t="s">
        <v>530</v>
      </c>
      <c r="M76">
        <v>91</v>
      </c>
      <c r="N76">
        <v>59.5</v>
      </c>
      <c r="O76">
        <v>243</v>
      </c>
      <c r="P76" t="s">
        <v>520</v>
      </c>
      <c r="Q76" t="s">
        <v>522</v>
      </c>
      <c r="R76" t="s">
        <v>531</v>
      </c>
      <c r="S76" t="s">
        <v>532</v>
      </c>
    </row>
    <row r="77" spans="1:19" x14ac:dyDescent="0.25">
      <c r="A77" s="11" t="str">
        <f>PROPER(K77)</f>
        <v>Fanatic</v>
      </c>
      <c r="B77" s="11" t="str">
        <f>TRIM(PROPER(LEFT(L77,IFERROR(FIND(" ",L77),99))&amp;MID(L77,IFERROR(FIND(" ",L77),99),99)))</f>
        <v>Newwave Twin Te 93</v>
      </c>
      <c r="C77" s="11">
        <f>TRUNC(O77)</f>
        <v>236</v>
      </c>
      <c r="D77" s="11">
        <f>TRUNC(N77)</f>
        <v>59</v>
      </c>
      <c r="E77" s="11">
        <f>M77</f>
        <v>93</v>
      </c>
      <c r="F77" s="38" t="str">
        <f>I77</f>
        <v>2010</v>
      </c>
      <c r="G77" s="11" t="str" cm="1">
        <f t="array" ref="G77">gssBoardClass(A77,B77,C77,D77,E77,F77)</f>
        <v>Wave / Freestyle</v>
      </c>
      <c r="H77" s="39" t="str">
        <f>_xlfn.CONCAT(I77,"-",LEFT(K77,2),"-",LEFT(L77,3),"-",M77,"-",TRUNC(N77),"-",TRUNC(O77))</f>
        <v>2010-Fa-New-93-59-236</v>
      </c>
      <c r="I77" s="42" t="str">
        <f>LEFT(J77,4)</f>
        <v>2010</v>
      </c>
      <c r="J77" s="46">
        <v>2010</v>
      </c>
      <c r="K77" t="s">
        <v>1</v>
      </c>
      <c r="L77" t="s">
        <v>542</v>
      </c>
      <c r="M77">
        <v>93</v>
      </c>
      <c r="N77">
        <v>59.5</v>
      </c>
      <c r="O77">
        <v>236</v>
      </c>
      <c r="P77" t="s">
        <v>520</v>
      </c>
      <c r="Q77" t="s">
        <v>522</v>
      </c>
      <c r="R77" t="s">
        <v>543</v>
      </c>
      <c r="S77" t="s">
        <v>544</v>
      </c>
    </row>
    <row r="78" spans="1:19" x14ac:dyDescent="0.25">
      <c r="A78" s="11" t="str">
        <f>PROPER(K78)</f>
        <v>Fanatic</v>
      </c>
      <c r="B78" s="11" t="str">
        <f>TRIM(PROPER(LEFT(L78,IFERROR(FIND(" ",L78),99))&amp;MID(L78,IFERROR(FIND(" ",L78),99),99)))</f>
        <v>Ray 110 Ltd</v>
      </c>
      <c r="C78" s="11">
        <f>TRUNC(O78)</f>
        <v>245</v>
      </c>
      <c r="D78" s="11">
        <f>TRUNC(N78)</f>
        <v>65</v>
      </c>
      <c r="E78" s="11">
        <f>M78</f>
        <v>110</v>
      </c>
      <c r="F78" s="38" t="str">
        <f>I78</f>
        <v>2010</v>
      </c>
      <c r="G78" s="11" t="str" cm="1">
        <f t="array" ref="G78">gssBoardClass(A78,B78,C78,D78,E78,F78)</f>
        <v>Speed/Slalom Small</v>
      </c>
      <c r="H78" s="39" t="str">
        <f>_xlfn.CONCAT(I78,"-",LEFT(K78,2),"-",LEFT(L78,3),"-",M78,"-",TRUNC(N78),"-",TRUNC(O78))</f>
        <v>2010-Fa-Ray-110-65-245</v>
      </c>
      <c r="I78" s="42" t="str">
        <f>LEFT(J78,4)</f>
        <v>2010</v>
      </c>
      <c r="J78" s="46">
        <v>2010</v>
      </c>
      <c r="K78" t="s">
        <v>1</v>
      </c>
      <c r="L78" t="s">
        <v>613</v>
      </c>
      <c r="M78">
        <v>110</v>
      </c>
      <c r="N78">
        <v>65</v>
      </c>
      <c r="O78">
        <v>245</v>
      </c>
      <c r="P78" t="s">
        <v>585</v>
      </c>
      <c r="Q78" t="s">
        <v>232</v>
      </c>
      <c r="R78" t="s">
        <v>614</v>
      </c>
      <c r="S78" t="s">
        <v>615</v>
      </c>
    </row>
    <row r="79" spans="1:19" x14ac:dyDescent="0.25">
      <c r="A79" s="11" t="str">
        <f>PROPER(K79)</f>
        <v>Fanatic</v>
      </c>
      <c r="B79" s="11" t="str">
        <f>TRIM(PROPER(LEFT(L79,IFERROR(FIND(" ",L79),99))&amp;MID(L79,IFERROR(FIND(" ",L79),99),99)))</f>
        <v>Ray 125 Ltd</v>
      </c>
      <c r="C79" s="11">
        <f>TRUNC(O79)</f>
        <v>245</v>
      </c>
      <c r="D79" s="11">
        <f>TRUNC(N79)</f>
        <v>70</v>
      </c>
      <c r="E79" s="11">
        <f>M79</f>
        <v>125</v>
      </c>
      <c r="F79" s="38" t="str">
        <f>I79</f>
        <v>2010</v>
      </c>
      <c r="G79" s="11" t="str" cm="1">
        <f t="array" ref="G79">gssBoardClass(A79,B79,C79,D79,E79,F79)</f>
        <v>Slalom Medium</v>
      </c>
      <c r="H79" s="39" t="str">
        <f>_xlfn.CONCAT(I79,"-",LEFT(K79,2),"-",LEFT(L79,3),"-",M79,"-",TRUNC(N79),"-",TRUNC(O79))</f>
        <v>2010-Fa-Ray-125-70-245</v>
      </c>
      <c r="I79" s="42" t="str">
        <f>LEFT(J79,4)</f>
        <v>2010</v>
      </c>
      <c r="J79" s="46">
        <v>2010</v>
      </c>
      <c r="K79" t="s">
        <v>1</v>
      </c>
      <c r="L79" t="s">
        <v>616</v>
      </c>
      <c r="M79">
        <v>125</v>
      </c>
      <c r="N79">
        <v>70</v>
      </c>
      <c r="O79">
        <v>245</v>
      </c>
      <c r="P79" t="s">
        <v>585</v>
      </c>
      <c r="Q79" t="s">
        <v>232</v>
      </c>
      <c r="R79" t="s">
        <v>617</v>
      </c>
      <c r="S79" t="s">
        <v>618</v>
      </c>
    </row>
    <row r="80" spans="1:19" x14ac:dyDescent="0.25">
      <c r="A80" s="11" t="str">
        <f>PROPER(K80)</f>
        <v>Fanatic</v>
      </c>
      <c r="B80" s="11" t="str">
        <f>TRIM(PROPER(LEFT(L80,IFERROR(FIND(" ",L80),99))&amp;MID(L80,IFERROR(FIND(" ",L80),99),99)))</f>
        <v>Ray 140 Ltd</v>
      </c>
      <c r="C80" s="11">
        <f>TRUNC(O80)</f>
        <v>245</v>
      </c>
      <c r="D80" s="11">
        <f>TRUNC(N80)</f>
        <v>77</v>
      </c>
      <c r="E80" s="11">
        <f>M80</f>
        <v>140</v>
      </c>
      <c r="F80" s="38" t="str">
        <f>I80</f>
        <v>2010</v>
      </c>
      <c r="G80" s="11" t="str" cm="1">
        <f t="array" ref="G80">gssBoardClass(A80,B80,C80,D80,E80,F80)</f>
        <v>Slalom Large</v>
      </c>
      <c r="H80" s="39" t="str">
        <f>_xlfn.CONCAT(I80,"-",LEFT(K80,2),"-",LEFT(L80,3),"-",M80,"-",TRUNC(N80),"-",TRUNC(O80))</f>
        <v>2010-Fa-Ray-140-77-245</v>
      </c>
      <c r="I80" s="42" t="str">
        <f>LEFT(J80,4)</f>
        <v>2010</v>
      </c>
      <c r="J80" s="46">
        <v>2010</v>
      </c>
      <c r="K80" t="s">
        <v>1</v>
      </c>
      <c r="L80" t="s">
        <v>619</v>
      </c>
      <c r="M80">
        <v>140</v>
      </c>
      <c r="N80">
        <v>77</v>
      </c>
      <c r="O80">
        <v>245</v>
      </c>
      <c r="P80" t="s">
        <v>585</v>
      </c>
      <c r="Q80" t="s">
        <v>260</v>
      </c>
      <c r="R80" t="s">
        <v>620</v>
      </c>
      <c r="S80" t="s">
        <v>603</v>
      </c>
    </row>
    <row r="81" spans="1:19" x14ac:dyDescent="0.25">
      <c r="A81" s="11" t="str">
        <f>PROPER(K81)</f>
        <v>Fanatic</v>
      </c>
      <c r="B81" s="11" t="str">
        <f>TRIM(PROPER(LEFT(L81,IFERROR(FIND(" ",L81),99))&amp;MID(L81,IFERROR(FIND(" ",L81),99),99)))</f>
        <v>Ray 95 Ltd</v>
      </c>
      <c r="C81" s="11">
        <f>TRUNC(O81)</f>
        <v>245</v>
      </c>
      <c r="D81" s="11">
        <f>TRUNC(N81)</f>
        <v>59</v>
      </c>
      <c r="E81" s="11">
        <f>M81</f>
        <v>95</v>
      </c>
      <c r="F81" s="38" t="str">
        <f>I81</f>
        <v>2010</v>
      </c>
      <c r="G81" s="11" t="str" cm="1">
        <f t="array" ref="G81">gssBoardClass(A81,B81,C81,D81,E81,F81)</f>
        <v>Speed/Slalom Xtra Small</v>
      </c>
      <c r="H81" s="39" t="str">
        <f>_xlfn.CONCAT(I81,"-",LEFT(K81,2),"-",LEFT(L81,3),"-",M81,"-",TRUNC(N81),"-",TRUNC(O81))</f>
        <v>2010-Fa-Ray-95-59-245</v>
      </c>
      <c r="I81" s="42" t="str">
        <f>LEFT(J81,4)</f>
        <v>2010</v>
      </c>
      <c r="J81" s="46">
        <v>2010</v>
      </c>
      <c r="K81" t="s">
        <v>1</v>
      </c>
      <c r="L81" t="s">
        <v>611</v>
      </c>
      <c r="M81">
        <v>95</v>
      </c>
      <c r="N81">
        <v>59</v>
      </c>
      <c r="O81">
        <v>245</v>
      </c>
      <c r="P81" t="s">
        <v>585</v>
      </c>
      <c r="Q81" t="s">
        <v>232</v>
      </c>
      <c r="R81" t="s">
        <v>612</v>
      </c>
      <c r="S81" t="s">
        <v>598</v>
      </c>
    </row>
    <row r="82" spans="1:19" x14ac:dyDescent="0.25">
      <c r="A82" s="11" t="str">
        <f>PROPER(K82)</f>
        <v>Fanatic</v>
      </c>
      <c r="B82" s="11" t="str">
        <f>TRIM(PROPER(LEFT(L82,IFERROR(FIND(" ",L82),99))&amp;MID(L82,IFERROR(FIND(" ",L82),99),99)))</f>
        <v>Ripper 102</v>
      </c>
      <c r="C82" s="11">
        <f>TRUNC(O82)</f>
        <v>242</v>
      </c>
      <c r="D82" s="11">
        <f>TRUNC(N82)</f>
        <v>69</v>
      </c>
      <c r="E82" s="11">
        <f>M82</f>
        <v>102</v>
      </c>
      <c r="F82" s="38" t="str">
        <f>I82</f>
        <v>2010</v>
      </c>
      <c r="G82" s="11" t="str" cm="1">
        <f t="array" ref="G82">gssBoardClass(A82,B82,C82,D82,E82,F82)</f>
        <v>Slalom Medium</v>
      </c>
      <c r="H82" s="39" t="str">
        <f>_xlfn.CONCAT(I82,"-",LEFT(K82,2),"-",LEFT(L82,3),"-",M82,"-",TRUNC(N82),"-",TRUNC(O82))</f>
        <v>2010-Fa-Rip-102-69-242</v>
      </c>
      <c r="I82" s="42" t="str">
        <f>LEFT(J82,4)</f>
        <v>2010</v>
      </c>
      <c r="J82" s="46">
        <v>2010</v>
      </c>
      <c r="K82" t="s">
        <v>1</v>
      </c>
      <c r="L82" t="s">
        <v>423</v>
      </c>
      <c r="M82">
        <v>102</v>
      </c>
      <c r="N82">
        <v>69</v>
      </c>
      <c r="O82">
        <v>242</v>
      </c>
      <c r="P82" t="s">
        <v>638</v>
      </c>
      <c r="Q82" t="s">
        <v>179</v>
      </c>
      <c r="R82" t="s">
        <v>275</v>
      </c>
      <c r="S82" t="s">
        <v>636</v>
      </c>
    </row>
    <row r="83" spans="1:19" x14ac:dyDescent="0.25">
      <c r="A83" s="11" t="str">
        <f>PROPER(K83)</f>
        <v>Fanatic</v>
      </c>
      <c r="B83" s="11" t="str">
        <f>TRIM(PROPER(LEFT(L83,IFERROR(FIND(" ",L83),99))&amp;MID(L83,IFERROR(FIND(" ",L83),99),99)))</f>
        <v>Shark 100</v>
      </c>
      <c r="C83" s="11">
        <f>TRUNC(O83)</f>
        <v>245</v>
      </c>
      <c r="D83" s="11">
        <f>TRUNC(N83)</f>
        <v>63</v>
      </c>
      <c r="E83" s="11">
        <f>M83</f>
        <v>100</v>
      </c>
      <c r="F83" s="38" t="str">
        <f>I83</f>
        <v>2010</v>
      </c>
      <c r="G83" s="11" t="str" cm="1">
        <f t="array" ref="G83">gssBoardClass(A83,B83,C83,D83,E83,F83)</f>
        <v>Speed/Slalom Small</v>
      </c>
      <c r="H83" s="39" t="str">
        <f>_xlfn.CONCAT(I83,"-",LEFT(K83,2),"-",LEFT(L83,3),"-",M83,"-",TRUNC(N83),"-",TRUNC(O83))</f>
        <v>2010-Fa-Sha-100-63-245</v>
      </c>
      <c r="I83" s="42" t="str">
        <f>LEFT(J83,4)</f>
        <v>2010</v>
      </c>
      <c r="J83" s="46">
        <v>2010</v>
      </c>
      <c r="K83" t="s">
        <v>1</v>
      </c>
      <c r="L83" t="s">
        <v>591</v>
      </c>
      <c r="M83">
        <v>100</v>
      </c>
      <c r="N83">
        <v>63</v>
      </c>
      <c r="O83">
        <v>245</v>
      </c>
      <c r="P83" t="s">
        <v>592</v>
      </c>
      <c r="Q83" t="s">
        <v>179</v>
      </c>
      <c r="R83" t="s">
        <v>593</v>
      </c>
      <c r="S83" t="s">
        <v>567</v>
      </c>
    </row>
    <row r="84" spans="1:19" x14ac:dyDescent="0.25">
      <c r="A84" s="11" t="str">
        <f>PROPER(K84)</f>
        <v>Fanatic</v>
      </c>
      <c r="B84" s="11" t="str">
        <f>TRIM(PROPER(LEFT(L84,IFERROR(FIND(" ",L84),99))&amp;MID(L84,IFERROR(FIND(" ",L84),99),99)))</f>
        <v>Shark 115</v>
      </c>
      <c r="C84" s="11">
        <f>TRUNC(O84)</f>
        <v>247</v>
      </c>
      <c r="D84" s="11">
        <f>TRUNC(N84)</f>
        <v>66</v>
      </c>
      <c r="E84" s="11">
        <f>M84</f>
        <v>115</v>
      </c>
      <c r="F84" s="38" t="str">
        <f>I84</f>
        <v>2010</v>
      </c>
      <c r="G84" s="11" t="str" cm="1">
        <f t="array" ref="G84">gssBoardClass(A84,B84,C84,D84,E84,F84)</f>
        <v>Slalom Medium</v>
      </c>
      <c r="H84" s="39" t="str">
        <f>_xlfn.CONCAT(I84,"-",LEFT(K84,2),"-",LEFT(L84,3),"-",M84,"-",TRUNC(N84),"-",TRUNC(O84))</f>
        <v>2010-Fa-Sha-115-66-247</v>
      </c>
      <c r="I84" s="42" t="str">
        <f>LEFT(J84,4)</f>
        <v>2010</v>
      </c>
      <c r="J84" s="46">
        <v>2010</v>
      </c>
      <c r="K84" t="s">
        <v>1</v>
      </c>
      <c r="L84" t="s">
        <v>594</v>
      </c>
      <c r="M84">
        <v>115</v>
      </c>
      <c r="N84">
        <v>66</v>
      </c>
      <c r="O84">
        <v>247</v>
      </c>
      <c r="P84" t="s">
        <v>592</v>
      </c>
      <c r="Q84" t="s">
        <v>179</v>
      </c>
      <c r="R84" t="s">
        <v>595</v>
      </c>
      <c r="S84" t="s">
        <v>569</v>
      </c>
    </row>
    <row r="85" spans="1:19" x14ac:dyDescent="0.25">
      <c r="A85" s="11" t="str">
        <f>PROPER(K85)</f>
        <v>Fanatic</v>
      </c>
      <c r="B85" s="11" t="str">
        <f>TRIM(PROPER(LEFT(L85,IFERROR(FIND(" ",L85),99))&amp;MID(L85,IFERROR(FIND(" ",L85),99),99)))</f>
        <v>Shark 125</v>
      </c>
      <c r="C85" s="11">
        <f>TRUNC(O85)</f>
        <v>249</v>
      </c>
      <c r="D85" s="11">
        <f>TRUNC(N85)</f>
        <v>69</v>
      </c>
      <c r="E85" s="11">
        <f>M85</f>
        <v>125</v>
      </c>
      <c r="F85" s="38" t="str">
        <f>I85</f>
        <v>2010</v>
      </c>
      <c r="G85" s="11" t="str" cm="1">
        <f t="array" ref="G85">gssBoardClass(A85,B85,C85,D85,E85,F85)</f>
        <v>Slalom Medium</v>
      </c>
      <c r="H85" s="39" t="str">
        <f>_xlfn.CONCAT(I85,"-",LEFT(K85,2),"-",LEFT(L85,3),"-",M85,"-",TRUNC(N85),"-",TRUNC(O85))</f>
        <v>2010-Fa-Sha-125-69-249</v>
      </c>
      <c r="I85" s="42" t="str">
        <f>LEFT(J85,4)</f>
        <v>2010</v>
      </c>
      <c r="J85" s="46">
        <v>2010</v>
      </c>
      <c r="K85" t="s">
        <v>1</v>
      </c>
      <c r="L85" t="s">
        <v>596</v>
      </c>
      <c r="M85">
        <v>125</v>
      </c>
      <c r="N85">
        <v>69</v>
      </c>
      <c r="O85">
        <v>249</v>
      </c>
      <c r="P85" t="s">
        <v>592</v>
      </c>
      <c r="Q85" t="s">
        <v>179</v>
      </c>
      <c r="R85" t="s">
        <v>597</v>
      </c>
      <c r="S85" t="s">
        <v>598</v>
      </c>
    </row>
    <row r="86" spans="1:19" x14ac:dyDescent="0.25">
      <c r="A86" s="11" t="str">
        <f>PROPER(K86)</f>
        <v>Fanatic</v>
      </c>
      <c r="B86" s="11" t="str">
        <f>TRIM(PROPER(LEFT(L86,IFERROR(FIND(" ",L86),99))&amp;MID(L86,IFERROR(FIND(" ",L86),99),99)))</f>
        <v>Shark 135</v>
      </c>
      <c r="C86" s="11">
        <f>TRUNC(O86)</f>
        <v>245</v>
      </c>
      <c r="D86" s="11">
        <f>TRUNC(N86)</f>
        <v>73</v>
      </c>
      <c r="E86" s="11">
        <f>M86</f>
        <v>135</v>
      </c>
      <c r="F86" s="38" t="str">
        <f>I86</f>
        <v>2010</v>
      </c>
      <c r="G86" s="11" t="str" cm="1">
        <f t="array" ref="G86">gssBoardClass(A86,B86,C86,D86,E86,F86)</f>
        <v>Slalom Medium</v>
      </c>
      <c r="H86" s="39" t="str">
        <f>_xlfn.CONCAT(I86,"-",LEFT(K86,2),"-",LEFT(L86,3),"-",M86,"-",TRUNC(N86),"-",TRUNC(O86))</f>
        <v>2010-Fa-Sha-135-73-245</v>
      </c>
      <c r="I86" s="42" t="str">
        <f>LEFT(J86,4)</f>
        <v>2010</v>
      </c>
      <c r="J86" s="46">
        <v>2010</v>
      </c>
      <c r="K86" t="s">
        <v>1</v>
      </c>
      <c r="L86" t="s">
        <v>599</v>
      </c>
      <c r="M86">
        <v>135</v>
      </c>
      <c r="N86">
        <v>73</v>
      </c>
      <c r="O86">
        <v>245</v>
      </c>
      <c r="P86" t="s">
        <v>592</v>
      </c>
      <c r="Q86" t="s">
        <v>179</v>
      </c>
      <c r="R86" t="s">
        <v>600</v>
      </c>
      <c r="S86" t="s">
        <v>583</v>
      </c>
    </row>
    <row r="87" spans="1:19" x14ac:dyDescent="0.25">
      <c r="A87" s="11" t="str">
        <f>PROPER(K87)</f>
        <v>Fanatic</v>
      </c>
      <c r="B87" s="11" t="str">
        <f>TRIM(PROPER(LEFT(L87,IFERROR(FIND(" ",L87),99))&amp;MID(L87,IFERROR(FIND(" ",L87),99),99)))</f>
        <v>Shark 135 Ltd</v>
      </c>
      <c r="C87" s="11">
        <f>TRUNC(O87)</f>
        <v>245</v>
      </c>
      <c r="D87" s="11">
        <f>TRUNC(N87)</f>
        <v>73</v>
      </c>
      <c r="E87" s="11">
        <f>M87</f>
        <v>135</v>
      </c>
      <c r="F87" s="38" t="str">
        <f>I87</f>
        <v>2010</v>
      </c>
      <c r="G87" s="11" t="str" cm="1">
        <f t="array" ref="G87">gssBoardClass(A87,B87,C87,D87,E87,F87)</f>
        <v>Slalom Medium</v>
      </c>
      <c r="H87" s="39" t="str">
        <f>_xlfn.CONCAT(I87,"-",LEFT(K87,2),"-",LEFT(L87,3),"-",M87,"-",TRUNC(N87),"-",TRUNC(O87))</f>
        <v>2010-Fa-Sha-135-73-245</v>
      </c>
      <c r="I87" s="42" t="str">
        <f>LEFT(J87,4)</f>
        <v>2010</v>
      </c>
      <c r="J87" s="46">
        <v>2010</v>
      </c>
      <c r="K87" t="s">
        <v>1</v>
      </c>
      <c r="L87" t="s">
        <v>607</v>
      </c>
      <c r="M87">
        <v>135</v>
      </c>
      <c r="N87">
        <v>73</v>
      </c>
      <c r="O87">
        <v>245</v>
      </c>
      <c r="P87" t="s">
        <v>585</v>
      </c>
      <c r="Q87" t="s">
        <v>179</v>
      </c>
      <c r="R87" t="s">
        <v>608</v>
      </c>
      <c r="S87" t="s">
        <v>583</v>
      </c>
    </row>
    <row r="88" spans="1:19" x14ac:dyDescent="0.25">
      <c r="A88" s="11" t="str">
        <f>PROPER(K88)</f>
        <v>Fanatic</v>
      </c>
      <c r="B88" s="11" t="str">
        <f>TRIM(PROPER(LEFT(L88,IFERROR(FIND(" ",L88),99))&amp;MID(L88,IFERROR(FIND(" ",L88),99),99)))</f>
        <v>Shark 150</v>
      </c>
      <c r="C88" s="11">
        <f>TRUNC(O88)</f>
        <v>250</v>
      </c>
      <c r="D88" s="11">
        <f>TRUNC(N88)</f>
        <v>78</v>
      </c>
      <c r="E88" s="11">
        <f>M88</f>
        <v>150</v>
      </c>
      <c r="F88" s="38" t="str">
        <f>I88</f>
        <v>2010</v>
      </c>
      <c r="G88" s="11" t="str" cm="1">
        <f t="array" ref="G88">gssBoardClass(A88,B88,C88,D88,E88,F88)</f>
        <v>Slalom Large</v>
      </c>
      <c r="H88" s="39" t="str">
        <f>_xlfn.CONCAT(I88,"-",LEFT(K88,2),"-",LEFT(L88,3),"-",M88,"-",TRUNC(N88),"-",TRUNC(O88))</f>
        <v>2010-Fa-Sha-150-78-250</v>
      </c>
      <c r="I88" s="42" t="str">
        <f>LEFT(J88,4)</f>
        <v>2010</v>
      </c>
      <c r="J88" s="46">
        <v>2010</v>
      </c>
      <c r="K88" t="s">
        <v>1</v>
      </c>
      <c r="L88" t="s">
        <v>601</v>
      </c>
      <c r="M88">
        <v>150</v>
      </c>
      <c r="N88">
        <v>78</v>
      </c>
      <c r="O88">
        <v>250</v>
      </c>
      <c r="P88" t="s">
        <v>592</v>
      </c>
      <c r="Q88" t="s">
        <v>179</v>
      </c>
      <c r="R88" t="s">
        <v>602</v>
      </c>
      <c r="S88" t="s">
        <v>603</v>
      </c>
    </row>
    <row r="89" spans="1:19" x14ac:dyDescent="0.25">
      <c r="A89" s="11" t="str">
        <f>PROPER(K89)</f>
        <v>Fanatic</v>
      </c>
      <c r="B89" s="11" t="str">
        <f>TRIM(PROPER(LEFT(L89,IFERROR(FIND(" ",L89),99))&amp;MID(L89,IFERROR(FIND(" ",L89),99),99)))</f>
        <v>Shark 150 Ltd</v>
      </c>
      <c r="C89" s="11">
        <f>TRUNC(O89)</f>
        <v>250</v>
      </c>
      <c r="D89" s="11">
        <f>TRUNC(N89)</f>
        <v>78</v>
      </c>
      <c r="E89" s="11">
        <f>M89</f>
        <v>150</v>
      </c>
      <c r="F89" s="38" t="str">
        <f>I89</f>
        <v>2010</v>
      </c>
      <c r="G89" s="11" t="str" cm="1">
        <f t="array" ref="G89">gssBoardClass(A89,B89,C89,D89,E89,F89)</f>
        <v>Slalom Large</v>
      </c>
      <c r="H89" s="39" t="str">
        <f>_xlfn.CONCAT(I89,"-",LEFT(K89,2),"-",LEFT(L89,3),"-",M89,"-",TRUNC(N89),"-",TRUNC(O89))</f>
        <v>2010-Fa-Sha-150-78-250</v>
      </c>
      <c r="I89" s="42" t="str">
        <f>LEFT(J89,4)</f>
        <v>2010</v>
      </c>
      <c r="J89" s="46">
        <v>2010</v>
      </c>
      <c r="K89" t="s">
        <v>1</v>
      </c>
      <c r="L89" t="s">
        <v>609</v>
      </c>
      <c r="M89">
        <v>150</v>
      </c>
      <c r="N89">
        <v>78</v>
      </c>
      <c r="O89">
        <v>250</v>
      </c>
      <c r="P89" t="s">
        <v>585</v>
      </c>
      <c r="Q89" t="s">
        <v>179</v>
      </c>
      <c r="R89" t="s">
        <v>610</v>
      </c>
      <c r="S89" t="s">
        <v>603</v>
      </c>
    </row>
    <row r="90" spans="1:19" x14ac:dyDescent="0.25">
      <c r="A90" s="11" t="str">
        <f>PROPER(K90)</f>
        <v>Fanatic</v>
      </c>
      <c r="B90" s="11" t="str">
        <f>TRIM(PROPER(LEFT(L90,IFERROR(FIND(" ",L90),99))&amp;MID(L90,IFERROR(FIND(" ",L90),99),99)))</f>
        <v>Shark 165</v>
      </c>
      <c r="C90" s="11">
        <f>TRUNC(O90)</f>
        <v>255</v>
      </c>
      <c r="D90" s="11">
        <f>TRUNC(N90)</f>
        <v>83</v>
      </c>
      <c r="E90" s="11">
        <f>M90</f>
        <v>165</v>
      </c>
      <c r="F90" s="38" t="str">
        <f>I90</f>
        <v>2010</v>
      </c>
      <c r="G90" s="11" t="str" cm="1">
        <f t="array" ref="G90">gssBoardClass(A90,B90,C90,D90,E90,F90)</f>
        <v>Special / Longboard</v>
      </c>
      <c r="H90" s="39" t="str">
        <f>_xlfn.CONCAT(I90,"-",LEFT(K90,2),"-",LEFT(L90,3),"-",M90,"-",TRUNC(N90),"-",TRUNC(O90))</f>
        <v>2010-Fa-Sha-165-83-255</v>
      </c>
      <c r="I90" s="42" t="str">
        <f>LEFT(J90,4)</f>
        <v>2010</v>
      </c>
      <c r="J90" s="46">
        <v>2010</v>
      </c>
      <c r="K90" t="s">
        <v>1</v>
      </c>
      <c r="L90" t="s">
        <v>604</v>
      </c>
      <c r="M90">
        <v>165</v>
      </c>
      <c r="N90">
        <v>83</v>
      </c>
      <c r="O90">
        <v>255</v>
      </c>
      <c r="P90" t="s">
        <v>592</v>
      </c>
      <c r="Q90" t="s">
        <v>179</v>
      </c>
      <c r="R90" t="s">
        <v>605</v>
      </c>
      <c r="S90" t="s">
        <v>606</v>
      </c>
    </row>
    <row r="91" spans="1:19" x14ac:dyDescent="0.25">
      <c r="A91" s="11" t="str">
        <f>PROPER(K91)</f>
        <v>Fanatic</v>
      </c>
      <c r="B91" s="11" t="str">
        <f>TRIM(PROPER(LEFT(L91,IFERROR(FIND(" ",L91),99))&amp;MID(L91,IFERROR(FIND(" ",L91),99),99)))</f>
        <v>Skate 100</v>
      </c>
      <c r="C91" s="11">
        <f>TRUNC(O91)</f>
        <v>235</v>
      </c>
      <c r="D91" s="11">
        <f>TRUNC(N91)</f>
        <v>63</v>
      </c>
      <c r="E91" s="11">
        <f>M91</f>
        <v>100</v>
      </c>
      <c r="F91" s="38" t="str">
        <f>I91</f>
        <v>2010</v>
      </c>
      <c r="G91" s="11" t="str" cm="1">
        <f t="array" ref="G91">gssBoardClass(A91,B91,C91,D91,E91,F91)</f>
        <v>Wave / Freestyle</v>
      </c>
      <c r="H91" s="39" t="str">
        <f>_xlfn.CONCAT(I91,"-",LEFT(K91,2),"-",LEFT(L91,3),"-",M91,"-",TRUNC(N91),"-",TRUNC(O91))</f>
        <v>2010-Fa-Ska-100-63-235</v>
      </c>
      <c r="I91" s="42" t="str">
        <f>LEFT(J91,4)</f>
        <v>2010</v>
      </c>
      <c r="J91" s="46">
        <v>2010</v>
      </c>
      <c r="K91" t="s">
        <v>1</v>
      </c>
      <c r="L91" t="s">
        <v>389</v>
      </c>
      <c r="M91">
        <v>100</v>
      </c>
      <c r="N91">
        <v>63.5</v>
      </c>
      <c r="O91">
        <v>235</v>
      </c>
      <c r="P91" t="s">
        <v>565</v>
      </c>
      <c r="Q91" t="s">
        <v>179</v>
      </c>
      <c r="R91" t="s">
        <v>566</v>
      </c>
      <c r="S91" t="s">
        <v>567</v>
      </c>
    </row>
    <row r="92" spans="1:19" x14ac:dyDescent="0.25">
      <c r="A92" s="11" t="str">
        <f>PROPER(K92)</f>
        <v>Fanatic</v>
      </c>
      <c r="B92" s="11" t="str">
        <f>TRIM(PROPER(LEFT(L92,IFERROR(FIND(" ",L92),99))&amp;MID(L92,IFERROR(FIND(" ",L92),99),99)))</f>
        <v>Skate Te 100</v>
      </c>
      <c r="C92" s="11">
        <f>TRUNC(O92)</f>
        <v>235</v>
      </c>
      <c r="D92" s="11">
        <f>TRUNC(N92)</f>
        <v>63</v>
      </c>
      <c r="E92" s="11">
        <f>M92</f>
        <v>100</v>
      </c>
      <c r="F92" s="38" t="str">
        <f>I92</f>
        <v>2010</v>
      </c>
      <c r="G92" s="11" t="str" cm="1">
        <f t="array" ref="G92">gssBoardClass(A92,B92,C92,D92,E92,F92)</f>
        <v>Wave / Freestyle</v>
      </c>
      <c r="H92" s="39" t="str">
        <f>_xlfn.CONCAT(I92,"-",LEFT(K92,2),"-",LEFT(L92,3),"-",M92,"-",TRUNC(N92),"-",TRUNC(O92))</f>
        <v>2010-Fa-Ska-100-63-235</v>
      </c>
      <c r="I92" s="42" t="str">
        <f>LEFT(J92,4)</f>
        <v>2010</v>
      </c>
      <c r="J92" s="46">
        <v>2010</v>
      </c>
      <c r="K92" t="s">
        <v>1</v>
      </c>
      <c r="L92" t="s">
        <v>184</v>
      </c>
      <c r="M92">
        <v>100</v>
      </c>
      <c r="N92">
        <v>63.5</v>
      </c>
      <c r="O92">
        <v>235</v>
      </c>
      <c r="P92" t="s">
        <v>520</v>
      </c>
      <c r="Q92" t="s">
        <v>179</v>
      </c>
      <c r="R92" t="s">
        <v>566</v>
      </c>
      <c r="S92" t="s">
        <v>567</v>
      </c>
    </row>
    <row r="93" spans="1:19" x14ac:dyDescent="0.25">
      <c r="A93" s="11" t="str">
        <f>PROPER(K93)</f>
        <v>Fanatic</v>
      </c>
      <c r="B93" s="11" t="str">
        <f>TRIM(PROPER(LEFT(L93,IFERROR(FIND(" ",L93),99))&amp;MID(L93,IFERROR(FIND(" ",L93),99),99)))</f>
        <v>Skate 110</v>
      </c>
      <c r="C93" s="11">
        <f>TRUNC(O93)</f>
        <v>237</v>
      </c>
      <c r="D93" s="11">
        <f>TRUNC(N93)</f>
        <v>66</v>
      </c>
      <c r="E93" s="11">
        <f>M93</f>
        <v>110</v>
      </c>
      <c r="F93" s="38" t="str">
        <f>I93</f>
        <v>2010</v>
      </c>
      <c r="G93" s="11" t="str" cm="1">
        <f t="array" ref="G93">gssBoardClass(A93,B93,C93,D93,E93,F93)</f>
        <v>Wave / Freestyle</v>
      </c>
      <c r="H93" s="39" t="str">
        <f>_xlfn.CONCAT(I93,"-",LEFT(K93,2),"-",LEFT(L93,3),"-",M93,"-",TRUNC(N93),"-",TRUNC(O93))</f>
        <v>2010-Fa-Ska-110-66-237</v>
      </c>
      <c r="I93" s="42" t="str">
        <f>LEFT(J93,4)</f>
        <v>2010</v>
      </c>
      <c r="J93" s="46">
        <v>2010</v>
      </c>
      <c r="K93" t="s">
        <v>1</v>
      </c>
      <c r="L93" t="s">
        <v>391</v>
      </c>
      <c r="M93">
        <v>110</v>
      </c>
      <c r="N93">
        <v>66.5</v>
      </c>
      <c r="O93">
        <v>237</v>
      </c>
      <c r="P93" t="s">
        <v>565</v>
      </c>
      <c r="Q93" t="s">
        <v>179</v>
      </c>
      <c r="R93" t="s">
        <v>568</v>
      </c>
      <c r="S93" t="s">
        <v>569</v>
      </c>
    </row>
    <row r="94" spans="1:19" x14ac:dyDescent="0.25">
      <c r="A94" s="11" t="str">
        <f>PROPER(K94)</f>
        <v>Fanatic</v>
      </c>
      <c r="B94" s="11" t="str">
        <f>TRIM(PROPER(LEFT(L94,IFERROR(FIND(" ",L94),99))&amp;MID(L94,IFERROR(FIND(" ",L94),99),99)))</f>
        <v>Skate Te 110</v>
      </c>
      <c r="C94" s="11">
        <f>TRUNC(O94)</f>
        <v>237</v>
      </c>
      <c r="D94" s="11">
        <f>TRUNC(N94)</f>
        <v>66</v>
      </c>
      <c r="E94" s="11">
        <f>M94</f>
        <v>110</v>
      </c>
      <c r="F94" s="38" t="str">
        <f>I94</f>
        <v>2010</v>
      </c>
      <c r="G94" s="11" t="str" cm="1">
        <f t="array" ref="G94">gssBoardClass(A94,B94,C94,D94,E94,F94)</f>
        <v>Wave / Freestyle</v>
      </c>
      <c r="H94" s="39" t="str">
        <f>_xlfn.CONCAT(I94,"-",LEFT(K94,2),"-",LEFT(L94,3),"-",M94,"-",TRUNC(N94),"-",TRUNC(O94))</f>
        <v>2010-Fa-Ska-110-66-237</v>
      </c>
      <c r="I94" s="42" t="str">
        <f>LEFT(J94,4)</f>
        <v>2010</v>
      </c>
      <c r="J94" s="46">
        <v>2010</v>
      </c>
      <c r="K94" t="s">
        <v>1</v>
      </c>
      <c r="L94" t="s">
        <v>573</v>
      </c>
      <c r="M94">
        <v>110</v>
      </c>
      <c r="N94">
        <v>66.5</v>
      </c>
      <c r="O94">
        <v>237</v>
      </c>
      <c r="P94" t="s">
        <v>520</v>
      </c>
      <c r="Q94" t="s">
        <v>179</v>
      </c>
      <c r="R94" t="s">
        <v>568</v>
      </c>
      <c r="S94" t="s">
        <v>569</v>
      </c>
    </row>
    <row r="95" spans="1:19" x14ac:dyDescent="0.25">
      <c r="A95" s="11" t="str">
        <f>PROPER(K95)</f>
        <v>Fanatic</v>
      </c>
      <c r="B95" s="11" t="str">
        <f>TRIM(PROPER(LEFT(L95,IFERROR(FIND(" ",L95),99))&amp;MID(L95,IFERROR(FIND(" ",L95),99),99)))</f>
        <v>Skate Te 90</v>
      </c>
      <c r="C95" s="11">
        <f>TRUNC(O95)</f>
        <v>232</v>
      </c>
      <c r="D95" s="11">
        <f>TRUNC(N95)</f>
        <v>60</v>
      </c>
      <c r="E95" s="11">
        <f>M95</f>
        <v>90</v>
      </c>
      <c r="F95" s="38" t="str">
        <f>I95</f>
        <v>2010</v>
      </c>
      <c r="G95" s="11" t="str" cm="1">
        <f t="array" ref="G95">gssBoardClass(A95,B95,C95,D95,E95,F95)</f>
        <v>Wave / Freestyle</v>
      </c>
      <c r="H95" s="39" t="str">
        <f>_xlfn.CONCAT(I95,"-",LEFT(K95,2),"-",LEFT(L95,3),"-",M95,"-",TRUNC(N95),"-",TRUNC(O95))</f>
        <v>2010-Fa-Ska-90-60-232</v>
      </c>
      <c r="I95" s="42" t="str">
        <f>LEFT(J95,4)</f>
        <v>2010</v>
      </c>
      <c r="J95" s="46">
        <v>2010</v>
      </c>
      <c r="K95" t="s">
        <v>1</v>
      </c>
      <c r="L95" t="s">
        <v>570</v>
      </c>
      <c r="M95">
        <v>90</v>
      </c>
      <c r="N95">
        <v>60</v>
      </c>
      <c r="O95">
        <v>232</v>
      </c>
      <c r="P95" t="s">
        <v>520</v>
      </c>
      <c r="Q95" t="s">
        <v>179</v>
      </c>
      <c r="R95" t="s">
        <v>571</v>
      </c>
      <c r="S95" t="s">
        <v>572</v>
      </c>
    </row>
    <row r="96" spans="1:19" x14ac:dyDescent="0.25">
      <c r="A96" s="11" t="str">
        <f>PROPER(K96)</f>
        <v>Fanatic</v>
      </c>
      <c r="B96" s="11" t="str">
        <f>TRIM(PROPER(LEFT(L96,IFERROR(FIND(" ",L96),99))&amp;MID(L96,IFERROR(FIND(" ",L96),99),99)))</f>
        <v>Viper 70</v>
      </c>
      <c r="C96" s="11">
        <f>TRUNC(O96)</f>
        <v>270</v>
      </c>
      <c r="D96" s="11">
        <f>TRUNC(N96)</f>
        <v>70</v>
      </c>
      <c r="E96" s="11">
        <f>M96</f>
        <v>150</v>
      </c>
      <c r="F96" s="38" t="str">
        <f>I96</f>
        <v>2010</v>
      </c>
      <c r="G96" s="11" t="str" cm="1">
        <f t="array" ref="G96">gssBoardClass(A96,B96,C96,D96,E96,F96)</f>
        <v>Slalom Medium</v>
      </c>
      <c r="H96" s="39" t="str">
        <f>_xlfn.CONCAT(I96,"-",LEFT(K96,2),"-",LEFT(L96,3),"-",M96,"-",TRUNC(N96),"-",TRUNC(O96))</f>
        <v>2010-Fa-Vip-150-70-270</v>
      </c>
      <c r="I96" s="42" t="str">
        <f>LEFT(J96,4)</f>
        <v>2010</v>
      </c>
      <c r="J96" s="46">
        <v>2010</v>
      </c>
      <c r="K96" t="s">
        <v>1</v>
      </c>
      <c r="L96" t="s">
        <v>418</v>
      </c>
      <c r="M96">
        <v>150</v>
      </c>
      <c r="N96">
        <v>70</v>
      </c>
      <c r="O96">
        <v>270</v>
      </c>
      <c r="P96" t="s">
        <v>634</v>
      </c>
      <c r="Q96" t="s">
        <v>179</v>
      </c>
      <c r="R96" t="s">
        <v>635</v>
      </c>
      <c r="S96" t="s">
        <v>636</v>
      </c>
    </row>
    <row r="97" spans="1:21" x14ac:dyDescent="0.25">
      <c r="A97" s="11" t="str">
        <f>PROPER(K97)</f>
        <v>Fanatic</v>
      </c>
      <c r="B97" s="11" t="str">
        <f>TRIM(PROPER(LEFT(L97,IFERROR(FIND(" ",L97),99))&amp;MID(L97,IFERROR(FIND(" ",L97),99),99)))</f>
        <v>Viper 75</v>
      </c>
      <c r="C97" s="11">
        <f>TRUNC(O97)</f>
        <v>275</v>
      </c>
      <c r="D97" s="11">
        <f>TRUNC(N97)</f>
        <v>75</v>
      </c>
      <c r="E97" s="11">
        <f>M97</f>
        <v>160</v>
      </c>
      <c r="F97" s="38" t="str">
        <f>I97</f>
        <v>2010</v>
      </c>
      <c r="G97" s="11" t="str" cm="1">
        <f t="array" ref="G97">gssBoardClass(A97,B97,C97,D97,E97,F97)</f>
        <v>Slalom Large</v>
      </c>
      <c r="H97" s="39" t="str">
        <f>_xlfn.CONCAT(I97,"-",LEFT(K97,2),"-",LEFT(L97,3),"-",M97,"-",TRUNC(N97),"-",TRUNC(O97))</f>
        <v>2010-Fa-Vip-160-75-275</v>
      </c>
      <c r="I97" s="42" t="str">
        <f>LEFT(J97,4)</f>
        <v>2010</v>
      </c>
      <c r="J97" s="46">
        <v>2010</v>
      </c>
      <c r="K97" t="s">
        <v>1</v>
      </c>
      <c r="L97" t="s">
        <v>262</v>
      </c>
      <c r="M97">
        <v>160</v>
      </c>
      <c r="N97">
        <v>75</v>
      </c>
      <c r="O97">
        <v>275</v>
      </c>
      <c r="P97" t="s">
        <v>634</v>
      </c>
      <c r="Q97" t="s">
        <v>179</v>
      </c>
      <c r="R97" t="s">
        <v>635</v>
      </c>
      <c r="S97" t="s">
        <v>637</v>
      </c>
    </row>
    <row r="98" spans="1:21" x14ac:dyDescent="0.25">
      <c r="A98" s="11" t="str">
        <f>PROPER(K98)</f>
        <v>Fanatic</v>
      </c>
      <c r="B98" s="11" t="str">
        <f>TRIM(PROPER(LEFT(L98,IFERROR(FIND(" ",L98),99))&amp;MID(L98,IFERROR(FIND(" ",L98),99),99)))</f>
        <v>Viper 80</v>
      </c>
      <c r="C98" s="11">
        <f>TRUNC(O98)</f>
        <v>280</v>
      </c>
      <c r="D98" s="11">
        <f>TRUNC(N98)</f>
        <v>80</v>
      </c>
      <c r="E98" s="11">
        <f>M98</f>
        <v>190</v>
      </c>
      <c r="F98" s="38" t="str">
        <f>I98</f>
        <v>2010</v>
      </c>
      <c r="G98" s="11" t="str" cm="1">
        <f t="array" ref="G98">gssBoardClass(A98,B98,C98,D98,E98,F98)</f>
        <v>Special / Longboard</v>
      </c>
      <c r="H98" s="39" t="str">
        <f>_xlfn.CONCAT(I98,"-",LEFT(K98,2),"-",LEFT(L98,3),"-",M98,"-",TRUNC(N98),"-",TRUNC(O98))</f>
        <v>2010-Fa-Vip-190-80-280</v>
      </c>
      <c r="I98" s="42" t="str">
        <f>LEFT(J98,4)</f>
        <v>2010</v>
      </c>
      <c r="J98" s="46">
        <v>2010</v>
      </c>
      <c r="K98" t="s">
        <v>1</v>
      </c>
      <c r="L98" t="s">
        <v>264</v>
      </c>
      <c r="M98">
        <v>190</v>
      </c>
      <c r="N98">
        <v>80</v>
      </c>
      <c r="O98">
        <v>280</v>
      </c>
      <c r="P98" t="s">
        <v>634</v>
      </c>
      <c r="Q98" t="s">
        <v>179</v>
      </c>
      <c r="R98" t="s">
        <v>635</v>
      </c>
      <c r="S98" t="s">
        <v>637</v>
      </c>
    </row>
    <row r="99" spans="1:21" x14ac:dyDescent="0.25">
      <c r="A99" s="11" t="str">
        <f>PROPER(K99)</f>
        <v>Fanatic</v>
      </c>
      <c r="B99" s="11" t="str">
        <f>TRIM(PROPER(LEFT(L99,IFERROR(FIND(" ",L99),99))&amp;MID(L99,IFERROR(FIND(" ",L99),99),99)))</f>
        <v>Viper 85</v>
      </c>
      <c r="C99" s="11">
        <f>TRUNC(O99)</f>
        <v>285</v>
      </c>
      <c r="D99" s="11">
        <f>TRUNC(N99)</f>
        <v>85</v>
      </c>
      <c r="E99" s="11">
        <f>M99</f>
        <v>220</v>
      </c>
      <c r="F99" s="38" t="str">
        <f>I99</f>
        <v>2010</v>
      </c>
      <c r="G99" s="11" t="str" cm="1">
        <f t="array" ref="G99">gssBoardClass(A99,B99,C99,D99,E99,F99)</f>
        <v>Special / Longboard</v>
      </c>
      <c r="H99" s="39" t="str">
        <f>_xlfn.CONCAT(I99,"-",LEFT(K99,2),"-",LEFT(L99,3),"-",M99,"-",TRUNC(N99),"-",TRUNC(O99))</f>
        <v>2010-Fa-Vip-220-85-285</v>
      </c>
      <c r="I99" s="42" t="str">
        <f>LEFT(J99,4)</f>
        <v>2010</v>
      </c>
      <c r="J99" s="46">
        <v>2010</v>
      </c>
      <c r="K99" t="s">
        <v>1</v>
      </c>
      <c r="L99" t="s">
        <v>265</v>
      </c>
      <c r="M99">
        <v>220</v>
      </c>
      <c r="N99">
        <v>85</v>
      </c>
      <c r="O99">
        <v>285</v>
      </c>
      <c r="P99" t="s">
        <v>634</v>
      </c>
      <c r="Q99" t="s">
        <v>179</v>
      </c>
      <c r="R99" t="s">
        <v>635</v>
      </c>
      <c r="S99" t="s">
        <v>637</v>
      </c>
    </row>
    <row r="100" spans="1:21" x14ac:dyDescent="0.25">
      <c r="A100" s="11" t="str">
        <f>PROPER(K100)</f>
        <v>Rrd</v>
      </c>
      <c r="B100" s="11" t="str">
        <f>TRIM(PROPER(LEFT(L100,IFERROR(FIND(" ",L100),99))&amp;MID(L100,IFERROR(FIND(" ",L100),99),99)))</f>
        <v>360 Evolution Duratech V3 Xs</v>
      </c>
      <c r="C100" s="11">
        <f>TRUNC(O100)</f>
        <v>248</v>
      </c>
      <c r="D100" s="11">
        <f>TRUNC(N100)</f>
        <v>72</v>
      </c>
      <c r="E100" s="11">
        <f>M100</f>
        <v>135</v>
      </c>
      <c r="F100" s="38" t="str">
        <f>I100</f>
        <v>2014</v>
      </c>
      <c r="G100" s="11" t="str" cm="1">
        <f t="array" ref="G100">gssBoardClass(A100,B100,C100,D100,E100,F100)</f>
        <v>Slalom Medium</v>
      </c>
      <c r="H100" s="39" t="str">
        <f>_xlfn.CONCAT(I100,"-",LEFT(K100,2),"-",LEFT(L100,3),"-",M100,"-",TRUNC(N100),"-",TRUNC(O100))</f>
        <v>2014-RR-360-135-72-248</v>
      </c>
      <c r="I100" s="42" t="str">
        <f>LEFT(J100,4)</f>
        <v>2014</v>
      </c>
      <c r="J100" s="46" t="s">
        <v>731</v>
      </c>
      <c r="K100" t="s">
        <v>1614</v>
      </c>
      <c r="L100" t="s">
        <v>2193</v>
      </c>
      <c r="M100">
        <v>135</v>
      </c>
      <c r="N100">
        <v>72</v>
      </c>
      <c r="O100">
        <v>248</v>
      </c>
      <c r="R100" t="s">
        <v>2194</v>
      </c>
      <c r="S100" t="s">
        <v>2195</v>
      </c>
      <c r="T100">
        <v>9.5</v>
      </c>
      <c r="U100" t="s">
        <v>2196</v>
      </c>
    </row>
    <row r="101" spans="1:21" x14ac:dyDescent="0.25">
      <c r="A101" s="11" t="str">
        <f>PROPER(K101)</f>
        <v>Rrd</v>
      </c>
      <c r="B101" s="11" t="str">
        <f>TRIM(PROPER(LEFT(L101,IFERROR(FIND(" ",L101),99))&amp;MID(L101,IFERROR(FIND(" ",L101),99),99)))</f>
        <v>360 Evolution Softskin V2 Xs</v>
      </c>
      <c r="C101" s="11">
        <f>TRUNC(O101)</f>
        <v>248</v>
      </c>
      <c r="D101" s="11">
        <f>TRUNC(N101)</f>
        <v>72</v>
      </c>
      <c r="E101" s="11">
        <f>M101</f>
        <v>135</v>
      </c>
      <c r="F101" s="38" t="str">
        <f>I101</f>
        <v>2014</v>
      </c>
      <c r="G101" s="11" t="str" cm="1">
        <f t="array" ref="G101">gssBoardClass(A101,B101,C101,D101,E101,F101)</f>
        <v>Slalom Medium</v>
      </c>
      <c r="H101" s="39" t="str">
        <f>_xlfn.CONCAT(I101,"-",LEFT(K101,2),"-",LEFT(L101,3),"-",M101,"-",TRUNC(N101),"-",TRUNC(O101))</f>
        <v>2014-RR-360-135-72-248</v>
      </c>
      <c r="I101" s="42" t="str">
        <f>LEFT(J101,4)</f>
        <v>2014</v>
      </c>
      <c r="J101" s="46" t="s">
        <v>731</v>
      </c>
      <c r="K101" t="s">
        <v>1614</v>
      </c>
      <c r="L101" t="s">
        <v>2203</v>
      </c>
      <c r="M101">
        <v>135</v>
      </c>
      <c r="N101">
        <v>72</v>
      </c>
      <c r="O101">
        <v>248</v>
      </c>
      <c r="R101" t="s">
        <v>2204</v>
      </c>
      <c r="S101" t="s">
        <v>2195</v>
      </c>
      <c r="T101">
        <v>9.5</v>
      </c>
      <c r="U101" t="s">
        <v>2205</v>
      </c>
    </row>
    <row r="102" spans="1:21" x14ac:dyDescent="0.25">
      <c r="A102" s="11" t="str">
        <f>PROPER(K102)</f>
        <v>Rrd</v>
      </c>
      <c r="B102" s="11" t="str">
        <f>TRIM(PROPER(LEFT(L102,IFERROR(FIND(" ",L102),99))&amp;MID(L102,IFERROR(FIND(" ",L102),99),99)))</f>
        <v>360 Evolution Duratech V3 S</v>
      </c>
      <c r="C102" s="11">
        <f>TRUNC(O102)</f>
        <v>249</v>
      </c>
      <c r="D102" s="11">
        <f>TRUNC(N102)</f>
        <v>75</v>
      </c>
      <c r="E102" s="11">
        <f>M102</f>
        <v>145</v>
      </c>
      <c r="F102" s="38" t="str">
        <f>I102</f>
        <v>2014</v>
      </c>
      <c r="G102" s="11" t="str" cm="1">
        <f t="array" ref="G102">gssBoardClass(A102,B102,C102,D102,E102,F102)</f>
        <v>Slalom Large</v>
      </c>
      <c r="H102" s="39" t="str">
        <f>_xlfn.CONCAT(I102,"-",LEFT(K102,2),"-",LEFT(L102,3),"-",M102,"-",TRUNC(N102),"-",TRUNC(O102))</f>
        <v>2014-RR-360-145-75-249</v>
      </c>
      <c r="I102" s="42" t="str">
        <f>LEFT(J102,4)</f>
        <v>2014</v>
      </c>
      <c r="J102" s="46" t="s">
        <v>731</v>
      </c>
      <c r="K102" t="s">
        <v>1614</v>
      </c>
      <c r="L102" t="s">
        <v>2197</v>
      </c>
      <c r="M102">
        <v>145</v>
      </c>
      <c r="N102">
        <v>75</v>
      </c>
      <c r="O102">
        <v>249</v>
      </c>
      <c r="R102" t="s">
        <v>2194</v>
      </c>
      <c r="S102" t="s">
        <v>2198</v>
      </c>
      <c r="T102">
        <v>9.6999999999999993</v>
      </c>
      <c r="U102" t="s">
        <v>2199</v>
      </c>
    </row>
    <row r="103" spans="1:21" x14ac:dyDescent="0.25">
      <c r="A103" s="11" t="str">
        <f>PROPER(K103)</f>
        <v>Rrd</v>
      </c>
      <c r="B103" s="11" t="str">
        <f>TRIM(PROPER(LEFT(L103,IFERROR(FIND(" ",L103),99))&amp;MID(L103,IFERROR(FIND(" ",L103),99),99)))</f>
        <v>360 Evolution Softskin V2 S</v>
      </c>
      <c r="C103" s="11">
        <f>TRUNC(O103)</f>
        <v>249</v>
      </c>
      <c r="D103" s="11">
        <f>TRUNC(N103)</f>
        <v>75</v>
      </c>
      <c r="E103" s="11">
        <f>M103</f>
        <v>145</v>
      </c>
      <c r="F103" s="38" t="str">
        <f>I103</f>
        <v>2014</v>
      </c>
      <c r="G103" s="11" t="str" cm="1">
        <f t="array" ref="G103">gssBoardClass(A103,B103,C103,D103,E103,F103)</f>
        <v>Slalom Large</v>
      </c>
      <c r="H103" s="39" t="str">
        <f>_xlfn.CONCAT(I103,"-",LEFT(K103,2),"-",LEFT(L103,3),"-",M103,"-",TRUNC(N103),"-",TRUNC(O103))</f>
        <v>2014-RR-360-145-75-249</v>
      </c>
      <c r="I103" s="42" t="str">
        <f>LEFT(J103,4)</f>
        <v>2014</v>
      </c>
      <c r="J103" s="46" t="s">
        <v>731</v>
      </c>
      <c r="K103" t="s">
        <v>1614</v>
      </c>
      <c r="L103" t="s">
        <v>2206</v>
      </c>
      <c r="M103">
        <v>145</v>
      </c>
      <c r="N103">
        <v>75</v>
      </c>
      <c r="O103">
        <v>249</v>
      </c>
      <c r="R103" t="s">
        <v>2207</v>
      </c>
      <c r="S103" t="s">
        <v>2198</v>
      </c>
      <c r="T103">
        <v>10.3</v>
      </c>
      <c r="U103" t="s">
        <v>2208</v>
      </c>
    </row>
    <row r="104" spans="1:21" x14ac:dyDescent="0.25">
      <c r="A104" s="11" t="str">
        <f>PROPER(K104)</f>
        <v>Rrd</v>
      </c>
      <c r="B104" s="11" t="str">
        <f>TRIM(PROPER(LEFT(L104,IFERROR(FIND(" ",L104),99))&amp;MID(L104,IFERROR(FIND(" ",L104),99),99)))</f>
        <v>360 Evolution Duratech V3 M</v>
      </c>
      <c r="C104" s="11">
        <f>TRUNC(O104)</f>
        <v>251</v>
      </c>
      <c r="D104" s="11">
        <f>TRUNC(N104)</f>
        <v>78</v>
      </c>
      <c r="E104" s="11">
        <f>M104</f>
        <v>155</v>
      </c>
      <c r="F104" s="38" t="str">
        <f>I104</f>
        <v>2014</v>
      </c>
      <c r="G104" s="11" t="str" cm="1">
        <f t="array" ref="G104">gssBoardClass(A104,B104,C104,D104,E104,F104)</f>
        <v>Slalom Large</v>
      </c>
      <c r="H104" s="39" t="str">
        <f>_xlfn.CONCAT(I104,"-",LEFT(K104,2),"-",LEFT(L104,3),"-",M104,"-",TRUNC(N104),"-",TRUNC(O104))</f>
        <v>2014-RR-360-155-78-251</v>
      </c>
      <c r="I104" s="42" t="str">
        <f>LEFT(J104,4)</f>
        <v>2014</v>
      </c>
      <c r="J104" s="46" t="s">
        <v>731</v>
      </c>
      <c r="K104" t="s">
        <v>1614</v>
      </c>
      <c r="L104" t="s">
        <v>2200</v>
      </c>
      <c r="M104">
        <v>155</v>
      </c>
      <c r="N104">
        <v>78</v>
      </c>
      <c r="O104">
        <v>251</v>
      </c>
      <c r="R104" t="s">
        <v>2194</v>
      </c>
      <c r="S104" t="s">
        <v>2201</v>
      </c>
      <c r="T104">
        <v>10.199999999999999</v>
      </c>
      <c r="U104" t="s">
        <v>2202</v>
      </c>
    </row>
    <row r="105" spans="1:21" x14ac:dyDescent="0.25">
      <c r="A105" s="11" t="str">
        <f>PROPER(K105)</f>
        <v>Rrd</v>
      </c>
      <c r="B105" s="11" t="str">
        <f>TRIM(PROPER(LEFT(L105,IFERROR(FIND(" ",L105),99))&amp;MID(L105,IFERROR(FIND(" ",L105),99),99)))</f>
        <v>360 Evolution Softskin V2 M</v>
      </c>
      <c r="C105" s="11">
        <f>TRUNC(O105)</f>
        <v>251</v>
      </c>
      <c r="D105" s="11">
        <f>TRUNC(N105)</f>
        <v>78</v>
      </c>
      <c r="E105" s="11">
        <f>M105</f>
        <v>155</v>
      </c>
      <c r="F105" s="38" t="str">
        <f>I105</f>
        <v>2014</v>
      </c>
      <c r="G105" s="11" t="str" cm="1">
        <f t="array" ref="G105">gssBoardClass(A105,B105,C105,D105,E105,F105)</f>
        <v>Slalom Large</v>
      </c>
      <c r="H105" s="39" t="str">
        <f>_xlfn.CONCAT(I105,"-",LEFT(K105,2),"-",LEFT(L105,3),"-",M105,"-",TRUNC(N105),"-",TRUNC(O105))</f>
        <v>2014-RR-360-155-78-251</v>
      </c>
      <c r="I105" s="42" t="str">
        <f>LEFT(J105,4)</f>
        <v>2014</v>
      </c>
      <c r="J105" s="46" t="s">
        <v>731</v>
      </c>
      <c r="K105" t="s">
        <v>1614</v>
      </c>
      <c r="L105" t="s">
        <v>2209</v>
      </c>
      <c r="M105">
        <v>155</v>
      </c>
      <c r="N105">
        <v>78</v>
      </c>
      <c r="O105">
        <v>251</v>
      </c>
      <c r="R105" t="s">
        <v>2207</v>
      </c>
      <c r="S105" t="s">
        <v>2201</v>
      </c>
      <c r="T105">
        <v>10.9</v>
      </c>
      <c r="U105" t="s">
        <v>2210</v>
      </c>
    </row>
    <row r="106" spans="1:21" x14ac:dyDescent="0.25">
      <c r="A106" s="11" t="str">
        <f>PROPER(K106)</f>
        <v>Rrd</v>
      </c>
      <c r="B106" s="11" t="str">
        <f>TRIM(PROPER(LEFT(L106,IFERROR(FIND(" ",L106),99))&amp;MID(L106,IFERROR(FIND(" ",L106),99),99)))</f>
        <v>360 Evolution Softskin V2 L</v>
      </c>
      <c r="C106" s="11">
        <f>TRUNC(O106)</f>
        <v>257</v>
      </c>
      <c r="D106" s="11">
        <f>TRUNC(N106)</f>
        <v>81</v>
      </c>
      <c r="E106" s="11">
        <f>M106</f>
        <v>158</v>
      </c>
      <c r="F106" s="38" t="str">
        <f>I106</f>
        <v>2014</v>
      </c>
      <c r="G106" s="11" t="str" cm="1">
        <f t="array" ref="G106">gssBoardClass(A106,B106,C106,D106,E106,F106)</f>
        <v>Slalom Large</v>
      </c>
      <c r="H106" s="39" t="str">
        <f>_xlfn.CONCAT(I106,"-",LEFT(K106,2),"-",LEFT(L106,3),"-",M106,"-",TRUNC(N106),"-",TRUNC(O106))</f>
        <v>2014-RR-360-158-81-257</v>
      </c>
      <c r="I106" s="42" t="str">
        <f>LEFT(J106,4)</f>
        <v>2014</v>
      </c>
      <c r="J106" s="46" t="s">
        <v>731</v>
      </c>
      <c r="K106" t="s">
        <v>1614</v>
      </c>
      <c r="L106" t="s">
        <v>2211</v>
      </c>
      <c r="M106">
        <v>158</v>
      </c>
      <c r="N106">
        <v>81</v>
      </c>
      <c r="O106">
        <v>257</v>
      </c>
      <c r="R106" t="s">
        <v>2212</v>
      </c>
      <c r="S106" t="s">
        <v>2213</v>
      </c>
      <c r="T106">
        <v>11.6</v>
      </c>
      <c r="U106" t="s">
        <v>2214</v>
      </c>
    </row>
    <row r="107" spans="1:21" x14ac:dyDescent="0.25">
      <c r="A107" s="11" t="str">
        <f>PROPER(K107)</f>
        <v>Rrd</v>
      </c>
      <c r="B107" s="11" t="str">
        <f>TRIM(PROPER(LEFT(L107,IFERROR(FIND(" ",L107),99))&amp;MID(L107,IFERROR(FIND(" ",L107),99),99)))</f>
        <v>360 Evolution Softskin V2 L W/O Dagger</v>
      </c>
      <c r="C107" s="11">
        <f>TRUNC(O107)</f>
        <v>257</v>
      </c>
      <c r="D107" s="11">
        <f>TRUNC(N107)</f>
        <v>81</v>
      </c>
      <c r="E107" s="11">
        <f>M107</f>
        <v>158</v>
      </c>
      <c r="F107" s="38" t="str">
        <f>I107</f>
        <v>2014</v>
      </c>
      <c r="G107" s="11" t="str" cm="1">
        <f t="array" ref="G107">gssBoardClass(A107,B107,C107,D107,E107,F107)</f>
        <v>Slalom Large</v>
      </c>
      <c r="H107" s="39" t="str">
        <f>_xlfn.CONCAT(I107,"-",LEFT(K107,2),"-",LEFT(L107,3),"-",M107,"-",TRUNC(N107),"-",TRUNC(O107))</f>
        <v>2014-RR-360-158-81-257</v>
      </c>
      <c r="I107" s="42" t="str">
        <f>LEFT(J107,4)</f>
        <v>2014</v>
      </c>
      <c r="J107" s="46" t="s">
        <v>731</v>
      </c>
      <c r="K107" t="s">
        <v>1614</v>
      </c>
      <c r="L107" t="s">
        <v>2215</v>
      </c>
      <c r="M107">
        <v>158</v>
      </c>
      <c r="N107">
        <v>81</v>
      </c>
      <c r="O107">
        <v>257</v>
      </c>
      <c r="R107" t="s">
        <v>2216</v>
      </c>
      <c r="S107" t="s">
        <v>2213</v>
      </c>
      <c r="T107">
        <v>11.3</v>
      </c>
      <c r="U107" t="s">
        <v>2217</v>
      </c>
    </row>
    <row r="108" spans="1:21" x14ac:dyDescent="0.25">
      <c r="A108" s="11" t="str">
        <f>PROPER(K108)</f>
        <v>Rrd</v>
      </c>
      <c r="B108" s="11" t="str">
        <f>TRIM(PROPER(LEFT(L108,IFERROR(FIND(" ",L108),99))&amp;MID(L108,IFERROR(FIND(" ",L108),99),99)))</f>
        <v>Easyjoy V2 Softskin</v>
      </c>
      <c r="C108" s="11">
        <f>TRUNC(O108)</f>
        <v>233</v>
      </c>
      <c r="D108" s="11">
        <f>TRUNC(N108)</f>
        <v>67</v>
      </c>
      <c r="E108" s="11">
        <f>M108</f>
        <v>110</v>
      </c>
      <c r="F108" s="38" t="str">
        <f>I108</f>
        <v>2014</v>
      </c>
      <c r="G108" s="11" t="str" cm="1">
        <f t="array" ref="G108">gssBoardClass(A108,B108,C108,D108,E108,F108)</f>
        <v>Slalom Medium</v>
      </c>
      <c r="H108" s="39" t="str">
        <f>_xlfn.CONCAT(I108,"-",LEFT(K108,2),"-",LEFT(L108,3),"-",M108,"-",TRUNC(N108),"-",TRUNC(O108))</f>
        <v>2014-RR-EAS-110-67-233</v>
      </c>
      <c r="I108" s="42" t="str">
        <f>LEFT(J108,4)</f>
        <v>2014</v>
      </c>
      <c r="J108" s="46" t="s">
        <v>731</v>
      </c>
      <c r="K108" t="s">
        <v>1614</v>
      </c>
      <c r="L108" t="s">
        <v>2226</v>
      </c>
      <c r="M108">
        <v>110</v>
      </c>
      <c r="N108">
        <v>67</v>
      </c>
      <c r="O108">
        <v>233</v>
      </c>
      <c r="R108" t="s">
        <v>2227</v>
      </c>
      <c r="S108" t="s">
        <v>2228</v>
      </c>
      <c r="T108">
        <v>8.6999999999999993</v>
      </c>
      <c r="U108" t="s">
        <v>2229</v>
      </c>
    </row>
    <row r="109" spans="1:21" x14ac:dyDescent="0.25">
      <c r="A109" s="11" t="str">
        <f>PROPER(K109)</f>
        <v>Rrd</v>
      </c>
      <c r="B109" s="11" t="str">
        <f>TRIM(PROPER(LEFT(L109,IFERROR(FIND(" ",L109),99))&amp;MID(L109,IFERROR(FIND(" ",L109),99),99)))</f>
        <v>Easyride Softskin V2 S</v>
      </c>
      <c r="C109" s="11">
        <f>TRUNC(O109)</f>
        <v>260</v>
      </c>
      <c r="D109" s="11">
        <f>TRUNC(N109)</f>
        <v>80</v>
      </c>
      <c r="E109" s="11">
        <f>M109</f>
        <v>166</v>
      </c>
      <c r="F109" s="38" t="str">
        <f>I109</f>
        <v>2014</v>
      </c>
      <c r="G109" s="11" t="str" cm="1">
        <f t="array" ref="G109">gssBoardClass(A109,B109,C109,D109,E109,F109)</f>
        <v>Special / Longboard</v>
      </c>
      <c r="H109" s="39" t="str">
        <f>_xlfn.CONCAT(I109,"-",LEFT(K109,2),"-",LEFT(L109,3),"-",M109,"-",TRUNC(N109),"-",TRUNC(O109))</f>
        <v>2014-RR-EAS-166-80-260</v>
      </c>
      <c r="I109" s="42" t="str">
        <f>LEFT(J109,4)</f>
        <v>2014</v>
      </c>
      <c r="J109" s="46" t="s">
        <v>731</v>
      </c>
      <c r="K109" t="s">
        <v>1614</v>
      </c>
      <c r="L109" t="s">
        <v>2218</v>
      </c>
      <c r="M109">
        <v>166</v>
      </c>
      <c r="N109">
        <v>80</v>
      </c>
      <c r="O109">
        <v>260</v>
      </c>
      <c r="R109" t="s">
        <v>2212</v>
      </c>
      <c r="S109" t="s">
        <v>2219</v>
      </c>
      <c r="T109">
        <v>12.5</v>
      </c>
      <c r="U109" t="s">
        <v>2220</v>
      </c>
    </row>
    <row r="110" spans="1:21" x14ac:dyDescent="0.25">
      <c r="A110" s="11" t="str">
        <f>PROPER(K110)</f>
        <v>Rrd</v>
      </c>
      <c r="B110" s="11" t="str">
        <f>TRIM(PROPER(LEFT(L110,IFERROR(FIND(" ",L110),99))&amp;MID(L110,IFERROR(FIND(" ",L110),99),99)))</f>
        <v>Easyride Softskin V2 M</v>
      </c>
      <c r="C110" s="11">
        <f>TRUNC(O110)</f>
        <v>260</v>
      </c>
      <c r="D110" s="11">
        <f>TRUNC(N110)</f>
        <v>85</v>
      </c>
      <c r="E110" s="11">
        <f>M110</f>
        <v>180</v>
      </c>
      <c r="F110" s="38" t="str">
        <f>I110</f>
        <v>2014</v>
      </c>
      <c r="G110" s="11" t="str" cm="1">
        <f t="array" ref="G110">gssBoardClass(A110,B110,C110,D110,E110,F110)</f>
        <v>Special / Longboard</v>
      </c>
      <c r="H110" s="39" t="str">
        <f>_xlfn.CONCAT(I110,"-",LEFT(K110,2),"-",LEFT(L110,3),"-",M110,"-",TRUNC(N110),"-",TRUNC(O110))</f>
        <v>2014-RR-EAS-180-85-260</v>
      </c>
      <c r="I110" s="42" t="str">
        <f>LEFT(J110,4)</f>
        <v>2014</v>
      </c>
      <c r="J110" s="46" t="s">
        <v>731</v>
      </c>
      <c r="K110" t="s">
        <v>1614</v>
      </c>
      <c r="L110" t="s">
        <v>2221</v>
      </c>
      <c r="M110">
        <v>180</v>
      </c>
      <c r="N110">
        <v>85</v>
      </c>
      <c r="O110">
        <v>260</v>
      </c>
      <c r="R110" t="s">
        <v>2212</v>
      </c>
      <c r="S110" t="s">
        <v>2222</v>
      </c>
      <c r="T110">
        <v>13</v>
      </c>
      <c r="U110" t="s">
        <v>2223</v>
      </c>
    </row>
    <row r="111" spans="1:21" x14ac:dyDescent="0.25">
      <c r="A111" s="11" t="str">
        <f>PROPER(K111)</f>
        <v>Rrd</v>
      </c>
      <c r="B111" s="11" t="str">
        <f>TRIM(PROPER(LEFT(L111,IFERROR(FIND(" ",L111),99))&amp;MID(L111,IFERROR(FIND(" ",L111),99),99)))</f>
        <v>Easyride Softskin V2 L</v>
      </c>
      <c r="C111" s="11">
        <f>TRUNC(O111)</f>
        <v>270</v>
      </c>
      <c r="D111" s="11">
        <f>TRUNC(N111)</f>
        <v>100</v>
      </c>
      <c r="E111" s="11">
        <f>M111</f>
        <v>220</v>
      </c>
      <c r="F111" s="38" t="str">
        <f>I111</f>
        <v>2014</v>
      </c>
      <c r="G111" s="11" t="str" cm="1">
        <f t="array" ref="G111">gssBoardClass(A111,B111,C111,D111,E111,F111)</f>
        <v>Special / Longboard</v>
      </c>
      <c r="H111" s="39" t="str">
        <f>_xlfn.CONCAT(I111,"-",LEFT(K111,2),"-",LEFT(L111,3),"-",M111,"-",TRUNC(N111),"-",TRUNC(O111))</f>
        <v>2014-RR-EAS-220-100-270</v>
      </c>
      <c r="I111" s="42" t="str">
        <f>LEFT(J111,4)</f>
        <v>2014</v>
      </c>
      <c r="J111" s="46" t="s">
        <v>731</v>
      </c>
      <c r="K111" t="s">
        <v>1614</v>
      </c>
      <c r="L111" t="s">
        <v>2224</v>
      </c>
      <c r="M111">
        <v>220</v>
      </c>
      <c r="N111">
        <v>100</v>
      </c>
      <c r="O111">
        <v>270</v>
      </c>
      <c r="R111" t="s">
        <v>2212</v>
      </c>
      <c r="S111" t="s">
        <v>2222</v>
      </c>
      <c r="T111">
        <v>14.5</v>
      </c>
      <c r="U111" t="s">
        <v>2225</v>
      </c>
    </row>
    <row r="112" spans="1:21" x14ac:dyDescent="0.25">
      <c r="A112" s="11" t="str">
        <f>PROPER(K112)</f>
        <v>Rrd</v>
      </c>
      <c r="B112" s="11" t="str">
        <f>TRIM(PROPER(LEFT(L112,IFERROR(FIND(" ",L112),99))&amp;MID(L112,IFERROR(FIND(" ",L112),99),99)))</f>
        <v>Firestorm Ltd V2 101</v>
      </c>
      <c r="C112" s="11">
        <f>TRUNC(O112)</f>
        <v>236</v>
      </c>
      <c r="D112" s="11">
        <f>TRUNC(N112)</f>
        <v>65</v>
      </c>
      <c r="E112" s="11">
        <f>M112</f>
        <v>101</v>
      </c>
      <c r="F112" s="38" t="str">
        <f>I112</f>
        <v>2014</v>
      </c>
      <c r="G112" s="11" t="str" cm="1">
        <f t="array" ref="G112">gssBoardClass(A112,B112,C112,D112,E112,F112)</f>
        <v>Speed/Slalom Small</v>
      </c>
      <c r="H112" s="39" t="str">
        <f>_xlfn.CONCAT(I112,"-",LEFT(K112,2),"-",LEFT(L112,3),"-",M112,"-",TRUNC(N112),"-",TRUNC(O112))</f>
        <v>2014-RR-FIR-101-65-236</v>
      </c>
      <c r="I112" s="42" t="str">
        <f>LEFT(J112,4)</f>
        <v>2014</v>
      </c>
      <c r="J112" s="46" t="s">
        <v>731</v>
      </c>
      <c r="K112" t="s">
        <v>1614</v>
      </c>
      <c r="L112" t="s">
        <v>2364</v>
      </c>
      <c r="M112">
        <v>101</v>
      </c>
      <c r="N112">
        <v>65</v>
      </c>
      <c r="O112">
        <v>236</v>
      </c>
      <c r="R112" t="s">
        <v>2142</v>
      </c>
      <c r="S112" t="s">
        <v>2143</v>
      </c>
      <c r="T112">
        <v>6.4</v>
      </c>
      <c r="U112" t="s">
        <v>2144</v>
      </c>
    </row>
    <row r="113" spans="1:21" x14ac:dyDescent="0.25">
      <c r="A113" s="11" t="str">
        <f>PROPER(K113)</f>
        <v>Rrd</v>
      </c>
      <c r="B113" s="11" t="str">
        <f>TRIM(PROPER(LEFT(L113,IFERROR(FIND(" ",L113),99))&amp;MID(L113,IFERROR(FIND(" ",L113),99),99)))</f>
        <v>Firestorm Wood V2 101</v>
      </c>
      <c r="C113" s="11">
        <f>TRUNC(O113)</f>
        <v>235</v>
      </c>
      <c r="D113" s="11">
        <f>TRUNC(N113)</f>
        <v>66</v>
      </c>
      <c r="E113" s="11">
        <f>M113</f>
        <v>101</v>
      </c>
      <c r="F113" s="38" t="str">
        <f>I113</f>
        <v>2014</v>
      </c>
      <c r="G113" s="11" t="str" cm="1">
        <f t="array" ref="G113">gssBoardClass(A113,B113,C113,D113,E113,F113)</f>
        <v>Slalom Medium</v>
      </c>
      <c r="H113" s="39" t="str">
        <f>_xlfn.CONCAT(I113,"-",LEFT(K113,2),"-",LEFT(L113,3),"-",M113,"-",TRUNC(N113),"-",TRUNC(O113))</f>
        <v>2014-RR-FIR-101-66-235</v>
      </c>
      <c r="I113" s="42" t="str">
        <f>LEFT(J113,4)</f>
        <v>2014</v>
      </c>
      <c r="J113" s="46" t="s">
        <v>731</v>
      </c>
      <c r="K113" t="s">
        <v>1614</v>
      </c>
      <c r="L113" t="s">
        <v>2363</v>
      </c>
      <c r="M113">
        <v>101</v>
      </c>
      <c r="N113">
        <v>66</v>
      </c>
      <c r="O113">
        <v>235</v>
      </c>
      <c r="R113" t="s">
        <v>2142</v>
      </c>
      <c r="S113" t="s">
        <v>2143</v>
      </c>
      <c r="T113">
        <v>6.7</v>
      </c>
      <c r="U113" t="s">
        <v>2157</v>
      </c>
    </row>
    <row r="114" spans="1:21" x14ac:dyDescent="0.25">
      <c r="A114" s="11" t="str">
        <f>PROPER(K114)</f>
        <v>Rrd</v>
      </c>
      <c r="B114" s="11" t="str">
        <f>TRIM(PROPER(LEFT(L114,IFERROR(FIND(" ",L114),99))&amp;MID(L114,IFERROR(FIND(" ",L114),99),99)))</f>
        <v>Firewave Ltd</v>
      </c>
      <c r="C114" s="11">
        <f>TRUNC(O114)</f>
        <v>235</v>
      </c>
      <c r="D114" s="11">
        <f>TRUNC(N114)</f>
        <v>64</v>
      </c>
      <c r="E114" s="11">
        <f>M114</f>
        <v>102</v>
      </c>
      <c r="F114" s="38" t="str">
        <f>I114</f>
        <v>2014</v>
      </c>
      <c r="G114" s="11" t="str" cm="1">
        <f t="array" ref="G114">gssBoardClass(A114,B114,C114,D114,E114,F114)</f>
        <v>Wave / Freestyle</v>
      </c>
      <c r="H114" s="39" t="str">
        <f>_xlfn.CONCAT(I114,"-",LEFT(K114,2),"-",LEFT(L114,3),"-",M114,"-",TRUNC(N114),"-",TRUNC(O114))</f>
        <v>2014-RR-FIR-102-64-235</v>
      </c>
      <c r="I114" s="42" t="str">
        <f>LEFT(J114,4)</f>
        <v>2014</v>
      </c>
      <c r="J114" s="46" t="s">
        <v>731</v>
      </c>
      <c r="K114" t="s">
        <v>1614</v>
      </c>
      <c r="L114" t="s">
        <v>2078</v>
      </c>
      <c r="M114">
        <v>102</v>
      </c>
      <c r="N114">
        <v>64</v>
      </c>
      <c r="O114">
        <v>235</v>
      </c>
      <c r="R114" t="s">
        <v>2086</v>
      </c>
      <c r="S114" t="s">
        <v>2063</v>
      </c>
      <c r="T114">
        <v>6.8</v>
      </c>
      <c r="U114" t="s">
        <v>2087</v>
      </c>
    </row>
    <row r="115" spans="1:21" x14ac:dyDescent="0.25">
      <c r="A115" s="11" t="str">
        <f>PROPER(K115)</f>
        <v>Rrd</v>
      </c>
      <c r="B115" s="11" t="str">
        <f>TRIM(PROPER(LEFT(L115,IFERROR(FIND(" ",L115),99))&amp;MID(L115,IFERROR(FIND(" ",L115),99),99)))</f>
        <v>Firewave Wood</v>
      </c>
      <c r="C115" s="11">
        <f>TRUNC(O115)</f>
        <v>235</v>
      </c>
      <c r="D115" s="11">
        <f>TRUNC(N115)</f>
        <v>64</v>
      </c>
      <c r="E115" s="11">
        <f>M115</f>
        <v>102</v>
      </c>
      <c r="F115" s="38" t="str">
        <f>I115</f>
        <v>2014</v>
      </c>
      <c r="G115" s="11" t="str" cm="1">
        <f t="array" ref="G115">gssBoardClass(A115,B115,C115,D115,E115,F115)</f>
        <v>Wave / Freestyle</v>
      </c>
      <c r="H115" s="39" t="str">
        <f>_xlfn.CONCAT(I115,"-",LEFT(K115,2),"-",LEFT(L115,3),"-",M115,"-",TRUNC(N115),"-",TRUNC(O115))</f>
        <v>2014-RR-FIR-102-64-235</v>
      </c>
      <c r="I115" s="42" t="str">
        <f>LEFT(J115,4)</f>
        <v>2014</v>
      </c>
      <c r="J115" s="46" t="s">
        <v>731</v>
      </c>
      <c r="K115" t="s">
        <v>1614</v>
      </c>
      <c r="L115" t="s">
        <v>2091</v>
      </c>
      <c r="M115">
        <v>102</v>
      </c>
      <c r="N115">
        <v>64</v>
      </c>
      <c r="O115">
        <v>235</v>
      </c>
      <c r="R115" t="s">
        <v>2086</v>
      </c>
      <c r="S115" t="s">
        <v>2063</v>
      </c>
      <c r="T115">
        <v>6.8</v>
      </c>
      <c r="U115" t="s">
        <v>2095</v>
      </c>
    </row>
    <row r="116" spans="1:21" x14ac:dyDescent="0.25">
      <c r="A116" s="11" t="str">
        <f>PROPER(K116)</f>
        <v>Rrd</v>
      </c>
      <c r="B116" s="11" t="str">
        <f>TRIM(PROPER(LEFT(L116,IFERROR(FIND(" ",L116),99))&amp;MID(L116,IFERROR(FIND(" ",L116),99),99)))</f>
        <v>Firemove Ltd V2</v>
      </c>
      <c r="C116" s="11">
        <f>TRUNC(O116)</f>
        <v>238</v>
      </c>
      <c r="D116" s="11">
        <f>TRUNC(N116)</f>
        <v>68</v>
      </c>
      <c r="E116" s="11">
        <f>M116</f>
        <v>102</v>
      </c>
      <c r="F116" s="38" t="str">
        <f>I116</f>
        <v>2014</v>
      </c>
      <c r="G116" s="11" t="str" cm="1">
        <f t="array" ref="G116">gssBoardClass(A116,B116,C116,D116,E116,F116)</f>
        <v>Slalom Medium</v>
      </c>
      <c r="H116" s="39" t="str">
        <f>_xlfn.CONCAT(I116,"-",LEFT(K116,2),"-",LEFT(L116,3),"-",M116,"-",TRUNC(N116),"-",TRUNC(O116))</f>
        <v>2014-RR-FIR-102-68-238</v>
      </c>
      <c r="I116" s="42" t="str">
        <f>LEFT(J116,4)</f>
        <v>2014</v>
      </c>
      <c r="J116" s="46" t="s">
        <v>731</v>
      </c>
      <c r="K116" t="s">
        <v>1614</v>
      </c>
      <c r="L116" t="s">
        <v>2162</v>
      </c>
      <c r="M116">
        <v>102</v>
      </c>
      <c r="N116">
        <v>68</v>
      </c>
      <c r="O116">
        <v>238</v>
      </c>
      <c r="R116" t="s">
        <v>2163</v>
      </c>
      <c r="S116" t="s">
        <v>2143</v>
      </c>
      <c r="T116">
        <v>7.2</v>
      </c>
      <c r="U116" t="s">
        <v>2164</v>
      </c>
    </row>
    <row r="117" spans="1:21" x14ac:dyDescent="0.25">
      <c r="A117" s="11" t="str">
        <f>PROPER(K117)</f>
        <v>Rrd</v>
      </c>
      <c r="B117" s="11" t="str">
        <f>TRIM(PROPER(LEFT(L117,IFERROR(FIND(" ",L117),99))&amp;MID(L117,IFERROR(FIND(" ",L117),99),99)))</f>
        <v>Firemove Wood V2</v>
      </c>
      <c r="C117" s="11">
        <f>TRUNC(O117)</f>
        <v>238</v>
      </c>
      <c r="D117" s="11">
        <f>TRUNC(N117)</f>
        <v>68</v>
      </c>
      <c r="E117" s="11">
        <f>M117</f>
        <v>102</v>
      </c>
      <c r="F117" s="38" t="str">
        <f>I117</f>
        <v>2014</v>
      </c>
      <c r="G117" s="11" t="str" cm="1">
        <f t="array" ref="G117">gssBoardClass(A117,B117,C117,D117,E117,F117)</f>
        <v>Slalom Medium</v>
      </c>
      <c r="H117" s="39" t="str">
        <f>_xlfn.CONCAT(I117,"-",LEFT(K117,2),"-",LEFT(L117,3),"-",M117,"-",TRUNC(N117),"-",TRUNC(O117))</f>
        <v>2014-RR-FIR-102-68-238</v>
      </c>
      <c r="I117" s="42" t="str">
        <f>LEFT(J117,4)</f>
        <v>2014</v>
      </c>
      <c r="J117" s="46" t="s">
        <v>731</v>
      </c>
      <c r="K117" t="s">
        <v>1614</v>
      </c>
      <c r="L117" t="s">
        <v>2177</v>
      </c>
      <c r="M117">
        <v>102</v>
      </c>
      <c r="N117">
        <v>68</v>
      </c>
      <c r="O117">
        <v>238</v>
      </c>
      <c r="R117" t="s">
        <v>2163</v>
      </c>
      <c r="S117" t="s">
        <v>2143</v>
      </c>
      <c r="T117">
        <v>7.8</v>
      </c>
      <c r="U117" t="s">
        <v>2178</v>
      </c>
    </row>
    <row r="118" spans="1:21" x14ac:dyDescent="0.25">
      <c r="A118" s="11" t="str">
        <f>PROPER(K118)</f>
        <v>Rrd</v>
      </c>
      <c r="B118" s="11" t="str">
        <f>TRIM(PROPER(LEFT(L118,IFERROR(FIND(" ",L118),99))&amp;MID(L118,IFERROR(FIND(" ",L118),99),99)))</f>
        <v>Firemove E-Tech V2</v>
      </c>
      <c r="C118" s="11">
        <f>TRUNC(O118)</f>
        <v>238</v>
      </c>
      <c r="D118" s="11">
        <f>TRUNC(N118)</f>
        <v>68</v>
      </c>
      <c r="E118" s="11">
        <f>M118</f>
        <v>102</v>
      </c>
      <c r="F118" s="38" t="str">
        <f>I118</f>
        <v>2014</v>
      </c>
      <c r="G118" s="11" t="str" cm="1">
        <f t="array" ref="G118">gssBoardClass(A118,B118,C118,D118,E118,F118)</f>
        <v>Slalom Medium</v>
      </c>
      <c r="H118" s="39" t="str">
        <f>_xlfn.CONCAT(I118,"-",LEFT(K118,2),"-",LEFT(L118,3),"-",M118,"-",TRUNC(N118),"-",TRUNC(O118))</f>
        <v>2014-RR-FIR-102-68-238</v>
      </c>
      <c r="I118" s="42" t="str">
        <f>LEFT(J118,4)</f>
        <v>2014</v>
      </c>
      <c r="J118" s="46" t="s">
        <v>731</v>
      </c>
      <c r="K118" t="s">
        <v>1614</v>
      </c>
      <c r="L118" t="s">
        <v>2183</v>
      </c>
      <c r="M118">
        <v>102</v>
      </c>
      <c r="N118">
        <v>68</v>
      </c>
      <c r="O118">
        <v>238</v>
      </c>
      <c r="R118" t="s">
        <v>2184</v>
      </c>
      <c r="S118" t="s">
        <v>2143</v>
      </c>
      <c r="T118">
        <v>8.4</v>
      </c>
      <c r="U118" t="s">
        <v>2185</v>
      </c>
    </row>
    <row r="119" spans="1:21" x14ac:dyDescent="0.25">
      <c r="A119" s="11" t="str">
        <f>PROPER(K119)</f>
        <v>Rrd</v>
      </c>
      <c r="B119" s="11" t="str">
        <f>TRIM(PROPER(LEFT(L119,IFERROR(FIND(" ",L119),99))&amp;MID(L119,IFERROR(FIND(" ",L119),99),99)))</f>
        <v>Firestorm Ltd V2</v>
      </c>
      <c r="C119" s="11">
        <f>TRUNC(O119)</f>
        <v>236</v>
      </c>
      <c r="D119" s="11">
        <f>TRUNC(N119)</f>
        <v>68</v>
      </c>
      <c r="E119" s="11">
        <f>M119</f>
        <v>111</v>
      </c>
      <c r="F119" s="38" t="str">
        <f>I119</f>
        <v>2014</v>
      </c>
      <c r="G119" s="11" t="str" cm="1">
        <f t="array" ref="G119">gssBoardClass(A119,B119,C119,D119,E119,F119)</f>
        <v>Slalom Medium</v>
      </c>
      <c r="H119" s="39" t="str">
        <f>_xlfn.CONCAT(I119,"-",LEFT(K119,2),"-",LEFT(L119,3),"-",M119,"-",TRUNC(N119),"-",TRUNC(O119))</f>
        <v>2014-RR-FIR-111-68-236</v>
      </c>
      <c r="I119" s="42" t="str">
        <f>LEFT(J119,4)</f>
        <v>2014</v>
      </c>
      <c r="J119" s="46" t="s">
        <v>731</v>
      </c>
      <c r="K119" t="s">
        <v>1614</v>
      </c>
      <c r="L119" t="s">
        <v>2141</v>
      </c>
      <c r="M119">
        <v>111</v>
      </c>
      <c r="N119">
        <v>68</v>
      </c>
      <c r="O119">
        <v>236</v>
      </c>
      <c r="R119" t="s">
        <v>2145</v>
      </c>
      <c r="S119" t="s">
        <v>2130</v>
      </c>
      <c r="T119">
        <v>6.6</v>
      </c>
      <c r="U119" t="s">
        <v>2146</v>
      </c>
    </row>
    <row r="120" spans="1:21" x14ac:dyDescent="0.25">
      <c r="A120" s="11" t="str">
        <f>PROPER(K120)</f>
        <v>Rrd</v>
      </c>
      <c r="B120" s="11" t="str">
        <f>TRIM(PROPER(LEFT(L120,IFERROR(FIND(" ",L120),99))&amp;MID(L120,IFERROR(FIND(" ",L120),99),99)))</f>
        <v>Firestorm Wood V2</v>
      </c>
      <c r="C120" s="11">
        <f>TRUNC(O120)</f>
        <v>236</v>
      </c>
      <c r="D120" s="11">
        <f>TRUNC(N120)</f>
        <v>68</v>
      </c>
      <c r="E120" s="11">
        <f>M120</f>
        <v>111</v>
      </c>
      <c r="F120" s="38" t="str">
        <f>I120</f>
        <v>2014</v>
      </c>
      <c r="G120" s="11" t="str" cm="1">
        <f t="array" ref="G120">gssBoardClass(A120,B120,C120,D120,E120,F120)</f>
        <v>Slalom Medium</v>
      </c>
      <c r="H120" s="39" t="str">
        <f>_xlfn.CONCAT(I120,"-",LEFT(K120,2),"-",LEFT(L120,3),"-",M120,"-",TRUNC(N120),"-",TRUNC(O120))</f>
        <v>2014-RR-FIR-111-68-236</v>
      </c>
      <c r="I120" s="42" t="str">
        <f>LEFT(J120,4)</f>
        <v>2014</v>
      </c>
      <c r="J120" s="46" t="s">
        <v>731</v>
      </c>
      <c r="K120" t="s">
        <v>1614</v>
      </c>
      <c r="L120" t="s">
        <v>2156</v>
      </c>
      <c r="M120">
        <v>111</v>
      </c>
      <c r="N120">
        <v>68</v>
      </c>
      <c r="O120">
        <v>236</v>
      </c>
      <c r="R120" t="s">
        <v>2145</v>
      </c>
      <c r="S120" t="s">
        <v>2130</v>
      </c>
      <c r="T120">
        <v>6.9</v>
      </c>
      <c r="U120" t="s">
        <v>2158</v>
      </c>
    </row>
    <row r="121" spans="1:21" x14ac:dyDescent="0.25">
      <c r="A121" s="11" t="str">
        <f>PROPER(K121)</f>
        <v>Rrd</v>
      </c>
      <c r="B121" s="11" t="str">
        <f>TRIM(PROPER(LEFT(L121,IFERROR(FIND(" ",L121),99))&amp;MID(L121,IFERROR(FIND(" ",L121),99),99)))</f>
        <v>Firewave Ltd</v>
      </c>
      <c r="C121" s="11">
        <f>TRUNC(O121)</f>
        <v>235</v>
      </c>
      <c r="D121" s="11">
        <f>TRUNC(N121)</f>
        <v>66</v>
      </c>
      <c r="E121" s="11">
        <f>M121</f>
        <v>112</v>
      </c>
      <c r="F121" s="38" t="str">
        <f>I121</f>
        <v>2014</v>
      </c>
      <c r="G121" s="11" t="str" cm="1">
        <f t="array" ref="G121">gssBoardClass(A121,B121,C121,D121,E121,F121)</f>
        <v>Wave / Freestyle</v>
      </c>
      <c r="H121" s="39" t="str">
        <f>_xlfn.CONCAT(I121,"-",LEFT(K121,2),"-",LEFT(L121,3),"-",M121,"-",TRUNC(N121),"-",TRUNC(O121))</f>
        <v>2014-RR-FIR-112-66-235</v>
      </c>
      <c r="I121" s="42" t="str">
        <f>LEFT(J121,4)</f>
        <v>2014</v>
      </c>
      <c r="J121" s="46" t="s">
        <v>731</v>
      </c>
      <c r="K121" t="s">
        <v>1614</v>
      </c>
      <c r="L121" t="s">
        <v>2078</v>
      </c>
      <c r="M121">
        <v>112</v>
      </c>
      <c r="N121">
        <v>66</v>
      </c>
      <c r="O121">
        <v>235</v>
      </c>
      <c r="R121" t="s">
        <v>2088</v>
      </c>
      <c r="S121" t="s">
        <v>2089</v>
      </c>
      <c r="T121">
        <v>7.2</v>
      </c>
      <c r="U121" t="s">
        <v>2090</v>
      </c>
    </row>
    <row r="122" spans="1:21" x14ac:dyDescent="0.25">
      <c r="A122" s="11" t="str">
        <f>PROPER(K122)</f>
        <v>Rrd</v>
      </c>
      <c r="B122" s="11" t="str">
        <f>TRIM(PROPER(LEFT(L122,IFERROR(FIND(" ",L122),99))&amp;MID(L122,IFERROR(FIND(" ",L122),99),99)))</f>
        <v>Firewave Wood</v>
      </c>
      <c r="C122" s="11">
        <f>TRUNC(O122)</f>
        <v>235</v>
      </c>
      <c r="D122" s="11">
        <f>TRUNC(N122)</f>
        <v>66</v>
      </c>
      <c r="E122" s="11">
        <f>M122</f>
        <v>112</v>
      </c>
      <c r="F122" s="38" t="str">
        <f>I122</f>
        <v>2014</v>
      </c>
      <c r="G122" s="11" t="str" cm="1">
        <f t="array" ref="G122">gssBoardClass(A122,B122,C122,D122,E122,F122)</f>
        <v>Wave / Freestyle</v>
      </c>
      <c r="H122" s="39" t="str">
        <f>_xlfn.CONCAT(I122,"-",LEFT(K122,2),"-",LEFT(L122,3),"-",M122,"-",TRUNC(N122),"-",TRUNC(O122))</f>
        <v>2014-RR-FIR-112-66-235</v>
      </c>
      <c r="I122" s="42" t="str">
        <f>LEFT(J122,4)</f>
        <v>2014</v>
      </c>
      <c r="J122" s="46" t="s">
        <v>731</v>
      </c>
      <c r="K122" t="s">
        <v>1614</v>
      </c>
      <c r="L122" t="s">
        <v>2091</v>
      </c>
      <c r="M122">
        <v>112</v>
      </c>
      <c r="N122">
        <v>66</v>
      </c>
      <c r="O122">
        <v>235</v>
      </c>
      <c r="R122" t="s">
        <v>2088</v>
      </c>
      <c r="S122" t="s">
        <v>2089</v>
      </c>
      <c r="T122">
        <v>7.2</v>
      </c>
      <c r="U122" t="s">
        <v>2096</v>
      </c>
    </row>
    <row r="123" spans="1:21" x14ac:dyDescent="0.25">
      <c r="A123" s="11" t="str">
        <f>PROPER(K123)</f>
        <v>Rrd</v>
      </c>
      <c r="B123" s="11" t="str">
        <f>TRIM(PROPER(LEFT(L123,IFERROR(FIND(" ",L123),99))&amp;MID(L123,IFERROR(FIND(" ",L123),99),99)))</f>
        <v>Firemove Ltd V2</v>
      </c>
      <c r="C123" s="11">
        <f>TRUNC(O123)</f>
        <v>238</v>
      </c>
      <c r="D123" s="11">
        <f>TRUNC(N123)</f>
        <v>74</v>
      </c>
      <c r="E123" s="11">
        <f>M123</f>
        <v>112</v>
      </c>
      <c r="F123" s="38" t="str">
        <f>I123</f>
        <v>2014</v>
      </c>
      <c r="G123" s="11" t="str" cm="1">
        <f t="array" ref="G123">gssBoardClass(A123,B123,C123,D123,E123,F123)</f>
        <v>Slalom Medium</v>
      </c>
      <c r="H123" s="39" t="str">
        <f>_xlfn.CONCAT(I123,"-",LEFT(K123,2),"-",LEFT(L123,3),"-",M123,"-",TRUNC(N123),"-",TRUNC(O123))</f>
        <v>2014-RR-FIR-112-74-238</v>
      </c>
      <c r="I123" s="42" t="str">
        <f>LEFT(J123,4)</f>
        <v>2014</v>
      </c>
      <c r="J123" s="46" t="s">
        <v>731</v>
      </c>
      <c r="K123" t="s">
        <v>1614</v>
      </c>
      <c r="L123" t="s">
        <v>2162</v>
      </c>
      <c r="M123">
        <v>112</v>
      </c>
      <c r="N123">
        <v>74</v>
      </c>
      <c r="O123">
        <v>238</v>
      </c>
      <c r="R123" t="s">
        <v>2165</v>
      </c>
      <c r="S123" t="s">
        <v>2166</v>
      </c>
      <c r="T123">
        <v>7.5</v>
      </c>
      <c r="U123" t="s">
        <v>2167</v>
      </c>
    </row>
    <row r="124" spans="1:21" x14ac:dyDescent="0.25">
      <c r="A124" s="11" t="str">
        <f>PROPER(K124)</f>
        <v>Rrd</v>
      </c>
      <c r="B124" s="11" t="str">
        <f>TRIM(PROPER(LEFT(L124,IFERROR(FIND(" ",L124),99))&amp;MID(L124,IFERROR(FIND(" ",L124),99),99)))</f>
        <v>Firemove Wood V2</v>
      </c>
      <c r="C124" s="11">
        <f>TRUNC(O124)</f>
        <v>238</v>
      </c>
      <c r="D124" s="11">
        <f>TRUNC(N124)</f>
        <v>74</v>
      </c>
      <c r="E124" s="11">
        <f>M124</f>
        <v>112</v>
      </c>
      <c r="F124" s="38" t="str">
        <f>I124</f>
        <v>2014</v>
      </c>
      <c r="G124" s="11" t="str" cm="1">
        <f t="array" ref="G124">gssBoardClass(A124,B124,C124,D124,E124,F124)</f>
        <v>Slalom Medium</v>
      </c>
      <c r="H124" s="39" t="str">
        <f>_xlfn.CONCAT(I124,"-",LEFT(K124,2),"-",LEFT(L124,3),"-",M124,"-",TRUNC(N124),"-",TRUNC(O124))</f>
        <v>2014-RR-FIR-112-74-238</v>
      </c>
      <c r="I124" s="42" t="str">
        <f>LEFT(J124,4)</f>
        <v>2014</v>
      </c>
      <c r="J124" s="46" t="s">
        <v>731</v>
      </c>
      <c r="K124" t="s">
        <v>1614</v>
      </c>
      <c r="L124" t="s">
        <v>2177</v>
      </c>
      <c r="M124">
        <v>112</v>
      </c>
      <c r="N124">
        <v>74</v>
      </c>
      <c r="O124">
        <v>238</v>
      </c>
      <c r="R124" t="s">
        <v>2165</v>
      </c>
      <c r="S124" t="s">
        <v>2166</v>
      </c>
      <c r="T124">
        <v>8.3000000000000007</v>
      </c>
      <c r="U124" t="s">
        <v>2179</v>
      </c>
    </row>
    <row r="125" spans="1:21" x14ac:dyDescent="0.25">
      <c r="A125" s="11" t="str">
        <f>PROPER(K125)</f>
        <v>Rrd</v>
      </c>
      <c r="B125" s="11" t="str">
        <f>TRIM(PROPER(LEFT(L125,IFERROR(FIND(" ",L125),99))&amp;MID(L125,IFERROR(FIND(" ",L125),99),99)))</f>
        <v>Firemove E-Tech V2</v>
      </c>
      <c r="C125" s="11">
        <f>TRUNC(O125)</f>
        <v>238</v>
      </c>
      <c r="D125" s="11">
        <f>TRUNC(N125)</f>
        <v>74</v>
      </c>
      <c r="E125" s="11">
        <f>M125</f>
        <v>112</v>
      </c>
      <c r="F125" s="38" t="str">
        <f>I125</f>
        <v>2014</v>
      </c>
      <c r="G125" s="11" t="str" cm="1">
        <f t="array" ref="G125">gssBoardClass(A125,B125,C125,D125,E125,F125)</f>
        <v>Slalom Medium</v>
      </c>
      <c r="H125" s="39" t="str">
        <f>_xlfn.CONCAT(I125,"-",LEFT(K125,2),"-",LEFT(L125,3),"-",M125,"-",TRUNC(N125),"-",TRUNC(O125))</f>
        <v>2014-RR-FIR-112-74-238</v>
      </c>
      <c r="I125" s="42" t="str">
        <f>LEFT(J125,4)</f>
        <v>2014</v>
      </c>
      <c r="J125" s="46" t="s">
        <v>731</v>
      </c>
      <c r="K125" t="s">
        <v>1614</v>
      </c>
      <c r="L125" t="s">
        <v>2183</v>
      </c>
      <c r="M125">
        <v>112</v>
      </c>
      <c r="N125">
        <v>74</v>
      </c>
      <c r="O125">
        <v>238</v>
      </c>
      <c r="R125" t="s">
        <v>2184</v>
      </c>
      <c r="S125" t="s">
        <v>2166</v>
      </c>
      <c r="T125">
        <v>8.8000000000000007</v>
      </c>
      <c r="U125" t="s">
        <v>2186</v>
      </c>
    </row>
    <row r="126" spans="1:21" x14ac:dyDescent="0.25">
      <c r="A126" s="11" t="str">
        <f>PROPER(K126)</f>
        <v>Rrd</v>
      </c>
      <c r="B126" s="11" t="str">
        <f>TRIM(PROPER(LEFT(L126,IFERROR(FIND(" ",L126),99))&amp;MID(L126,IFERROR(FIND(" ",L126),99),99)))</f>
        <v>Firestorm Ltd V2</v>
      </c>
      <c r="C126" s="11">
        <f>TRUNC(O126)</f>
        <v>238</v>
      </c>
      <c r="D126" s="11">
        <f>TRUNC(N126)</f>
        <v>72</v>
      </c>
      <c r="E126" s="11">
        <f>M126</f>
        <v>120</v>
      </c>
      <c r="F126" s="38" t="str">
        <f>I126</f>
        <v>2014</v>
      </c>
      <c r="G126" s="11" t="str" cm="1">
        <f t="array" ref="G126">gssBoardClass(A126,B126,C126,D126,E126,F126)</f>
        <v>Slalom Medium</v>
      </c>
      <c r="H126" s="39" t="str">
        <f>_xlfn.CONCAT(I126,"-",LEFT(K126,2),"-",LEFT(L126,3),"-",M126,"-",TRUNC(N126),"-",TRUNC(O126))</f>
        <v>2014-RR-FIR-120-72-238</v>
      </c>
      <c r="I126" s="42" t="str">
        <f>LEFT(J126,4)</f>
        <v>2014</v>
      </c>
      <c r="J126" s="46" t="s">
        <v>731</v>
      </c>
      <c r="K126" t="s">
        <v>1614</v>
      </c>
      <c r="L126" t="s">
        <v>2141</v>
      </c>
      <c r="M126">
        <v>120</v>
      </c>
      <c r="N126">
        <v>72</v>
      </c>
      <c r="O126">
        <v>238</v>
      </c>
      <c r="R126" t="s">
        <v>2147</v>
      </c>
      <c r="S126" t="s">
        <v>2148</v>
      </c>
      <c r="T126">
        <v>6.9</v>
      </c>
      <c r="U126" t="s">
        <v>2149</v>
      </c>
    </row>
    <row r="127" spans="1:21" x14ac:dyDescent="0.25">
      <c r="A127" s="11" t="str">
        <f>PROPER(K127)</f>
        <v>Rrd</v>
      </c>
      <c r="B127" s="11" t="str">
        <f>TRIM(PROPER(LEFT(L127,IFERROR(FIND(" ",L127),99))&amp;MID(L127,IFERROR(FIND(" ",L127),99),99)))</f>
        <v>Firestorm Wood V2</v>
      </c>
      <c r="C127" s="11">
        <f>TRUNC(O127)</f>
        <v>238</v>
      </c>
      <c r="D127" s="11">
        <f>TRUNC(N127)</f>
        <v>72</v>
      </c>
      <c r="E127" s="11">
        <f>M127</f>
        <v>120</v>
      </c>
      <c r="F127" s="38" t="str">
        <f>I127</f>
        <v>2014</v>
      </c>
      <c r="G127" s="11" t="str" cm="1">
        <f t="array" ref="G127">gssBoardClass(A127,B127,C127,D127,E127,F127)</f>
        <v>Slalom Medium</v>
      </c>
      <c r="H127" s="39" t="str">
        <f>_xlfn.CONCAT(I127,"-",LEFT(K127,2),"-",LEFT(L127,3),"-",M127,"-",TRUNC(N127),"-",TRUNC(O127))</f>
        <v>2014-RR-FIR-120-72-238</v>
      </c>
      <c r="I127" s="42" t="str">
        <f>LEFT(J127,4)</f>
        <v>2014</v>
      </c>
      <c r="J127" s="46" t="s">
        <v>731</v>
      </c>
      <c r="K127" t="s">
        <v>1614</v>
      </c>
      <c r="L127" t="s">
        <v>2156</v>
      </c>
      <c r="M127">
        <v>120</v>
      </c>
      <c r="N127">
        <v>72</v>
      </c>
      <c r="O127">
        <v>238</v>
      </c>
      <c r="R127" t="s">
        <v>2147</v>
      </c>
      <c r="S127" t="s">
        <v>2148</v>
      </c>
      <c r="T127">
        <v>7.2</v>
      </c>
      <c r="U127" t="s">
        <v>2159</v>
      </c>
    </row>
    <row r="128" spans="1:21" x14ac:dyDescent="0.25">
      <c r="A128" s="11" t="str">
        <f>PROPER(K128)</f>
        <v>Rrd</v>
      </c>
      <c r="B128" s="11" t="str">
        <f>TRIM(PROPER(LEFT(L128,IFERROR(FIND(" ",L128),99))&amp;MID(L128,IFERROR(FIND(" ",L128),99),99)))</f>
        <v>Firemove Ltd V2</v>
      </c>
      <c r="C128" s="11">
        <f>TRUNC(O128)</f>
        <v>238</v>
      </c>
      <c r="D128" s="11">
        <f>TRUNC(N128)</f>
        <v>79</v>
      </c>
      <c r="E128" s="11">
        <f>M128</f>
        <v>122</v>
      </c>
      <c r="F128" s="38" t="str">
        <f>I128</f>
        <v>2014</v>
      </c>
      <c r="G128" s="11" t="str" cm="1">
        <f t="array" ref="G128">gssBoardClass(A128,B128,C128,D128,E128,F128)</f>
        <v>Slalom Large</v>
      </c>
      <c r="H128" s="39" t="str">
        <f>_xlfn.CONCAT(I128,"-",LEFT(K128,2),"-",LEFT(L128,3),"-",M128,"-",TRUNC(N128),"-",TRUNC(O128))</f>
        <v>2014-RR-FIR-122-79-238</v>
      </c>
      <c r="I128" s="42" t="str">
        <f>LEFT(J128,4)</f>
        <v>2014</v>
      </c>
      <c r="J128" s="46" t="s">
        <v>731</v>
      </c>
      <c r="K128" t="s">
        <v>1614</v>
      </c>
      <c r="L128" t="s">
        <v>2162</v>
      </c>
      <c r="M128">
        <v>122</v>
      </c>
      <c r="N128">
        <v>79</v>
      </c>
      <c r="O128">
        <v>238</v>
      </c>
      <c r="R128" t="s">
        <v>2168</v>
      </c>
      <c r="S128" t="s">
        <v>2169</v>
      </c>
      <c r="T128">
        <v>7.9</v>
      </c>
      <c r="U128" t="s">
        <v>2170</v>
      </c>
    </row>
    <row r="129" spans="1:21" x14ac:dyDescent="0.25">
      <c r="A129" s="11" t="str">
        <f>PROPER(K129)</f>
        <v>Rrd</v>
      </c>
      <c r="B129" s="11" t="str">
        <f>TRIM(PROPER(LEFT(L129,IFERROR(FIND(" ",L129),99))&amp;MID(L129,IFERROR(FIND(" ",L129),99),99)))</f>
        <v>Firemove Wood V2</v>
      </c>
      <c r="C129" s="11">
        <f>TRUNC(O129)</f>
        <v>238</v>
      </c>
      <c r="D129" s="11">
        <f>TRUNC(N129)</f>
        <v>79</v>
      </c>
      <c r="E129" s="11">
        <f>M129</f>
        <v>122</v>
      </c>
      <c r="F129" s="38" t="str">
        <f>I129</f>
        <v>2014</v>
      </c>
      <c r="G129" s="11" t="str" cm="1">
        <f t="array" ref="G129">gssBoardClass(A129,B129,C129,D129,E129,F129)</f>
        <v>Slalom Large</v>
      </c>
      <c r="H129" s="39" t="str">
        <f>_xlfn.CONCAT(I129,"-",LEFT(K129,2),"-",LEFT(L129,3),"-",M129,"-",TRUNC(N129),"-",TRUNC(O129))</f>
        <v>2014-RR-FIR-122-79-238</v>
      </c>
      <c r="I129" s="42" t="str">
        <f>LEFT(J129,4)</f>
        <v>2014</v>
      </c>
      <c r="J129" s="46" t="s">
        <v>731</v>
      </c>
      <c r="K129" t="s">
        <v>1614</v>
      </c>
      <c r="L129" t="s">
        <v>2177</v>
      </c>
      <c r="M129">
        <v>122</v>
      </c>
      <c r="N129">
        <v>79</v>
      </c>
      <c r="O129">
        <v>238</v>
      </c>
      <c r="R129" t="s">
        <v>2168</v>
      </c>
      <c r="S129" t="s">
        <v>2169</v>
      </c>
      <c r="T129">
        <v>8.6</v>
      </c>
      <c r="U129" t="s">
        <v>2180</v>
      </c>
    </row>
    <row r="130" spans="1:21" x14ac:dyDescent="0.25">
      <c r="A130" s="11" t="str">
        <f>PROPER(K130)</f>
        <v>Rrd</v>
      </c>
      <c r="B130" s="11" t="str">
        <f>TRIM(PROPER(LEFT(L130,IFERROR(FIND(" ",L130),99))&amp;MID(L130,IFERROR(FIND(" ",L130),99),99)))</f>
        <v>Firemove E-Tech V2</v>
      </c>
      <c r="C130" s="11">
        <f>TRUNC(O130)</f>
        <v>238</v>
      </c>
      <c r="D130" s="11">
        <f>TRUNC(N130)</f>
        <v>79</v>
      </c>
      <c r="E130" s="11">
        <f>M130</f>
        <v>122</v>
      </c>
      <c r="F130" s="38" t="str">
        <f>I130</f>
        <v>2014</v>
      </c>
      <c r="G130" s="11" t="str" cm="1">
        <f t="array" ref="G130">gssBoardClass(A130,B130,C130,D130,E130,F130)</f>
        <v>Slalom Large</v>
      </c>
      <c r="H130" s="39" t="str">
        <f>_xlfn.CONCAT(I130,"-",LEFT(K130,2),"-",LEFT(L130,3),"-",M130,"-",TRUNC(N130),"-",TRUNC(O130))</f>
        <v>2014-RR-FIR-122-79-238</v>
      </c>
      <c r="I130" s="42" t="str">
        <f>LEFT(J130,4)</f>
        <v>2014</v>
      </c>
      <c r="J130" s="46" t="s">
        <v>731</v>
      </c>
      <c r="K130" t="s">
        <v>1614</v>
      </c>
      <c r="L130" t="s">
        <v>2183</v>
      </c>
      <c r="M130">
        <v>122</v>
      </c>
      <c r="N130">
        <v>79</v>
      </c>
      <c r="O130">
        <v>238</v>
      </c>
      <c r="R130" t="s">
        <v>2187</v>
      </c>
      <c r="S130" t="s">
        <v>2169</v>
      </c>
      <c r="T130">
        <v>9.1999999999999993</v>
      </c>
      <c r="U130" t="s">
        <v>2188</v>
      </c>
    </row>
    <row r="131" spans="1:21" x14ac:dyDescent="0.25">
      <c r="A131" s="11" t="str">
        <f>PROPER(K131)</f>
        <v>Rrd</v>
      </c>
      <c r="B131" s="11" t="str">
        <f>TRIM(PROPER(LEFT(L131,IFERROR(FIND(" ",L131),99))&amp;MID(L131,IFERROR(FIND(" ",L131),99),99)))</f>
        <v>Firestorm Wood V2</v>
      </c>
      <c r="C131" s="11">
        <f>TRUNC(O131)</f>
        <v>239</v>
      </c>
      <c r="D131" s="11">
        <f>TRUNC(N131)</f>
        <v>75</v>
      </c>
      <c r="E131" s="11">
        <f>M131</f>
        <v>129</v>
      </c>
      <c r="F131" s="38" t="str">
        <f>I131</f>
        <v>2014</v>
      </c>
      <c r="G131" s="11" t="str" cm="1">
        <f t="array" ref="G131">gssBoardClass(A131,B131,C131,D131,E131,F131)</f>
        <v>Slalom Large</v>
      </c>
      <c r="H131" s="39" t="str">
        <f>_xlfn.CONCAT(I131,"-",LEFT(K131,2),"-",LEFT(L131,3),"-",M131,"-",TRUNC(N131),"-",TRUNC(O131))</f>
        <v>2014-RR-FIR-129-75-239</v>
      </c>
      <c r="I131" s="42" t="str">
        <f>LEFT(J131,4)</f>
        <v>2014</v>
      </c>
      <c r="J131" s="46" t="s">
        <v>731</v>
      </c>
      <c r="K131" t="s">
        <v>1614</v>
      </c>
      <c r="L131" t="s">
        <v>2156</v>
      </c>
      <c r="M131">
        <v>129</v>
      </c>
      <c r="N131">
        <v>75</v>
      </c>
      <c r="O131">
        <v>239</v>
      </c>
      <c r="R131" t="s">
        <v>2150</v>
      </c>
      <c r="S131" t="s">
        <v>2151</v>
      </c>
      <c r="T131">
        <v>7.3</v>
      </c>
      <c r="U131" t="s">
        <v>2160</v>
      </c>
    </row>
    <row r="132" spans="1:21" x14ac:dyDescent="0.25">
      <c r="A132" s="11" t="str">
        <f>PROPER(K132)</f>
        <v>Rrd</v>
      </c>
      <c r="B132" s="11" t="str">
        <f>TRIM(PROPER(LEFT(L132,IFERROR(FIND(" ",L132),99))&amp;MID(L132,IFERROR(FIND(" ",L132),99),99)))</f>
        <v>Firestorm Ltd V2</v>
      </c>
      <c r="C132" s="11">
        <f>TRUNC(O132)</f>
        <v>240</v>
      </c>
      <c r="D132" s="11">
        <f>TRUNC(N132)</f>
        <v>75</v>
      </c>
      <c r="E132" s="11">
        <f>M132</f>
        <v>129</v>
      </c>
      <c r="F132" s="38" t="str">
        <f>I132</f>
        <v>2014</v>
      </c>
      <c r="G132" s="11" t="str" cm="1">
        <f t="array" ref="G132">gssBoardClass(A132,B132,C132,D132,E132,F132)</f>
        <v>Slalom Large</v>
      </c>
      <c r="H132" s="39" t="str">
        <f>_xlfn.CONCAT(I132,"-",LEFT(K132,2),"-",LEFT(L132,3),"-",M132,"-",TRUNC(N132),"-",TRUNC(O132))</f>
        <v>2014-RR-FIR-129-75-240</v>
      </c>
      <c r="I132" s="42" t="str">
        <f>LEFT(J132,4)</f>
        <v>2014</v>
      </c>
      <c r="J132" s="46" t="s">
        <v>731</v>
      </c>
      <c r="K132" t="s">
        <v>1614</v>
      </c>
      <c r="L132" t="s">
        <v>2141</v>
      </c>
      <c r="M132">
        <v>129</v>
      </c>
      <c r="N132">
        <v>75</v>
      </c>
      <c r="O132">
        <v>240</v>
      </c>
      <c r="R132" t="s">
        <v>2150</v>
      </c>
      <c r="S132" t="s">
        <v>2151</v>
      </c>
      <c r="T132">
        <v>7.15</v>
      </c>
      <c r="U132" t="s">
        <v>2152</v>
      </c>
    </row>
    <row r="133" spans="1:21" x14ac:dyDescent="0.25">
      <c r="A133" s="11" t="str">
        <f>PROPER(K133)</f>
        <v>Rrd</v>
      </c>
      <c r="B133" s="11" t="str">
        <f>TRIM(PROPER(LEFT(L133,IFERROR(FIND(" ",L133),99))&amp;MID(L133,IFERROR(FIND(" ",L133),99),99)))</f>
        <v>Firemove Ltd V2</v>
      </c>
      <c r="C133" s="11">
        <f>TRUNC(O133)</f>
        <v>236</v>
      </c>
      <c r="D133" s="11">
        <f>TRUNC(N133)</f>
        <v>85</v>
      </c>
      <c r="E133" s="11">
        <f>M133</f>
        <v>130</v>
      </c>
      <c r="F133" s="38" t="str">
        <f>I133</f>
        <v>2014</v>
      </c>
      <c r="G133" s="11" t="str" cm="1">
        <f t="array" ref="G133">gssBoardClass(A133,B133,C133,D133,E133,F133)</f>
        <v>Slalom Large</v>
      </c>
      <c r="H133" s="39" t="str">
        <f>_xlfn.CONCAT(I133,"-",LEFT(K133,2),"-",LEFT(L133,3),"-",M133,"-",TRUNC(N133),"-",TRUNC(O133))</f>
        <v>2014-RR-FIR-130-85-236</v>
      </c>
      <c r="I133" s="42" t="str">
        <f>LEFT(J133,4)</f>
        <v>2014</v>
      </c>
      <c r="J133" s="46" t="s">
        <v>731</v>
      </c>
      <c r="K133" t="s">
        <v>1614</v>
      </c>
      <c r="L133" t="s">
        <v>2162</v>
      </c>
      <c r="M133">
        <v>130</v>
      </c>
      <c r="N133">
        <v>85</v>
      </c>
      <c r="O133">
        <v>236</v>
      </c>
      <c r="R133" t="s">
        <v>2171</v>
      </c>
      <c r="S133" t="s">
        <v>2172</v>
      </c>
      <c r="T133">
        <v>8.6</v>
      </c>
      <c r="U133" t="s">
        <v>2173</v>
      </c>
    </row>
    <row r="134" spans="1:21" x14ac:dyDescent="0.25">
      <c r="A134" s="11" t="str">
        <f>PROPER(K134)</f>
        <v>Rrd</v>
      </c>
      <c r="B134" s="11" t="str">
        <f>TRIM(PROPER(LEFT(L134,IFERROR(FIND(" ",L134),99))&amp;MID(L134,IFERROR(FIND(" ",L134),99),99)))</f>
        <v>Firemove Wood V2</v>
      </c>
      <c r="C134" s="11">
        <f>TRUNC(O134)</f>
        <v>236</v>
      </c>
      <c r="D134" s="11">
        <f>TRUNC(N134)</f>
        <v>85</v>
      </c>
      <c r="E134" s="11">
        <f>M134</f>
        <v>130</v>
      </c>
      <c r="F134" s="38" t="str">
        <f>I134</f>
        <v>2014</v>
      </c>
      <c r="G134" s="11" t="str" cm="1">
        <f t="array" ref="G134">gssBoardClass(A134,B134,C134,D134,E134,F134)</f>
        <v>Slalom Large</v>
      </c>
      <c r="H134" s="39" t="str">
        <f>_xlfn.CONCAT(I134,"-",LEFT(K134,2),"-",LEFT(L134,3),"-",M134,"-",TRUNC(N134),"-",TRUNC(O134))</f>
        <v>2014-RR-FIR-130-85-236</v>
      </c>
      <c r="I134" s="42" t="str">
        <f>LEFT(J134,4)</f>
        <v>2014</v>
      </c>
      <c r="J134" s="46" t="s">
        <v>731</v>
      </c>
      <c r="K134" t="s">
        <v>1614</v>
      </c>
      <c r="L134" t="s">
        <v>2177</v>
      </c>
      <c r="M134">
        <v>130</v>
      </c>
      <c r="N134">
        <v>85</v>
      </c>
      <c r="O134">
        <v>236</v>
      </c>
      <c r="R134" t="s">
        <v>2171</v>
      </c>
      <c r="S134" t="s">
        <v>2172</v>
      </c>
      <c r="T134">
        <v>9.3000000000000007</v>
      </c>
      <c r="U134" t="s">
        <v>2181</v>
      </c>
    </row>
    <row r="135" spans="1:21" x14ac:dyDescent="0.25">
      <c r="A135" s="11" t="str">
        <f>PROPER(K135)</f>
        <v>Rrd</v>
      </c>
      <c r="B135" s="11" t="str">
        <f>TRIM(PROPER(LEFT(L135,IFERROR(FIND(" ",L135),99))&amp;MID(L135,IFERROR(FIND(" ",L135),99),99)))</f>
        <v>Firemove E-Tech V2</v>
      </c>
      <c r="C135" s="11">
        <f>TRUNC(O135)</f>
        <v>236</v>
      </c>
      <c r="D135" s="11">
        <f>TRUNC(N135)</f>
        <v>85</v>
      </c>
      <c r="E135" s="11">
        <f>M135</f>
        <v>130</v>
      </c>
      <c r="F135" s="38" t="str">
        <f>I135</f>
        <v>2014</v>
      </c>
      <c r="G135" s="11" t="str" cm="1">
        <f t="array" ref="G135">gssBoardClass(A135,B135,C135,D135,E135,F135)</f>
        <v>Slalom Large</v>
      </c>
      <c r="H135" s="39" t="str">
        <f>_xlfn.CONCAT(I135,"-",LEFT(K135,2),"-",LEFT(L135,3),"-",M135,"-",TRUNC(N135),"-",TRUNC(O135))</f>
        <v>2014-RR-FIR-130-85-236</v>
      </c>
      <c r="I135" s="42" t="str">
        <f>LEFT(J135,4)</f>
        <v>2014</v>
      </c>
      <c r="J135" s="46" t="s">
        <v>731</v>
      </c>
      <c r="K135" t="s">
        <v>1614</v>
      </c>
      <c r="L135" t="s">
        <v>2183</v>
      </c>
      <c r="M135">
        <v>130</v>
      </c>
      <c r="N135">
        <v>85</v>
      </c>
      <c r="O135">
        <v>236</v>
      </c>
      <c r="R135" t="s">
        <v>2189</v>
      </c>
      <c r="S135" t="s">
        <v>2172</v>
      </c>
      <c r="T135">
        <v>10.5</v>
      </c>
      <c r="U135" t="s">
        <v>2190</v>
      </c>
    </row>
    <row r="136" spans="1:21" x14ac:dyDescent="0.25">
      <c r="A136" s="11" t="str">
        <f>PROPER(K136)</f>
        <v>Rrd</v>
      </c>
      <c r="B136" s="11" t="str">
        <f>TRIM(PROPER(LEFT(L136,IFERROR(FIND(" ",L136),99))&amp;MID(L136,IFERROR(FIND(" ",L136),99),99)))</f>
        <v>Firestorm Ltd V2</v>
      </c>
      <c r="C136" s="11">
        <f>TRUNC(O136)</f>
        <v>240</v>
      </c>
      <c r="D136" s="11">
        <f>TRUNC(N136)</f>
        <v>77</v>
      </c>
      <c r="E136" s="11">
        <f>M136</f>
        <v>138</v>
      </c>
      <c r="F136" s="38" t="str">
        <f>I136</f>
        <v>2014</v>
      </c>
      <c r="G136" s="11" t="str" cm="1">
        <f t="array" ref="G136">gssBoardClass(A136,B136,C136,D136,E136,F136)</f>
        <v>Slalom Large</v>
      </c>
      <c r="H136" s="39" t="str">
        <f>_xlfn.CONCAT(I136,"-",LEFT(K136,2),"-",LEFT(L136,3),"-",M136,"-",TRUNC(N136),"-",TRUNC(O136))</f>
        <v>2014-RR-FIR-138-77-240</v>
      </c>
      <c r="I136" s="42" t="str">
        <f>LEFT(J136,4)</f>
        <v>2014</v>
      </c>
      <c r="J136" s="46" t="s">
        <v>731</v>
      </c>
      <c r="K136" t="s">
        <v>1614</v>
      </c>
      <c r="L136" t="s">
        <v>2141</v>
      </c>
      <c r="M136">
        <v>138</v>
      </c>
      <c r="N136">
        <v>77</v>
      </c>
      <c r="O136">
        <v>240</v>
      </c>
      <c r="R136" t="s">
        <v>2153</v>
      </c>
      <c r="S136" t="s">
        <v>2154</v>
      </c>
      <c r="T136">
        <v>7.3</v>
      </c>
      <c r="U136" t="s">
        <v>2155</v>
      </c>
    </row>
    <row r="137" spans="1:21" x14ac:dyDescent="0.25">
      <c r="A137" s="11" t="str">
        <f>PROPER(K137)</f>
        <v>Rrd</v>
      </c>
      <c r="B137" s="11" t="str">
        <f>TRIM(PROPER(LEFT(L137,IFERROR(FIND(" ",L137),99))&amp;MID(L137,IFERROR(FIND(" ",L137),99),99)))</f>
        <v>Firestorm Wood V2</v>
      </c>
      <c r="C137" s="11">
        <f>TRUNC(O137)</f>
        <v>240</v>
      </c>
      <c r="D137" s="11">
        <f>TRUNC(N137)</f>
        <v>77</v>
      </c>
      <c r="E137" s="11">
        <f>M137</f>
        <v>138</v>
      </c>
      <c r="F137" s="38" t="str">
        <f>I137</f>
        <v>2014</v>
      </c>
      <c r="G137" s="11" t="str" cm="1">
        <f t="array" ref="G137">gssBoardClass(A137,B137,C137,D137,E137,F137)</f>
        <v>Slalom Large</v>
      </c>
      <c r="H137" s="39" t="str">
        <f>_xlfn.CONCAT(I137,"-",LEFT(K137,2),"-",LEFT(L137,3),"-",M137,"-",TRUNC(N137),"-",TRUNC(O137))</f>
        <v>2014-RR-FIR-138-77-240</v>
      </c>
      <c r="I137" s="42" t="str">
        <f>LEFT(J137,4)</f>
        <v>2014</v>
      </c>
      <c r="J137" s="46" t="s">
        <v>731</v>
      </c>
      <c r="K137" t="s">
        <v>1614</v>
      </c>
      <c r="L137" t="s">
        <v>2156</v>
      </c>
      <c r="M137">
        <v>138</v>
      </c>
      <c r="N137">
        <v>77</v>
      </c>
      <c r="O137">
        <v>240</v>
      </c>
      <c r="R137" t="s">
        <v>2153</v>
      </c>
      <c r="S137" t="s">
        <v>2154</v>
      </c>
      <c r="T137">
        <v>7.5</v>
      </c>
      <c r="U137" t="s">
        <v>2161</v>
      </c>
    </row>
    <row r="138" spans="1:21" x14ac:dyDescent="0.25">
      <c r="A138" s="11" t="str">
        <f>PROPER(K138)</f>
        <v>Rrd</v>
      </c>
      <c r="B138" s="11" t="str">
        <f>TRIM(PROPER(LEFT(L138,IFERROR(FIND(" ",L138),99))&amp;MID(L138,IFERROR(FIND(" ",L138),99),99)))</f>
        <v>Firemove Ltd V2</v>
      </c>
      <c r="C138" s="11">
        <f>TRUNC(O138)</f>
        <v>238</v>
      </c>
      <c r="D138" s="11">
        <f>TRUNC(N138)</f>
        <v>90</v>
      </c>
      <c r="E138" s="11">
        <f>M138</f>
        <v>140</v>
      </c>
      <c r="F138" s="38" t="str">
        <f>I138</f>
        <v>2014</v>
      </c>
      <c r="G138" s="11" t="str" cm="1">
        <f t="array" ref="G138">gssBoardClass(A138,B138,C138,D138,E138,F138)</f>
        <v>Slalom Xtra Large</v>
      </c>
      <c r="H138" s="39" t="str">
        <f>_xlfn.CONCAT(I138,"-",LEFT(K138,2),"-",LEFT(L138,3),"-",M138,"-",TRUNC(N138),"-",TRUNC(O138))</f>
        <v>2014-RR-FIR-140-90-238</v>
      </c>
      <c r="I138" s="42" t="str">
        <f>LEFT(J138,4)</f>
        <v>2014</v>
      </c>
      <c r="J138" s="46" t="s">
        <v>731</v>
      </c>
      <c r="K138" t="s">
        <v>1614</v>
      </c>
      <c r="L138" t="s">
        <v>2162</v>
      </c>
      <c r="M138">
        <v>140</v>
      </c>
      <c r="N138">
        <v>90</v>
      </c>
      <c r="O138">
        <v>238</v>
      </c>
      <c r="R138" t="s">
        <v>2174</v>
      </c>
      <c r="S138" t="s">
        <v>2175</v>
      </c>
      <c r="T138">
        <v>9.1999999999999993</v>
      </c>
      <c r="U138" t="s">
        <v>2176</v>
      </c>
    </row>
    <row r="139" spans="1:21" x14ac:dyDescent="0.25">
      <c r="A139" s="11" t="str">
        <f>PROPER(K139)</f>
        <v>Rrd</v>
      </c>
      <c r="B139" s="11" t="str">
        <f>TRIM(PROPER(LEFT(L139,IFERROR(FIND(" ",L139),99))&amp;MID(L139,IFERROR(FIND(" ",L139),99),99)))</f>
        <v>Firemove Wood V2</v>
      </c>
      <c r="C139" s="11">
        <f>TRUNC(O139)</f>
        <v>238</v>
      </c>
      <c r="D139" s="11">
        <f>TRUNC(N139)</f>
        <v>90</v>
      </c>
      <c r="E139" s="11">
        <f>M139</f>
        <v>140</v>
      </c>
      <c r="F139" s="38" t="str">
        <f>I139</f>
        <v>2014</v>
      </c>
      <c r="G139" s="11" t="str" cm="1">
        <f t="array" ref="G139">gssBoardClass(A139,B139,C139,D139,E139,F139)</f>
        <v>Slalom Xtra Large</v>
      </c>
      <c r="H139" s="39" t="str">
        <f>_xlfn.CONCAT(I139,"-",LEFT(K139,2),"-",LEFT(L139,3),"-",M139,"-",TRUNC(N139),"-",TRUNC(O139))</f>
        <v>2014-RR-FIR-140-90-238</v>
      </c>
      <c r="I139" s="42" t="str">
        <f>LEFT(J139,4)</f>
        <v>2014</v>
      </c>
      <c r="J139" s="46" t="s">
        <v>731</v>
      </c>
      <c r="K139" t="s">
        <v>1614</v>
      </c>
      <c r="L139" t="s">
        <v>2177</v>
      </c>
      <c r="M139">
        <v>140</v>
      </c>
      <c r="N139">
        <v>90</v>
      </c>
      <c r="O139">
        <v>238</v>
      </c>
      <c r="R139" t="s">
        <v>2174</v>
      </c>
      <c r="S139" t="s">
        <v>2175</v>
      </c>
      <c r="T139">
        <v>9.9</v>
      </c>
      <c r="U139" t="s">
        <v>2182</v>
      </c>
    </row>
    <row r="140" spans="1:21" x14ac:dyDescent="0.25">
      <c r="A140" s="11" t="str">
        <f>PROPER(K140)</f>
        <v>Rrd</v>
      </c>
      <c r="B140" s="11" t="str">
        <f>TRIM(PROPER(LEFT(L140,IFERROR(FIND(" ",L140),99))&amp;MID(L140,IFERROR(FIND(" ",L140),99),99)))</f>
        <v>Firemove E-Tech V2</v>
      </c>
      <c r="C140" s="11">
        <f>TRUNC(O140)</f>
        <v>238</v>
      </c>
      <c r="D140" s="11">
        <f>TRUNC(N140)</f>
        <v>90</v>
      </c>
      <c r="E140" s="11">
        <f>M140</f>
        <v>140</v>
      </c>
      <c r="F140" s="38" t="str">
        <f>I140</f>
        <v>2014</v>
      </c>
      <c r="G140" s="11" t="str" cm="1">
        <f t="array" ref="G140">gssBoardClass(A140,B140,C140,D140,E140,F140)</f>
        <v>Slalom Xtra Large</v>
      </c>
      <c r="H140" s="39" t="str">
        <f>_xlfn.CONCAT(I140,"-",LEFT(K140,2),"-",LEFT(L140,3),"-",M140,"-",TRUNC(N140),"-",TRUNC(O140))</f>
        <v>2014-RR-FIR-140-90-238</v>
      </c>
      <c r="I140" s="42" t="str">
        <f>LEFT(J140,4)</f>
        <v>2014</v>
      </c>
      <c r="J140" s="46" t="s">
        <v>731</v>
      </c>
      <c r="K140" t="s">
        <v>1614</v>
      </c>
      <c r="L140" t="s">
        <v>2183</v>
      </c>
      <c r="M140">
        <v>140</v>
      </c>
      <c r="N140">
        <v>90</v>
      </c>
      <c r="O140">
        <v>238</v>
      </c>
      <c r="R140" t="s">
        <v>2191</v>
      </c>
      <c r="S140" t="s">
        <v>2175</v>
      </c>
      <c r="T140">
        <v>11</v>
      </c>
      <c r="U140" t="s">
        <v>2192</v>
      </c>
    </row>
    <row r="141" spans="1:21" x14ac:dyDescent="0.25">
      <c r="A141" s="11" t="str">
        <f>PROPER(K141)</f>
        <v>Rrd</v>
      </c>
      <c r="B141" s="11" t="str">
        <f>TRIM(PROPER(LEFT(L141,IFERROR(FIND(" ",L141),99))&amp;MID(L141,IFERROR(FIND(" ",L141),99),99)))</f>
        <v>Firewave Ltd</v>
      </c>
      <c r="C141" s="11">
        <f>TRUNC(O141)</f>
        <v>233</v>
      </c>
      <c r="D141" s="11">
        <f>TRUNC(N141)</f>
        <v>58</v>
      </c>
      <c r="E141" s="11">
        <f>M141</f>
        <v>74</v>
      </c>
      <c r="F141" s="38" t="str">
        <f>I141</f>
        <v>2014</v>
      </c>
      <c r="G141" s="11" t="str" cm="1">
        <f t="array" ref="G141">gssBoardClass(A141,B141,C141,D141,E141,F141)</f>
        <v>Wave / Freestyle</v>
      </c>
      <c r="H141" s="39" t="str">
        <f>_xlfn.CONCAT(I141,"-",LEFT(K141,2),"-",LEFT(L141,3),"-",M141,"-",TRUNC(N141),"-",TRUNC(O141))</f>
        <v>2014-RR-FIR-74-58-233</v>
      </c>
      <c r="I141" s="42" t="str">
        <f>LEFT(J141,4)</f>
        <v>2014</v>
      </c>
      <c r="J141" s="46" t="s">
        <v>731</v>
      </c>
      <c r="K141" t="s">
        <v>1614</v>
      </c>
      <c r="L141" t="s">
        <v>2078</v>
      </c>
      <c r="M141">
        <v>74</v>
      </c>
      <c r="N141">
        <v>58</v>
      </c>
      <c r="O141">
        <v>233</v>
      </c>
      <c r="R141" t="s">
        <v>2079</v>
      </c>
      <c r="S141" t="s">
        <v>2080</v>
      </c>
      <c r="T141">
        <v>6.2</v>
      </c>
      <c r="U141" t="s">
        <v>2081</v>
      </c>
    </row>
    <row r="142" spans="1:21" x14ac:dyDescent="0.25">
      <c r="A142" s="11" t="str">
        <f>PROPER(K142)</f>
        <v>Rrd</v>
      </c>
      <c r="B142" s="11" t="str">
        <f>TRIM(PROPER(LEFT(L142,IFERROR(FIND(" ",L142),99))&amp;MID(L142,IFERROR(FIND(" ",L142),99),99)))</f>
        <v>Firewave Wood</v>
      </c>
      <c r="C142" s="11">
        <f>TRUNC(O142)</f>
        <v>233</v>
      </c>
      <c r="D142" s="11">
        <f>TRUNC(N142)</f>
        <v>58</v>
      </c>
      <c r="E142" s="11">
        <f>M142</f>
        <v>74</v>
      </c>
      <c r="F142" s="38" t="str">
        <f>I142</f>
        <v>2014</v>
      </c>
      <c r="G142" s="11" t="str" cm="1">
        <f t="array" ref="G142">gssBoardClass(A142,B142,C142,D142,E142,F142)</f>
        <v>Wave / Freestyle</v>
      </c>
      <c r="H142" s="39" t="str">
        <f>_xlfn.CONCAT(I142,"-",LEFT(K142,2),"-",LEFT(L142,3),"-",M142,"-",TRUNC(N142),"-",TRUNC(O142))</f>
        <v>2014-RR-FIR-74-58-233</v>
      </c>
      <c r="I142" s="42" t="str">
        <f>LEFT(J142,4)</f>
        <v>2014</v>
      </c>
      <c r="J142" s="46" t="s">
        <v>731</v>
      </c>
      <c r="K142" t="s">
        <v>1614</v>
      </c>
      <c r="L142" t="s">
        <v>2091</v>
      </c>
      <c r="M142">
        <v>74</v>
      </c>
      <c r="N142">
        <v>58</v>
      </c>
      <c r="O142">
        <v>233</v>
      </c>
      <c r="R142" t="s">
        <v>2079</v>
      </c>
      <c r="S142" t="s">
        <v>2080</v>
      </c>
      <c r="T142">
        <v>6.2</v>
      </c>
      <c r="U142" t="s">
        <v>2092</v>
      </c>
    </row>
    <row r="143" spans="1:21" x14ac:dyDescent="0.25">
      <c r="A143" s="11" t="str">
        <f>PROPER(K143)</f>
        <v>Rrd</v>
      </c>
      <c r="B143" s="11" t="str">
        <f>TRIM(PROPER(LEFT(L143,IFERROR(FIND(" ",L143),99))&amp;MID(L143,IFERROR(FIND(" ",L143),99),99)))</f>
        <v>Firewave Ltd</v>
      </c>
      <c r="C143" s="11">
        <f>TRUNC(O143)</f>
        <v>233</v>
      </c>
      <c r="D143" s="11">
        <f>TRUNC(N143)</f>
        <v>60</v>
      </c>
      <c r="E143" s="11">
        <f>M143</f>
        <v>82</v>
      </c>
      <c r="F143" s="38" t="str">
        <f>I143</f>
        <v>2014</v>
      </c>
      <c r="G143" s="11" t="str" cm="1">
        <f t="array" ref="G143">gssBoardClass(A143,B143,C143,D143,E143,F143)</f>
        <v>Wave / Freestyle</v>
      </c>
      <c r="H143" s="39" t="str">
        <f>_xlfn.CONCAT(I143,"-",LEFT(K143,2),"-",LEFT(L143,3),"-",M143,"-",TRUNC(N143),"-",TRUNC(O143))</f>
        <v>2014-RR-FIR-82-60-233</v>
      </c>
      <c r="I143" s="42" t="str">
        <f>LEFT(J143,4)</f>
        <v>2014</v>
      </c>
      <c r="J143" s="46" t="s">
        <v>731</v>
      </c>
      <c r="K143" t="s">
        <v>1614</v>
      </c>
      <c r="L143" t="s">
        <v>2078</v>
      </c>
      <c r="M143">
        <v>82</v>
      </c>
      <c r="N143">
        <v>60</v>
      </c>
      <c r="O143">
        <v>233</v>
      </c>
      <c r="R143" t="s">
        <v>2082</v>
      </c>
      <c r="S143" t="s">
        <v>2059</v>
      </c>
      <c r="T143">
        <v>6.5</v>
      </c>
      <c r="U143" t="s">
        <v>2083</v>
      </c>
    </row>
    <row r="144" spans="1:21" x14ac:dyDescent="0.25">
      <c r="A144" s="11" t="str">
        <f>PROPER(K144)</f>
        <v>Rrd</v>
      </c>
      <c r="B144" s="11" t="str">
        <f>TRIM(PROPER(LEFT(L144,IFERROR(FIND(" ",L144),99))&amp;MID(L144,IFERROR(FIND(" ",L144),99),99)))</f>
        <v>Firewave Wood</v>
      </c>
      <c r="C144" s="11">
        <f>TRUNC(O144)</f>
        <v>233</v>
      </c>
      <c r="D144" s="11">
        <f>TRUNC(N144)</f>
        <v>60</v>
      </c>
      <c r="E144" s="11">
        <f>M144</f>
        <v>82</v>
      </c>
      <c r="F144" s="38" t="str">
        <f>I144</f>
        <v>2014</v>
      </c>
      <c r="G144" s="11" t="str" cm="1">
        <f t="array" ref="G144">gssBoardClass(A144,B144,C144,D144,E144,F144)</f>
        <v>Wave / Freestyle</v>
      </c>
      <c r="H144" s="39" t="str">
        <f>_xlfn.CONCAT(I144,"-",LEFT(K144,2),"-",LEFT(L144,3),"-",M144,"-",TRUNC(N144),"-",TRUNC(O144))</f>
        <v>2014-RR-FIR-82-60-233</v>
      </c>
      <c r="I144" s="42" t="str">
        <f>LEFT(J144,4)</f>
        <v>2014</v>
      </c>
      <c r="J144" s="46" t="s">
        <v>731</v>
      </c>
      <c r="K144" t="s">
        <v>1614</v>
      </c>
      <c r="L144" t="s">
        <v>2091</v>
      </c>
      <c r="M144">
        <v>82</v>
      </c>
      <c r="N144">
        <v>60</v>
      </c>
      <c r="O144">
        <v>233</v>
      </c>
      <c r="R144" t="s">
        <v>2082</v>
      </c>
      <c r="S144" t="s">
        <v>2059</v>
      </c>
      <c r="T144">
        <v>6.5</v>
      </c>
      <c r="U144" t="s">
        <v>2093</v>
      </c>
    </row>
    <row r="145" spans="1:21" x14ac:dyDescent="0.25">
      <c r="A145" s="11" t="str">
        <f>PROPER(K145)</f>
        <v>Rrd</v>
      </c>
      <c r="B145" s="11" t="str">
        <f>TRIM(PROPER(LEFT(L145,IFERROR(FIND(" ",L145),99))&amp;MID(L145,IFERROR(FIND(" ",L145),99),99)))</f>
        <v>Firewave Ltd</v>
      </c>
      <c r="C145" s="11">
        <f>TRUNC(O145)</f>
        <v>234</v>
      </c>
      <c r="D145" s="11">
        <f>TRUNC(N145)</f>
        <v>62</v>
      </c>
      <c r="E145" s="11">
        <f>M145</f>
        <v>92</v>
      </c>
      <c r="F145" s="38" t="str">
        <f>I145</f>
        <v>2014</v>
      </c>
      <c r="G145" s="11" t="str" cm="1">
        <f t="array" ref="G145">gssBoardClass(A145,B145,C145,D145,E145,F145)</f>
        <v>Wave / Freestyle</v>
      </c>
      <c r="H145" s="39" t="str">
        <f>_xlfn.CONCAT(I145,"-",LEFT(K145,2),"-",LEFT(L145,3),"-",M145,"-",TRUNC(N145),"-",TRUNC(O145))</f>
        <v>2014-RR-FIR-92-62-234</v>
      </c>
      <c r="I145" s="42" t="str">
        <f>LEFT(J145,4)</f>
        <v>2014</v>
      </c>
      <c r="J145" s="46" t="s">
        <v>731</v>
      </c>
      <c r="K145" t="s">
        <v>1614</v>
      </c>
      <c r="L145" t="s">
        <v>2078</v>
      </c>
      <c r="M145">
        <v>92</v>
      </c>
      <c r="N145">
        <v>62</v>
      </c>
      <c r="O145">
        <v>234</v>
      </c>
      <c r="R145" t="s">
        <v>2084</v>
      </c>
      <c r="S145" t="s">
        <v>2061</v>
      </c>
      <c r="T145">
        <v>6.7</v>
      </c>
      <c r="U145" t="s">
        <v>2085</v>
      </c>
    </row>
    <row r="146" spans="1:21" x14ac:dyDescent="0.25">
      <c r="A146" s="11" t="str">
        <f>PROPER(K146)</f>
        <v>Rrd</v>
      </c>
      <c r="B146" s="11" t="str">
        <f>TRIM(PROPER(LEFT(L146,IFERROR(FIND(" ",L146),99))&amp;MID(L146,IFERROR(FIND(" ",L146),99),99)))</f>
        <v>Firewave Wood</v>
      </c>
      <c r="C146" s="11">
        <f>TRUNC(O146)</f>
        <v>234</v>
      </c>
      <c r="D146" s="11">
        <f>TRUNC(N146)</f>
        <v>62</v>
      </c>
      <c r="E146" s="11">
        <f>M146</f>
        <v>92</v>
      </c>
      <c r="F146" s="38" t="str">
        <f>I146</f>
        <v>2014</v>
      </c>
      <c r="G146" s="11" t="str" cm="1">
        <f t="array" ref="G146">gssBoardClass(A146,B146,C146,D146,E146,F146)</f>
        <v>Wave / Freestyle</v>
      </c>
      <c r="H146" s="39" t="str">
        <f>_xlfn.CONCAT(I146,"-",LEFT(K146,2),"-",LEFT(L146,3),"-",M146,"-",TRUNC(N146),"-",TRUNC(O146))</f>
        <v>2014-RR-FIR-92-62-234</v>
      </c>
      <c r="I146" s="42" t="str">
        <f>LEFT(J146,4)</f>
        <v>2014</v>
      </c>
      <c r="J146" s="46" t="s">
        <v>731</v>
      </c>
      <c r="K146" t="s">
        <v>1614</v>
      </c>
      <c r="L146" t="s">
        <v>2091</v>
      </c>
      <c r="M146">
        <v>92</v>
      </c>
      <c r="N146">
        <v>62</v>
      </c>
      <c r="O146">
        <v>234</v>
      </c>
      <c r="R146" t="s">
        <v>2084</v>
      </c>
      <c r="S146" t="s">
        <v>2061</v>
      </c>
      <c r="T146">
        <v>6.7</v>
      </c>
      <c r="U146" t="s">
        <v>2094</v>
      </c>
    </row>
    <row r="147" spans="1:21" x14ac:dyDescent="0.25">
      <c r="A147" s="11" t="str">
        <f>PROPER(K147)</f>
        <v>Rrd</v>
      </c>
      <c r="B147" s="11" t="str">
        <f>TRIM(PROPER(LEFT(L147,IFERROR(FIND(" ",L147),99))&amp;MID(L147,IFERROR(FIND(" ",L147),99),99)))</f>
        <v>Freestyle Wave Ltd V3</v>
      </c>
      <c r="C147" s="11">
        <f>TRUNC(O147)</f>
        <v>237</v>
      </c>
      <c r="D147" s="11">
        <f>TRUNC(N147)</f>
        <v>63</v>
      </c>
      <c r="E147" s="11">
        <f>M147</f>
        <v>100</v>
      </c>
      <c r="F147" s="38" t="str">
        <f>I147</f>
        <v>2014</v>
      </c>
      <c r="G147" s="11" t="str" cm="1">
        <f t="array" ref="G147">gssBoardClass(A147,B147,C147,D147,E147,F147)</f>
        <v>Wave / Freestyle</v>
      </c>
      <c r="H147" s="39" t="str">
        <f>_xlfn.CONCAT(I147,"-",LEFT(K147,2),"-",LEFT(L147,3),"-",M147,"-",TRUNC(N147),"-",TRUNC(O147))</f>
        <v>2014-RR-FRE-100-63-237</v>
      </c>
      <c r="I147" s="42" t="str">
        <f>LEFT(J147,4)</f>
        <v>2014</v>
      </c>
      <c r="J147" s="46" t="s">
        <v>731</v>
      </c>
      <c r="K147" t="s">
        <v>1614</v>
      </c>
      <c r="L147" t="s">
        <v>2097</v>
      </c>
      <c r="M147">
        <v>100</v>
      </c>
      <c r="N147">
        <v>63</v>
      </c>
      <c r="O147">
        <v>237</v>
      </c>
      <c r="R147" t="s">
        <v>2104</v>
      </c>
      <c r="S147" t="s">
        <v>2105</v>
      </c>
      <c r="T147">
        <v>6.6</v>
      </c>
      <c r="U147" t="s">
        <v>2106</v>
      </c>
    </row>
    <row r="148" spans="1:21" x14ac:dyDescent="0.25">
      <c r="A148" s="11" t="str">
        <f>PROPER(K148)</f>
        <v>Rrd</v>
      </c>
      <c r="B148" s="11" t="str">
        <f>TRIM(PROPER(LEFT(L148,IFERROR(FIND(" ",L148),99))&amp;MID(L148,IFERROR(FIND(" ",L148),99),99)))</f>
        <v>Freestyle Wave Wood V3</v>
      </c>
      <c r="C148" s="11">
        <f>TRUNC(O148)</f>
        <v>237</v>
      </c>
      <c r="D148" s="11">
        <f>TRUNC(N148)</f>
        <v>63</v>
      </c>
      <c r="E148" s="11">
        <f>M148</f>
        <v>100</v>
      </c>
      <c r="F148" s="38" t="str">
        <f>I148</f>
        <v>2014</v>
      </c>
      <c r="G148" s="11" t="str" cm="1">
        <f t="array" ref="G148">gssBoardClass(A148,B148,C148,D148,E148,F148)</f>
        <v>Wave / Freestyle</v>
      </c>
      <c r="H148" s="39" t="str">
        <f>_xlfn.CONCAT(I148,"-",LEFT(K148,2),"-",LEFT(L148,3),"-",M148,"-",TRUNC(N148),"-",TRUNC(O148))</f>
        <v>2014-RR-FRE-100-63-237</v>
      </c>
      <c r="I148" s="42" t="str">
        <f>LEFT(J148,4)</f>
        <v>2014</v>
      </c>
      <c r="J148" s="46" t="s">
        <v>731</v>
      </c>
      <c r="K148" t="s">
        <v>1614</v>
      </c>
      <c r="L148" t="s">
        <v>2110</v>
      </c>
      <c r="M148">
        <v>100</v>
      </c>
      <c r="N148">
        <v>63</v>
      </c>
      <c r="O148">
        <v>237</v>
      </c>
      <c r="R148" t="s">
        <v>2104</v>
      </c>
      <c r="S148" t="s">
        <v>2105</v>
      </c>
      <c r="T148">
        <v>7.1</v>
      </c>
      <c r="U148" t="s">
        <v>2113</v>
      </c>
    </row>
    <row r="149" spans="1:21" x14ac:dyDescent="0.25">
      <c r="A149" s="11" t="str">
        <f>PROPER(K149)</f>
        <v>Rrd</v>
      </c>
      <c r="B149" s="11" t="str">
        <f>TRIM(PROPER(LEFT(L149,IFERROR(FIND(" ",L149),99))&amp;MID(L149,IFERROR(FIND(" ",L149),99),99)))</f>
        <v>Freestyle Wave Ltd V3</v>
      </c>
      <c r="C149" s="11">
        <f>TRUNC(O149)</f>
        <v>237</v>
      </c>
      <c r="D149" s="11">
        <f>TRUNC(N149)</f>
        <v>64</v>
      </c>
      <c r="E149" s="11">
        <f>M149</f>
        <v>106</v>
      </c>
      <c r="F149" s="38" t="str">
        <f>I149</f>
        <v>2014</v>
      </c>
      <c r="G149" s="11" t="str" cm="1">
        <f t="array" ref="G149">gssBoardClass(A149,B149,C149,D149,E149,F149)</f>
        <v>Wave / Freestyle</v>
      </c>
      <c r="H149" s="39" t="str">
        <f>_xlfn.CONCAT(I149,"-",LEFT(K149,2),"-",LEFT(L149,3),"-",M149,"-",TRUNC(N149),"-",TRUNC(O149))</f>
        <v>2014-RR-FRE-106-64-237</v>
      </c>
      <c r="I149" s="42" t="str">
        <f>LEFT(J149,4)</f>
        <v>2014</v>
      </c>
      <c r="J149" s="46" t="s">
        <v>731</v>
      </c>
      <c r="K149" t="s">
        <v>1614</v>
      </c>
      <c r="L149" t="s">
        <v>2097</v>
      </c>
      <c r="M149">
        <v>106</v>
      </c>
      <c r="N149">
        <v>64.5</v>
      </c>
      <c r="O149">
        <v>237</v>
      </c>
      <c r="R149" t="s">
        <v>2107</v>
      </c>
      <c r="S149" t="s">
        <v>2108</v>
      </c>
      <c r="T149">
        <v>6.7</v>
      </c>
      <c r="U149" t="s">
        <v>2109</v>
      </c>
    </row>
    <row r="150" spans="1:21" x14ac:dyDescent="0.25">
      <c r="A150" s="11" t="str">
        <f>PROPER(K150)</f>
        <v>Rrd</v>
      </c>
      <c r="B150" s="11" t="str">
        <f>TRIM(PROPER(LEFT(L150,IFERROR(FIND(" ",L150),99))&amp;MID(L150,IFERROR(FIND(" ",L150),99),99)))</f>
        <v>Freestyle Wave Wood V3</v>
      </c>
      <c r="C150" s="11">
        <f>TRUNC(O150)</f>
        <v>237</v>
      </c>
      <c r="D150" s="11">
        <f>TRUNC(N150)</f>
        <v>64</v>
      </c>
      <c r="E150" s="11">
        <f>M150</f>
        <v>106</v>
      </c>
      <c r="F150" s="38" t="str">
        <f>I150</f>
        <v>2014</v>
      </c>
      <c r="G150" s="11" t="str" cm="1">
        <f t="array" ref="G150">gssBoardClass(A150,B150,C150,D150,E150,F150)</f>
        <v>Wave / Freestyle</v>
      </c>
      <c r="H150" s="39" t="str">
        <f>_xlfn.CONCAT(I150,"-",LEFT(K150,2),"-",LEFT(L150,3),"-",M150,"-",TRUNC(N150),"-",TRUNC(O150))</f>
        <v>2014-RR-FRE-106-64-237</v>
      </c>
      <c r="I150" s="42" t="str">
        <f>LEFT(J150,4)</f>
        <v>2014</v>
      </c>
      <c r="J150" s="46" t="s">
        <v>731</v>
      </c>
      <c r="K150" t="s">
        <v>1614</v>
      </c>
      <c r="L150" t="s">
        <v>2110</v>
      </c>
      <c r="M150">
        <v>106</v>
      </c>
      <c r="N150">
        <v>64.5</v>
      </c>
      <c r="O150">
        <v>237</v>
      </c>
      <c r="R150" t="s">
        <v>2107</v>
      </c>
      <c r="S150" t="s">
        <v>2108</v>
      </c>
      <c r="T150">
        <v>7.3</v>
      </c>
      <c r="U150" t="s">
        <v>2114</v>
      </c>
    </row>
    <row r="151" spans="1:21" x14ac:dyDescent="0.25">
      <c r="A151" s="11" t="str">
        <f>PROPER(K151)</f>
        <v>Rrd</v>
      </c>
      <c r="B151" s="11" t="str">
        <f>TRIM(PROPER(LEFT(L151,IFERROR(FIND(" ",L151),99))&amp;MID(L151,IFERROR(FIND(" ",L151),99),99)))</f>
        <v>Freestyle Wave Ltd V3</v>
      </c>
      <c r="C151" s="11">
        <f>TRUNC(O151)</f>
        <v>234</v>
      </c>
      <c r="D151" s="11">
        <f>TRUNC(N151)</f>
        <v>59</v>
      </c>
      <c r="E151" s="11">
        <f>M151</f>
        <v>88</v>
      </c>
      <c r="F151" s="38" t="str">
        <f>I151</f>
        <v>2014</v>
      </c>
      <c r="G151" s="11" t="str" cm="1">
        <f t="array" ref="G151">gssBoardClass(A151,B151,C151,D151,E151,F151)</f>
        <v>Wave / Freestyle</v>
      </c>
      <c r="H151" s="39" t="str">
        <f>_xlfn.CONCAT(I151,"-",LEFT(K151,2),"-",LEFT(L151,3),"-",M151,"-",TRUNC(N151),"-",TRUNC(O151))</f>
        <v>2014-RR-FRE-88-59-234</v>
      </c>
      <c r="I151" s="42" t="str">
        <f>LEFT(J151,4)</f>
        <v>2014</v>
      </c>
      <c r="J151" s="46" t="s">
        <v>731</v>
      </c>
      <c r="K151" t="s">
        <v>1614</v>
      </c>
      <c r="L151" t="s">
        <v>2097</v>
      </c>
      <c r="M151">
        <v>88</v>
      </c>
      <c r="N151">
        <v>59</v>
      </c>
      <c r="O151">
        <v>234</v>
      </c>
      <c r="R151" t="s">
        <v>2098</v>
      </c>
      <c r="S151" t="s">
        <v>2099</v>
      </c>
      <c r="T151">
        <v>6.3</v>
      </c>
      <c r="U151" t="s">
        <v>2100</v>
      </c>
    </row>
    <row r="152" spans="1:21" x14ac:dyDescent="0.25">
      <c r="A152" s="11" t="str">
        <f>PROPER(K152)</f>
        <v>Rrd</v>
      </c>
      <c r="B152" s="11" t="str">
        <f>TRIM(PROPER(LEFT(L152,IFERROR(FIND(" ",L152),99))&amp;MID(L152,IFERROR(FIND(" ",L152),99),99)))</f>
        <v>Freestyle Wave Wood V3</v>
      </c>
      <c r="C152" s="11">
        <f>TRUNC(O152)</f>
        <v>234</v>
      </c>
      <c r="D152" s="11">
        <f>TRUNC(N152)</f>
        <v>59</v>
      </c>
      <c r="E152" s="11">
        <f>M152</f>
        <v>88</v>
      </c>
      <c r="F152" s="38" t="str">
        <f>I152</f>
        <v>2014</v>
      </c>
      <c r="G152" s="11" t="str" cm="1">
        <f t="array" ref="G152">gssBoardClass(A152,B152,C152,D152,E152,F152)</f>
        <v>Wave / Freestyle</v>
      </c>
      <c r="H152" s="39" t="str">
        <f>_xlfn.CONCAT(I152,"-",LEFT(K152,2),"-",LEFT(L152,3),"-",M152,"-",TRUNC(N152),"-",TRUNC(O152))</f>
        <v>2014-RR-FRE-88-59-234</v>
      </c>
      <c r="I152" s="42" t="str">
        <f>LEFT(J152,4)</f>
        <v>2014</v>
      </c>
      <c r="J152" s="46" t="s">
        <v>731</v>
      </c>
      <c r="K152" t="s">
        <v>1614</v>
      </c>
      <c r="L152" t="s">
        <v>2110</v>
      </c>
      <c r="M152">
        <v>88</v>
      </c>
      <c r="N152">
        <v>59</v>
      </c>
      <c r="O152">
        <v>234</v>
      </c>
      <c r="R152" t="s">
        <v>2098</v>
      </c>
      <c r="S152" t="s">
        <v>2099</v>
      </c>
      <c r="T152">
        <v>6.7</v>
      </c>
      <c r="U152" t="s">
        <v>2111</v>
      </c>
    </row>
    <row r="153" spans="1:21" x14ac:dyDescent="0.25">
      <c r="A153" s="11" t="str">
        <f>PROPER(K153)</f>
        <v>Rrd</v>
      </c>
      <c r="B153" s="11" t="str">
        <f>TRIM(PROPER(LEFT(L153,IFERROR(FIND(" ",L153),99))&amp;MID(L153,IFERROR(FIND(" ",L153),99),99)))</f>
        <v>Freestyle Wave Ltd V3</v>
      </c>
      <c r="C153" s="11">
        <f>TRUNC(O153)</f>
        <v>236</v>
      </c>
      <c r="D153" s="11">
        <f>TRUNC(N153)</f>
        <v>61</v>
      </c>
      <c r="E153" s="11">
        <f>M153</f>
        <v>94</v>
      </c>
      <c r="F153" s="38" t="str">
        <f>I153</f>
        <v>2014</v>
      </c>
      <c r="G153" s="11" t="str" cm="1">
        <f t="array" ref="G153">gssBoardClass(A153,B153,C153,D153,E153,F153)</f>
        <v>Wave / Freestyle</v>
      </c>
      <c r="H153" s="39" t="str">
        <f>_xlfn.CONCAT(I153,"-",LEFT(K153,2),"-",LEFT(L153,3),"-",M153,"-",TRUNC(N153),"-",TRUNC(O153))</f>
        <v>2014-RR-FRE-94-61-236</v>
      </c>
      <c r="I153" s="42" t="str">
        <f>LEFT(J153,4)</f>
        <v>2014</v>
      </c>
      <c r="J153" s="46" t="s">
        <v>731</v>
      </c>
      <c r="K153" t="s">
        <v>1614</v>
      </c>
      <c r="L153" t="s">
        <v>2097</v>
      </c>
      <c r="M153">
        <v>94</v>
      </c>
      <c r="N153">
        <v>61</v>
      </c>
      <c r="O153">
        <v>236</v>
      </c>
      <c r="R153" t="s">
        <v>2101</v>
      </c>
      <c r="S153" t="s">
        <v>2102</v>
      </c>
      <c r="T153">
        <v>6.5</v>
      </c>
      <c r="U153" t="s">
        <v>2103</v>
      </c>
    </row>
    <row r="154" spans="1:21" x14ac:dyDescent="0.25">
      <c r="A154" s="11" t="str">
        <f>PROPER(K154)</f>
        <v>Rrd</v>
      </c>
      <c r="B154" s="11" t="str">
        <f>TRIM(PROPER(LEFT(L154,IFERROR(FIND(" ",L154),99))&amp;MID(L154,IFERROR(FIND(" ",L154),99),99)))</f>
        <v>Freestyle Wave Wood V3</v>
      </c>
      <c r="C154" s="11">
        <f>TRUNC(O154)</f>
        <v>236</v>
      </c>
      <c r="D154" s="11">
        <f>TRUNC(N154)</f>
        <v>61</v>
      </c>
      <c r="E154" s="11">
        <f>M154</f>
        <v>94</v>
      </c>
      <c r="F154" s="38" t="str">
        <f>I154</f>
        <v>2014</v>
      </c>
      <c r="G154" s="11" t="str" cm="1">
        <f t="array" ref="G154">gssBoardClass(A154,B154,C154,D154,E154,F154)</f>
        <v>Wave / Freestyle</v>
      </c>
      <c r="H154" s="39" t="str">
        <f>_xlfn.CONCAT(I154,"-",LEFT(K154,2),"-",LEFT(L154,3),"-",M154,"-",TRUNC(N154),"-",TRUNC(O154))</f>
        <v>2014-RR-FRE-94-61-236</v>
      </c>
      <c r="I154" s="42" t="str">
        <f>LEFT(J154,4)</f>
        <v>2014</v>
      </c>
      <c r="J154" s="46" t="s">
        <v>731</v>
      </c>
      <c r="K154" t="s">
        <v>1614</v>
      </c>
      <c r="L154" t="s">
        <v>2110</v>
      </c>
      <c r="M154">
        <v>94</v>
      </c>
      <c r="N154">
        <v>61</v>
      </c>
      <c r="O154">
        <v>236</v>
      </c>
      <c r="R154" t="s">
        <v>2101</v>
      </c>
      <c r="S154" t="s">
        <v>2102</v>
      </c>
      <c r="T154">
        <v>6.9</v>
      </c>
      <c r="U154" t="s">
        <v>2112</v>
      </c>
    </row>
    <row r="155" spans="1:21" x14ac:dyDescent="0.25">
      <c r="A155" s="11" t="str">
        <f>PROPER(K155)</f>
        <v>Rrd</v>
      </c>
      <c r="B155" s="11" t="str">
        <f>TRIM(PROPER(LEFT(L155,IFERROR(FIND(" ",L155),99))&amp;MID(L155,IFERROR(FIND(" ",L155),99),99)))</f>
        <v>Hardcore Wave Ltd V5</v>
      </c>
      <c r="C155" s="11">
        <f>TRUNC(O155)</f>
        <v>227</v>
      </c>
      <c r="D155" s="11">
        <f>TRUNC(N155)</f>
        <v>53</v>
      </c>
      <c r="E155" s="11">
        <f>M155</f>
        <v>68</v>
      </c>
      <c r="F155" s="38" t="str">
        <f>I155</f>
        <v>2014</v>
      </c>
      <c r="G155" s="11" t="str" cm="1">
        <f t="array" ref="G155">gssBoardClass(A155,B155,C155,D155,E155,F155)</f>
        <v>Wave / Freestyle</v>
      </c>
      <c r="H155" s="39" t="str">
        <f>_xlfn.CONCAT(I155,"-",LEFT(K155,2),"-",LEFT(L155,3),"-",M155,"-",TRUNC(N155),"-",TRUNC(O155))</f>
        <v>2014-RR-HAR-68-53-227</v>
      </c>
      <c r="I155" s="42" t="str">
        <f>LEFT(J155,4)</f>
        <v>2014</v>
      </c>
      <c r="J155" s="46">
        <v>2014</v>
      </c>
      <c r="K155" t="s">
        <v>1614</v>
      </c>
      <c r="L155" t="s">
        <v>2058</v>
      </c>
      <c r="M155">
        <v>68</v>
      </c>
      <c r="N155">
        <v>53.5</v>
      </c>
      <c r="O155">
        <v>227</v>
      </c>
      <c r="R155" t="s">
        <v>2238</v>
      </c>
      <c r="S155" t="s">
        <v>2059</v>
      </c>
      <c r="T155">
        <v>6.4</v>
      </c>
      <c r="U155" t="s">
        <v>2060</v>
      </c>
    </row>
    <row r="156" spans="1:21" x14ac:dyDescent="0.25">
      <c r="A156" s="11" t="str">
        <f>PROPER(K156)</f>
        <v>Rrd</v>
      </c>
      <c r="B156" s="11" t="str">
        <f>TRIM(PROPER(LEFT(L156,IFERROR(FIND(" ",L156),99))&amp;MID(L156,IFERROR(FIND(" ",L156),99),99)))</f>
        <v>Hardcore Wave Ltd V5</v>
      </c>
      <c r="C156" s="11">
        <f>TRUNC(O156)</f>
        <v>227</v>
      </c>
      <c r="D156" s="11">
        <f>TRUNC(N156)</f>
        <v>55</v>
      </c>
      <c r="E156" s="11">
        <f>M156</f>
        <v>78</v>
      </c>
      <c r="F156" s="38" t="str">
        <f>I156</f>
        <v>2014</v>
      </c>
      <c r="G156" s="11" t="str" cm="1">
        <f t="array" ref="G156">gssBoardClass(A156,B156,C156,D156,E156,F156)</f>
        <v>Wave / Freestyle</v>
      </c>
      <c r="H156" s="39" t="str">
        <f>_xlfn.CONCAT(I156,"-",LEFT(K156,2),"-",LEFT(L156,3),"-",M156,"-",TRUNC(N156),"-",TRUNC(O156))</f>
        <v>2014-RR-HAR-78-55-227</v>
      </c>
      <c r="I156" s="42" t="str">
        <f>LEFT(J156,4)</f>
        <v>2014</v>
      </c>
      <c r="J156" s="46" t="s">
        <v>731</v>
      </c>
      <c r="K156" t="s">
        <v>1614</v>
      </c>
      <c r="L156" t="s">
        <v>2058</v>
      </c>
      <c r="M156">
        <v>78</v>
      </c>
      <c r="N156">
        <v>55.5</v>
      </c>
      <c r="O156">
        <v>227</v>
      </c>
      <c r="R156" t="s">
        <v>2239</v>
      </c>
      <c r="S156" t="s">
        <v>2061</v>
      </c>
      <c r="T156">
        <v>6.6</v>
      </c>
      <c r="U156" t="s">
        <v>2062</v>
      </c>
    </row>
    <row r="157" spans="1:21" x14ac:dyDescent="0.25">
      <c r="A157" s="11" t="str">
        <f>PROPER(K157)</f>
        <v>Rrd</v>
      </c>
      <c r="B157" s="11" t="str">
        <f>TRIM(PROPER(LEFT(L157,IFERROR(FIND(" ",L157),99))&amp;MID(L157,IFERROR(FIND(" ",L157),99),99)))</f>
        <v>Hardcore Wave Ltd V5</v>
      </c>
      <c r="C157" s="11">
        <f>TRUNC(O157)</f>
        <v>228</v>
      </c>
      <c r="D157" s="11">
        <f>TRUNC(N157)</f>
        <v>58</v>
      </c>
      <c r="E157" s="11">
        <f>M157</f>
        <v>88</v>
      </c>
      <c r="F157" s="38" t="str">
        <f>I157</f>
        <v>2014</v>
      </c>
      <c r="G157" s="11" t="str" cm="1">
        <f t="array" ref="G157">gssBoardClass(A157,B157,C157,D157,E157,F157)</f>
        <v>Wave / Freestyle</v>
      </c>
      <c r="H157" s="39" t="str">
        <f>_xlfn.CONCAT(I157,"-",LEFT(K157,2),"-",LEFT(L157,3),"-",M157,"-",TRUNC(N157),"-",TRUNC(O157))</f>
        <v>2014-RR-HAR-88-58-228</v>
      </c>
      <c r="I157" s="42" t="str">
        <f>LEFT(J157,4)</f>
        <v>2014</v>
      </c>
      <c r="J157" s="46" t="s">
        <v>731</v>
      </c>
      <c r="K157" t="s">
        <v>1614</v>
      </c>
      <c r="L157" t="s">
        <v>2058</v>
      </c>
      <c r="M157">
        <v>88</v>
      </c>
      <c r="N157">
        <v>58.5</v>
      </c>
      <c r="O157">
        <v>228</v>
      </c>
      <c r="R157" t="s">
        <v>2239</v>
      </c>
      <c r="S157" t="s">
        <v>2063</v>
      </c>
      <c r="T157">
        <v>6.7</v>
      </c>
      <c r="U157" t="s">
        <v>2064</v>
      </c>
    </row>
    <row r="158" spans="1:21" x14ac:dyDescent="0.25">
      <c r="A158" s="11" t="str">
        <f>PROPER(K158)</f>
        <v>Rrd</v>
      </c>
      <c r="B158" s="11" t="str">
        <f>TRIM(PROPER(LEFT(L158,IFERROR(FIND(" ",L158),99))&amp;MID(L158,IFERROR(FIND(" ",L158),99),99)))</f>
        <v>Hardcore Wave Ltd V5</v>
      </c>
      <c r="C158" s="11">
        <f>TRUNC(O158)</f>
        <v>228</v>
      </c>
      <c r="D158" s="11">
        <f>TRUNC(N158)</f>
        <v>61</v>
      </c>
      <c r="E158" s="11">
        <f>M158</f>
        <v>98</v>
      </c>
      <c r="F158" s="38" t="str">
        <f>I158</f>
        <v>2014</v>
      </c>
      <c r="G158" s="11" t="str" cm="1">
        <f t="array" ref="G158">gssBoardClass(A158,B158,C158,D158,E158,F158)</f>
        <v>Wave / Freestyle</v>
      </c>
      <c r="H158" s="39" t="str">
        <f>_xlfn.CONCAT(I158,"-",LEFT(K158,2),"-",LEFT(L158,3),"-",M158,"-",TRUNC(N158),"-",TRUNC(O158))</f>
        <v>2014-RR-HAR-98-61-228</v>
      </c>
      <c r="I158" s="42" t="str">
        <f>LEFT(J158,4)</f>
        <v>2014</v>
      </c>
      <c r="J158" s="46" t="s">
        <v>731</v>
      </c>
      <c r="K158" t="s">
        <v>1614</v>
      </c>
      <c r="L158" t="s">
        <v>2058</v>
      </c>
      <c r="M158">
        <v>98</v>
      </c>
      <c r="N158">
        <v>61</v>
      </c>
      <c r="O158">
        <v>228</v>
      </c>
      <c r="R158" t="s">
        <v>2239</v>
      </c>
      <c r="S158" t="s">
        <v>2065</v>
      </c>
      <c r="T158">
        <v>7</v>
      </c>
      <c r="U158" t="s">
        <v>2066</v>
      </c>
    </row>
    <row r="159" spans="1:21" x14ac:dyDescent="0.25">
      <c r="A159" s="11" t="str">
        <f>PROPER(K159)</f>
        <v>Rrd</v>
      </c>
      <c r="B159" s="11" t="str">
        <f>TRIM(PROPER(LEFT(L159,IFERROR(FIND(" ",L159),99))&amp;MID(L159,IFERROR(FIND(" ",L159),99),99)))</f>
        <v>Longrider</v>
      </c>
      <c r="C159" s="11">
        <f>TRUNC(O159)</f>
        <v>340</v>
      </c>
      <c r="D159" s="11">
        <f>TRUNC(N159)</f>
        <v>70</v>
      </c>
      <c r="E159" s="11">
        <f>M159</f>
        <v>180</v>
      </c>
      <c r="F159" s="38" t="str">
        <f>I159</f>
        <v>2014</v>
      </c>
      <c r="G159" s="11" t="str" cm="1">
        <f t="array" ref="G159">gssBoardClass(A159,B159,C159,D159,E159,F159)</f>
        <v>Special / Longboard</v>
      </c>
      <c r="H159" s="39" t="str">
        <f>_xlfn.CONCAT(I159,"-",LEFT(K159,2),"-",LEFT(L159,3),"-",M159,"-",TRUNC(N159),"-",TRUNC(O159))</f>
        <v>2014-RR-LON-180-70-340</v>
      </c>
      <c r="I159" s="42" t="str">
        <f>LEFT(J159,4)</f>
        <v>2014</v>
      </c>
      <c r="J159" s="46" t="s">
        <v>731</v>
      </c>
      <c r="K159" t="s">
        <v>1614</v>
      </c>
      <c r="L159" t="s">
        <v>2234</v>
      </c>
      <c r="M159">
        <v>180</v>
      </c>
      <c r="N159">
        <v>70</v>
      </c>
      <c r="O159">
        <v>340</v>
      </c>
      <c r="R159" t="s">
        <v>2235</v>
      </c>
      <c r="S159" t="s">
        <v>2236</v>
      </c>
      <c r="T159">
        <v>14.2</v>
      </c>
      <c r="U159" t="s">
        <v>2237</v>
      </c>
    </row>
    <row r="160" spans="1:21" x14ac:dyDescent="0.25">
      <c r="A160" s="11" t="str">
        <f>PROPER(K160)</f>
        <v>Rrd</v>
      </c>
      <c r="B160" s="11" t="str">
        <f>TRIM(PROPER(LEFT(L160,IFERROR(FIND(" ",L160),99))&amp;MID(L160,IFERROR(FIND(" ",L160),99),99)))</f>
        <v>Twintip Ltd V4</v>
      </c>
      <c r="C160" s="11">
        <f>TRUNC(O160)</f>
        <v>227</v>
      </c>
      <c r="D160" s="11">
        <f>TRUNC(N160)</f>
        <v>63</v>
      </c>
      <c r="E160" s="11">
        <f>M160</f>
        <v>101</v>
      </c>
      <c r="F160" s="38" t="str">
        <f>I160</f>
        <v>2014</v>
      </c>
      <c r="G160" s="11" t="str" cm="1">
        <f t="array" ref="G160">gssBoardClass(A160,B160,C160,D160,E160,F160)</f>
        <v>Speed/Slalom Small</v>
      </c>
      <c r="H160" s="39" t="str">
        <f>_xlfn.CONCAT(I160,"-",LEFT(K160,2),"-",LEFT(L160,3),"-",M160,"-",TRUNC(N160),"-",TRUNC(O160))</f>
        <v>2014-RR-TWI-101-63-227</v>
      </c>
      <c r="I160" s="42" t="str">
        <f>LEFT(J160,4)</f>
        <v>2014</v>
      </c>
      <c r="J160" s="46" t="s">
        <v>731</v>
      </c>
      <c r="K160" t="s">
        <v>1614</v>
      </c>
      <c r="L160" t="s">
        <v>2115</v>
      </c>
      <c r="M160">
        <v>101</v>
      </c>
      <c r="N160">
        <v>63</v>
      </c>
      <c r="O160">
        <v>227</v>
      </c>
      <c r="R160" t="s">
        <v>2119</v>
      </c>
      <c r="S160" t="s">
        <v>2120</v>
      </c>
      <c r="T160">
        <v>6.3</v>
      </c>
      <c r="U160" t="s">
        <v>2121</v>
      </c>
    </row>
    <row r="161" spans="1:21" x14ac:dyDescent="0.25">
      <c r="A161" s="11" t="str">
        <f>PROPER(K161)</f>
        <v>Rrd</v>
      </c>
      <c r="B161" s="11" t="str">
        <f>TRIM(PROPER(LEFT(L161,IFERROR(FIND(" ",L161),99))&amp;MID(L161,IFERROR(FIND(" ",L161),99),99)))</f>
        <v>Twintip Ltd V4</v>
      </c>
      <c r="C161" s="11">
        <f>TRUNC(O161)</f>
        <v>230</v>
      </c>
      <c r="D161" s="11">
        <f>TRUNC(N161)</f>
        <v>59</v>
      </c>
      <c r="E161" s="11">
        <f>M161</f>
        <v>91</v>
      </c>
      <c r="F161" s="38" t="str">
        <f>I161</f>
        <v>2014</v>
      </c>
      <c r="G161" s="11" t="str" cm="1">
        <f t="array" ref="G161">gssBoardClass(A161,B161,C161,D161,E161,F161)</f>
        <v>Speed/Slalom Xtra Small</v>
      </c>
      <c r="H161" s="39" t="str">
        <f>_xlfn.CONCAT(I161,"-",LEFT(K161,2),"-",LEFT(L161,3),"-",M161,"-",TRUNC(N161),"-",TRUNC(O161))</f>
        <v>2014-RR-TWI-91-59-230</v>
      </c>
      <c r="I161" s="42" t="str">
        <f>LEFT(J161,4)</f>
        <v>2014</v>
      </c>
      <c r="J161" s="46" t="s">
        <v>731</v>
      </c>
      <c r="K161" t="s">
        <v>1614</v>
      </c>
      <c r="L161" t="s">
        <v>2115</v>
      </c>
      <c r="M161">
        <v>91</v>
      </c>
      <c r="N161">
        <v>59.5</v>
      </c>
      <c r="O161">
        <v>230</v>
      </c>
      <c r="R161" t="s">
        <v>2116</v>
      </c>
      <c r="S161" t="s">
        <v>2117</v>
      </c>
      <c r="T161">
        <v>5.9</v>
      </c>
      <c r="U161" t="s">
        <v>2118</v>
      </c>
    </row>
    <row r="162" spans="1:21" x14ac:dyDescent="0.25">
      <c r="A162" s="11" t="str">
        <f>PROPER(K162)</f>
        <v>Rrd</v>
      </c>
      <c r="B162" s="11" t="str">
        <f>TRIM(PROPER(LEFT(L162,IFERROR(FIND(" ",L162),99))&amp;MID(L162,IFERROR(FIND(" ",L162),99),99)))</f>
        <v>Wave Cult Ltd V5</v>
      </c>
      <c r="C162" s="11">
        <f>TRUNC(O162)</f>
        <v>233</v>
      </c>
      <c r="D162" s="11">
        <f>TRUNC(N162)</f>
        <v>62</v>
      </c>
      <c r="E162" s="11">
        <f>M162</f>
        <v>100</v>
      </c>
      <c r="F162" s="38" t="str">
        <f>I162</f>
        <v>2014</v>
      </c>
      <c r="G162" s="11" t="str" cm="1">
        <f t="array" ref="G162">gssBoardClass(A162,B162,C162,D162,E162,F162)</f>
        <v>Wave / Freestyle</v>
      </c>
      <c r="H162" s="39" t="str">
        <f>_xlfn.CONCAT(I162,"-",LEFT(K162,2),"-",LEFT(L162,3),"-",M162,"-",TRUNC(N162),"-",TRUNC(O162))</f>
        <v>2014-RR-WAV-100-62-233</v>
      </c>
      <c r="I162" s="42" t="str">
        <f>LEFT(J162,4)</f>
        <v>2014</v>
      </c>
      <c r="J162" s="46" t="s">
        <v>731</v>
      </c>
      <c r="K162" t="s">
        <v>1614</v>
      </c>
      <c r="L162" t="s">
        <v>2067</v>
      </c>
      <c r="M162">
        <v>100</v>
      </c>
      <c r="N162">
        <v>62</v>
      </c>
      <c r="O162">
        <v>233</v>
      </c>
      <c r="R162" t="s">
        <v>2073</v>
      </c>
      <c r="S162" t="s">
        <v>2076</v>
      </c>
      <c r="T162">
        <v>7.1</v>
      </c>
      <c r="U162" t="s">
        <v>2077</v>
      </c>
    </row>
    <row r="163" spans="1:21" x14ac:dyDescent="0.25">
      <c r="A163" s="11" t="str">
        <f>PROPER(K163)</f>
        <v>Rrd</v>
      </c>
      <c r="B163" s="11" t="str">
        <f>TRIM(PROPER(LEFT(L163,IFERROR(FIND(" ",L163),99))&amp;MID(L163,IFERROR(FIND(" ",L163),99),99)))</f>
        <v>Wavejoy V2 X-Tech</v>
      </c>
      <c r="C163" s="11">
        <f>TRUNC(O163)</f>
        <v>229</v>
      </c>
      <c r="D163" s="11">
        <f>TRUNC(N163)</f>
        <v>53</v>
      </c>
      <c r="E163" s="11">
        <f>M163</f>
        <v>64</v>
      </c>
      <c r="F163" s="38" t="str">
        <f>I163</f>
        <v>2014</v>
      </c>
      <c r="G163" s="11" t="str" cm="1">
        <f t="array" ref="G163">gssBoardClass(A163,B163,C163,D163,E163,F163)</f>
        <v>Wave / Freestyle</v>
      </c>
      <c r="H163" s="39" t="str">
        <f>_xlfn.CONCAT(I163,"-",LEFT(K163,2),"-",LEFT(L163,3),"-",M163,"-",TRUNC(N163),"-",TRUNC(O163))</f>
        <v>2014-RR-WAV-64-53-229</v>
      </c>
      <c r="I163" s="42" t="str">
        <f>LEFT(J163,4)</f>
        <v>2014</v>
      </c>
      <c r="J163" s="46" t="s">
        <v>731</v>
      </c>
      <c r="K163" t="s">
        <v>1614</v>
      </c>
      <c r="L163" t="s">
        <v>2230</v>
      </c>
      <c r="M163">
        <v>64</v>
      </c>
      <c r="N163">
        <v>53</v>
      </c>
      <c r="O163">
        <v>229</v>
      </c>
      <c r="R163" t="s">
        <v>2231</v>
      </c>
      <c r="S163" t="s">
        <v>2232</v>
      </c>
      <c r="T163">
        <v>6.7</v>
      </c>
      <c r="U163" t="s">
        <v>2233</v>
      </c>
    </row>
    <row r="164" spans="1:21" x14ac:dyDescent="0.25">
      <c r="A164" s="11" t="str">
        <f>PROPER(K164)</f>
        <v>Rrd</v>
      </c>
      <c r="B164" s="11" t="str">
        <f>TRIM(PROPER(LEFT(L164,IFERROR(FIND(" ",L164),99))&amp;MID(L164,IFERROR(FIND(" ",L164),99),99)))</f>
        <v>Wave Cult Ltd V5</v>
      </c>
      <c r="C164" s="11">
        <f>TRUNC(O164)</f>
        <v>229</v>
      </c>
      <c r="D164" s="11">
        <f>TRUNC(N164)</f>
        <v>57</v>
      </c>
      <c r="E164" s="11">
        <f>M164</f>
        <v>75</v>
      </c>
      <c r="F164" s="38" t="str">
        <f>I164</f>
        <v>2014</v>
      </c>
      <c r="G164" s="11" t="str" cm="1">
        <f t="array" ref="G164">gssBoardClass(A164,B164,C164,D164,E164,F164)</f>
        <v>Wave / Freestyle</v>
      </c>
      <c r="H164" s="39" t="str">
        <f>_xlfn.CONCAT(I164,"-",LEFT(K164,2),"-",LEFT(L164,3),"-",M164,"-",TRUNC(N164),"-",TRUNC(O164))</f>
        <v>2014-RR-WAV-75-57-229</v>
      </c>
      <c r="I164" s="42" t="str">
        <f>LEFT(J164,4)</f>
        <v>2014</v>
      </c>
      <c r="J164" s="46" t="s">
        <v>731</v>
      </c>
      <c r="K164" t="s">
        <v>1614</v>
      </c>
      <c r="L164" t="s">
        <v>2067</v>
      </c>
      <c r="M164">
        <v>75</v>
      </c>
      <c r="N164">
        <v>57</v>
      </c>
      <c r="O164">
        <v>229</v>
      </c>
      <c r="R164" t="s">
        <v>2068</v>
      </c>
      <c r="S164" t="s">
        <v>2069</v>
      </c>
      <c r="T164">
        <v>6.4</v>
      </c>
      <c r="U164" t="s">
        <v>2070</v>
      </c>
    </row>
    <row r="165" spans="1:21" x14ac:dyDescent="0.25">
      <c r="A165" s="11" t="str">
        <f>PROPER(K165)</f>
        <v>Rrd</v>
      </c>
      <c r="B165" s="11" t="str">
        <f>TRIM(PROPER(LEFT(L165,IFERROR(FIND(" ",L165),99))&amp;MID(L165,IFERROR(FIND(" ",L165),99),99)))</f>
        <v>Wave Cult Ltd V5</v>
      </c>
      <c r="C165" s="11">
        <f>TRUNC(O165)</f>
        <v>230</v>
      </c>
      <c r="D165" s="11">
        <f>TRUNC(N165)</f>
        <v>59</v>
      </c>
      <c r="E165" s="11">
        <f>M165</f>
        <v>83</v>
      </c>
      <c r="F165" s="38" t="str">
        <f>I165</f>
        <v>2014</v>
      </c>
      <c r="G165" s="11" t="str" cm="1">
        <f t="array" ref="G165">gssBoardClass(A165,B165,C165,D165,E165,F165)</f>
        <v>Wave / Freestyle</v>
      </c>
      <c r="H165" s="39" t="str">
        <f>_xlfn.CONCAT(I165,"-",LEFT(K165,2),"-",LEFT(L165,3),"-",M165,"-",TRUNC(N165),"-",TRUNC(O165))</f>
        <v>2014-RR-WAV-83-59-230</v>
      </c>
      <c r="I165" s="42" t="str">
        <f>LEFT(J165,4)</f>
        <v>2014</v>
      </c>
      <c r="J165" s="46" t="s">
        <v>731</v>
      </c>
      <c r="K165" t="s">
        <v>1614</v>
      </c>
      <c r="L165" t="s">
        <v>2067</v>
      </c>
      <c r="M165">
        <v>83</v>
      </c>
      <c r="N165">
        <v>59</v>
      </c>
      <c r="O165">
        <v>230</v>
      </c>
      <c r="R165" t="s">
        <v>2068</v>
      </c>
      <c r="S165" t="s">
        <v>2071</v>
      </c>
      <c r="T165">
        <v>6.7</v>
      </c>
      <c r="U165" t="s">
        <v>2072</v>
      </c>
    </row>
    <row r="166" spans="1:21" x14ac:dyDescent="0.25">
      <c r="A166" s="11" t="str">
        <f>PROPER(K166)</f>
        <v>Rrd</v>
      </c>
      <c r="B166" s="11" t="str">
        <f>TRIM(PROPER(LEFT(L166,IFERROR(FIND(" ",L166),99))&amp;MID(L166,IFERROR(FIND(" ",L166),99),99)))</f>
        <v>Wave Cult Ltd V5</v>
      </c>
      <c r="C166" s="11">
        <f>TRUNC(O166)</f>
        <v>231</v>
      </c>
      <c r="D166" s="11">
        <f>TRUNC(N166)</f>
        <v>61</v>
      </c>
      <c r="E166" s="11">
        <f>M166</f>
        <v>92</v>
      </c>
      <c r="F166" s="38" t="str">
        <f>I166</f>
        <v>2014</v>
      </c>
      <c r="G166" s="11" t="str" cm="1">
        <f t="array" ref="G166">gssBoardClass(A166,B166,C166,D166,E166,F166)</f>
        <v>Wave / Freestyle</v>
      </c>
      <c r="H166" s="39" t="str">
        <f>_xlfn.CONCAT(I166,"-",LEFT(K166,2),"-",LEFT(L166,3),"-",M166,"-",TRUNC(N166),"-",TRUNC(O166))</f>
        <v>2014-RR-WAV-92-61-231</v>
      </c>
      <c r="I166" s="42" t="str">
        <f>LEFT(J166,4)</f>
        <v>2014</v>
      </c>
      <c r="J166" s="46" t="s">
        <v>731</v>
      </c>
      <c r="K166" t="s">
        <v>1614</v>
      </c>
      <c r="L166" t="s">
        <v>2067</v>
      </c>
      <c r="M166">
        <v>92</v>
      </c>
      <c r="N166">
        <v>61</v>
      </c>
      <c r="O166">
        <v>231</v>
      </c>
      <c r="R166" t="s">
        <v>2073</v>
      </c>
      <c r="S166" t="s">
        <v>2074</v>
      </c>
      <c r="T166">
        <v>6.9</v>
      </c>
      <c r="U166" t="s">
        <v>2075</v>
      </c>
    </row>
    <row r="167" spans="1:21" x14ac:dyDescent="0.25">
      <c r="A167" s="11" t="str">
        <f>PROPER(K167)</f>
        <v>Rrd</v>
      </c>
      <c r="B167" s="11" t="str">
        <f>TRIM(PROPER(LEFT(L167,IFERROR(FIND(" ",L167),99))&amp;MID(L167,IFERROR(FIND(" ",L167),99),99)))</f>
        <v>X-Fire Ltd V6 105</v>
      </c>
      <c r="C167" s="11">
        <f>TRUNC(O167)</f>
        <v>235</v>
      </c>
      <c r="D167" s="11">
        <f>TRUNC(N167)</f>
        <v>65</v>
      </c>
      <c r="E167" s="11">
        <f>M167</f>
        <v>105</v>
      </c>
      <c r="F167" s="38" t="str">
        <f>I167</f>
        <v>2014</v>
      </c>
      <c r="G167" s="11" t="str" cm="1">
        <f t="array" ref="G167">gssBoardClass(A167,B167,C167,D167,E167,F167)</f>
        <v>Speed/Slalom Small</v>
      </c>
      <c r="H167" s="39" t="str">
        <f>_xlfn.CONCAT(I167,"-",LEFT(K167,2),"-",LEFT(L167,3),"-",M167,"-",TRUNC(N167),"-",TRUNC(O167))</f>
        <v>2014-RR-X-F-105-65-235</v>
      </c>
      <c r="I167" s="42" t="str">
        <f>LEFT(J167,4)</f>
        <v>2014</v>
      </c>
      <c r="J167" s="46">
        <v>2014</v>
      </c>
      <c r="K167" t="s">
        <v>1614</v>
      </c>
      <c r="L167" t="s">
        <v>2054</v>
      </c>
      <c r="M167">
        <v>105</v>
      </c>
      <c r="N167">
        <v>65</v>
      </c>
      <c r="O167">
        <v>235</v>
      </c>
      <c r="Q167" t="s">
        <v>333</v>
      </c>
      <c r="S167" t="s">
        <v>2046</v>
      </c>
      <c r="T167" t="s">
        <v>2045</v>
      </c>
    </row>
    <row r="168" spans="1:21" x14ac:dyDescent="0.25">
      <c r="A168" s="11" t="str">
        <f>PROPER(K168)</f>
        <v>Rrd</v>
      </c>
      <c r="B168" s="11" t="str">
        <f>TRIM(PROPER(LEFT(L168,IFERROR(FIND(" ",L168),99))&amp;MID(L168,IFERROR(FIND(" ",L168),99),99)))</f>
        <v>X-Fire Ltd V7</v>
      </c>
      <c r="C168" s="11">
        <f>TRUNC(O168)</f>
        <v>235</v>
      </c>
      <c r="D168" s="11">
        <f>TRUNC(N168)</f>
        <v>65</v>
      </c>
      <c r="E168" s="11">
        <f>M168</f>
        <v>105</v>
      </c>
      <c r="F168" s="38" t="str">
        <f>I168</f>
        <v>2014</v>
      </c>
      <c r="G168" s="11" t="str" cm="1">
        <f t="array" ref="G168">gssBoardClass(A168,B168,C168,D168,E168,F168)</f>
        <v>Speed/Slalom Small</v>
      </c>
      <c r="H168" s="39" t="str">
        <f>_xlfn.CONCAT(I168,"-",LEFT(K168,2),"-",LEFT(L168,3),"-",M168,"-",TRUNC(N168),"-",TRUNC(O168))</f>
        <v>2014-RR-X-F-105-65-235</v>
      </c>
      <c r="I168" s="42" t="str">
        <f>LEFT(J168,4)</f>
        <v>2014</v>
      </c>
      <c r="J168" s="46" t="s">
        <v>731</v>
      </c>
      <c r="K168" t="s">
        <v>1614</v>
      </c>
      <c r="L168" t="s">
        <v>2122</v>
      </c>
      <c r="M168">
        <v>105</v>
      </c>
      <c r="N168">
        <v>65</v>
      </c>
      <c r="O168">
        <v>235</v>
      </c>
      <c r="R168" t="s">
        <v>2123</v>
      </c>
      <c r="S168" t="s">
        <v>2130</v>
      </c>
      <c r="T168">
        <v>6.4</v>
      </c>
      <c r="U168" t="s">
        <v>2131</v>
      </c>
    </row>
    <row r="169" spans="1:21" x14ac:dyDescent="0.25">
      <c r="A169" s="11" t="str">
        <f>PROPER(K169)</f>
        <v>Rrd</v>
      </c>
      <c r="B169" s="11" t="str">
        <f>TRIM(PROPER(LEFT(L169,IFERROR(FIND(" ",L169),99))&amp;MID(L169,IFERROR(FIND(" ",L169),99),99)))</f>
        <v>X-Fire Ltd V6 114</v>
      </c>
      <c r="C169" s="11">
        <f>TRUNC(O169)</f>
        <v>235</v>
      </c>
      <c r="D169" s="11">
        <f>TRUNC(N169)</f>
        <v>70</v>
      </c>
      <c r="E169" s="11">
        <f>M169</f>
        <v>114</v>
      </c>
      <c r="F169" s="38" t="str">
        <f>I169</f>
        <v>2014</v>
      </c>
      <c r="G169" s="11" t="str" cm="1">
        <f t="array" ref="G169">gssBoardClass(A169,B169,C169,D169,E169,F169)</f>
        <v>Slalom Medium</v>
      </c>
      <c r="H169" s="39" t="str">
        <f>_xlfn.CONCAT(I169,"-",LEFT(K169,2),"-",LEFT(L169,3),"-",M169,"-",TRUNC(N169),"-",TRUNC(O169))</f>
        <v>2014-RR-X-F-114-70-235</v>
      </c>
      <c r="I169" s="42" t="str">
        <f>LEFT(J169,4)</f>
        <v>2014</v>
      </c>
      <c r="J169" s="46">
        <v>2014</v>
      </c>
      <c r="K169" t="s">
        <v>1614</v>
      </c>
      <c r="L169" t="s">
        <v>2055</v>
      </c>
      <c r="M169">
        <v>114</v>
      </c>
      <c r="N169">
        <v>70</v>
      </c>
      <c r="O169">
        <v>235</v>
      </c>
      <c r="Q169" t="s">
        <v>333</v>
      </c>
      <c r="S169" t="s">
        <v>2047</v>
      </c>
      <c r="T169" t="s">
        <v>2045</v>
      </c>
    </row>
    <row r="170" spans="1:21" x14ac:dyDescent="0.25">
      <c r="A170" s="11" t="str">
        <f>PROPER(K170)</f>
        <v>Rrd</v>
      </c>
      <c r="B170" s="11" t="str">
        <f>TRIM(PROPER(LEFT(L170,IFERROR(FIND(" ",L170),99))&amp;MID(L170,IFERROR(FIND(" ",L170),99),99)))</f>
        <v>X-Fire Ltd V7</v>
      </c>
      <c r="C170" s="11">
        <f>TRUNC(O170)</f>
        <v>235</v>
      </c>
      <c r="D170" s="11">
        <f>TRUNC(N170)</f>
        <v>70</v>
      </c>
      <c r="E170" s="11">
        <f>M170</f>
        <v>114</v>
      </c>
      <c r="F170" s="38" t="str">
        <f>I170</f>
        <v>2014</v>
      </c>
      <c r="G170" s="11" t="str" cm="1">
        <f t="array" ref="G170">gssBoardClass(A170,B170,C170,D170,E170,F170)</f>
        <v>Slalom Medium</v>
      </c>
      <c r="H170" s="39" t="str">
        <f>_xlfn.CONCAT(I170,"-",LEFT(K170,2),"-",LEFT(L170,3),"-",M170,"-",TRUNC(N170),"-",TRUNC(O170))</f>
        <v>2014-RR-X-F-114-70-235</v>
      </c>
      <c r="I170" s="42" t="str">
        <f>LEFT(J170,4)</f>
        <v>2014</v>
      </c>
      <c r="J170" s="46" t="s">
        <v>731</v>
      </c>
      <c r="K170" t="s">
        <v>1614</v>
      </c>
      <c r="L170" t="s">
        <v>2122</v>
      </c>
      <c r="M170">
        <v>114</v>
      </c>
      <c r="N170">
        <v>70</v>
      </c>
      <c r="O170">
        <v>235</v>
      </c>
      <c r="R170" t="s">
        <v>2123</v>
      </c>
      <c r="S170" t="s">
        <v>2132</v>
      </c>
      <c r="T170">
        <v>6.4</v>
      </c>
      <c r="U170" t="s">
        <v>2133</v>
      </c>
    </row>
    <row r="171" spans="1:21" x14ac:dyDescent="0.25">
      <c r="A171" s="11" t="str">
        <f>PROPER(K171)</f>
        <v>Rrd</v>
      </c>
      <c r="B171" s="11" t="str">
        <f>TRIM(PROPER(LEFT(L171,IFERROR(FIND(" ",L171),99))&amp;MID(L171,IFERROR(FIND(" ",L171),99),99)))</f>
        <v>X-Fire Ltd V6 122</v>
      </c>
      <c r="C171" s="11">
        <f>TRUNC(O171)</f>
        <v>228</v>
      </c>
      <c r="D171" s="11">
        <f>TRUNC(N171)</f>
        <v>81</v>
      </c>
      <c r="E171" s="11">
        <f>M171</f>
        <v>122</v>
      </c>
      <c r="F171" s="38" t="str">
        <f>I171</f>
        <v>2014</v>
      </c>
      <c r="G171" s="11" t="str" cm="1">
        <f t="array" ref="G171">gssBoardClass(A171,B171,C171,D171,E171,F171)</f>
        <v>Slalom Large</v>
      </c>
      <c r="H171" s="39" t="str">
        <f>_xlfn.CONCAT(I171,"-",LEFT(K171,2),"-",LEFT(L171,3),"-",M171,"-",TRUNC(N171),"-",TRUNC(O171))</f>
        <v>2014-RR-X-F-122-81-228</v>
      </c>
      <c r="I171" s="42" t="str">
        <f>LEFT(J171,4)</f>
        <v>2014</v>
      </c>
      <c r="J171" s="46">
        <v>2014</v>
      </c>
      <c r="K171" t="s">
        <v>1614</v>
      </c>
      <c r="L171" t="s">
        <v>2056</v>
      </c>
      <c r="M171">
        <v>122</v>
      </c>
      <c r="N171">
        <v>81</v>
      </c>
      <c r="O171">
        <v>228</v>
      </c>
      <c r="Q171" t="s">
        <v>333</v>
      </c>
      <c r="S171" t="s">
        <v>2049</v>
      </c>
      <c r="T171" t="s">
        <v>2048</v>
      </c>
    </row>
    <row r="172" spans="1:21" x14ac:dyDescent="0.25">
      <c r="A172" s="11" t="str">
        <f>PROPER(K172)</f>
        <v>Rrd</v>
      </c>
      <c r="B172" s="11" t="str">
        <f>TRIM(PROPER(LEFT(L172,IFERROR(FIND(" ",L172),99))&amp;MID(L172,IFERROR(FIND(" ",L172),99),99)))</f>
        <v>X-Fire Ltd V7</v>
      </c>
      <c r="C172" s="11">
        <f>TRUNC(O172)</f>
        <v>228</v>
      </c>
      <c r="D172" s="11">
        <f>TRUNC(N172)</f>
        <v>81</v>
      </c>
      <c r="E172" s="11">
        <f>M172</f>
        <v>122</v>
      </c>
      <c r="F172" s="38" t="str">
        <f>I172</f>
        <v>2014</v>
      </c>
      <c r="G172" s="11" t="str" cm="1">
        <f t="array" ref="G172">gssBoardClass(A172,B172,C172,D172,E172,F172)</f>
        <v>Slalom Large</v>
      </c>
      <c r="H172" s="39" t="str">
        <f>_xlfn.CONCAT(I172,"-",LEFT(K172,2),"-",LEFT(L172,3),"-",M172,"-",TRUNC(N172),"-",TRUNC(O172))</f>
        <v>2014-RR-X-F-122-81-228</v>
      </c>
      <c r="I172" s="42" t="str">
        <f>LEFT(J172,4)</f>
        <v>2014</v>
      </c>
      <c r="J172" s="46" t="s">
        <v>731</v>
      </c>
      <c r="K172" t="s">
        <v>1614</v>
      </c>
      <c r="L172" t="s">
        <v>2122</v>
      </c>
      <c r="M172">
        <v>122</v>
      </c>
      <c r="N172">
        <v>81</v>
      </c>
      <c r="O172">
        <v>228</v>
      </c>
      <c r="R172" t="s">
        <v>2123</v>
      </c>
      <c r="S172" t="s">
        <v>2134</v>
      </c>
      <c r="T172">
        <v>7.18</v>
      </c>
      <c r="U172" t="s">
        <v>2135</v>
      </c>
    </row>
    <row r="173" spans="1:21" x14ac:dyDescent="0.25">
      <c r="A173" s="11" t="str">
        <f>PROPER(K173)</f>
        <v>Rrd</v>
      </c>
      <c r="B173" s="11" t="str">
        <f>TRIM(PROPER(LEFT(L173,IFERROR(FIND(" ",L173),99))&amp;MID(L173,IFERROR(FIND(" ",L173),99),99)))</f>
        <v>X-Fire Ltd V6 129</v>
      </c>
      <c r="C173" s="11">
        <f>TRUNC(O173)</f>
        <v>228</v>
      </c>
      <c r="D173" s="11">
        <f>TRUNC(N173)</f>
        <v>85</v>
      </c>
      <c r="E173" s="11">
        <f>M173</f>
        <v>129</v>
      </c>
      <c r="F173" s="38" t="str">
        <f>I173</f>
        <v>2014</v>
      </c>
      <c r="G173" s="11" t="str" cm="1">
        <f t="array" ref="G173">gssBoardClass(A173,B173,C173,D173,E173,F173)</f>
        <v>Slalom Large</v>
      </c>
      <c r="H173" s="39" t="str">
        <f>_xlfn.CONCAT(I173,"-",LEFT(K173,2),"-",LEFT(L173,3),"-",M173,"-",TRUNC(N173),"-",TRUNC(O173))</f>
        <v>2014-RR-X-F-129-85-228</v>
      </c>
      <c r="I173" s="42" t="str">
        <f>LEFT(J173,4)</f>
        <v>2014</v>
      </c>
      <c r="J173" s="46">
        <v>2014</v>
      </c>
      <c r="K173" t="s">
        <v>1614</v>
      </c>
      <c r="L173" t="s">
        <v>2057</v>
      </c>
      <c r="M173">
        <v>129</v>
      </c>
      <c r="N173">
        <v>85</v>
      </c>
      <c r="O173">
        <v>228</v>
      </c>
      <c r="Q173" t="s">
        <v>333</v>
      </c>
      <c r="S173" t="s">
        <v>2051</v>
      </c>
      <c r="T173" t="s">
        <v>2050</v>
      </c>
    </row>
    <row r="174" spans="1:21" x14ac:dyDescent="0.25">
      <c r="A174" s="11" t="str">
        <f>PROPER(K174)</f>
        <v>Rrd</v>
      </c>
      <c r="B174" s="11" t="str">
        <f>TRIM(PROPER(LEFT(L174,IFERROR(FIND(" ",L174),99))&amp;MID(L174,IFERROR(FIND(" ",L174),99),99)))</f>
        <v>X-Fire Ltd V7</v>
      </c>
      <c r="C174" s="11">
        <f>TRUNC(O174)</f>
        <v>228</v>
      </c>
      <c r="D174" s="11">
        <f>TRUNC(N174)</f>
        <v>85</v>
      </c>
      <c r="E174" s="11">
        <f>M174</f>
        <v>129</v>
      </c>
      <c r="F174" s="38" t="str">
        <f>I174</f>
        <v>2014</v>
      </c>
      <c r="G174" s="11" t="str" cm="1">
        <f t="array" ref="G174">gssBoardClass(A174,B174,C174,D174,E174,F174)</f>
        <v>Slalom Large</v>
      </c>
      <c r="H174" s="39" t="str">
        <f>_xlfn.CONCAT(I174,"-",LEFT(K174,2),"-",LEFT(L174,3),"-",M174,"-",TRUNC(N174),"-",TRUNC(O174))</f>
        <v>2014-RR-X-F-129-85-228</v>
      </c>
      <c r="I174" s="42" t="str">
        <f>LEFT(J174,4)</f>
        <v>2014</v>
      </c>
      <c r="J174" s="46" t="s">
        <v>731</v>
      </c>
      <c r="K174" t="s">
        <v>1614</v>
      </c>
      <c r="L174" t="s">
        <v>2122</v>
      </c>
      <c r="M174">
        <v>129</v>
      </c>
      <c r="N174">
        <v>85</v>
      </c>
      <c r="O174">
        <v>228</v>
      </c>
      <c r="R174" t="s">
        <v>2123</v>
      </c>
      <c r="S174" t="s">
        <v>2136</v>
      </c>
      <c r="T174">
        <v>7.6</v>
      </c>
      <c r="U174" t="s">
        <v>2137</v>
      </c>
    </row>
    <row r="175" spans="1:21" x14ac:dyDescent="0.25">
      <c r="A175" s="11" t="str">
        <f>PROPER(K175)</f>
        <v>Rrd</v>
      </c>
      <c r="B175" s="11" t="str">
        <f>TRIM(PROPER(LEFT(L175,IFERROR(FIND(" ",L175),99))&amp;MID(L175,IFERROR(FIND(" ",L175),99),99)))</f>
        <v>X-Fire Lightwind Ltd</v>
      </c>
      <c r="C175" s="11">
        <f>TRUNC(O175)</f>
        <v>236</v>
      </c>
      <c r="D175" s="11">
        <f>TRUNC(N175)</f>
        <v>91</v>
      </c>
      <c r="E175" s="11">
        <f>M175</f>
        <v>150</v>
      </c>
      <c r="F175" s="38" t="str">
        <f>I175</f>
        <v>2014</v>
      </c>
      <c r="G175" s="11" t="str" cm="1">
        <f t="array" ref="G175">gssBoardClass(A175,B175,C175,D175,E175,F175)</f>
        <v>Slalom Xtra Large</v>
      </c>
      <c r="H175" s="39" t="str">
        <f>_xlfn.CONCAT(I175,"-",LEFT(K175,2),"-",LEFT(L175,3),"-",M175,"-",TRUNC(N175),"-",TRUNC(O175))</f>
        <v>2014-RR-X-F-150-91-236</v>
      </c>
      <c r="I175" s="42" t="str">
        <f>LEFT(J175,4)</f>
        <v>2014</v>
      </c>
      <c r="J175" s="46" t="s">
        <v>731</v>
      </c>
      <c r="K175" t="s">
        <v>1614</v>
      </c>
      <c r="L175" t="s">
        <v>2138</v>
      </c>
      <c r="M175">
        <v>150</v>
      </c>
      <c r="N175">
        <v>91</v>
      </c>
      <c r="O175">
        <v>236</v>
      </c>
      <c r="R175" t="s">
        <v>2123</v>
      </c>
      <c r="S175" t="s">
        <v>2139</v>
      </c>
      <c r="T175">
        <v>7.8</v>
      </c>
      <c r="U175" t="s">
        <v>2140</v>
      </c>
    </row>
    <row r="176" spans="1:21" x14ac:dyDescent="0.25">
      <c r="A176" s="11" t="str">
        <f>PROPER(K176)</f>
        <v>Rrd</v>
      </c>
      <c r="B176" s="11" t="str">
        <f>TRIM(PROPER(LEFT(L176,IFERROR(FIND(" ",L176),99))&amp;MID(L176,IFERROR(FIND(" ",L176),99),99)))</f>
        <v>X-Fire Ltd V7</v>
      </c>
      <c r="C176" s="11">
        <f>TRUNC(O176)</f>
        <v>235</v>
      </c>
      <c r="D176" s="11">
        <f>TRUNC(N176)</f>
        <v>53</v>
      </c>
      <c r="E176" s="11">
        <f>M176</f>
        <v>80</v>
      </c>
      <c r="F176" s="38" t="str">
        <f>I176</f>
        <v>2014</v>
      </c>
      <c r="G176" s="11" t="str" cm="1">
        <f t="array" ref="G176">gssBoardClass(A176,B176,C176,D176,E176,F176)</f>
        <v>Speed/Slalom Xtra Small</v>
      </c>
      <c r="H176" s="39" t="str">
        <f>_xlfn.CONCAT(I176,"-",LEFT(K176,2),"-",LEFT(L176,3),"-",M176,"-",TRUNC(N176),"-",TRUNC(O176))</f>
        <v>2014-RR-X-F-80-53-235</v>
      </c>
      <c r="I176" s="42" t="str">
        <f>LEFT(J176,4)</f>
        <v>2014</v>
      </c>
      <c r="J176" s="46" t="s">
        <v>731</v>
      </c>
      <c r="K176" t="s">
        <v>1614</v>
      </c>
      <c r="L176" t="s">
        <v>2122</v>
      </c>
      <c r="M176">
        <v>80</v>
      </c>
      <c r="N176">
        <v>53</v>
      </c>
      <c r="O176">
        <v>235</v>
      </c>
      <c r="R176" t="s">
        <v>2123</v>
      </c>
      <c r="S176" t="s">
        <v>2124</v>
      </c>
      <c r="T176">
        <v>5.4</v>
      </c>
      <c r="U176" t="s">
        <v>2125</v>
      </c>
    </row>
    <row r="177" spans="1:21" x14ac:dyDescent="0.25">
      <c r="A177" s="11" t="str">
        <f>PROPER(K177)</f>
        <v>Rrd</v>
      </c>
      <c r="B177" s="11" t="str">
        <f>TRIM(PROPER(LEFT(L177,IFERROR(FIND(" ",L177),99))&amp;MID(L177,IFERROR(FIND(" ",L177),99),99)))</f>
        <v>X-Fire Ltd V6 90</v>
      </c>
      <c r="C177" s="11">
        <f>TRUNC(O177)</f>
        <v>235</v>
      </c>
      <c r="D177" s="11">
        <f>TRUNC(N177)</f>
        <v>59</v>
      </c>
      <c r="E177" s="11">
        <f>M177</f>
        <v>90</v>
      </c>
      <c r="F177" s="38" t="str">
        <f>I177</f>
        <v>2014</v>
      </c>
      <c r="G177" s="11" t="str" cm="1">
        <f t="array" ref="G177">gssBoardClass(A177,B177,C177,D177,E177,F177)</f>
        <v>Speed/Slalom Xtra Small</v>
      </c>
      <c r="H177" s="39" t="str">
        <f>_xlfn.CONCAT(I177,"-",LEFT(K177,2),"-",LEFT(L177,3),"-",M177,"-",TRUNC(N177),"-",TRUNC(O177))</f>
        <v>2014-RR-X-F-90-59-235</v>
      </c>
      <c r="I177" s="42" t="str">
        <f>LEFT(J177,4)</f>
        <v>2014</v>
      </c>
      <c r="J177" s="46">
        <v>2014</v>
      </c>
      <c r="K177" t="s">
        <v>1614</v>
      </c>
      <c r="L177" t="s">
        <v>2052</v>
      </c>
      <c r="M177">
        <v>90</v>
      </c>
      <c r="N177">
        <v>59</v>
      </c>
      <c r="O177">
        <v>235</v>
      </c>
      <c r="Q177" t="s">
        <v>333</v>
      </c>
      <c r="S177" t="s">
        <v>2042</v>
      </c>
      <c r="T177" t="s">
        <v>2041</v>
      </c>
    </row>
    <row r="178" spans="1:21" x14ac:dyDescent="0.25">
      <c r="A178" s="11" t="str">
        <f>PROPER(K178)</f>
        <v>Rrd</v>
      </c>
      <c r="B178" s="11" t="str">
        <f>TRIM(PROPER(LEFT(L178,IFERROR(FIND(" ",L178),99))&amp;MID(L178,IFERROR(FIND(" ",L178),99),99)))</f>
        <v>X-Fire Ltd V7</v>
      </c>
      <c r="C178" s="11">
        <f>TRUNC(O178)</f>
        <v>235</v>
      </c>
      <c r="D178" s="11">
        <f>TRUNC(N178)</f>
        <v>59</v>
      </c>
      <c r="E178" s="11">
        <f>M178</f>
        <v>90</v>
      </c>
      <c r="F178" s="38" t="str">
        <f>I178</f>
        <v>2014</v>
      </c>
      <c r="G178" s="11" t="str" cm="1">
        <f t="array" ref="G178">gssBoardClass(A178,B178,C178,D178,E178,F178)</f>
        <v>Speed/Slalom Xtra Small</v>
      </c>
      <c r="H178" s="39" t="str">
        <f>_xlfn.CONCAT(I178,"-",LEFT(K178,2),"-",LEFT(L178,3),"-",M178,"-",TRUNC(N178),"-",TRUNC(O178))</f>
        <v>2014-RR-X-F-90-59-235</v>
      </c>
      <c r="I178" s="42" t="str">
        <f>LEFT(J178,4)</f>
        <v>2014</v>
      </c>
      <c r="J178" s="46" t="s">
        <v>731</v>
      </c>
      <c r="K178" t="s">
        <v>1614</v>
      </c>
      <c r="L178" t="s">
        <v>2122</v>
      </c>
      <c r="M178">
        <v>90</v>
      </c>
      <c r="N178">
        <v>59</v>
      </c>
      <c r="O178">
        <v>235</v>
      </c>
      <c r="R178" t="s">
        <v>2123</v>
      </c>
      <c r="S178" t="s">
        <v>2126</v>
      </c>
      <c r="T178">
        <v>5.8</v>
      </c>
      <c r="U178" t="s">
        <v>2127</v>
      </c>
    </row>
    <row r="179" spans="1:21" x14ac:dyDescent="0.25">
      <c r="A179" s="11" t="str">
        <f>PROPER(K179)</f>
        <v>Rrd</v>
      </c>
      <c r="B179" s="11" t="str">
        <f>TRIM(PROPER(LEFT(L179,IFERROR(FIND(" ",L179),99))&amp;MID(L179,IFERROR(FIND(" ",L179),99),99)))</f>
        <v>X-Fire Ltd V6 98</v>
      </c>
      <c r="C179" s="11">
        <f>TRUNC(O179)</f>
        <v>235</v>
      </c>
      <c r="D179" s="11">
        <f>TRUNC(N179)</f>
        <v>61</v>
      </c>
      <c r="E179" s="11">
        <f>M179</f>
        <v>98</v>
      </c>
      <c r="F179" s="38" t="str">
        <f>I179</f>
        <v>2014</v>
      </c>
      <c r="G179" s="11" t="str" cm="1">
        <f t="array" ref="G179">gssBoardClass(A179,B179,C179,D179,E179,F179)</f>
        <v>Speed/Slalom Small</v>
      </c>
      <c r="H179" s="39" t="str">
        <f>_xlfn.CONCAT(I179,"-",LEFT(K179,2),"-",LEFT(L179,3),"-",M179,"-",TRUNC(N179),"-",TRUNC(O179))</f>
        <v>2014-RR-X-F-98-61-235</v>
      </c>
      <c r="I179" s="42" t="str">
        <f>LEFT(J179,4)</f>
        <v>2014</v>
      </c>
      <c r="J179" s="46">
        <v>2014</v>
      </c>
      <c r="K179" t="s">
        <v>1614</v>
      </c>
      <c r="L179" t="s">
        <v>2053</v>
      </c>
      <c r="M179">
        <v>98</v>
      </c>
      <c r="N179">
        <v>61.5</v>
      </c>
      <c r="O179">
        <v>235</v>
      </c>
      <c r="Q179" t="s">
        <v>333</v>
      </c>
      <c r="S179" t="s">
        <v>2044</v>
      </c>
      <c r="T179" t="s">
        <v>2043</v>
      </c>
    </row>
    <row r="180" spans="1:21" x14ac:dyDescent="0.25">
      <c r="A180" s="11" t="str">
        <f>PROPER(K180)</f>
        <v>Rrd</v>
      </c>
      <c r="B180" s="11" t="str">
        <f>TRIM(PROPER(LEFT(L180,IFERROR(FIND(" ",L180),99))&amp;MID(L180,IFERROR(FIND(" ",L180),99),99)))</f>
        <v>X-Fire Ltd V7</v>
      </c>
      <c r="C180" s="11">
        <f>TRUNC(O180)</f>
        <v>235</v>
      </c>
      <c r="D180" s="11">
        <f>TRUNC(N180)</f>
        <v>62</v>
      </c>
      <c r="E180" s="11">
        <f>M180</f>
        <v>98</v>
      </c>
      <c r="F180" s="38" t="str">
        <f>I180</f>
        <v>2014</v>
      </c>
      <c r="G180" s="11" t="str" cm="1">
        <f t="array" ref="G180">gssBoardClass(A180,B180,C180,D180,E180,F180)</f>
        <v>Speed/Slalom Small</v>
      </c>
      <c r="H180" s="39" t="str">
        <f>_xlfn.CONCAT(I180,"-",LEFT(K180,2),"-",LEFT(L180,3),"-",M180,"-",TRUNC(N180),"-",TRUNC(O180))</f>
        <v>2014-RR-X-F-98-62-235</v>
      </c>
      <c r="I180" s="42" t="str">
        <f>LEFT(J180,4)</f>
        <v>2014</v>
      </c>
      <c r="J180" s="46" t="s">
        <v>731</v>
      </c>
      <c r="K180" t="s">
        <v>1614</v>
      </c>
      <c r="L180" t="s">
        <v>2122</v>
      </c>
      <c r="M180">
        <v>98</v>
      </c>
      <c r="N180">
        <v>62</v>
      </c>
      <c r="O180">
        <v>235</v>
      </c>
      <c r="R180" t="s">
        <v>2123</v>
      </c>
      <c r="S180" t="s">
        <v>2128</v>
      </c>
      <c r="T180">
        <v>6.1</v>
      </c>
      <c r="U180" t="s">
        <v>2129</v>
      </c>
    </row>
    <row r="181" spans="1:21" x14ac:dyDescent="0.25">
      <c r="A181" s="11" t="str">
        <f>PROPER(K181)</f>
        <v>Fanatic</v>
      </c>
      <c r="B181" s="11" t="str">
        <f>TRIM(PROPER(LEFT(L181,IFERROR(FIND(" ",L181),99))&amp;MID(L181,IFERROR(FIND(" ",L181),99),99)))</f>
        <v>Falcon Slalom Te 112</v>
      </c>
      <c r="C181" s="11">
        <f>TRUNC(O181)</f>
        <v>230</v>
      </c>
      <c r="D181" s="11">
        <f>TRUNC(N181)</f>
        <v>70</v>
      </c>
      <c r="E181" s="11">
        <f>M181</f>
        <v>112</v>
      </c>
      <c r="F181" s="38" t="str">
        <f>I181</f>
        <v>2016</v>
      </c>
      <c r="G181" s="11" t="str" cm="1">
        <f t="array" ref="G181">gssBoardClass(A181,B181,C181,D181,E181,F181)</f>
        <v>Slalom Medium</v>
      </c>
      <c r="H181" s="39" t="str">
        <f>_xlfn.CONCAT(I181,"-",LEFT(K181,2),"-",LEFT(L181,3),"-",M181,"-",TRUNC(N181),"-",TRUNC(O181))</f>
        <v>2016-Fa-Fal-112-70-230</v>
      </c>
      <c r="I181" s="42" t="str">
        <f>LEFT(J181,4)</f>
        <v>2016</v>
      </c>
      <c r="J181" s="46">
        <v>2016</v>
      </c>
      <c r="K181" t="s">
        <v>1</v>
      </c>
      <c r="L181" t="s">
        <v>432</v>
      </c>
      <c r="M181">
        <v>112</v>
      </c>
      <c r="N181">
        <v>70</v>
      </c>
      <c r="O181">
        <v>230</v>
      </c>
      <c r="P181" t="s">
        <v>407</v>
      </c>
      <c r="S181" t="s">
        <v>408</v>
      </c>
    </row>
    <row r="182" spans="1:21" x14ac:dyDescent="0.25">
      <c r="A182" s="11" t="str">
        <f>PROPER(K182)</f>
        <v>Fanatic</v>
      </c>
      <c r="B182" s="11" t="str">
        <f>TRIM(PROPER(LEFT(L182,IFERROR(FIND(" ",L182),99))&amp;MID(L182,IFERROR(FIND(" ",L182),99),99)))</f>
        <v>Falcon Slalom Te 121</v>
      </c>
      <c r="C182" s="11">
        <f>TRUNC(O182)</f>
        <v>230</v>
      </c>
      <c r="D182" s="11">
        <f>TRUNC(N182)</f>
        <v>75</v>
      </c>
      <c r="E182" s="11">
        <f>M182</f>
        <v>121</v>
      </c>
      <c r="F182" s="38" t="str">
        <f>I182</f>
        <v>2016</v>
      </c>
      <c r="G182" s="11" t="str" cm="1">
        <f t="array" ref="G182">gssBoardClass(A182,B182,C182,D182,E182,F182)</f>
        <v>Slalom Large</v>
      </c>
      <c r="H182" s="39" t="str">
        <f>_xlfn.CONCAT(I182,"-",LEFT(K182,2),"-",LEFT(L182,3),"-",M182,"-",TRUNC(N182),"-",TRUNC(O182))</f>
        <v>2016-Fa-Fal-121-75-230</v>
      </c>
      <c r="I182" s="42" t="str">
        <f>LEFT(J182,4)</f>
        <v>2016</v>
      </c>
      <c r="J182" s="46">
        <v>2016</v>
      </c>
      <c r="K182" t="s">
        <v>1</v>
      </c>
      <c r="L182" t="s">
        <v>431</v>
      </c>
      <c r="M182">
        <v>121</v>
      </c>
      <c r="N182">
        <v>75</v>
      </c>
      <c r="O182">
        <v>230</v>
      </c>
      <c r="P182" t="s">
        <v>407</v>
      </c>
      <c r="S182" t="s">
        <v>409</v>
      </c>
    </row>
    <row r="183" spans="1:21" x14ac:dyDescent="0.25">
      <c r="A183" s="11" t="str">
        <f>PROPER(K183)</f>
        <v>Fanatic</v>
      </c>
      <c r="B183" s="11" t="str">
        <f>TRIM(PROPER(LEFT(L183,IFERROR(FIND(" ",L183),99))&amp;MID(L183,IFERROR(FIND(" ",L183),99),99)))</f>
        <v>Falcon Slalom Te 129</v>
      </c>
      <c r="C183" s="11">
        <f>TRUNC(O183)</f>
        <v>230</v>
      </c>
      <c r="D183" s="11">
        <f>TRUNC(N183)</f>
        <v>80</v>
      </c>
      <c r="E183" s="11">
        <f>M183</f>
        <v>129</v>
      </c>
      <c r="F183" s="38" t="str">
        <f>I183</f>
        <v>2016</v>
      </c>
      <c r="G183" s="11" t="str" cm="1">
        <f t="array" ref="G183">gssBoardClass(A183,B183,C183,D183,E183,F183)</f>
        <v>Slalom Large</v>
      </c>
      <c r="H183" s="39" t="str">
        <f>_xlfn.CONCAT(I183,"-",LEFT(K183,2),"-",LEFT(L183,3),"-",M183,"-",TRUNC(N183),"-",TRUNC(O183))</f>
        <v>2016-Fa-Fal-129-80-230</v>
      </c>
      <c r="I183" s="42" t="str">
        <f>LEFT(J183,4)</f>
        <v>2016</v>
      </c>
      <c r="J183" s="46">
        <v>2016</v>
      </c>
      <c r="K183" t="s">
        <v>1</v>
      </c>
      <c r="L183" t="s">
        <v>430</v>
      </c>
      <c r="M183">
        <v>129</v>
      </c>
      <c r="N183">
        <v>80</v>
      </c>
      <c r="O183">
        <v>230</v>
      </c>
      <c r="P183" t="s">
        <v>410</v>
      </c>
      <c r="S183" t="s">
        <v>411</v>
      </c>
    </row>
    <row r="184" spans="1:21" x14ac:dyDescent="0.25">
      <c r="A184" s="11" t="str">
        <f>PROPER(K184)</f>
        <v>Fanatic</v>
      </c>
      <c r="B184" s="11" t="str">
        <f>TRIM(PROPER(LEFT(L184,IFERROR(FIND(" ",L184),99))&amp;MID(L184,IFERROR(FIND(" ",L184),99),99)))</f>
        <v>Falcon Slalom Te 138</v>
      </c>
      <c r="C184" s="11">
        <f>TRUNC(O184)</f>
        <v>230</v>
      </c>
      <c r="D184" s="11">
        <f>TRUNC(N184)</f>
        <v>85</v>
      </c>
      <c r="E184" s="11">
        <f>M184</f>
        <v>138</v>
      </c>
      <c r="F184" s="38" t="str">
        <f>I184</f>
        <v>2016</v>
      </c>
      <c r="G184" s="11" t="str" cm="1">
        <f t="array" ref="G184">gssBoardClass(A184,B184,C184,D184,E184,F184)</f>
        <v>Slalom Large</v>
      </c>
      <c r="H184" s="39" t="str">
        <f>_xlfn.CONCAT(I184,"-",LEFT(K184,2),"-",LEFT(L184,3),"-",M184,"-",TRUNC(N184),"-",TRUNC(O184))</f>
        <v>2016-Fa-Fal-138-85-230</v>
      </c>
      <c r="I184" s="42" t="str">
        <f>LEFT(J184,4)</f>
        <v>2016</v>
      </c>
      <c r="J184" s="46">
        <v>2016</v>
      </c>
      <c r="K184" t="s">
        <v>1</v>
      </c>
      <c r="L184" t="s">
        <v>412</v>
      </c>
      <c r="M184">
        <v>138</v>
      </c>
      <c r="N184">
        <v>85</v>
      </c>
      <c r="O184">
        <v>230</v>
      </c>
      <c r="P184" t="s">
        <v>410</v>
      </c>
      <c r="S184" t="s">
        <v>399</v>
      </c>
    </row>
    <row r="185" spans="1:21" x14ac:dyDescent="0.25">
      <c r="A185" s="11" t="str">
        <f>PROPER(K185)</f>
        <v>Fanatic</v>
      </c>
      <c r="B185" s="11" t="str">
        <f>TRIM(PROPER(LEFT(L185,IFERROR(FIND(" ",L185),99))&amp;MID(L185,IFERROR(FIND(" ",L185),99),99)))</f>
        <v>Falcon Slalom Te 152</v>
      </c>
      <c r="C185" s="11">
        <f>TRUNC(O185)</f>
        <v>230</v>
      </c>
      <c r="D185" s="11">
        <f>TRUNC(N185)</f>
        <v>90</v>
      </c>
      <c r="E185" s="11">
        <f>M185</f>
        <v>152</v>
      </c>
      <c r="F185" s="38" t="str">
        <f>I185</f>
        <v>2016</v>
      </c>
      <c r="G185" s="11" t="str" cm="1">
        <f t="array" ref="G185">gssBoardClass(A185,B185,C185,D185,E185,F185)</f>
        <v>Slalom Xtra Large</v>
      </c>
      <c r="H185" s="39" t="str">
        <f>_xlfn.CONCAT(I185,"-",LEFT(K185,2),"-",LEFT(L185,3),"-",M185,"-",TRUNC(N185),"-",TRUNC(O185))</f>
        <v>2016-Fa-Fal-152-90-230</v>
      </c>
      <c r="I185" s="42" t="str">
        <f>LEFT(J185,4)</f>
        <v>2016</v>
      </c>
      <c r="J185" s="46">
        <v>2016</v>
      </c>
      <c r="K185" t="s">
        <v>1</v>
      </c>
      <c r="L185" t="s">
        <v>413</v>
      </c>
      <c r="M185">
        <v>152</v>
      </c>
      <c r="N185">
        <v>90</v>
      </c>
      <c r="O185">
        <v>230</v>
      </c>
      <c r="P185" t="s">
        <v>410</v>
      </c>
      <c r="S185" t="s">
        <v>414</v>
      </c>
    </row>
    <row r="186" spans="1:21" x14ac:dyDescent="0.25">
      <c r="A186" s="11" t="str">
        <f>PROPER(K186)</f>
        <v>Fanatic</v>
      </c>
      <c r="B186" s="11" t="str">
        <f>TRIM(PROPER(LEFT(L186,IFERROR(FIND(" ",L186),99))&amp;MID(L186,IFERROR(FIND(" ",L186),99),99)))</f>
        <v>Falcon Formula 172</v>
      </c>
      <c r="C186" s="11">
        <f>TRUNC(O186)</f>
        <v>230</v>
      </c>
      <c r="D186" s="11">
        <f>TRUNC(N186)</f>
        <v>100</v>
      </c>
      <c r="E186" s="11">
        <f>M186</f>
        <v>172</v>
      </c>
      <c r="F186" s="38" t="str">
        <f>I186</f>
        <v>2016</v>
      </c>
      <c r="G186" s="11" t="str" cm="1">
        <f t="array" ref="G186">gssBoardClass(A186,B186,C186,D186,E186,F186)</f>
        <v>Formula Raceboard</v>
      </c>
      <c r="H186" s="39" t="str">
        <f>_xlfn.CONCAT(I186,"-",LEFT(K186,2),"-",LEFT(L186,3),"-",M186,"-",TRUNC(N186),"-",TRUNC(O186))</f>
        <v>2016-Fa-Fal-172-100-230</v>
      </c>
      <c r="I186" s="42" t="str">
        <f>LEFT(J186,4)</f>
        <v>2016</v>
      </c>
      <c r="J186" s="46">
        <v>2016</v>
      </c>
      <c r="K186" t="s">
        <v>1</v>
      </c>
      <c r="L186" t="s">
        <v>259</v>
      </c>
      <c r="M186">
        <v>172</v>
      </c>
      <c r="N186">
        <v>100</v>
      </c>
      <c r="O186">
        <v>230</v>
      </c>
      <c r="P186" t="s">
        <v>410</v>
      </c>
      <c r="S186" t="s">
        <v>415</v>
      </c>
    </row>
    <row r="187" spans="1:21" x14ac:dyDescent="0.25">
      <c r="A187" s="11" t="str">
        <f>PROPER(K187)</f>
        <v>Fanatic</v>
      </c>
      <c r="B187" s="11" t="str">
        <f>TRIM(PROPER(LEFT(L187,IFERROR(FIND(" ",L187),99))&amp;MID(L187,IFERROR(FIND(" ",L187),99),99)))</f>
        <v>Falcon Speed 44 Lüderitz</v>
      </c>
      <c r="C187" s="11">
        <f>TRUNC(O187)</f>
        <v>230</v>
      </c>
      <c r="D187" s="11">
        <f>TRUNC(N187)</f>
        <v>44</v>
      </c>
      <c r="E187" s="11">
        <f>M187</f>
        <v>54</v>
      </c>
      <c r="F187" s="38" t="str">
        <f>I187</f>
        <v>2016</v>
      </c>
      <c r="G187" s="11" t="str" cm="1">
        <f t="array" ref="G187">gssBoardClass(A187,B187,C187,D187,E187,F187)</f>
        <v>Speedboard</v>
      </c>
      <c r="H187" s="39" t="str">
        <f>_xlfn.CONCAT(I187,"-",LEFT(K187,2),"-",LEFT(L187,3),"-",M187,"-",TRUNC(N187),"-",TRUNC(O187))</f>
        <v>2016-Fa-Fal-54-44-230</v>
      </c>
      <c r="I187" s="42" t="str">
        <f>LEFT(J187,4)</f>
        <v>2016</v>
      </c>
      <c r="J187" s="46">
        <v>2016</v>
      </c>
      <c r="K187" t="s">
        <v>1</v>
      </c>
      <c r="L187" t="s">
        <v>256</v>
      </c>
      <c r="M187">
        <v>54</v>
      </c>
      <c r="N187">
        <v>44</v>
      </c>
      <c r="O187">
        <v>230</v>
      </c>
      <c r="P187" t="s">
        <v>403</v>
      </c>
      <c r="S187" t="s">
        <v>416</v>
      </c>
    </row>
    <row r="188" spans="1:21" x14ac:dyDescent="0.25">
      <c r="A188" s="11" t="str">
        <f>PROPER(K188)</f>
        <v>Fanatic</v>
      </c>
      <c r="B188" s="11" t="str">
        <f>TRIM(PROPER(LEFT(L188,IFERROR(FIND(" ",L188),99))&amp;MID(L188,IFERROR(FIND(" ",L188),99),99)))</f>
        <v>Falcon Speed 50</v>
      </c>
      <c r="C188" s="11">
        <f>TRUNC(O188)</f>
        <v>230</v>
      </c>
      <c r="D188" s="11">
        <f>TRUNC(N188)</f>
        <v>50</v>
      </c>
      <c r="E188" s="11">
        <f>M188</f>
        <v>68</v>
      </c>
      <c r="F188" s="38" t="str">
        <f>I188</f>
        <v>2016</v>
      </c>
      <c r="G188" s="11" t="str" cm="1">
        <f t="array" ref="G188">gssBoardClass(A188,B188,C188,D188,E188,F188)</f>
        <v>Speedboard</v>
      </c>
      <c r="H188" s="39" t="str">
        <f>_xlfn.CONCAT(I188,"-",LEFT(K188,2),"-",LEFT(L188,3),"-",M188,"-",TRUNC(N188),"-",TRUNC(O188))</f>
        <v>2016-Fa-Fal-68-50-230</v>
      </c>
      <c r="I188" s="42" t="str">
        <f>LEFT(J188,4)</f>
        <v>2016</v>
      </c>
      <c r="J188" s="46">
        <v>2016</v>
      </c>
      <c r="K188" t="s">
        <v>1</v>
      </c>
      <c r="L188" t="s">
        <v>417</v>
      </c>
      <c r="M188">
        <v>68</v>
      </c>
      <c r="N188">
        <v>50</v>
      </c>
      <c r="O188">
        <v>230</v>
      </c>
      <c r="P188" t="s">
        <v>403</v>
      </c>
      <c r="S188" t="s">
        <v>387</v>
      </c>
    </row>
    <row r="189" spans="1:21" x14ac:dyDescent="0.25">
      <c r="A189" s="11" t="str">
        <f>PROPER(K189)</f>
        <v>Fanatic</v>
      </c>
      <c r="B189" s="11" t="str">
        <f>TRIM(PROPER(LEFT(L189,IFERROR(FIND(" ",L189),99))&amp;MID(L189,IFERROR(FIND(" ",L189),99),99)))</f>
        <v>Falcon Speed 56</v>
      </c>
      <c r="C189" s="11">
        <f>TRUNC(O189)</f>
        <v>235</v>
      </c>
      <c r="D189" s="11">
        <f>TRUNC(N189)</f>
        <v>56</v>
      </c>
      <c r="E189" s="11">
        <f>M189</f>
        <v>79</v>
      </c>
      <c r="F189" s="38" t="str">
        <f>I189</f>
        <v>2016</v>
      </c>
      <c r="G189" s="11" t="str" cm="1">
        <f t="array" ref="G189">gssBoardClass(A189,B189,C189,D189,E189,F189)</f>
        <v>Speed/Slalom Xtra Small</v>
      </c>
      <c r="H189" s="39" t="str">
        <f>_xlfn.CONCAT(I189,"-",LEFT(K189,2),"-",LEFT(L189,3),"-",M189,"-",TRUNC(N189),"-",TRUNC(O189))</f>
        <v>2016-Fa-Fal-79-56-235</v>
      </c>
      <c r="I189" s="42" t="str">
        <f>LEFT(J189,4)</f>
        <v>2016</v>
      </c>
      <c r="J189" s="46">
        <v>2016</v>
      </c>
      <c r="K189" t="s">
        <v>1</v>
      </c>
      <c r="L189" t="s">
        <v>258</v>
      </c>
      <c r="M189">
        <v>79</v>
      </c>
      <c r="N189">
        <v>56</v>
      </c>
      <c r="O189">
        <v>235</v>
      </c>
      <c r="P189" t="s">
        <v>403</v>
      </c>
      <c r="S189" t="s">
        <v>393</v>
      </c>
    </row>
    <row r="190" spans="1:21" x14ac:dyDescent="0.25">
      <c r="A190" s="11" t="str">
        <f>PROPER(K190)</f>
        <v>Fanatic</v>
      </c>
      <c r="B190" s="11" t="str">
        <f>TRIM(PROPER(LEFT(L190,IFERROR(FIND(" ",L190),99))&amp;MID(L190,IFERROR(FIND(" ",L190),99),99)))</f>
        <v>Falcon Slalom Te 90</v>
      </c>
      <c r="C190" s="11">
        <f>TRUNC(O190)</f>
        <v>235</v>
      </c>
      <c r="D190" s="11">
        <f>TRUNC(N190)</f>
        <v>59</v>
      </c>
      <c r="E190" s="11">
        <f>M190</f>
        <v>90</v>
      </c>
      <c r="F190" s="38" t="str">
        <f>I190</f>
        <v>2016</v>
      </c>
      <c r="G190" s="11" t="str" cm="1">
        <f t="array" ref="G190">gssBoardClass(A190,B190,C190,D190,E190,F190)</f>
        <v>Speed/Slalom Xtra Small</v>
      </c>
      <c r="H190" s="39" t="str">
        <f>_xlfn.CONCAT(I190,"-",LEFT(K190,2),"-",LEFT(L190,3),"-",M190,"-",TRUNC(N190),"-",TRUNC(O190))</f>
        <v>2016-Fa-Fal-90-59-235</v>
      </c>
      <c r="I190" s="42" t="str">
        <f>LEFT(J190,4)</f>
        <v>2016</v>
      </c>
      <c r="J190" s="46">
        <v>2016</v>
      </c>
      <c r="K190" t="s">
        <v>1</v>
      </c>
      <c r="L190" t="s">
        <v>402</v>
      </c>
      <c r="M190">
        <v>90</v>
      </c>
      <c r="N190">
        <v>59</v>
      </c>
      <c r="O190">
        <v>235</v>
      </c>
      <c r="P190" t="s">
        <v>403</v>
      </c>
      <c r="S190" t="s">
        <v>404</v>
      </c>
    </row>
    <row r="191" spans="1:21" x14ac:dyDescent="0.25">
      <c r="A191" s="11" t="str">
        <f>PROPER(K191)</f>
        <v>Fanatic</v>
      </c>
      <c r="B191" s="11" t="str">
        <f>TRIM(PROPER(LEFT(L191,IFERROR(FIND(" ",L191),99))&amp;MID(L191,IFERROR(FIND(" ",L191),99),99)))</f>
        <v>Falcon Slalom Te 99</v>
      </c>
      <c r="C191" s="11">
        <f>TRUNC(O191)</f>
        <v>235</v>
      </c>
      <c r="D191" s="11">
        <f>TRUNC(N191)</f>
        <v>63</v>
      </c>
      <c r="E191" s="11">
        <f>M191</f>
        <v>99</v>
      </c>
      <c r="F191" s="38" t="str">
        <f>I191</f>
        <v>2016</v>
      </c>
      <c r="G191" s="11" t="str" cm="1">
        <f t="array" ref="G191">gssBoardClass(A191,B191,C191,D191,E191,F191)</f>
        <v>Speed/Slalom Small</v>
      </c>
      <c r="H191" s="39" t="str">
        <f>_xlfn.CONCAT(I191,"-",LEFT(K191,2),"-",LEFT(L191,3),"-",M191,"-",TRUNC(N191),"-",TRUNC(O191))</f>
        <v>2016-Fa-Fal-99-63-235</v>
      </c>
      <c r="I191" s="42" t="str">
        <f>LEFT(J191,4)</f>
        <v>2016</v>
      </c>
      <c r="J191" s="46">
        <v>2016</v>
      </c>
      <c r="K191" t="s">
        <v>1</v>
      </c>
      <c r="L191" t="s">
        <v>429</v>
      </c>
      <c r="M191">
        <v>99</v>
      </c>
      <c r="N191">
        <v>63</v>
      </c>
      <c r="O191">
        <v>235</v>
      </c>
      <c r="P191" t="s">
        <v>405</v>
      </c>
      <c r="S191" t="s">
        <v>406</v>
      </c>
    </row>
    <row r="192" spans="1:21" x14ac:dyDescent="0.25">
      <c r="A192" s="11" t="str">
        <f>PROPER(K192)</f>
        <v>Fanatic</v>
      </c>
      <c r="B192" s="11" t="str">
        <f>TRIM(PROPER(LEFT(L192,IFERROR(FIND(" ",L192),99))&amp;MID(L192,IFERROR(FIND(" ",L192),99),99)))</f>
        <v>Freewave 106</v>
      </c>
      <c r="C192" s="11">
        <f>TRUNC(O192)</f>
        <v>235</v>
      </c>
      <c r="D192" s="11">
        <f>TRUNC(N192)</f>
        <v>63</v>
      </c>
      <c r="E192" s="11">
        <f>M192</f>
        <v>106</v>
      </c>
      <c r="F192" s="38" t="str">
        <f>I192</f>
        <v>2016</v>
      </c>
      <c r="G192" s="11" t="str" cm="1">
        <f t="array" ref="G192">gssBoardClass(A192,B192,C192,D192,E192,F192)</f>
        <v>Wave / Freestyle</v>
      </c>
      <c r="H192" s="39" t="str">
        <f>_xlfn.CONCAT(I192,"-",LEFT(K192,2),"-",LEFT(L192,3),"-",M192,"-",TRUNC(N192),"-",TRUNC(O192))</f>
        <v>2016-Fa-Fre-106-63-235</v>
      </c>
      <c r="I192" s="42" t="str">
        <f>LEFT(J192,4)</f>
        <v>2016</v>
      </c>
      <c r="J192" s="46">
        <v>2016</v>
      </c>
      <c r="K192" t="s">
        <v>1</v>
      </c>
      <c r="L192" t="s">
        <v>435</v>
      </c>
      <c r="M192">
        <v>106</v>
      </c>
      <c r="N192">
        <v>63.5</v>
      </c>
      <c r="O192">
        <v>235</v>
      </c>
      <c r="P192" t="s">
        <v>382</v>
      </c>
      <c r="S192" t="s">
        <v>383</v>
      </c>
    </row>
    <row r="193" spans="1:19" x14ac:dyDescent="0.25">
      <c r="A193" s="11" t="str">
        <f>PROPER(K193)</f>
        <v>Fanatic</v>
      </c>
      <c r="B193" s="11" t="str">
        <f>TRIM(PROPER(LEFT(L193,IFERROR(FIND(" ",L193),99))&amp;MID(L193,IFERROR(FIND(" ",L193),99),99)))</f>
        <v>Freewave 116</v>
      </c>
      <c r="C193" s="11">
        <f>TRUNC(O193)</f>
        <v>236</v>
      </c>
      <c r="D193" s="11">
        <f>TRUNC(N193)</f>
        <v>66</v>
      </c>
      <c r="E193" s="11">
        <f>M193</f>
        <v>116</v>
      </c>
      <c r="F193" s="38" t="str">
        <f>I193</f>
        <v>2016</v>
      </c>
      <c r="G193" s="11" t="str" cm="1">
        <f t="array" ref="G193">gssBoardClass(A193,B193,C193,D193,E193,F193)</f>
        <v>Wave / Freestyle</v>
      </c>
      <c r="H193" s="39" t="str">
        <f>_xlfn.CONCAT(I193,"-",LEFT(K193,2),"-",LEFT(L193,3),"-",M193,"-",TRUNC(N193),"-",TRUNC(O193))</f>
        <v>2016-Fa-Fre-116-66-236</v>
      </c>
      <c r="I193" s="42" t="str">
        <f>LEFT(J193,4)</f>
        <v>2016</v>
      </c>
      <c r="J193" s="46">
        <v>2016</v>
      </c>
      <c r="K193" t="s">
        <v>1</v>
      </c>
      <c r="L193" t="s">
        <v>436</v>
      </c>
      <c r="M193" s="5">
        <v>116</v>
      </c>
      <c r="N193" s="5">
        <v>66</v>
      </c>
      <c r="O193" s="5">
        <v>236</v>
      </c>
      <c r="P193" s="5" t="s">
        <v>380</v>
      </c>
      <c r="Q193" s="5"/>
      <c r="S193" s="5" t="s">
        <v>384</v>
      </c>
    </row>
    <row r="194" spans="1:19" x14ac:dyDescent="0.25">
      <c r="A194" s="11" t="str">
        <f>PROPER(K194)</f>
        <v>Fanatic</v>
      </c>
      <c r="B194" s="11" t="str">
        <f>TRIM(PROPER(LEFT(L194,IFERROR(FIND(" ",L194),99))&amp;MID(L194,IFERROR(FIND(" ",L194),99),99)))</f>
        <v>Freewave Te 76; Freewave Cws 76</v>
      </c>
      <c r="C194" s="11">
        <f>TRUNC(O194)</f>
        <v>232</v>
      </c>
      <c r="D194" s="11">
        <f>TRUNC(N194)</f>
        <v>56</v>
      </c>
      <c r="E194" s="11">
        <f>M194</f>
        <v>76</v>
      </c>
      <c r="F194" s="38" t="str">
        <f>I194</f>
        <v>2016</v>
      </c>
      <c r="G194" s="11" t="str" cm="1">
        <f t="array" ref="G194">gssBoardClass(A194,B194,C194,D194,E194,F194)</f>
        <v>Wave / Freestyle</v>
      </c>
      <c r="H194" s="39" t="str">
        <f>_xlfn.CONCAT(I194,"-",LEFT(K194,2),"-",LEFT(L194,3),"-",M194,"-",TRUNC(N194),"-",TRUNC(O194))</f>
        <v>2016-Fa-Fre-76-56-232</v>
      </c>
      <c r="I194" s="42" t="str">
        <f>LEFT(J194,4)</f>
        <v>2016</v>
      </c>
      <c r="J194" s="46">
        <v>2016</v>
      </c>
      <c r="K194" t="s">
        <v>1</v>
      </c>
      <c r="L194" t="s">
        <v>379</v>
      </c>
      <c r="M194" s="5">
        <v>76</v>
      </c>
      <c r="N194" s="5">
        <v>56</v>
      </c>
      <c r="O194" s="5">
        <v>232</v>
      </c>
      <c r="P194" s="5" t="s">
        <v>380</v>
      </c>
      <c r="Q194" s="5"/>
      <c r="S194" s="5" t="s">
        <v>381</v>
      </c>
    </row>
    <row r="195" spans="1:19" x14ac:dyDescent="0.25">
      <c r="A195" s="11" t="str">
        <f>PROPER(K195)</f>
        <v>Fanatic</v>
      </c>
      <c r="B195" s="11" t="str">
        <f>TRIM(PROPER(LEFT(L195,IFERROR(FIND(" ",L195),99))&amp;MID(L195,IFERROR(FIND(" ",L195),99),99)))</f>
        <v>Freewave 86</v>
      </c>
      <c r="C195" s="11">
        <f>TRUNC(O195)</f>
        <v>233</v>
      </c>
      <c r="D195" s="11">
        <f>TRUNC(N195)</f>
        <v>58</v>
      </c>
      <c r="E195" s="11">
        <f>M195</f>
        <v>86</v>
      </c>
      <c r="F195" s="38" t="str">
        <f>I195</f>
        <v>2016</v>
      </c>
      <c r="G195" s="11" t="str" cm="1">
        <f t="array" ref="G195">gssBoardClass(A195,B195,C195,D195,E195,F195)</f>
        <v>Wave / Freestyle</v>
      </c>
      <c r="H195" s="39" t="str">
        <f>_xlfn.CONCAT(I195,"-",LEFT(K195,2),"-",LEFT(L195,3),"-",M195,"-",TRUNC(N195),"-",TRUNC(O195))</f>
        <v>2016-Fa-Fre-86-58-233</v>
      </c>
      <c r="I195" s="42" t="str">
        <f>LEFT(J195,4)</f>
        <v>2016</v>
      </c>
      <c r="J195" s="46">
        <v>2016</v>
      </c>
      <c r="K195" t="s">
        <v>1</v>
      </c>
      <c r="L195" t="s">
        <v>433</v>
      </c>
      <c r="M195" s="5">
        <v>86</v>
      </c>
      <c r="N195" s="5">
        <v>58.5</v>
      </c>
      <c r="O195" s="5">
        <v>233</v>
      </c>
      <c r="P195" s="5" t="s">
        <v>382</v>
      </c>
      <c r="Q195" s="5"/>
      <c r="S195" s="5" t="s">
        <v>368</v>
      </c>
    </row>
    <row r="196" spans="1:19" x14ac:dyDescent="0.25">
      <c r="A196" s="11" t="str">
        <f>PROPER(K196)</f>
        <v>Fanatic</v>
      </c>
      <c r="B196" s="11" t="str">
        <f>TRIM(PROPER(LEFT(L196,IFERROR(FIND(" ",L196),99))&amp;MID(L196,IFERROR(FIND(" ",L196),99),99)))</f>
        <v>Freewave 96</v>
      </c>
      <c r="C196" s="11">
        <f>TRUNC(O196)</f>
        <v>234</v>
      </c>
      <c r="D196" s="11">
        <f>TRUNC(N196)</f>
        <v>61</v>
      </c>
      <c r="E196" s="11">
        <f>M196</f>
        <v>96</v>
      </c>
      <c r="F196" s="38" t="str">
        <f>I196</f>
        <v>2016</v>
      </c>
      <c r="G196" s="11" t="str" cm="1">
        <f t="array" ref="G196">gssBoardClass(A196,B196,C196,D196,E196,F196)</f>
        <v>Wave / Freestyle</v>
      </c>
      <c r="H196" s="39" t="str">
        <f>_xlfn.CONCAT(I196,"-",LEFT(K196,2),"-",LEFT(L196,3),"-",M196,"-",TRUNC(N196),"-",TRUNC(O196))</f>
        <v>2016-Fa-Fre-96-61-234</v>
      </c>
      <c r="I196" s="42" t="str">
        <f>LEFT(J196,4)</f>
        <v>2016</v>
      </c>
      <c r="J196" s="46">
        <v>2016</v>
      </c>
      <c r="K196" t="s">
        <v>1</v>
      </c>
      <c r="L196" t="s">
        <v>434</v>
      </c>
      <c r="M196" s="5">
        <v>96</v>
      </c>
      <c r="N196" s="5">
        <v>61</v>
      </c>
      <c r="O196" s="5">
        <v>234</v>
      </c>
      <c r="P196" s="5" t="s">
        <v>382</v>
      </c>
      <c r="Q196" s="5"/>
      <c r="S196" s="5" t="s">
        <v>378</v>
      </c>
    </row>
    <row r="197" spans="1:19" x14ac:dyDescent="0.25">
      <c r="A197" s="11" t="str">
        <f>PROPER(K197)</f>
        <v>Fanatic</v>
      </c>
      <c r="B197" s="11" t="str">
        <f>TRIM(PROPER(LEFT(L197,IFERROR(FIND(" ",L197),99))&amp;MID(L197,IFERROR(FIND(" ",L197),99),99)))</f>
        <v>Gecko 105</v>
      </c>
      <c r="C197" s="11">
        <f>TRUNC(O197)</f>
        <v>239</v>
      </c>
      <c r="D197" s="11">
        <f>TRUNC(N197)</f>
        <v>69</v>
      </c>
      <c r="E197" s="11">
        <f>M197</f>
        <v>105</v>
      </c>
      <c r="F197" s="38" t="str">
        <f>I197</f>
        <v>2016</v>
      </c>
      <c r="G197" s="11" t="str" cm="1">
        <f t="array" ref="G197">gssBoardClass(A197,B197,C197,D197,E197,F197)</f>
        <v>Slalom Medium</v>
      </c>
      <c r="H197" s="39" t="str">
        <f>_xlfn.CONCAT(I197,"-",LEFT(K197,2),"-",LEFT(L197,3),"-",M197,"-",TRUNC(N197),"-",TRUNC(O197))</f>
        <v>2016-Fa-Gec-105-69-239</v>
      </c>
      <c r="I197" s="42" t="str">
        <f>LEFT(J197,4)</f>
        <v>2016</v>
      </c>
      <c r="J197" s="46">
        <v>2016</v>
      </c>
      <c r="K197" t="s">
        <v>1</v>
      </c>
      <c r="L197" t="s">
        <v>442</v>
      </c>
      <c r="M197">
        <v>105</v>
      </c>
      <c r="N197">
        <v>69</v>
      </c>
      <c r="O197">
        <v>239</v>
      </c>
      <c r="P197" t="s">
        <v>396</v>
      </c>
      <c r="S197" t="s">
        <v>394</v>
      </c>
    </row>
    <row r="198" spans="1:19" x14ac:dyDescent="0.25">
      <c r="A198" s="11" t="str">
        <f>PROPER(K198)</f>
        <v>Fanatic</v>
      </c>
      <c r="B198" s="11" t="str">
        <f>TRIM(PROPER(LEFT(L198,IFERROR(FIND(" ",L198),99))&amp;MID(L198,IFERROR(FIND(" ",L198),99),99)))</f>
        <v>Gecko 112</v>
      </c>
      <c r="C198" s="11">
        <f>TRUNC(O198)</f>
        <v>239</v>
      </c>
      <c r="D198" s="11">
        <f>TRUNC(N198)</f>
        <v>73</v>
      </c>
      <c r="E198" s="11">
        <f>M198</f>
        <v>112</v>
      </c>
      <c r="F198" s="38" t="str">
        <f>I198</f>
        <v>2016</v>
      </c>
      <c r="G198" s="11" t="str" cm="1">
        <f t="array" ref="G198">gssBoardClass(A198,B198,C198,D198,E198,F198)</f>
        <v>Slalom Medium</v>
      </c>
      <c r="H198" s="39" t="str">
        <f>_xlfn.CONCAT(I198,"-",LEFT(K198,2),"-",LEFT(L198,3),"-",M198,"-",TRUNC(N198),"-",TRUNC(O198))</f>
        <v>2016-Fa-Gec-112-73-239</v>
      </c>
      <c r="I198" s="42" t="str">
        <f>LEFT(J198,4)</f>
        <v>2016</v>
      </c>
      <c r="J198" s="46">
        <v>2016</v>
      </c>
      <c r="K198" t="s">
        <v>1</v>
      </c>
      <c r="L198" t="s">
        <v>443</v>
      </c>
      <c r="M198">
        <v>112</v>
      </c>
      <c r="N198">
        <v>73</v>
      </c>
      <c r="O198">
        <v>239</v>
      </c>
      <c r="P198" t="s">
        <v>396</v>
      </c>
      <c r="S198" t="s">
        <v>395</v>
      </c>
    </row>
    <row r="199" spans="1:19" x14ac:dyDescent="0.25">
      <c r="A199" s="11" t="str">
        <f>PROPER(K199)</f>
        <v>Fanatic</v>
      </c>
      <c r="B199" s="11" t="str">
        <f>TRIM(PROPER(LEFT(L199,IFERROR(FIND(" ",L199),99))&amp;MID(L199,IFERROR(FIND(" ",L199),99),99)))</f>
        <v>Gecko 120</v>
      </c>
      <c r="C199" s="11">
        <f>TRUNC(O199)</f>
        <v>242</v>
      </c>
      <c r="D199" s="11">
        <f>TRUNC(N199)</f>
        <v>76</v>
      </c>
      <c r="E199" s="11">
        <f>M199</f>
        <v>120</v>
      </c>
      <c r="F199" s="38" t="str">
        <f>I199</f>
        <v>2016</v>
      </c>
      <c r="G199" s="11" t="str" cm="1">
        <f t="array" ref="G199">gssBoardClass(A199,B199,C199,D199,E199,F199)</f>
        <v>Slalom Large</v>
      </c>
      <c r="H199" s="39" t="str">
        <f>_xlfn.CONCAT(I199,"-",LEFT(K199,2),"-",LEFT(L199,3),"-",M199,"-",TRUNC(N199),"-",TRUNC(O199))</f>
        <v>2016-Fa-Gec-120-76-242</v>
      </c>
      <c r="I199" s="42" t="str">
        <f>LEFT(J199,4)</f>
        <v>2016</v>
      </c>
      <c r="J199" s="46">
        <v>2016</v>
      </c>
      <c r="K199" t="s">
        <v>1</v>
      </c>
      <c r="L199" t="s">
        <v>444</v>
      </c>
      <c r="M199">
        <v>120</v>
      </c>
      <c r="N199">
        <v>76</v>
      </c>
      <c r="O199">
        <v>242</v>
      </c>
      <c r="P199" t="s">
        <v>396</v>
      </c>
      <c r="S199" t="s">
        <v>397</v>
      </c>
    </row>
    <row r="200" spans="1:19" x14ac:dyDescent="0.25">
      <c r="A200" s="11" t="str">
        <f>PROPER(K200)</f>
        <v>Fanatic</v>
      </c>
      <c r="B200" s="11" t="str">
        <f>TRIM(PROPER(LEFT(L200,IFERROR(FIND(" ",L200),99))&amp;MID(L200,IFERROR(FIND(" ",L200),99),99)))</f>
        <v>Gecko 133</v>
      </c>
      <c r="C200" s="11">
        <f>TRUNC(O200)</f>
        <v>246</v>
      </c>
      <c r="D200" s="11">
        <f>TRUNC(N200)</f>
        <v>78</v>
      </c>
      <c r="E200" s="11">
        <f>M200</f>
        <v>133</v>
      </c>
      <c r="F200" s="38" t="str">
        <f>I200</f>
        <v>2016</v>
      </c>
      <c r="G200" s="11" t="str" cm="1">
        <f t="array" ref="G200">gssBoardClass(A200,B200,C200,D200,E200,F200)</f>
        <v>Slalom Large</v>
      </c>
      <c r="H200" s="39" t="str">
        <f>_xlfn.CONCAT(I200,"-",LEFT(K200,2),"-",LEFT(L200,3),"-",M200,"-",TRUNC(N200),"-",TRUNC(O200))</f>
        <v>2016-Fa-Gec-133-78-246</v>
      </c>
      <c r="I200" s="42" t="str">
        <f>LEFT(J200,4)</f>
        <v>2016</v>
      </c>
      <c r="J200" s="46">
        <v>2016</v>
      </c>
      <c r="K200" t="s">
        <v>1</v>
      </c>
      <c r="L200" t="s">
        <v>445</v>
      </c>
      <c r="M200">
        <v>133</v>
      </c>
      <c r="N200">
        <v>78</v>
      </c>
      <c r="O200">
        <v>246</v>
      </c>
      <c r="P200" t="s">
        <v>396</v>
      </c>
      <c r="S200" t="s">
        <v>398</v>
      </c>
    </row>
    <row r="201" spans="1:19" x14ac:dyDescent="0.25">
      <c r="A201" s="11" t="str">
        <f>PROPER(K201)</f>
        <v>Fanatic</v>
      </c>
      <c r="B201" s="11" t="str">
        <f>TRIM(PROPER(LEFT(L201,IFERROR(FIND(" ",L201),99))&amp;MID(L201,IFERROR(FIND(" ",L201),99),99)))</f>
        <v>Gecko 146</v>
      </c>
      <c r="C201" s="11">
        <f>TRUNC(O201)</f>
        <v>250</v>
      </c>
      <c r="D201" s="11">
        <f>TRUNC(N201)</f>
        <v>83</v>
      </c>
      <c r="E201" s="11">
        <f>M201</f>
        <v>146</v>
      </c>
      <c r="F201" s="38" t="str">
        <f>I201</f>
        <v>2016</v>
      </c>
      <c r="G201" s="11" t="str" cm="1">
        <f t="array" ref="G201">gssBoardClass(A201,B201,C201,D201,E201,F201)</f>
        <v>Slalom Large</v>
      </c>
      <c r="H201" s="39" t="str">
        <f>_xlfn.CONCAT(I201,"-",LEFT(K201,2),"-",LEFT(L201,3),"-",M201,"-",TRUNC(N201),"-",TRUNC(O201))</f>
        <v>2016-Fa-Gec-146-83-250</v>
      </c>
      <c r="I201" s="42" t="str">
        <f>LEFT(J201,4)</f>
        <v>2016</v>
      </c>
      <c r="J201" s="46">
        <v>2016</v>
      </c>
      <c r="K201" t="s">
        <v>1</v>
      </c>
      <c r="L201" t="s">
        <v>446</v>
      </c>
      <c r="M201">
        <v>146</v>
      </c>
      <c r="N201">
        <v>83</v>
      </c>
      <c r="O201">
        <v>250</v>
      </c>
      <c r="P201" t="s">
        <v>396</v>
      </c>
      <c r="S201" t="s">
        <v>399</v>
      </c>
    </row>
    <row r="202" spans="1:19" x14ac:dyDescent="0.25">
      <c r="A202" s="11" t="str">
        <f>PROPER(K202)</f>
        <v>Fanatic</v>
      </c>
      <c r="B202" s="11" t="str">
        <f>TRIM(PROPER(LEFT(L202,IFERROR(FIND(" ",L202),99))&amp;MID(L202,IFERROR(FIND(" ",L202),99),99)))</f>
        <v>Gecko 156+</v>
      </c>
      <c r="C202" s="11">
        <f>TRUNC(O202)</f>
        <v>252</v>
      </c>
      <c r="D202" s="11">
        <f>TRUNC(N202)</f>
        <v>85</v>
      </c>
      <c r="E202" s="11">
        <f>M202</f>
        <v>156</v>
      </c>
      <c r="F202" s="38" t="str">
        <f>I202</f>
        <v>2016</v>
      </c>
      <c r="G202" s="11" t="str" cm="1">
        <f t="array" ref="G202">gssBoardClass(A202,B202,C202,D202,E202,F202)</f>
        <v>Slalom Large</v>
      </c>
      <c r="H202" s="39" t="str">
        <f>_xlfn.CONCAT(I202,"-",LEFT(K202,2),"-",LEFT(L202,3),"-",M202,"-",TRUNC(N202),"-",TRUNC(O202))</f>
        <v>2016-Fa-Gec-156-85-252</v>
      </c>
      <c r="I202" s="42" t="str">
        <f>LEFT(J202,4)</f>
        <v>2016</v>
      </c>
      <c r="J202" s="46">
        <v>2016</v>
      </c>
      <c r="K202" t="s">
        <v>1</v>
      </c>
      <c r="L202" t="s">
        <v>447</v>
      </c>
      <c r="M202">
        <v>156</v>
      </c>
      <c r="N202">
        <v>85</v>
      </c>
      <c r="O202">
        <v>252</v>
      </c>
      <c r="P202" t="s">
        <v>400</v>
      </c>
      <c r="S202" t="s">
        <v>401</v>
      </c>
    </row>
    <row r="203" spans="1:19" x14ac:dyDescent="0.25">
      <c r="A203" s="11" t="str">
        <f>PROPER(K203)</f>
        <v>Fanatic</v>
      </c>
      <c r="B203" s="11" t="str">
        <f>TRIM(PROPER(LEFT(L203,IFERROR(FIND(" ",L203),99))&amp;MID(L203,IFERROR(FIND(" ",L203),99),99)))</f>
        <v>Gecko 98</v>
      </c>
      <c r="C203" s="11">
        <f>TRUNC(O203)</f>
        <v>239</v>
      </c>
      <c r="D203" s="11">
        <f>TRUNC(N203)</f>
        <v>63</v>
      </c>
      <c r="E203" s="11">
        <f>M203</f>
        <v>98</v>
      </c>
      <c r="F203" s="38" t="str">
        <f>I203</f>
        <v>2016</v>
      </c>
      <c r="G203" s="11" t="str" cm="1">
        <f t="array" ref="G203">gssBoardClass(A203,B203,C203,D203,E203,F203)</f>
        <v>Speed/Slalom Small</v>
      </c>
      <c r="H203" s="39" t="str">
        <f>_xlfn.CONCAT(I203,"-",LEFT(K203,2),"-",LEFT(L203,3),"-",M203,"-",TRUNC(N203),"-",TRUNC(O203))</f>
        <v>2016-Fa-Gec-98-63-239</v>
      </c>
      <c r="I203" s="42" t="str">
        <f>LEFT(J203,4)</f>
        <v>2016</v>
      </c>
      <c r="J203" s="46">
        <v>2016</v>
      </c>
      <c r="K203" t="s">
        <v>1</v>
      </c>
      <c r="L203" t="s">
        <v>441</v>
      </c>
      <c r="M203" s="5">
        <v>98</v>
      </c>
      <c r="N203" s="5">
        <v>63</v>
      </c>
      <c r="O203" s="5">
        <v>239</v>
      </c>
      <c r="P203" s="5" t="s">
        <v>396</v>
      </c>
      <c r="Q203" s="5"/>
      <c r="S203" s="5" t="s">
        <v>393</v>
      </c>
    </row>
    <row r="204" spans="1:19" x14ac:dyDescent="0.25">
      <c r="A204" s="11" t="str">
        <f>PROPER(K204)</f>
        <v>Fanatic</v>
      </c>
      <c r="B204" s="11" t="str">
        <f>TRIM(PROPER(LEFT(L204,IFERROR(FIND(" ",L204),99))&amp;MID(L204,IFERROR(FIND(" ",L204),99),99)))</f>
        <v>Hawk 113</v>
      </c>
      <c r="C204" s="11">
        <f>TRUNC(O204)</f>
        <v>241</v>
      </c>
      <c r="D204" s="11">
        <f>TRUNC(N204)</f>
        <v>66</v>
      </c>
      <c r="E204" s="11">
        <f>M204</f>
        <v>113</v>
      </c>
      <c r="F204" s="38" t="str">
        <f>I204</f>
        <v>2016</v>
      </c>
      <c r="G204" s="11" t="str" cm="1">
        <f t="array" ref="G204">gssBoardClass(A204,B204,C204,D204,E204,F204)</f>
        <v>Slalom Medium</v>
      </c>
      <c r="H204" s="39" t="str">
        <f>_xlfn.CONCAT(I204,"-",LEFT(K204,2),"-",LEFT(L204,3),"-",M204,"-",TRUNC(N204),"-",TRUNC(O204))</f>
        <v>2016-Fa-Haw-113-66-241</v>
      </c>
      <c r="I204" s="42" t="str">
        <f>LEFT(J204,4)</f>
        <v>2016</v>
      </c>
      <c r="J204" s="46">
        <v>2016</v>
      </c>
      <c r="K204" t="s">
        <v>1</v>
      </c>
      <c r="L204" t="s">
        <v>439</v>
      </c>
      <c r="M204" s="5">
        <v>113</v>
      </c>
      <c r="N204" s="5">
        <v>66</v>
      </c>
      <c r="O204" s="5">
        <v>241</v>
      </c>
      <c r="P204" s="5" t="s">
        <v>392</v>
      </c>
      <c r="Q204" s="5"/>
      <c r="S204" s="5" t="s">
        <v>394</v>
      </c>
    </row>
    <row r="205" spans="1:19" x14ac:dyDescent="0.25">
      <c r="A205" s="11" t="str">
        <f>PROPER(K205)</f>
        <v>Fanatic</v>
      </c>
      <c r="B205" s="11" t="str">
        <f>TRIM(PROPER(LEFT(L205,IFERROR(FIND(" ",L205),99))&amp;MID(L205,IFERROR(FIND(" ",L205),99),99)))</f>
        <v>Hawk 124</v>
      </c>
      <c r="C205" s="11">
        <f>TRUNC(O205)</f>
        <v>242</v>
      </c>
      <c r="D205" s="11">
        <f>TRUNC(N205)</f>
        <v>70</v>
      </c>
      <c r="E205" s="11">
        <f>M205</f>
        <v>124</v>
      </c>
      <c r="F205" s="38" t="str">
        <f>I205</f>
        <v>2016</v>
      </c>
      <c r="G205" s="11" t="str" cm="1">
        <f t="array" ref="G205">gssBoardClass(A205,B205,C205,D205,E205,F205)</f>
        <v>Slalom Medium</v>
      </c>
      <c r="H205" s="39" t="str">
        <f>_xlfn.CONCAT(I205,"-",LEFT(K205,2),"-",LEFT(L205,3),"-",M205,"-",TRUNC(N205),"-",TRUNC(O205))</f>
        <v>2016-Fa-Haw-124-70-242</v>
      </c>
      <c r="I205" s="42" t="str">
        <f>LEFT(J205,4)</f>
        <v>2016</v>
      </c>
      <c r="J205" s="46">
        <v>2016</v>
      </c>
      <c r="K205" t="s">
        <v>1</v>
      </c>
      <c r="L205" t="s">
        <v>440</v>
      </c>
      <c r="M205" s="5">
        <v>124</v>
      </c>
      <c r="N205" s="5">
        <v>70</v>
      </c>
      <c r="O205" s="5">
        <v>242</v>
      </c>
      <c r="P205" s="5" t="s">
        <v>392</v>
      </c>
      <c r="Q205" s="5"/>
      <c r="S205" s="5" t="s">
        <v>395</v>
      </c>
    </row>
    <row r="206" spans="1:19" x14ac:dyDescent="0.25">
      <c r="A206" s="11" t="str">
        <f>PROPER(K206)</f>
        <v>Fanatic</v>
      </c>
      <c r="B206" s="11" t="str">
        <f>TRIM(PROPER(LEFT(L206,IFERROR(FIND(" ",L206),99))&amp;MID(L206,IFERROR(FIND(" ",L206),99),99)))</f>
        <v>Hawk 99</v>
      </c>
      <c r="C206" s="11">
        <f>TRUNC(O206)</f>
        <v>239</v>
      </c>
      <c r="D206" s="11">
        <f>TRUNC(N206)</f>
        <v>62</v>
      </c>
      <c r="E206" s="11">
        <f>M206</f>
        <v>99</v>
      </c>
      <c r="F206" s="38" t="str">
        <f>I206</f>
        <v>2016</v>
      </c>
      <c r="G206" s="11" t="str" cm="1">
        <f t="array" ref="G206">gssBoardClass(A206,B206,C206,D206,E206,F206)</f>
        <v>Speed/Slalom Small</v>
      </c>
      <c r="H206" s="39" t="str">
        <f>_xlfn.CONCAT(I206,"-",LEFT(K206,2),"-",LEFT(L206,3),"-",M206,"-",TRUNC(N206),"-",TRUNC(O206))</f>
        <v>2016-Fa-Haw-99-62-239</v>
      </c>
      <c r="I206" s="42" t="str">
        <f>LEFT(J206,4)</f>
        <v>2016</v>
      </c>
      <c r="J206" s="46">
        <v>2016</v>
      </c>
      <c r="K206" t="s">
        <v>1</v>
      </c>
      <c r="L206" t="s">
        <v>438</v>
      </c>
      <c r="M206">
        <v>99</v>
      </c>
      <c r="N206">
        <v>62</v>
      </c>
      <c r="O206">
        <v>239</v>
      </c>
      <c r="P206" t="s">
        <v>392</v>
      </c>
      <c r="S206" t="s">
        <v>393</v>
      </c>
    </row>
    <row r="207" spans="1:19" x14ac:dyDescent="0.25">
      <c r="A207" s="11" t="str">
        <f>PROPER(K207)</f>
        <v>Fanatic</v>
      </c>
      <c r="B207" s="11" t="str">
        <f>TRIM(PROPER(LEFT(L207,IFERROR(FIND(" ",L207),99))&amp;MID(L207,IFERROR(FIND(" ",L207),99),99)))</f>
        <v>Quad Te 69 New Shape</v>
      </c>
      <c r="C207" s="11">
        <f>TRUNC(O207)</f>
        <v>224</v>
      </c>
      <c r="D207" s="11">
        <f>TRUNC(N207)</f>
        <v>53</v>
      </c>
      <c r="E207" s="11">
        <f>M207</f>
        <v>69</v>
      </c>
      <c r="F207" s="38" t="str">
        <f>I207</f>
        <v>2016</v>
      </c>
      <c r="G207" s="11" t="str" cm="1">
        <f t="array" ref="G207">gssBoardClass(A207,B207,C207,D207,E207,F207)</f>
        <v>Wave / Freestyle</v>
      </c>
      <c r="H207" s="39" t="str">
        <f>_xlfn.CONCAT(I207,"-",LEFT(K207,2),"-",LEFT(L207,3),"-",M207,"-",TRUNC(N207),"-",TRUNC(O207))</f>
        <v>2016-Fa-Qua-69-53-224</v>
      </c>
      <c r="I207" s="42" t="str">
        <f>LEFT(J207,4)</f>
        <v>2016</v>
      </c>
      <c r="J207" s="46">
        <v>2016</v>
      </c>
      <c r="K207" t="s">
        <v>1</v>
      </c>
      <c r="L207" t="s">
        <v>360</v>
      </c>
      <c r="M207" s="5">
        <v>69</v>
      </c>
      <c r="N207" s="5">
        <v>53.5</v>
      </c>
      <c r="O207" s="5">
        <v>224</v>
      </c>
      <c r="P207" s="5" t="s">
        <v>361</v>
      </c>
      <c r="Q207" s="5"/>
      <c r="S207" s="5" t="s">
        <v>362</v>
      </c>
    </row>
    <row r="208" spans="1:19" x14ac:dyDescent="0.25">
      <c r="A208" s="11" t="str">
        <f>PROPER(K208)</f>
        <v>Fanatic</v>
      </c>
      <c r="B208" s="11" t="str">
        <f>TRIM(PROPER(LEFT(L208,IFERROR(FIND(" ",L208),99))&amp;MID(L208,IFERROR(FIND(" ",L208),99),99)))</f>
        <v>Quad Te 75 New Shape</v>
      </c>
      <c r="C208" s="11">
        <f>TRUNC(O208)</f>
        <v>225</v>
      </c>
      <c r="D208" s="11">
        <f>TRUNC(N208)</f>
        <v>55</v>
      </c>
      <c r="E208" s="11">
        <f>M208</f>
        <v>75</v>
      </c>
      <c r="F208" s="38" t="str">
        <f>I208</f>
        <v>2016</v>
      </c>
      <c r="G208" s="11" t="str" cm="1">
        <f t="array" ref="G208">gssBoardClass(A208,B208,C208,D208,E208,F208)</f>
        <v>Wave / Freestyle</v>
      </c>
      <c r="H208" s="39" t="str">
        <f>_xlfn.CONCAT(I208,"-",LEFT(K208,2),"-",LEFT(L208,3),"-",M208,"-",TRUNC(N208),"-",TRUNC(O208))</f>
        <v>2016-Fa-Qua-75-55-225</v>
      </c>
      <c r="I208" s="42" t="str">
        <f>LEFT(J208,4)</f>
        <v>2016</v>
      </c>
      <c r="J208" s="46">
        <v>2016</v>
      </c>
      <c r="K208" t="s">
        <v>1</v>
      </c>
      <c r="L208" t="s">
        <v>363</v>
      </c>
      <c r="M208" s="5">
        <v>75</v>
      </c>
      <c r="N208" s="5">
        <v>55.5</v>
      </c>
      <c r="O208" s="5">
        <v>225</v>
      </c>
      <c r="P208" s="5" t="s">
        <v>361</v>
      </c>
      <c r="Q208" s="5"/>
      <c r="S208" s="5" t="s">
        <v>364</v>
      </c>
    </row>
    <row r="209" spans="1:19" x14ac:dyDescent="0.25">
      <c r="A209" s="11" t="str">
        <f>PROPER(K209)</f>
        <v>Fanatic</v>
      </c>
      <c r="B209" s="11" t="str">
        <f>TRIM(PROPER(LEFT(L209,IFERROR(FIND(" ",L209),99))&amp;MID(L209,IFERROR(FIND(" ",L209),99),99)))</f>
        <v>Quad Te 81 New Shape</v>
      </c>
      <c r="C209" s="11">
        <f>TRUNC(O209)</f>
        <v>226</v>
      </c>
      <c r="D209" s="11">
        <f>TRUNC(N209)</f>
        <v>57</v>
      </c>
      <c r="E209" s="11">
        <f>M209</f>
        <v>81</v>
      </c>
      <c r="F209" s="38" t="str">
        <f>I209</f>
        <v>2016</v>
      </c>
      <c r="G209" s="11" t="str" cm="1">
        <f t="array" ref="G209">gssBoardClass(A209,B209,C209,D209,E209,F209)</f>
        <v>Wave / Freestyle</v>
      </c>
      <c r="H209" s="39" t="str">
        <f>_xlfn.CONCAT(I209,"-",LEFT(K209,2),"-",LEFT(L209,3),"-",M209,"-",TRUNC(N209),"-",TRUNC(O209))</f>
        <v>2016-Fa-Qua-81-57-226</v>
      </c>
      <c r="I209" s="42" t="str">
        <f>LEFT(J209,4)</f>
        <v>2016</v>
      </c>
      <c r="J209" s="46">
        <v>2016</v>
      </c>
      <c r="K209" t="s">
        <v>1</v>
      </c>
      <c r="L209" t="s">
        <v>365</v>
      </c>
      <c r="M209" s="5">
        <v>81</v>
      </c>
      <c r="N209" s="5">
        <v>57.5</v>
      </c>
      <c r="O209" s="5">
        <v>226</v>
      </c>
      <c r="P209" s="5" t="s">
        <v>361</v>
      </c>
      <c r="Q209" s="5"/>
      <c r="S209" s="5" t="s">
        <v>366</v>
      </c>
    </row>
    <row r="210" spans="1:19" x14ac:dyDescent="0.25">
      <c r="A210" s="11" t="str">
        <f>PROPER(K210)</f>
        <v>Fanatic</v>
      </c>
      <c r="B210" s="11" t="str">
        <f>TRIM(PROPER(LEFT(L210,IFERROR(FIND(" ",L210),99))&amp;MID(L210,IFERROR(FIND(" ",L210),99),99)))</f>
        <v>Quad Te 90 New Shape</v>
      </c>
      <c r="C210" s="11">
        <f>TRUNC(O210)</f>
        <v>227</v>
      </c>
      <c r="D210" s="11">
        <f>TRUNC(N210)</f>
        <v>59</v>
      </c>
      <c r="E210" s="11">
        <f>M210</f>
        <v>90</v>
      </c>
      <c r="F210" s="38" t="str">
        <f>I210</f>
        <v>2016</v>
      </c>
      <c r="G210" s="11" t="str" cm="1">
        <f t="array" ref="G210">gssBoardClass(A210,B210,C210,D210,E210,F210)</f>
        <v>Wave / Freestyle</v>
      </c>
      <c r="H210" s="39" t="str">
        <f>_xlfn.CONCAT(I210,"-",LEFT(K210,2),"-",LEFT(L210,3),"-",M210,"-",TRUNC(N210),"-",TRUNC(O210))</f>
        <v>2016-Fa-Qua-90-59-227</v>
      </c>
      <c r="I210" s="42" t="str">
        <f>LEFT(J210,4)</f>
        <v>2016</v>
      </c>
      <c r="J210" s="46">
        <v>2016</v>
      </c>
      <c r="K210" t="s">
        <v>1</v>
      </c>
      <c r="L210" t="s">
        <v>367</v>
      </c>
      <c r="M210" s="5">
        <v>90</v>
      </c>
      <c r="N210" s="5">
        <v>59.5</v>
      </c>
      <c r="O210" s="5">
        <v>227</v>
      </c>
      <c r="P210" s="5" t="s">
        <v>361</v>
      </c>
      <c r="Q210" s="5"/>
      <c r="S210" s="5" t="s">
        <v>368</v>
      </c>
    </row>
    <row r="211" spans="1:19" x14ac:dyDescent="0.25">
      <c r="A211" s="11" t="str">
        <f>PROPER(K211)</f>
        <v>Fanatic</v>
      </c>
      <c r="B211" s="11" t="str">
        <f>TRIM(PROPER(LEFT(L211,IFERROR(FIND(" ",L211),99))&amp;MID(L211,IFERROR(FIND(" ",L211),99),99)))</f>
        <v>Ripper 102</v>
      </c>
      <c r="C211" s="11">
        <f>TRUNC(O211)</f>
        <v>242</v>
      </c>
      <c r="D211" s="11">
        <f>TRUNC(N211)</f>
        <v>69</v>
      </c>
      <c r="E211" s="11">
        <f>M211</f>
        <v>102</v>
      </c>
      <c r="F211" s="38" t="str">
        <f>I211</f>
        <v>2016</v>
      </c>
      <c r="G211" s="11" t="str" cm="1">
        <f t="array" ref="G211">gssBoardClass(A211,B211,C211,D211,E211,F211)</f>
        <v>Slalom Medium</v>
      </c>
      <c r="H211" s="39" t="str">
        <f>_xlfn.CONCAT(I211,"-",LEFT(K211,2),"-",LEFT(L211,3),"-",M211,"-",TRUNC(N211),"-",TRUNC(O211))</f>
        <v>2016-Fa-Rip-102-69-242</v>
      </c>
      <c r="I211" s="42" t="str">
        <f>LEFT(J211,4)</f>
        <v>2016</v>
      </c>
      <c r="J211" s="46">
        <v>2016</v>
      </c>
      <c r="K211" t="s">
        <v>1</v>
      </c>
      <c r="L211" t="s">
        <v>423</v>
      </c>
      <c r="M211">
        <v>102</v>
      </c>
      <c r="N211">
        <v>69</v>
      </c>
      <c r="O211">
        <v>242</v>
      </c>
      <c r="P211" t="s">
        <v>419</v>
      </c>
      <c r="S211" t="s">
        <v>424</v>
      </c>
    </row>
    <row r="212" spans="1:19" x14ac:dyDescent="0.25">
      <c r="A212" s="11" t="str">
        <f>PROPER(K212)</f>
        <v>Fanatic</v>
      </c>
      <c r="B212" s="11" t="str">
        <f>TRIM(PROPER(LEFT(L212,IFERROR(FIND(" ",L212),99))&amp;MID(L212,IFERROR(FIND(" ",L212),99),99)))</f>
        <v>Ripper 120</v>
      </c>
      <c r="C212" s="11">
        <f>TRUNC(O212)</f>
        <v>245</v>
      </c>
      <c r="D212" s="11">
        <f>TRUNC(N212)</f>
        <v>69</v>
      </c>
      <c r="E212" s="11">
        <f>M212</f>
        <v>120</v>
      </c>
      <c r="F212" s="38" t="str">
        <f>I212</f>
        <v>2016</v>
      </c>
      <c r="G212" s="11" t="str" cm="1">
        <f t="array" ref="G212">gssBoardClass(A212,B212,C212,D212,E212,F212)</f>
        <v>Slalom Medium</v>
      </c>
      <c r="H212" s="39" t="str">
        <f>_xlfn.CONCAT(I212,"-",LEFT(K212,2),"-",LEFT(L212,3),"-",M212,"-",TRUNC(N212),"-",TRUNC(O212))</f>
        <v>2016-Fa-Rip-120-69-245</v>
      </c>
      <c r="I212" s="42" t="str">
        <f>LEFT(J212,4)</f>
        <v>2016</v>
      </c>
      <c r="J212" s="46">
        <v>2016</v>
      </c>
      <c r="K212" t="s">
        <v>1</v>
      </c>
      <c r="L212" t="s">
        <v>425</v>
      </c>
      <c r="M212">
        <v>120</v>
      </c>
      <c r="N212">
        <v>69</v>
      </c>
      <c r="O212">
        <v>245</v>
      </c>
      <c r="P212" t="s">
        <v>419</v>
      </c>
      <c r="S212" t="s">
        <v>424</v>
      </c>
    </row>
    <row r="213" spans="1:19" x14ac:dyDescent="0.25">
      <c r="A213" s="11" t="str">
        <f>PROPER(K213)</f>
        <v>Fanatic</v>
      </c>
      <c r="B213" s="11" t="str">
        <f>TRIM(PROPER(LEFT(L213,IFERROR(FIND(" ",L213),99))&amp;MID(L213,IFERROR(FIND(" ",L213),99),99)))</f>
        <v>Ripper Air Ws 187</v>
      </c>
      <c r="C213" s="11">
        <f>TRUNC(O213)</f>
        <v>274</v>
      </c>
      <c r="D213" s="11">
        <f>TRUNC(N213)</f>
        <v>73</v>
      </c>
      <c r="E213" s="11">
        <f>M213</f>
        <v>187</v>
      </c>
      <c r="F213" s="38" t="str">
        <f>I213</f>
        <v>2016</v>
      </c>
      <c r="G213" s="11" t="str" cm="1">
        <f t="array" ref="G213">gssBoardClass(A213,B213,C213,D213,E213,F213)</f>
        <v>Slalom Medium</v>
      </c>
      <c r="H213" s="39" t="str">
        <f>_xlfn.CONCAT(I213,"-",LEFT(K213,2),"-",LEFT(L213,3),"-",M213,"-",TRUNC(N213),"-",TRUNC(O213))</f>
        <v>2016-Fa-Rip-187-73-274</v>
      </c>
      <c r="I213" s="42" t="str">
        <f>LEFT(J213,4)</f>
        <v>2016</v>
      </c>
      <c r="J213" s="46">
        <v>2016</v>
      </c>
      <c r="K213" t="s">
        <v>1</v>
      </c>
      <c r="L213" t="s">
        <v>449</v>
      </c>
      <c r="M213">
        <v>187</v>
      </c>
      <c r="N213">
        <v>73.7</v>
      </c>
      <c r="O213">
        <v>274.3</v>
      </c>
      <c r="P213" t="s">
        <v>426</v>
      </c>
      <c r="S213" t="s">
        <v>428</v>
      </c>
    </row>
    <row r="214" spans="1:19" x14ac:dyDescent="0.25">
      <c r="A214" s="11" t="str">
        <f>PROPER(K214)</f>
        <v>Fanatic</v>
      </c>
      <c r="B214" s="11" t="str">
        <f>TRIM(PROPER(LEFT(L214,IFERROR(FIND(" ",L214),99))&amp;MID(L214,IFERROR(FIND(" ",L214),99),99)))</f>
        <v>Skate 100</v>
      </c>
      <c r="C214" s="11">
        <f>TRUNC(O214)</f>
        <v>235</v>
      </c>
      <c r="D214" s="11">
        <f>TRUNC(N214)</f>
        <v>63</v>
      </c>
      <c r="E214" s="11">
        <f>M214</f>
        <v>100</v>
      </c>
      <c r="F214" s="38" t="str">
        <f>I214</f>
        <v>2016</v>
      </c>
      <c r="G214" s="11" t="str" cm="1">
        <f t="array" ref="G214">gssBoardClass(A214,B214,C214,D214,E214,F214)</f>
        <v>Wave / Freestyle</v>
      </c>
      <c r="H214" s="39" t="str">
        <f>_xlfn.CONCAT(I214,"-",LEFT(K214,2),"-",LEFT(L214,3),"-",M214,"-",TRUNC(N214),"-",TRUNC(O214))</f>
        <v>2016-Fa-Ska-100-63-235</v>
      </c>
      <c r="I214" s="42" t="str">
        <f>LEFT(J214,4)</f>
        <v>2016</v>
      </c>
      <c r="J214" s="46">
        <v>2016</v>
      </c>
      <c r="K214" t="s">
        <v>1</v>
      </c>
      <c r="L214" t="s">
        <v>389</v>
      </c>
      <c r="M214" s="5">
        <v>100</v>
      </c>
      <c r="N214" s="5">
        <v>63.5</v>
      </c>
      <c r="O214" s="5">
        <v>235</v>
      </c>
      <c r="P214" s="5" t="s">
        <v>390</v>
      </c>
      <c r="Q214" s="5"/>
      <c r="S214" s="5" t="s">
        <v>387</v>
      </c>
    </row>
    <row r="215" spans="1:19" x14ac:dyDescent="0.25">
      <c r="A215" s="11" t="str">
        <f>PROPER(K215)</f>
        <v>Fanatic</v>
      </c>
      <c r="B215" s="11" t="str">
        <f>TRIM(PROPER(LEFT(L215,IFERROR(FIND(" ",L215),99))&amp;MID(L215,IFERROR(FIND(" ",L215),99),99)))</f>
        <v>Skate Te 100</v>
      </c>
      <c r="C215" s="11">
        <f>TRUNC(O215)</f>
        <v>228</v>
      </c>
      <c r="D215" s="11">
        <f>TRUNC(N215)</f>
        <v>64</v>
      </c>
      <c r="E215" s="11">
        <f>M215</f>
        <v>100</v>
      </c>
      <c r="F215" s="38" t="str">
        <f>I215</f>
        <v>2016</v>
      </c>
      <c r="G215" s="11" t="str" cm="1">
        <f t="array" ref="G215">gssBoardClass(A215,B215,C215,D215,E215,F215)</f>
        <v>Wave / Freestyle</v>
      </c>
      <c r="H215" s="39" t="str">
        <f>_xlfn.CONCAT(I215,"-",LEFT(K215,2),"-",LEFT(L215,3),"-",M215,"-",TRUNC(N215),"-",TRUNC(O215))</f>
        <v>2016-Fa-Ska-100-64-228</v>
      </c>
      <c r="I215" s="42" t="str">
        <f>LEFT(J215,4)</f>
        <v>2016</v>
      </c>
      <c r="J215" s="46">
        <v>2016</v>
      </c>
      <c r="K215" t="s">
        <v>1</v>
      </c>
      <c r="L215" t="s">
        <v>184</v>
      </c>
      <c r="M215">
        <v>100</v>
      </c>
      <c r="N215">
        <v>64</v>
      </c>
      <c r="O215">
        <v>228</v>
      </c>
      <c r="P215" t="s">
        <v>361</v>
      </c>
      <c r="S215" t="s">
        <v>387</v>
      </c>
    </row>
    <row r="216" spans="1:19" x14ac:dyDescent="0.25">
      <c r="A216" s="11" t="str">
        <f>PROPER(K216)</f>
        <v>Fanatic</v>
      </c>
      <c r="B216" s="11" t="str">
        <f>TRIM(PROPER(LEFT(L216,IFERROR(FIND(" ",L216),99))&amp;MID(L216,IFERROR(FIND(" ",L216),99),99)))</f>
        <v>Skate Te 108</v>
      </c>
      <c r="C216" s="11">
        <f>TRUNC(O216)</f>
        <v>226</v>
      </c>
      <c r="D216" s="11">
        <f>TRUNC(N216)</f>
        <v>66</v>
      </c>
      <c r="E216" s="11">
        <f>M216</f>
        <v>108</v>
      </c>
      <c r="F216" s="38" t="str">
        <f>I216</f>
        <v>2016</v>
      </c>
      <c r="G216" s="11" t="str" cm="1">
        <f t="array" ref="G216">gssBoardClass(A216,B216,C216,D216,E216,F216)</f>
        <v>Wave / Freestyle</v>
      </c>
      <c r="H216" s="39" t="str">
        <f>_xlfn.CONCAT(I216,"-",LEFT(K216,2),"-",LEFT(L216,3),"-",M216,"-",TRUNC(N216),"-",TRUNC(O216))</f>
        <v>2016-Fa-Ska-108-66-226</v>
      </c>
      <c r="I216" s="42" t="str">
        <f>LEFT(J216,4)</f>
        <v>2016</v>
      </c>
      <c r="J216" s="46">
        <v>2016</v>
      </c>
      <c r="K216" t="s">
        <v>1</v>
      </c>
      <c r="L216" t="s">
        <v>186</v>
      </c>
      <c r="M216" s="5">
        <v>108</v>
      </c>
      <c r="N216" s="5">
        <v>66.5</v>
      </c>
      <c r="O216" s="5">
        <v>226</v>
      </c>
      <c r="P216" s="5" t="s">
        <v>361</v>
      </c>
      <c r="Q216" s="5"/>
      <c r="S216" s="5" t="s">
        <v>388</v>
      </c>
    </row>
    <row r="217" spans="1:19" x14ac:dyDescent="0.25">
      <c r="A217" s="11" t="str">
        <f>PROPER(K217)</f>
        <v>Fanatic</v>
      </c>
      <c r="B217" s="11" t="str">
        <f>TRIM(PROPER(LEFT(L217,IFERROR(FIND(" ",L217),99))&amp;MID(L217,IFERROR(FIND(" ",L217),99),99)))</f>
        <v>Skate 110</v>
      </c>
      <c r="C217" s="11">
        <f>TRUNC(O217)</f>
        <v>237</v>
      </c>
      <c r="D217" s="11">
        <f>TRUNC(N217)</f>
        <v>66</v>
      </c>
      <c r="E217" s="11">
        <f>M217</f>
        <v>110</v>
      </c>
      <c r="F217" s="38" t="str">
        <f>I217</f>
        <v>2016</v>
      </c>
      <c r="G217" s="11" t="str" cm="1">
        <f t="array" ref="G217">gssBoardClass(A217,B217,C217,D217,E217,F217)</f>
        <v>Wave / Freestyle</v>
      </c>
      <c r="H217" s="39" t="str">
        <f>_xlfn.CONCAT(I217,"-",LEFT(K217,2),"-",LEFT(L217,3),"-",M217,"-",TRUNC(N217),"-",TRUNC(O217))</f>
        <v>2016-Fa-Ska-110-66-237</v>
      </c>
      <c r="I217" s="42" t="str">
        <f>LEFT(J217,4)</f>
        <v>2016</v>
      </c>
      <c r="J217" s="46">
        <v>2016</v>
      </c>
      <c r="K217" t="s">
        <v>1</v>
      </c>
      <c r="L217" t="s">
        <v>391</v>
      </c>
      <c r="M217" s="5">
        <v>110</v>
      </c>
      <c r="N217" s="5">
        <v>66.5</v>
      </c>
      <c r="O217" s="5">
        <v>237</v>
      </c>
      <c r="P217" s="5" t="s">
        <v>390</v>
      </c>
      <c r="Q217" s="5"/>
      <c r="S217" s="5" t="s">
        <v>388</v>
      </c>
    </row>
    <row r="218" spans="1:19" x14ac:dyDescent="0.25">
      <c r="A218" s="11" t="str">
        <f>PROPER(K218)</f>
        <v>Fanatic</v>
      </c>
      <c r="B218" s="11" t="str">
        <f>TRIM(PROPER(LEFT(L218,IFERROR(FIND(" ",L218),99))&amp;MID(L218,IFERROR(FIND(" ",L218),99),99)))</f>
        <v>Skate Te 86</v>
      </c>
      <c r="C218" s="11">
        <f>TRUNC(O218)</f>
        <v>228</v>
      </c>
      <c r="D218" s="11">
        <f>TRUNC(N218)</f>
        <v>60</v>
      </c>
      <c r="E218" s="11">
        <f>M218</f>
        <v>86</v>
      </c>
      <c r="F218" s="38" t="str">
        <f>I218</f>
        <v>2016</v>
      </c>
      <c r="G218" s="11" t="str" cm="1">
        <f t="array" ref="G218">gssBoardClass(A218,B218,C218,D218,E218,F218)</f>
        <v>Wave / Freestyle</v>
      </c>
      <c r="H218" s="39" t="str">
        <f>_xlfn.CONCAT(I218,"-",LEFT(K218,2),"-",LEFT(L218,3),"-",M218,"-",TRUNC(N218),"-",TRUNC(O218))</f>
        <v>2016-Fa-Ska-86-60-228</v>
      </c>
      <c r="I218" s="42" t="str">
        <f>LEFT(J218,4)</f>
        <v>2016</v>
      </c>
      <c r="J218" s="46">
        <v>2016</v>
      </c>
      <c r="K218" t="s">
        <v>1</v>
      </c>
      <c r="L218" t="s">
        <v>178</v>
      </c>
      <c r="M218" s="5">
        <v>86</v>
      </c>
      <c r="N218" s="5">
        <v>60</v>
      </c>
      <c r="O218" s="5">
        <v>228</v>
      </c>
      <c r="P218" s="5" t="s">
        <v>361</v>
      </c>
      <c r="Q218" s="5"/>
      <c r="S218" s="5" t="s">
        <v>385</v>
      </c>
    </row>
    <row r="219" spans="1:19" x14ac:dyDescent="0.25">
      <c r="A219" s="11" t="str">
        <f>PROPER(K219)</f>
        <v>Fanatic</v>
      </c>
      <c r="B219" s="11" t="str">
        <f>TRIM(PROPER(LEFT(L219,IFERROR(FIND(" ",L219),99))&amp;MID(L219,IFERROR(FIND(" ",L219),99),99)))</f>
        <v>Skate Te 94</v>
      </c>
      <c r="C219" s="11">
        <f>TRUNC(O219)</f>
        <v>228</v>
      </c>
      <c r="D219" s="11">
        <f>TRUNC(N219)</f>
        <v>62</v>
      </c>
      <c r="E219" s="11">
        <f>M219</f>
        <v>94</v>
      </c>
      <c r="F219" s="38" t="str">
        <f>I219</f>
        <v>2016</v>
      </c>
      <c r="G219" s="11" t="str" cm="1">
        <f t="array" ref="G219">gssBoardClass(A219,B219,C219,D219,E219,F219)</f>
        <v>Wave / Freestyle</v>
      </c>
      <c r="H219" s="39" t="str">
        <f>_xlfn.CONCAT(I219,"-",LEFT(K219,2),"-",LEFT(L219,3),"-",M219,"-",TRUNC(N219),"-",TRUNC(O219))</f>
        <v>2016-Fa-Ska-94-62-228</v>
      </c>
      <c r="I219" s="42" t="str">
        <f>LEFT(J219,4)</f>
        <v>2016</v>
      </c>
      <c r="J219" s="46">
        <v>2016</v>
      </c>
      <c r="K219" t="s">
        <v>1</v>
      </c>
      <c r="L219" t="s">
        <v>437</v>
      </c>
      <c r="M219" s="5">
        <v>94</v>
      </c>
      <c r="N219" s="5">
        <v>62</v>
      </c>
      <c r="O219" s="5">
        <v>228</v>
      </c>
      <c r="P219" s="5" t="s">
        <v>361</v>
      </c>
      <c r="Q219" s="5"/>
      <c r="S219" s="5" t="s">
        <v>386</v>
      </c>
    </row>
    <row r="220" spans="1:19" x14ac:dyDescent="0.25">
      <c r="A220" s="11" t="str">
        <f>PROPER(K220)</f>
        <v>Fanatic</v>
      </c>
      <c r="B220" s="11" t="str">
        <f>TRIM(PROPER(LEFT(L220,IFERROR(FIND(" ",L220),99))&amp;MID(L220,IFERROR(FIND(" ",L220),99),99)))</f>
        <v>Stubby Te 77 New Shape</v>
      </c>
      <c r="C220" s="11">
        <f>TRUNC(O220)</f>
        <v>212</v>
      </c>
      <c r="D220" s="11">
        <f>TRUNC(N220)</f>
        <v>55</v>
      </c>
      <c r="E220" s="11">
        <f>M220</f>
        <v>77</v>
      </c>
      <c r="F220" s="38" t="str">
        <f>I220</f>
        <v>2016</v>
      </c>
      <c r="G220" s="11" t="str" cm="1">
        <f t="array" ref="G220">gssBoardClass(A220,B220,C220,D220,E220,F220)</f>
        <v>Wave / Freestyle</v>
      </c>
      <c r="H220" s="39" t="str">
        <f>_xlfn.CONCAT(I220,"-",LEFT(K220,2),"-",LEFT(L220,3),"-",M220,"-",TRUNC(N220),"-",TRUNC(O220))</f>
        <v>2016-Fa-Stu-77-55-212</v>
      </c>
      <c r="I220" s="42" t="str">
        <f>LEFT(J220,4)</f>
        <v>2016</v>
      </c>
      <c r="J220" s="46">
        <v>2016</v>
      </c>
      <c r="K220" t="s">
        <v>1</v>
      </c>
      <c r="L220" t="s">
        <v>369</v>
      </c>
      <c r="M220" s="5">
        <v>77</v>
      </c>
      <c r="N220" s="5">
        <v>55</v>
      </c>
      <c r="O220" s="5">
        <v>212</v>
      </c>
      <c r="P220" s="5" t="s">
        <v>361</v>
      </c>
      <c r="Q220" s="5"/>
      <c r="S220" s="5" t="s">
        <v>370</v>
      </c>
    </row>
    <row r="221" spans="1:19" x14ac:dyDescent="0.25">
      <c r="A221" s="11" t="str">
        <f>PROPER(K221)</f>
        <v>Fanatic</v>
      </c>
      <c r="B221" s="11" t="str">
        <f>TRIM(PROPER(LEFT(L221,IFERROR(FIND(" ",L221),99))&amp;MID(L221,IFERROR(FIND(" ",L221),99),99)))</f>
        <v>Stubby Te 88 New Shape</v>
      </c>
      <c r="C221" s="11">
        <f>TRUNC(O221)</f>
        <v>215</v>
      </c>
      <c r="D221" s="11">
        <f>TRUNC(N221)</f>
        <v>57</v>
      </c>
      <c r="E221" s="11">
        <f>M221</f>
        <v>88</v>
      </c>
      <c r="F221" s="38" t="str">
        <f>I221</f>
        <v>2016</v>
      </c>
      <c r="G221" s="11" t="str" cm="1">
        <f t="array" ref="G221">gssBoardClass(A221,B221,C221,D221,E221,F221)</f>
        <v>Wave / Freestyle</v>
      </c>
      <c r="H221" s="39" t="str">
        <f>_xlfn.CONCAT(I221,"-",LEFT(K221,2),"-",LEFT(L221,3),"-",M221,"-",TRUNC(N221),"-",TRUNC(O221))</f>
        <v>2016-Fa-Stu-88-57-215</v>
      </c>
      <c r="I221" s="42" t="str">
        <f>LEFT(J221,4)</f>
        <v>2016</v>
      </c>
      <c r="J221" s="46">
        <v>2016</v>
      </c>
      <c r="K221" t="s">
        <v>1</v>
      </c>
      <c r="L221" t="s">
        <v>371</v>
      </c>
      <c r="M221">
        <v>88</v>
      </c>
      <c r="N221">
        <v>57.5</v>
      </c>
      <c r="O221">
        <v>215</v>
      </c>
      <c r="P221" t="s">
        <v>361</v>
      </c>
      <c r="S221" t="s">
        <v>366</v>
      </c>
    </row>
    <row r="222" spans="1:19" x14ac:dyDescent="0.25">
      <c r="A222" s="11" t="str">
        <f>PROPER(K222)</f>
        <v>Fanatic</v>
      </c>
      <c r="B222" s="11" t="str">
        <f>TRIM(PROPER(LEFT(L222,IFERROR(FIND(" ",L222),99))&amp;MID(L222,IFERROR(FIND(" ",L222),99),99)))</f>
        <v>Triwave Te 74 New Shape</v>
      </c>
      <c r="C222" s="11">
        <f>TRUNC(O222)</f>
        <v>222</v>
      </c>
      <c r="D222" s="11">
        <f>TRUNC(N222)</f>
        <v>56</v>
      </c>
      <c r="E222" s="11">
        <f>M222</f>
        <v>74</v>
      </c>
      <c r="F222" s="38" t="str">
        <f>I222</f>
        <v>2016</v>
      </c>
      <c r="G222" s="11" t="str" cm="1">
        <f t="array" ref="G222">gssBoardClass(A222,B222,C222,D222,E222,F222)</f>
        <v>Wave / Freestyle</v>
      </c>
      <c r="H222" s="39" t="str">
        <f>_xlfn.CONCAT(I222,"-",LEFT(K222,2),"-",LEFT(L222,3),"-",M222,"-",TRUNC(N222),"-",TRUNC(O222))</f>
        <v>2016-Fa-Tri-74-56-222</v>
      </c>
      <c r="I222" s="42" t="str">
        <f>LEFT(J222,4)</f>
        <v>2016</v>
      </c>
      <c r="J222" s="46">
        <v>2016</v>
      </c>
      <c r="K222" t="s">
        <v>1</v>
      </c>
      <c r="L222" t="s">
        <v>372</v>
      </c>
      <c r="M222" s="5">
        <v>74</v>
      </c>
      <c r="N222" s="5">
        <v>56</v>
      </c>
      <c r="O222" s="5">
        <v>222</v>
      </c>
      <c r="P222" s="5" t="s">
        <v>361</v>
      </c>
      <c r="Q222" s="5"/>
      <c r="S222" s="5" t="s">
        <v>373</v>
      </c>
    </row>
    <row r="223" spans="1:19" x14ac:dyDescent="0.25">
      <c r="A223" s="11" t="str">
        <f>PROPER(K223)</f>
        <v>Fanatic</v>
      </c>
      <c r="B223" s="11" t="str">
        <f>TRIM(PROPER(LEFT(L223,IFERROR(FIND(" ",L223),99))&amp;MID(L223,IFERROR(FIND(" ",L223),99),99)))</f>
        <v>Triwave Te 82 New Shape</v>
      </c>
      <c r="C223" s="11">
        <f>TRUNC(O223)</f>
        <v>224</v>
      </c>
      <c r="D223" s="11">
        <f>TRUNC(N223)</f>
        <v>58</v>
      </c>
      <c r="E223" s="11">
        <f>M223</f>
        <v>82</v>
      </c>
      <c r="F223" s="38" t="str">
        <f>I223</f>
        <v>2016</v>
      </c>
      <c r="G223" s="11" t="str" cm="1">
        <f t="array" ref="G223">gssBoardClass(A223,B223,C223,D223,E223,F223)</f>
        <v>Wave / Freestyle</v>
      </c>
      <c r="H223" s="39" t="str">
        <f>_xlfn.CONCAT(I223,"-",LEFT(K223,2),"-",LEFT(L223,3),"-",M223,"-",TRUNC(N223),"-",TRUNC(O223))</f>
        <v>2016-Fa-Tri-82-58-224</v>
      </c>
      <c r="I223" s="42" t="str">
        <f>LEFT(J223,4)</f>
        <v>2016</v>
      </c>
      <c r="J223" s="46">
        <v>2016</v>
      </c>
      <c r="K223" t="s">
        <v>1</v>
      </c>
      <c r="L223" t="s">
        <v>374</v>
      </c>
      <c r="M223" s="5">
        <v>82</v>
      </c>
      <c r="N223" s="5">
        <v>58</v>
      </c>
      <c r="O223" s="5">
        <v>224</v>
      </c>
      <c r="P223" s="5" t="s">
        <v>361</v>
      </c>
      <c r="Q223" s="5"/>
      <c r="S223" s="5" t="s">
        <v>366</v>
      </c>
    </row>
    <row r="224" spans="1:19" x14ac:dyDescent="0.25">
      <c r="A224" s="11" t="str">
        <f>PROPER(K224)</f>
        <v>Fanatic</v>
      </c>
      <c r="B224" s="11" t="str">
        <f>TRIM(PROPER(LEFT(L224,IFERROR(FIND(" ",L224),99))&amp;MID(L224,IFERROR(FIND(" ",L224),99),99)))</f>
        <v>Triwave Te 89 New Shape</v>
      </c>
      <c r="C224" s="11">
        <f>TRUNC(O224)</f>
        <v>227</v>
      </c>
      <c r="D224" s="11">
        <f>TRUNC(N224)</f>
        <v>59</v>
      </c>
      <c r="E224" s="11">
        <f>M224</f>
        <v>89</v>
      </c>
      <c r="F224" s="38" t="str">
        <f>I224</f>
        <v>2016</v>
      </c>
      <c r="G224" s="11" t="str" cm="1">
        <f t="array" ref="G224">gssBoardClass(A224,B224,C224,D224,E224,F224)</f>
        <v>Wave / Freestyle</v>
      </c>
      <c r="H224" s="39" t="str">
        <f>_xlfn.CONCAT(I224,"-",LEFT(K224,2),"-",LEFT(L224,3),"-",M224,"-",TRUNC(N224),"-",TRUNC(O224))</f>
        <v>2016-Fa-Tri-89-59-227</v>
      </c>
      <c r="I224" s="42" t="str">
        <f>LEFT(J224,4)</f>
        <v>2016</v>
      </c>
      <c r="J224" s="46">
        <v>2016</v>
      </c>
      <c r="K224" t="s">
        <v>1</v>
      </c>
      <c r="L224" t="s">
        <v>375</v>
      </c>
      <c r="M224" s="5">
        <v>89</v>
      </c>
      <c r="N224" s="5">
        <v>59.5</v>
      </c>
      <c r="O224" s="5">
        <v>227</v>
      </c>
      <c r="P224" s="5" t="s">
        <v>361</v>
      </c>
      <c r="Q224" s="5"/>
      <c r="S224" s="5" t="s">
        <v>376</v>
      </c>
    </row>
    <row r="225" spans="1:19" x14ac:dyDescent="0.25">
      <c r="A225" s="11" t="str">
        <f>PROPER(K225)</f>
        <v>Fanatic</v>
      </c>
      <c r="B225" s="11" t="str">
        <f>TRIM(PROPER(LEFT(L225,IFERROR(FIND(" ",L225),99))&amp;MID(L225,IFERROR(FIND(" ",L225),99),99)))</f>
        <v>Triwave Te 99 New Shape</v>
      </c>
      <c r="C225" s="11">
        <f>TRUNC(O225)</f>
        <v>229</v>
      </c>
      <c r="D225" s="11">
        <f>TRUNC(N225)</f>
        <v>62</v>
      </c>
      <c r="E225" s="11">
        <f>M225</f>
        <v>99</v>
      </c>
      <c r="F225" s="38" t="str">
        <f>I225</f>
        <v>2016</v>
      </c>
      <c r="G225" s="11" t="str" cm="1">
        <f t="array" ref="G225">gssBoardClass(A225,B225,C225,D225,E225,F225)</f>
        <v>Wave / Freestyle</v>
      </c>
      <c r="H225" s="39" t="str">
        <f>_xlfn.CONCAT(I225,"-",LEFT(K225,2),"-",LEFT(L225,3),"-",M225,"-",TRUNC(N225),"-",TRUNC(O225))</f>
        <v>2016-Fa-Tri-99-62-229</v>
      </c>
      <c r="I225" s="42" t="str">
        <f>LEFT(J225,4)</f>
        <v>2016</v>
      </c>
      <c r="J225" s="46">
        <v>2016</v>
      </c>
      <c r="K225" t="s">
        <v>1</v>
      </c>
      <c r="L225" t="s">
        <v>377</v>
      </c>
      <c r="M225">
        <v>99</v>
      </c>
      <c r="N225">
        <v>62</v>
      </c>
      <c r="O225">
        <v>229</v>
      </c>
      <c r="P225" t="s">
        <v>361</v>
      </c>
      <c r="S225" t="s">
        <v>378</v>
      </c>
    </row>
    <row r="226" spans="1:19" x14ac:dyDescent="0.25">
      <c r="A226" s="11" t="str">
        <f>PROPER(K226)</f>
        <v>Fanatic</v>
      </c>
      <c r="B226" s="11" t="str">
        <f>TRIM(PROPER(LEFT(L226,IFERROR(FIND(" ",L226),99))&amp;MID(L226,IFERROR(FIND(" ",L226),99),99)))</f>
        <v>Viper 70</v>
      </c>
      <c r="C226" s="11">
        <f>TRUNC(O226)</f>
        <v>270</v>
      </c>
      <c r="D226" s="11">
        <f>TRUNC(N226)</f>
        <v>70</v>
      </c>
      <c r="E226" s="11">
        <f>M226</f>
        <v>150</v>
      </c>
      <c r="F226" s="38" t="str">
        <f>I226</f>
        <v>2016</v>
      </c>
      <c r="G226" s="11" t="str" cm="1">
        <f t="array" ref="G226">gssBoardClass(A226,B226,C226,D226,E226,F226)</f>
        <v>Slalom Medium</v>
      </c>
      <c r="H226" s="39" t="str">
        <f>_xlfn.CONCAT(I226,"-",LEFT(K226,2),"-",LEFT(L226,3),"-",M226,"-",TRUNC(N226),"-",TRUNC(O226))</f>
        <v>2016-Fa-Vip-150-70-270</v>
      </c>
      <c r="I226" s="42" t="str">
        <f>LEFT(J226,4)</f>
        <v>2016</v>
      </c>
      <c r="J226" s="46">
        <v>2016</v>
      </c>
      <c r="K226" t="s">
        <v>1</v>
      </c>
      <c r="L226" t="s">
        <v>418</v>
      </c>
      <c r="M226">
        <v>150</v>
      </c>
      <c r="N226">
        <v>70</v>
      </c>
      <c r="O226">
        <v>270</v>
      </c>
      <c r="P226" t="s">
        <v>419</v>
      </c>
      <c r="S226" t="s">
        <v>420</v>
      </c>
    </row>
    <row r="227" spans="1:19" x14ac:dyDescent="0.25">
      <c r="A227" s="11" t="str">
        <f>PROPER(K227)</f>
        <v>Fanatic</v>
      </c>
      <c r="B227" s="11" t="str">
        <f>TRIM(PROPER(LEFT(L227,IFERROR(FIND(" ",L227),99))&amp;MID(L227,IFERROR(FIND(" ",L227),99),99)))</f>
        <v>Viper 75</v>
      </c>
      <c r="C227" s="11">
        <f>TRUNC(O227)</f>
        <v>275</v>
      </c>
      <c r="D227" s="11">
        <f>TRUNC(N227)</f>
        <v>75</v>
      </c>
      <c r="E227" s="11">
        <f>M227</f>
        <v>160</v>
      </c>
      <c r="F227" s="38" t="str">
        <f>I227</f>
        <v>2016</v>
      </c>
      <c r="G227" s="11" t="str" cm="1">
        <f t="array" ref="G227">gssBoardClass(A227,B227,C227,D227,E227,F227)</f>
        <v>Slalom Large</v>
      </c>
      <c r="H227" s="39" t="str">
        <f>_xlfn.CONCAT(I227,"-",LEFT(K227,2),"-",LEFT(L227,3),"-",M227,"-",TRUNC(N227),"-",TRUNC(O227))</f>
        <v>2016-Fa-Vip-160-75-275</v>
      </c>
      <c r="I227" s="42" t="str">
        <f>LEFT(J227,4)</f>
        <v>2016</v>
      </c>
      <c r="J227" s="46">
        <v>2016</v>
      </c>
      <c r="K227" t="s">
        <v>1</v>
      </c>
      <c r="L227" t="s">
        <v>262</v>
      </c>
      <c r="M227">
        <v>160</v>
      </c>
      <c r="N227">
        <v>75</v>
      </c>
      <c r="O227">
        <v>275</v>
      </c>
      <c r="P227" t="s">
        <v>419</v>
      </c>
      <c r="S227" t="s">
        <v>421</v>
      </c>
    </row>
    <row r="228" spans="1:19" x14ac:dyDescent="0.25">
      <c r="A228" s="11" t="str">
        <f>PROPER(K228)</f>
        <v>Fanatic</v>
      </c>
      <c r="B228" s="11" t="str">
        <f>TRIM(PROPER(LEFT(L228,IFERROR(FIND(" ",L228),99))&amp;MID(L228,IFERROR(FIND(" ",L228),99),99)))</f>
        <v>Viper 80</v>
      </c>
      <c r="C228" s="11">
        <f>TRUNC(O228)</f>
        <v>280</v>
      </c>
      <c r="D228" s="11">
        <f>TRUNC(N228)</f>
        <v>80</v>
      </c>
      <c r="E228" s="11">
        <f>M228</f>
        <v>190</v>
      </c>
      <c r="F228" s="38" t="str">
        <f>I228</f>
        <v>2016</v>
      </c>
      <c r="G228" s="11" t="str" cm="1">
        <f t="array" ref="G228">gssBoardClass(A228,B228,C228,D228,E228,F228)</f>
        <v>Special / Longboard</v>
      </c>
      <c r="H228" s="39" t="str">
        <f>_xlfn.CONCAT(I228,"-",LEFT(K228,2),"-",LEFT(L228,3),"-",M228,"-",TRUNC(N228),"-",TRUNC(O228))</f>
        <v>2016-Fa-Vip-190-80-280</v>
      </c>
      <c r="I228" s="42" t="str">
        <f>LEFT(J228,4)</f>
        <v>2016</v>
      </c>
      <c r="J228" s="46">
        <v>2016</v>
      </c>
      <c r="K228" t="s">
        <v>1</v>
      </c>
      <c r="L228" t="s">
        <v>264</v>
      </c>
      <c r="M228">
        <v>190</v>
      </c>
      <c r="N228">
        <v>80</v>
      </c>
      <c r="O228">
        <v>280</v>
      </c>
      <c r="P228" t="s">
        <v>419</v>
      </c>
      <c r="S228" t="s">
        <v>421</v>
      </c>
    </row>
    <row r="229" spans="1:19" x14ac:dyDescent="0.25">
      <c r="A229" s="11" t="str">
        <f>PROPER(K229)</f>
        <v>Fanatic</v>
      </c>
      <c r="B229" s="11" t="str">
        <f>TRIM(PROPER(LEFT(L229,IFERROR(FIND(" ",L229),99))&amp;MID(L229,IFERROR(FIND(" ",L229),99),99)))</f>
        <v>Viper 85</v>
      </c>
      <c r="C229" s="11">
        <f>TRUNC(O229)</f>
        <v>285</v>
      </c>
      <c r="D229" s="11">
        <f>TRUNC(N229)</f>
        <v>85</v>
      </c>
      <c r="E229" s="11">
        <f>M229</f>
        <v>220</v>
      </c>
      <c r="F229" s="38" t="str">
        <f>I229</f>
        <v>2016</v>
      </c>
      <c r="G229" s="11" t="str" cm="1">
        <f t="array" ref="G229">gssBoardClass(A229,B229,C229,D229,E229,F229)</f>
        <v>Special / Longboard</v>
      </c>
      <c r="H229" s="39" t="str">
        <f>_xlfn.CONCAT(I229,"-",LEFT(K229,2),"-",LEFT(L229,3),"-",M229,"-",TRUNC(N229),"-",TRUNC(O229))</f>
        <v>2016-Fa-Vip-220-85-285</v>
      </c>
      <c r="I229" s="42" t="str">
        <f>LEFT(J229,4)</f>
        <v>2016</v>
      </c>
      <c r="J229" s="46">
        <v>2016</v>
      </c>
      <c r="K229" t="s">
        <v>1</v>
      </c>
      <c r="L229" t="s">
        <v>265</v>
      </c>
      <c r="M229">
        <v>220</v>
      </c>
      <c r="N229">
        <v>85</v>
      </c>
      <c r="O229">
        <v>285</v>
      </c>
      <c r="P229" t="s">
        <v>419</v>
      </c>
      <c r="S229" t="s">
        <v>421</v>
      </c>
    </row>
    <row r="230" spans="1:19" x14ac:dyDescent="0.25">
      <c r="A230" s="11" t="str">
        <f>PROPER(K230)</f>
        <v>Fanatic</v>
      </c>
      <c r="B230" s="11" t="str">
        <f>TRIM(PROPER(LEFT(L230,IFERROR(FIND(" ",L230),99))&amp;MID(L230,IFERROR(FIND(" ",L230),99),99)))</f>
        <v>Viper 91</v>
      </c>
      <c r="C230" s="11">
        <f>TRUNC(O230)</f>
        <v>290</v>
      </c>
      <c r="D230" s="11">
        <f>TRUNC(N230)</f>
        <v>91</v>
      </c>
      <c r="E230" s="11">
        <f>M230</f>
        <v>240</v>
      </c>
      <c r="F230" s="38" t="str">
        <f>I230</f>
        <v>2016</v>
      </c>
      <c r="G230" s="11" t="str" cm="1">
        <f t="array" ref="G230">gssBoardClass(A230,B230,C230,D230,E230,F230)</f>
        <v>Special / Longboard</v>
      </c>
      <c r="H230" s="39" t="str">
        <f>_xlfn.CONCAT(I230,"-",LEFT(K230,2),"-",LEFT(L230,3),"-",M230,"-",TRUNC(N230),"-",TRUNC(O230))</f>
        <v>2016-Fa-Vip-240-91-290</v>
      </c>
      <c r="I230" s="42" t="str">
        <f>LEFT(J230,4)</f>
        <v>2016</v>
      </c>
      <c r="J230" s="46">
        <v>2016</v>
      </c>
      <c r="K230" t="s">
        <v>1</v>
      </c>
      <c r="L230" t="s">
        <v>266</v>
      </c>
      <c r="M230">
        <v>240</v>
      </c>
      <c r="N230">
        <v>91</v>
      </c>
      <c r="O230">
        <v>290</v>
      </c>
      <c r="P230" t="s">
        <v>419</v>
      </c>
      <c r="S230" t="s">
        <v>422</v>
      </c>
    </row>
    <row r="231" spans="1:19" x14ac:dyDescent="0.25">
      <c r="A231" s="11" t="str">
        <f>PROPER(K231)</f>
        <v>Fanatic</v>
      </c>
      <c r="B231" s="11" t="str">
        <f>TRIM(PROPER(LEFT(L231,IFERROR(FIND(" ",L231),99))&amp;MID(L231,IFERROR(FIND(" ",L231),99),99)))</f>
        <v>Viper Air 315</v>
      </c>
      <c r="C231" s="11">
        <f>TRUNC(O231)</f>
        <v>300</v>
      </c>
      <c r="D231" s="11">
        <f>TRUNC(N231)</f>
        <v>85</v>
      </c>
      <c r="E231" s="11">
        <f>M231</f>
        <v>315</v>
      </c>
      <c r="F231" s="38" t="str">
        <f>I231</f>
        <v>2016</v>
      </c>
      <c r="G231" s="11" t="str" cm="1">
        <f t="array" ref="G231">gssBoardClass(A231,B231,C231,D231,E231,F231)</f>
        <v>Special / Longboard</v>
      </c>
      <c r="H231" s="39" t="str">
        <f>_xlfn.CONCAT(I231,"-",LEFT(K231,2),"-",LEFT(L231,3),"-",M231,"-",TRUNC(N231),"-",TRUNC(O231))</f>
        <v>2016-Fa-Vip-315-85-300</v>
      </c>
      <c r="I231" s="42" t="str">
        <f>LEFT(J231,4)</f>
        <v>2016</v>
      </c>
      <c r="J231" s="46">
        <v>2016</v>
      </c>
      <c r="K231" t="s">
        <v>1</v>
      </c>
      <c r="L231" t="s">
        <v>448</v>
      </c>
      <c r="M231">
        <v>315</v>
      </c>
      <c r="N231">
        <v>85.1</v>
      </c>
      <c r="O231">
        <v>300</v>
      </c>
      <c r="P231" t="s">
        <v>426</v>
      </c>
      <c r="S231" t="s">
        <v>427</v>
      </c>
    </row>
    <row r="232" spans="1:19" x14ac:dyDescent="0.25">
      <c r="A232" s="11" t="str">
        <f>PROPER(K232)</f>
        <v>Av</v>
      </c>
      <c r="B232" s="11" t="str">
        <f>TRIM(PROPER(LEFT(L232,IFERROR(FIND(" ",L232),99))&amp;MID(L232,IFERROR(FIND(" ",L232),99),99)))</f>
        <v>Modena Speed 58</v>
      </c>
      <c r="C232" s="11">
        <f>TRUNC(O232)</f>
        <v>229</v>
      </c>
      <c r="D232" s="11">
        <f>TRUNC(N232)</f>
        <v>58</v>
      </c>
      <c r="E232" s="11">
        <f>M232</f>
        <v>90</v>
      </c>
      <c r="F232" s="38" t="str">
        <f>I232</f>
        <v>2018</v>
      </c>
      <c r="G232" s="11" t="str" cm="1">
        <f t="array" ref="G232">gssBoardClass(A232,B232,C232,D232,E232,F232)</f>
        <v>Speed/Slalom Xtra Small</v>
      </c>
      <c r="H232" s="39" t="str">
        <f>_xlfn.CONCAT(I232,"-",LEFT(K232,2),"-",LEFT(L232,3),"-",M232,"-",TRUNC(N232),"-",TRUNC(O232))</f>
        <v>2018-AV-Mod-90-58-229</v>
      </c>
      <c r="I232" s="42" t="str">
        <f>LEFT(J232,4)</f>
        <v>2018</v>
      </c>
      <c r="J232" s="46">
        <v>2018</v>
      </c>
      <c r="K232" t="s">
        <v>712</v>
      </c>
      <c r="L232" t="s">
        <v>713</v>
      </c>
      <c r="M232">
        <v>90</v>
      </c>
      <c r="N232">
        <v>58</v>
      </c>
      <c r="O232">
        <v>229</v>
      </c>
      <c r="P232" t="s">
        <v>714</v>
      </c>
      <c r="Q232" t="s">
        <v>684</v>
      </c>
    </row>
    <row r="233" spans="1:19" x14ac:dyDescent="0.25">
      <c r="A233" s="11" t="str">
        <f>PROPER(K233)</f>
        <v>Fanatic</v>
      </c>
      <c r="B233" s="11" t="str">
        <f>TRIM(PROPER(LEFT(L233,IFERROR(FIND(" ",L233),99))&amp;MID(L233,IFERROR(FIND(" ",L233),99),99)))</f>
        <v>Blast Txtr 100</v>
      </c>
      <c r="C233" s="11">
        <f>TRUNC(O233)</f>
        <v>231</v>
      </c>
      <c r="D233" s="11">
        <f>TRUNC(N233)</f>
        <v>62</v>
      </c>
      <c r="E233" s="11">
        <f>M233</f>
        <v>100</v>
      </c>
      <c r="F233" s="38" t="str">
        <f>I233</f>
        <v>2018</v>
      </c>
      <c r="G233" s="11" t="str" cm="1">
        <f t="array" ref="G233">gssBoardClass(A233,B233,C233,D233,E233,F233)</f>
        <v>Speed/Slalom Small</v>
      </c>
      <c r="H233" s="39" t="str">
        <f>_xlfn.CONCAT(I233,"-",LEFT(K233,2),"-",LEFT(L233,3),"-",M233,"-",TRUNC(N233),"-",TRUNC(O233))</f>
        <v>2018-Fa-Bla-100-62-231</v>
      </c>
      <c r="I233" s="42" t="str">
        <f>LEFT(J233,4)</f>
        <v>2018</v>
      </c>
      <c r="J233" s="46">
        <v>2018</v>
      </c>
      <c r="K233" t="s">
        <v>1</v>
      </c>
      <c r="L233" t="s">
        <v>230</v>
      </c>
      <c r="M233">
        <v>100</v>
      </c>
      <c r="N233">
        <v>62</v>
      </c>
      <c r="O233">
        <v>231</v>
      </c>
      <c r="P233" t="s">
        <v>231</v>
      </c>
      <c r="Q233" t="s">
        <v>232</v>
      </c>
      <c r="R233" t="s">
        <v>190</v>
      </c>
      <c r="S233" t="s">
        <v>233</v>
      </c>
    </row>
    <row r="234" spans="1:19" x14ac:dyDescent="0.25">
      <c r="A234" s="11" t="str">
        <f>PROPER(K234)</f>
        <v>Fanatic</v>
      </c>
      <c r="B234" s="11" t="str">
        <f>TRIM(PROPER(LEFT(L234,IFERROR(FIND(" ",L234),99))&amp;MID(L234,IFERROR(FIND(" ",L234),99),99)))</f>
        <v>Blast Ltd 100</v>
      </c>
      <c r="C234" s="11">
        <f>TRUNC(O234)</f>
        <v>231</v>
      </c>
      <c r="D234" s="11">
        <f>TRUNC(N234)</f>
        <v>62</v>
      </c>
      <c r="E234" s="11">
        <f>M234</f>
        <v>100</v>
      </c>
      <c r="F234" s="38" t="str">
        <f>I234</f>
        <v>2018</v>
      </c>
      <c r="G234" s="11" t="str" cm="1">
        <f t="array" ref="G234">gssBoardClass(A234,B234,C234,D234,E234,F234)</f>
        <v>Speed/Slalom Small</v>
      </c>
      <c r="H234" s="39" t="str">
        <f>_xlfn.CONCAT(I234,"-",LEFT(K234,2),"-",LEFT(L234,3),"-",M234,"-",TRUNC(N234),"-",TRUNC(O234))</f>
        <v>2018-Fa-Bla-100-62-231</v>
      </c>
      <c r="I234" s="42" t="str">
        <f>LEFT(J234,4)</f>
        <v>2018</v>
      </c>
      <c r="J234" s="46">
        <v>2018</v>
      </c>
      <c r="K234" t="s">
        <v>1</v>
      </c>
      <c r="L234" t="s">
        <v>239</v>
      </c>
      <c r="M234">
        <v>100</v>
      </c>
      <c r="N234">
        <v>62</v>
      </c>
      <c r="O234">
        <v>231</v>
      </c>
      <c r="P234" t="s">
        <v>172</v>
      </c>
      <c r="Q234" t="s">
        <v>232</v>
      </c>
      <c r="R234" t="s">
        <v>190</v>
      </c>
      <c r="S234" t="s">
        <v>233</v>
      </c>
    </row>
    <row r="235" spans="1:19" x14ac:dyDescent="0.25">
      <c r="A235" s="11" t="str">
        <f>PROPER(K235)</f>
        <v>Fanatic</v>
      </c>
      <c r="B235" s="11" t="str">
        <f>TRIM(PROPER(LEFT(L235,IFERROR(FIND(" ",L235),99))&amp;MID(L235,IFERROR(FIND(" ",L235),99),99)))</f>
        <v>Blast Txtr 115</v>
      </c>
      <c r="C235" s="11">
        <f>TRUNC(O235)</f>
        <v>232</v>
      </c>
      <c r="D235" s="11">
        <f>TRUNC(N235)</f>
        <v>66</v>
      </c>
      <c r="E235" s="11">
        <f>M235</f>
        <v>115</v>
      </c>
      <c r="F235" s="38" t="str">
        <f>I235</f>
        <v>2018</v>
      </c>
      <c r="G235" s="11" t="str" cm="1">
        <f t="array" ref="G235">gssBoardClass(A235,B235,C235,D235,E235,F235)</f>
        <v>Slalom Medium</v>
      </c>
      <c r="H235" s="39" t="str">
        <f>_xlfn.CONCAT(I235,"-",LEFT(K235,2),"-",LEFT(L235,3),"-",M235,"-",TRUNC(N235),"-",TRUNC(O235))</f>
        <v>2018-Fa-Bla-115-66-232</v>
      </c>
      <c r="I235" s="42" t="str">
        <f>LEFT(J235,4)</f>
        <v>2018</v>
      </c>
      <c r="J235" s="46">
        <v>2018</v>
      </c>
      <c r="K235" t="s">
        <v>1</v>
      </c>
      <c r="L235" t="s">
        <v>234</v>
      </c>
      <c r="M235">
        <v>115</v>
      </c>
      <c r="N235">
        <v>66</v>
      </c>
      <c r="O235">
        <v>232</v>
      </c>
      <c r="R235" t="s">
        <v>195</v>
      </c>
      <c r="S235" t="s">
        <v>235</v>
      </c>
    </row>
    <row r="236" spans="1:19" x14ac:dyDescent="0.25">
      <c r="A236" s="11" t="str">
        <f>PROPER(K236)</f>
        <v>Fanatic</v>
      </c>
      <c r="B236" s="11" t="str">
        <f>TRIM(PROPER(LEFT(L236,IFERROR(FIND(" ",L236),99))&amp;MID(L236,IFERROR(FIND(" ",L236),99),99)))</f>
        <v>Blast Ltd 115</v>
      </c>
      <c r="C236" s="11">
        <f>TRUNC(O236)</f>
        <v>232</v>
      </c>
      <c r="D236" s="11">
        <f>TRUNC(N236)</f>
        <v>66</v>
      </c>
      <c r="E236" s="11">
        <f>M236</f>
        <v>115</v>
      </c>
      <c r="F236" s="38" t="str">
        <f>I236</f>
        <v>2018</v>
      </c>
      <c r="G236" s="11" t="str" cm="1">
        <f t="array" ref="G236">gssBoardClass(A236,B236,C236,D236,E236,F236)</f>
        <v>Slalom Medium</v>
      </c>
      <c r="H236" s="39" t="str">
        <f>_xlfn.CONCAT(I236,"-",LEFT(K236,2),"-",LEFT(L236,3),"-",M236,"-",TRUNC(N236),"-",TRUNC(O236))</f>
        <v>2018-Fa-Bla-115-66-232</v>
      </c>
      <c r="I236" s="42" t="str">
        <f>LEFT(J236,4)</f>
        <v>2018</v>
      </c>
      <c r="J236" s="46">
        <v>2018</v>
      </c>
      <c r="K236" t="s">
        <v>1</v>
      </c>
      <c r="L236" t="s">
        <v>240</v>
      </c>
      <c r="M236">
        <v>115</v>
      </c>
      <c r="N236">
        <v>66</v>
      </c>
      <c r="O236">
        <v>232</v>
      </c>
      <c r="R236" t="s">
        <v>195</v>
      </c>
      <c r="S236" t="s">
        <v>235</v>
      </c>
    </row>
    <row r="237" spans="1:19" x14ac:dyDescent="0.25">
      <c r="A237" s="11" t="str">
        <f>PROPER(K237)</f>
        <v>Fanatic</v>
      </c>
      <c r="B237" s="11" t="str">
        <f>TRIM(PROPER(LEFT(L237,IFERROR(FIND(" ",L237),99))&amp;MID(L237,IFERROR(FIND(" ",L237),99),99)))</f>
        <v>Blast Txtr 130</v>
      </c>
      <c r="C237" s="11">
        <f>TRUNC(O237)</f>
        <v>233</v>
      </c>
      <c r="D237" s="11">
        <f>TRUNC(N237)</f>
        <v>70</v>
      </c>
      <c r="E237" s="11">
        <f>M237</f>
        <v>130</v>
      </c>
      <c r="F237" s="38" t="str">
        <f>I237</f>
        <v>2018</v>
      </c>
      <c r="G237" s="11" t="str" cm="1">
        <f t="array" ref="G237">gssBoardClass(A237,B237,C237,D237,E237,F237)</f>
        <v>Slalom Medium</v>
      </c>
      <c r="H237" s="39" t="str">
        <f>_xlfn.CONCAT(I237,"-",LEFT(K237,2),"-",LEFT(L237,3),"-",M237,"-",TRUNC(N237),"-",TRUNC(O237))</f>
        <v>2018-Fa-Bla-130-70-233</v>
      </c>
      <c r="I237" s="42" t="str">
        <f>LEFT(J237,4)</f>
        <v>2018</v>
      </c>
      <c r="J237" s="46">
        <v>2018</v>
      </c>
      <c r="K237" t="s">
        <v>1</v>
      </c>
      <c r="L237" t="s">
        <v>236</v>
      </c>
      <c r="M237">
        <v>130</v>
      </c>
      <c r="N237">
        <v>70</v>
      </c>
      <c r="O237">
        <v>233</v>
      </c>
      <c r="Q237" t="s">
        <v>207</v>
      </c>
      <c r="R237" t="s">
        <v>201</v>
      </c>
      <c r="S237" t="s">
        <v>199</v>
      </c>
    </row>
    <row r="238" spans="1:19" x14ac:dyDescent="0.25">
      <c r="A238" s="11" t="str">
        <f>PROPER(K238)</f>
        <v>Fanatic</v>
      </c>
      <c r="B238" s="11" t="str">
        <f>TRIM(PROPER(LEFT(L238,IFERROR(FIND(" ",L238),99))&amp;MID(L238,IFERROR(FIND(" ",L238),99),99)))</f>
        <v>Blast Ltd 130</v>
      </c>
      <c r="C238" s="11">
        <f>TRUNC(O238)</f>
        <v>233</v>
      </c>
      <c r="D238" s="11">
        <f>TRUNC(N238)</f>
        <v>70</v>
      </c>
      <c r="E238" s="11">
        <f>M238</f>
        <v>130</v>
      </c>
      <c r="F238" s="38" t="str">
        <f>I238</f>
        <v>2018</v>
      </c>
      <c r="G238" s="11" t="str" cm="1">
        <f t="array" ref="G238">gssBoardClass(A238,B238,C238,D238,E238,F238)</f>
        <v>Slalom Medium</v>
      </c>
      <c r="H238" s="39" t="str">
        <f>_xlfn.CONCAT(I238,"-",LEFT(K238,2),"-",LEFT(L238,3),"-",M238,"-",TRUNC(N238),"-",TRUNC(O238))</f>
        <v>2018-Fa-Bla-130-70-233</v>
      </c>
      <c r="I238" s="42" t="str">
        <f>LEFT(J238,4)</f>
        <v>2018</v>
      </c>
      <c r="J238" s="46">
        <v>2018</v>
      </c>
      <c r="K238" t="s">
        <v>1</v>
      </c>
      <c r="L238" t="s">
        <v>241</v>
      </c>
      <c r="M238">
        <v>130</v>
      </c>
      <c r="N238">
        <v>70</v>
      </c>
      <c r="O238">
        <v>233</v>
      </c>
      <c r="Q238" t="s">
        <v>207</v>
      </c>
      <c r="R238" t="s">
        <v>201</v>
      </c>
      <c r="S238" t="s">
        <v>199</v>
      </c>
    </row>
    <row r="239" spans="1:19" x14ac:dyDescent="0.25">
      <c r="A239" s="11" t="str">
        <f>PROPER(K239)</f>
        <v>Fanatic</v>
      </c>
      <c r="B239" s="11" t="str">
        <f>TRIM(PROPER(LEFT(L239,IFERROR(FIND(" ",L239),99))&amp;MID(L239,IFERROR(FIND(" ",L239),99),99)))</f>
        <v>Blast Txtr 145</v>
      </c>
      <c r="C239" s="11">
        <f>TRUNC(O239)</f>
        <v>235</v>
      </c>
      <c r="D239" s="11">
        <f>TRUNC(N239)</f>
        <v>77</v>
      </c>
      <c r="E239" s="11">
        <f>M239</f>
        <v>145</v>
      </c>
      <c r="F239" s="38" t="str">
        <f>I239</f>
        <v>2018</v>
      </c>
      <c r="G239" s="11" t="str" cm="1">
        <f t="array" ref="G239">gssBoardClass(A239,B239,C239,D239,E239,F239)</f>
        <v>Slalom Large</v>
      </c>
      <c r="H239" s="39" t="str">
        <f>_xlfn.CONCAT(I239,"-",LEFT(K239,2),"-",LEFT(L239,3),"-",M239,"-",TRUNC(N239),"-",TRUNC(O239))</f>
        <v>2018-Fa-Bla-145-77-235</v>
      </c>
      <c r="I239" s="42" t="str">
        <f>LEFT(J239,4)</f>
        <v>2018</v>
      </c>
      <c r="J239" s="46">
        <v>2018</v>
      </c>
      <c r="K239" t="s">
        <v>1</v>
      </c>
      <c r="L239" t="s">
        <v>237</v>
      </c>
      <c r="M239">
        <v>145</v>
      </c>
      <c r="N239">
        <v>77</v>
      </c>
      <c r="O239">
        <v>235</v>
      </c>
      <c r="R239" t="s">
        <v>209</v>
      </c>
      <c r="S239" t="s">
        <v>238</v>
      </c>
    </row>
    <row r="240" spans="1:19" x14ac:dyDescent="0.25">
      <c r="A240" s="11" t="str">
        <f>PROPER(K240)</f>
        <v>Fanatic</v>
      </c>
      <c r="B240" s="11" t="str">
        <f>TRIM(PROPER(LEFT(L240,IFERROR(FIND(" ",L240),99))&amp;MID(L240,IFERROR(FIND(" ",L240),99),99)))</f>
        <v>Blast Ltd 145</v>
      </c>
      <c r="C240" s="11">
        <f>TRUNC(O240)</f>
        <v>235</v>
      </c>
      <c r="D240" s="11">
        <f>TRUNC(N240)</f>
        <v>77</v>
      </c>
      <c r="E240" s="11">
        <f>M240</f>
        <v>145</v>
      </c>
      <c r="F240" s="38" t="str">
        <f>I240</f>
        <v>2018</v>
      </c>
      <c r="G240" s="11" t="str" cm="1">
        <f t="array" ref="G240">gssBoardClass(A240,B240,C240,D240,E240,F240)</f>
        <v>Slalom Large</v>
      </c>
      <c r="H240" s="39" t="str">
        <f>_xlfn.CONCAT(I240,"-",LEFT(K240,2),"-",LEFT(L240,3),"-",M240,"-",TRUNC(N240),"-",TRUNC(O240))</f>
        <v>2018-Fa-Bla-145-77-235</v>
      </c>
      <c r="I240" s="42" t="str">
        <f>LEFT(J240,4)</f>
        <v>2018</v>
      </c>
      <c r="J240" s="46">
        <v>2018</v>
      </c>
      <c r="K240" t="s">
        <v>1</v>
      </c>
      <c r="L240" t="s">
        <v>242</v>
      </c>
      <c r="M240">
        <v>145</v>
      </c>
      <c r="N240">
        <v>77</v>
      </c>
      <c r="O240">
        <v>235</v>
      </c>
      <c r="R240" t="s">
        <v>209</v>
      </c>
      <c r="S240" t="s">
        <v>238</v>
      </c>
    </row>
    <row r="241" spans="1:19" x14ac:dyDescent="0.25">
      <c r="A241" s="11" t="str">
        <f>PROPER(K241)</f>
        <v>Fanatic</v>
      </c>
      <c r="B241" s="11" t="str">
        <f>TRIM(PROPER(LEFT(L241,IFERROR(FIND(" ",L241),99))&amp;MID(L241,IFERROR(FIND(" ",L241),99),99)))</f>
        <v>Falcon Te 114</v>
      </c>
      <c r="C241" s="11">
        <f>TRUNC(O241)</f>
        <v>230</v>
      </c>
      <c r="D241" s="11">
        <f>TRUNC(N241)</f>
        <v>71</v>
      </c>
      <c r="E241" s="11">
        <f>M241</f>
        <v>114</v>
      </c>
      <c r="F241" s="38" t="str">
        <f>I241</f>
        <v>2018</v>
      </c>
      <c r="G241" s="11" t="str" cm="1">
        <f t="array" ref="G241">gssBoardClass(A241,B241,C241,D241,E241,F241)</f>
        <v>Slalom Medium</v>
      </c>
      <c r="H241" s="39" t="str">
        <f>_xlfn.CONCAT(I241,"-",LEFT(K241,2),"-",LEFT(L241,3),"-",M241,"-",TRUNC(N241),"-",TRUNC(O241))</f>
        <v>2018-Fa-Fal-114-71-230</v>
      </c>
      <c r="I241" s="42" t="str">
        <f>LEFT(J241,4)</f>
        <v>2018</v>
      </c>
      <c r="J241" s="46">
        <v>2018</v>
      </c>
      <c r="K241" t="s">
        <v>1</v>
      </c>
      <c r="L241" t="s">
        <v>248</v>
      </c>
      <c r="M241">
        <v>114</v>
      </c>
      <c r="N241">
        <v>71</v>
      </c>
      <c r="O241">
        <v>230</v>
      </c>
      <c r="P241" t="s">
        <v>249</v>
      </c>
      <c r="Q241" t="s">
        <v>250</v>
      </c>
      <c r="R241" t="s">
        <v>246</v>
      </c>
      <c r="S241" t="s">
        <v>251</v>
      </c>
    </row>
    <row r="242" spans="1:19" x14ac:dyDescent="0.25">
      <c r="A242" s="11" t="str">
        <f>PROPER(K242)</f>
        <v>Fanatic</v>
      </c>
      <c r="B242" s="11" t="str">
        <f>TRIM(PROPER(LEFT(L242,IFERROR(FIND(" ",L242),99))&amp;MID(L242,IFERROR(FIND(" ",L242),99),99)))</f>
        <v>Falcon Te 121</v>
      </c>
      <c r="C242" s="11">
        <f>TRUNC(O242)</f>
        <v>230</v>
      </c>
      <c r="D242" s="11">
        <f>TRUNC(N242)</f>
        <v>75</v>
      </c>
      <c r="E242" s="11">
        <f>M242</f>
        <v>121</v>
      </c>
      <c r="F242" s="38" t="str">
        <f>I242</f>
        <v>2018</v>
      </c>
      <c r="G242" s="11" t="str" cm="1">
        <f t="array" ref="G242">gssBoardClass(A242,B242,C242,D242,E242,F242)</f>
        <v>Slalom Large</v>
      </c>
      <c r="H242" s="39" t="str">
        <f>_xlfn.CONCAT(I242,"-",LEFT(K242,2),"-",LEFT(L242,3),"-",M242,"-",TRUNC(N242),"-",TRUNC(O242))</f>
        <v>2018-Fa-Fal-121-75-230</v>
      </c>
      <c r="I242" s="42" t="str">
        <f>LEFT(J242,4)</f>
        <v>2018</v>
      </c>
      <c r="J242" s="46">
        <v>2018</v>
      </c>
      <c r="K242" t="s">
        <v>1</v>
      </c>
      <c r="L242" t="s">
        <v>57</v>
      </c>
      <c r="M242">
        <v>121</v>
      </c>
      <c r="N242">
        <v>75</v>
      </c>
      <c r="O242">
        <v>230</v>
      </c>
      <c r="Q242" t="s">
        <v>153</v>
      </c>
      <c r="R242" t="s">
        <v>153</v>
      </c>
      <c r="S242" t="s">
        <v>252</v>
      </c>
    </row>
    <row r="243" spans="1:19" x14ac:dyDescent="0.25">
      <c r="A243" s="11" t="str">
        <f>PROPER(K243)</f>
        <v>Fanatic</v>
      </c>
      <c r="B243" s="11" t="str">
        <f>TRIM(PROPER(LEFT(L243,IFERROR(FIND(" ",L243),99))&amp;MID(L243,IFERROR(FIND(" ",L243),99),99)))</f>
        <v>Falcon Te129</v>
      </c>
      <c r="C243" s="11">
        <f>TRUNC(O243)</f>
        <v>230</v>
      </c>
      <c r="D243" s="11">
        <f>TRUNC(N243)</f>
        <v>80</v>
      </c>
      <c r="E243" s="11">
        <f>M243</f>
        <v>129</v>
      </c>
      <c r="F243" s="38" t="str">
        <f>I243</f>
        <v>2018</v>
      </c>
      <c r="G243" s="11" t="str" cm="1">
        <f t="array" ref="G243">gssBoardClass(A243,B243,C243,D243,E243,F243)</f>
        <v>Slalom Large</v>
      </c>
      <c r="H243" s="39" t="str">
        <f>_xlfn.CONCAT(I243,"-",LEFT(K243,2),"-",LEFT(L243,3),"-",M243,"-",TRUNC(N243),"-",TRUNC(O243))</f>
        <v>2018-Fa-Fal-129-80-230</v>
      </c>
      <c r="I243" s="42" t="str">
        <f>LEFT(J243,4)</f>
        <v>2018</v>
      </c>
      <c r="J243" s="46">
        <v>2018</v>
      </c>
      <c r="K243" t="s">
        <v>1</v>
      </c>
      <c r="L243" t="s">
        <v>253</v>
      </c>
      <c r="M243">
        <v>129</v>
      </c>
      <c r="N243">
        <v>80</v>
      </c>
      <c r="O243">
        <v>230</v>
      </c>
      <c r="Q243" t="s">
        <v>207</v>
      </c>
      <c r="R243" t="s">
        <v>246</v>
      </c>
      <c r="S243" t="s">
        <v>202</v>
      </c>
    </row>
    <row r="244" spans="1:19" x14ac:dyDescent="0.25">
      <c r="A244" s="11" t="str">
        <f>PROPER(K244)</f>
        <v>Fanatic</v>
      </c>
      <c r="B244" s="11" t="str">
        <f>TRIM(PROPER(LEFT(L244,IFERROR(FIND(" ",L244),99))&amp;MID(L244,IFERROR(FIND(" ",L244),99),99)))</f>
        <v>Falcon Te 136</v>
      </c>
      <c r="C244" s="11">
        <f>TRUNC(O244)</f>
        <v>225</v>
      </c>
      <c r="D244" s="11">
        <f>TRUNC(N244)</f>
        <v>85</v>
      </c>
      <c r="E244" s="11">
        <f>M244</f>
        <v>136</v>
      </c>
      <c r="F244" s="38" t="str">
        <f>I244</f>
        <v>2018</v>
      </c>
      <c r="G244" s="11" t="str" cm="1">
        <f t="array" ref="G244">gssBoardClass(A244,B244,C244,D244,E244,F244)</f>
        <v>Slalom Large</v>
      </c>
      <c r="H244" s="39" t="str">
        <f>_xlfn.CONCAT(I244,"-",LEFT(K244,2),"-",LEFT(L244,3),"-",M244,"-",TRUNC(N244),"-",TRUNC(O244))</f>
        <v>2018-Fa-Fal-136-85-225</v>
      </c>
      <c r="I244" s="42" t="str">
        <f>LEFT(J244,4)</f>
        <v>2018</v>
      </c>
      <c r="J244" s="46">
        <v>2018</v>
      </c>
      <c r="K244" t="s">
        <v>1</v>
      </c>
      <c r="L244" t="s">
        <v>61</v>
      </c>
      <c r="M244">
        <v>136</v>
      </c>
      <c r="N244">
        <v>85</v>
      </c>
      <c r="O244">
        <v>225</v>
      </c>
      <c r="Q244" t="s">
        <v>153</v>
      </c>
      <c r="R244" t="s">
        <v>153</v>
      </c>
      <c r="S244" t="s">
        <v>205</v>
      </c>
    </row>
    <row r="245" spans="1:19" x14ac:dyDescent="0.25">
      <c r="A245" s="11" t="str">
        <f>PROPER(K245)</f>
        <v>Fanatic</v>
      </c>
      <c r="B245" s="11" t="str">
        <f>TRIM(PROPER(LEFT(L245,IFERROR(FIND(" ",L245),99))&amp;MID(L245,IFERROR(FIND(" ",L245),99),99)))</f>
        <v>Falcon Lightwind 159</v>
      </c>
      <c r="C245" s="11">
        <f>TRUNC(O245)</f>
        <v>230</v>
      </c>
      <c r="D245" s="11">
        <f>TRUNC(N245)</f>
        <v>90</v>
      </c>
      <c r="E245" s="11">
        <f>M245</f>
        <v>159</v>
      </c>
      <c r="F245" s="38" t="str">
        <f>I245</f>
        <v>2018</v>
      </c>
      <c r="G245" s="11" t="str" cm="1">
        <f t="array" ref="G245">gssBoardClass(A245,B245,C245,D245,E245,F245)</f>
        <v>Slalom Xtra Large</v>
      </c>
      <c r="H245" s="39" t="str">
        <f>_xlfn.CONCAT(I245,"-",LEFT(K245,2),"-",LEFT(L245,3),"-",M245,"-",TRUNC(N245),"-",TRUNC(O245))</f>
        <v>2018-Fa-Fal-159-90-230</v>
      </c>
      <c r="I245" s="42" t="str">
        <f>LEFT(J245,4)</f>
        <v>2018</v>
      </c>
      <c r="J245" s="46">
        <v>2018</v>
      </c>
      <c r="K245" t="s">
        <v>1</v>
      </c>
      <c r="L245" t="s">
        <v>254</v>
      </c>
      <c r="M245">
        <v>159</v>
      </c>
      <c r="N245">
        <v>90</v>
      </c>
      <c r="O245">
        <v>230</v>
      </c>
      <c r="P245" t="s">
        <v>172</v>
      </c>
      <c r="Q245" t="s">
        <v>207</v>
      </c>
      <c r="R245" t="s">
        <v>255</v>
      </c>
      <c r="S245" t="s">
        <v>227</v>
      </c>
    </row>
    <row r="246" spans="1:19" x14ac:dyDescent="0.25">
      <c r="A246" s="11" t="str">
        <f>PROPER(K246)</f>
        <v>Fanatic</v>
      </c>
      <c r="B246" s="11" t="str">
        <f>TRIM(PROPER(LEFT(L246,IFERROR(FIND(" ",L246),99))&amp;MID(L246,IFERROR(FIND(" ",L246),99),99)))</f>
        <v>Falcon Formula 172</v>
      </c>
      <c r="C246" s="11">
        <f>TRUNC(O246)</f>
        <v>230</v>
      </c>
      <c r="D246" s="11">
        <f>TRUNC(N246)</f>
        <v>100</v>
      </c>
      <c r="E246" s="11">
        <f>M246</f>
        <v>172</v>
      </c>
      <c r="F246" s="38" t="str">
        <f>I246</f>
        <v>2018</v>
      </c>
      <c r="G246" s="11" t="str" cm="1">
        <f t="array" ref="G246">gssBoardClass(A246,B246,C246,D246,E246,F246)</f>
        <v>Formula Raceboard</v>
      </c>
      <c r="H246" s="39" t="str">
        <f>_xlfn.CONCAT(I246,"-",LEFT(K246,2),"-",LEFT(L246,3),"-",M246,"-",TRUNC(N246),"-",TRUNC(O246))</f>
        <v>2018-Fa-Fal-172-100-230</v>
      </c>
      <c r="I246" s="42" t="str">
        <f>LEFT(J246,4)</f>
        <v>2018</v>
      </c>
      <c r="J246" s="46">
        <v>2018</v>
      </c>
      <c r="K246" t="s">
        <v>1</v>
      </c>
      <c r="L246" t="s">
        <v>259</v>
      </c>
      <c r="M246">
        <v>172</v>
      </c>
      <c r="N246">
        <v>100</v>
      </c>
      <c r="O246">
        <v>230</v>
      </c>
      <c r="P246" t="s">
        <v>249</v>
      </c>
      <c r="Q246" t="s">
        <v>260</v>
      </c>
      <c r="R246" t="s">
        <v>246</v>
      </c>
      <c r="S246" t="s">
        <v>261</v>
      </c>
    </row>
    <row r="247" spans="1:19" x14ac:dyDescent="0.25">
      <c r="A247" s="11" t="str">
        <f>PROPER(K247)</f>
        <v>Fanatic</v>
      </c>
      <c r="B247" s="11" t="str">
        <f>TRIM(PROPER(LEFT(L247,IFERROR(FIND(" ",L247),99))&amp;MID(L247,IFERROR(FIND(" ",L247),99),99)))</f>
        <v>Falcon Speed 44 Lüderitz</v>
      </c>
      <c r="C247" s="11">
        <f>TRUNC(O247)</f>
        <v>230</v>
      </c>
      <c r="D247" s="11">
        <f>TRUNC(N247)</f>
        <v>44</v>
      </c>
      <c r="E247" s="11">
        <f>M247</f>
        <v>54</v>
      </c>
      <c r="F247" s="38" t="str">
        <f>I247</f>
        <v>2018</v>
      </c>
      <c r="G247" s="11" t="str" cm="1">
        <f t="array" ref="G247">gssBoardClass(A247,B247,C247,D247,E247,F247)</f>
        <v>Speedboard</v>
      </c>
      <c r="H247" s="39" t="str">
        <f>_xlfn.CONCAT(I247,"-",LEFT(K247,2),"-",LEFT(L247,3),"-",M247,"-",TRUNC(N247),"-",TRUNC(O247))</f>
        <v>2018-Fa-Fal-54-44-230</v>
      </c>
      <c r="I247" s="42" t="str">
        <f>LEFT(J247,4)</f>
        <v>2018</v>
      </c>
      <c r="J247" s="46">
        <v>2018</v>
      </c>
      <c r="K247" t="s">
        <v>1</v>
      </c>
      <c r="L247" t="s">
        <v>256</v>
      </c>
      <c r="M247">
        <v>54</v>
      </c>
      <c r="N247">
        <v>44</v>
      </c>
      <c r="O247">
        <v>230</v>
      </c>
      <c r="P247" t="s">
        <v>244</v>
      </c>
      <c r="Q247" t="s">
        <v>245</v>
      </c>
      <c r="R247" t="s">
        <v>246</v>
      </c>
      <c r="S247" t="s">
        <v>139</v>
      </c>
    </row>
    <row r="248" spans="1:19" x14ac:dyDescent="0.25">
      <c r="A248" s="11" t="str">
        <f>PROPER(K248)</f>
        <v>Fanatic</v>
      </c>
      <c r="B248" s="11" t="str">
        <f>TRIM(PROPER(LEFT(L248,IFERROR(FIND(" ",L248),99))&amp;MID(L248,IFERROR(FIND(" ",L248),99),99)))</f>
        <v>Falcon Speed 52.5</v>
      </c>
      <c r="C248" s="11">
        <f>TRUNC(O248)</f>
        <v>230</v>
      </c>
      <c r="D248" s="11">
        <f>TRUNC(N248)</f>
        <v>52</v>
      </c>
      <c r="E248" s="11">
        <f>M248</f>
        <v>70</v>
      </c>
      <c r="F248" s="38" t="str">
        <f>I248</f>
        <v>2018</v>
      </c>
      <c r="G248" s="11" t="str" cm="1">
        <f t="array" ref="G248">gssBoardClass(A248,B248,C248,D248,E248,F248)</f>
        <v>Speed/Slalom Xtra Small</v>
      </c>
      <c r="H248" s="39" t="str">
        <f>_xlfn.CONCAT(I248,"-",LEFT(K248,2),"-",LEFT(L248,3),"-",M248,"-",TRUNC(N248),"-",TRUNC(O248))</f>
        <v>2018-Fa-Fal-70-52-230</v>
      </c>
      <c r="I248" s="42" t="str">
        <f>LEFT(J248,4)</f>
        <v>2018</v>
      </c>
      <c r="J248" s="46">
        <v>2018</v>
      </c>
      <c r="K248" t="s">
        <v>1</v>
      </c>
      <c r="L248" t="s">
        <v>50</v>
      </c>
      <c r="M248">
        <v>70</v>
      </c>
      <c r="N248">
        <v>52.5</v>
      </c>
      <c r="O248">
        <v>230</v>
      </c>
      <c r="Q248" t="s">
        <v>153</v>
      </c>
      <c r="R248" t="s">
        <v>153</v>
      </c>
      <c r="S248" t="s">
        <v>257</v>
      </c>
    </row>
    <row r="249" spans="1:19" x14ac:dyDescent="0.25">
      <c r="A249" s="11" t="str">
        <f>PROPER(K249)</f>
        <v>Fanatic</v>
      </c>
      <c r="B249" s="11" t="str">
        <f>TRIM(PROPER(LEFT(L249,IFERROR(FIND(" ",L249),99))&amp;MID(L249,IFERROR(FIND(" ",L249),99),99)))</f>
        <v>Falcon Speed 56</v>
      </c>
      <c r="C249" s="11">
        <f>TRUNC(O249)</f>
        <v>235</v>
      </c>
      <c r="D249" s="11">
        <f>TRUNC(N249)</f>
        <v>56</v>
      </c>
      <c r="E249" s="11">
        <f>M249</f>
        <v>79</v>
      </c>
      <c r="F249" s="38" t="str">
        <f>I249</f>
        <v>2018</v>
      </c>
      <c r="G249" s="11" t="str" cm="1">
        <f t="array" ref="G249">gssBoardClass(A249,B249,C249,D249,E249,F249)</f>
        <v>Speed/Slalom Xtra Small</v>
      </c>
      <c r="H249" s="39" t="str">
        <f>_xlfn.CONCAT(I249,"-",LEFT(K249,2),"-",LEFT(L249,3),"-",M249,"-",TRUNC(N249),"-",TRUNC(O249))</f>
        <v>2018-Fa-Fal-79-56-235</v>
      </c>
      <c r="I249" s="42" t="str">
        <f>LEFT(J249,4)</f>
        <v>2018</v>
      </c>
      <c r="J249" s="46">
        <v>2018</v>
      </c>
      <c r="K249" t="s">
        <v>1</v>
      </c>
      <c r="L249" t="s">
        <v>258</v>
      </c>
      <c r="M249">
        <v>79</v>
      </c>
      <c r="N249">
        <v>56</v>
      </c>
      <c r="O249">
        <v>235</v>
      </c>
      <c r="Q249" t="s">
        <v>153</v>
      </c>
      <c r="R249" t="s">
        <v>153</v>
      </c>
      <c r="S249" t="s">
        <v>166</v>
      </c>
    </row>
    <row r="250" spans="1:19" x14ac:dyDescent="0.25">
      <c r="A250" s="11" t="str">
        <f>PROPER(K250)</f>
        <v>Fanatic</v>
      </c>
      <c r="B250" s="11" t="str">
        <f>TRIM(PROPER(LEFT(L250,IFERROR(FIND(" ",L250),99))&amp;MID(L250,IFERROR(FIND(" ",L250),99),99)))</f>
        <v>Falcon Te 89</v>
      </c>
      <c r="C250" s="11">
        <f>TRUNC(O250)</f>
        <v>235</v>
      </c>
      <c r="D250" s="11">
        <f>TRUNC(N250)</f>
        <v>60</v>
      </c>
      <c r="E250" s="11">
        <f>M250</f>
        <v>89</v>
      </c>
      <c r="F250" s="38" t="str">
        <f>I250</f>
        <v>2018</v>
      </c>
      <c r="G250" s="11" t="str" cm="1">
        <f t="array" ref="G250">gssBoardClass(A250,B250,C250,D250,E250,F250)</f>
        <v>Speed/Slalom Xtra Small</v>
      </c>
      <c r="H250" s="39" t="str">
        <f>_xlfn.CONCAT(I250,"-",LEFT(K250,2),"-",LEFT(L250,3),"-",M250,"-",TRUNC(N250),"-",TRUNC(O250))</f>
        <v>2018-Fa-Fal-89-60-235</v>
      </c>
      <c r="I250" s="42" t="str">
        <f>LEFT(J250,4)</f>
        <v>2018</v>
      </c>
      <c r="J250" s="46">
        <v>2018</v>
      </c>
      <c r="K250" t="s">
        <v>1</v>
      </c>
      <c r="L250" t="s">
        <v>243</v>
      </c>
      <c r="M250">
        <v>89</v>
      </c>
      <c r="N250">
        <v>60</v>
      </c>
      <c r="O250">
        <v>235</v>
      </c>
      <c r="P250" t="s">
        <v>244</v>
      </c>
      <c r="Q250" t="s">
        <v>245</v>
      </c>
      <c r="R250" t="s">
        <v>246</v>
      </c>
      <c r="S250" t="s">
        <v>233</v>
      </c>
    </row>
    <row r="251" spans="1:19" x14ac:dyDescent="0.25">
      <c r="A251" s="11" t="str">
        <f>PROPER(K251)</f>
        <v>Fanatic</v>
      </c>
      <c r="B251" s="11" t="str">
        <f>TRIM(PROPER(LEFT(L251,IFERROR(FIND(" ",L251),99))&amp;MID(L251,IFERROR(FIND(" ",L251),99),99)))</f>
        <v>Falcon Te 98</v>
      </c>
      <c r="C251" s="11">
        <f>TRUNC(O251)</f>
        <v>235</v>
      </c>
      <c r="D251" s="11">
        <f>TRUNC(N251)</f>
        <v>63</v>
      </c>
      <c r="E251" s="11">
        <f>M251</f>
        <v>98</v>
      </c>
      <c r="F251" s="38" t="str">
        <f>I251</f>
        <v>2018</v>
      </c>
      <c r="G251" s="11" t="str" cm="1">
        <f t="array" ref="G251">gssBoardClass(A251,B251,C251,D251,E251,F251)</f>
        <v>Speed/Slalom Small</v>
      </c>
      <c r="H251" s="39" t="str">
        <f>_xlfn.CONCAT(I251,"-",LEFT(K251,2),"-",LEFT(L251,3),"-",M251,"-",TRUNC(N251),"-",TRUNC(O251))</f>
        <v>2018-Fa-Fal-98-63-235</v>
      </c>
      <c r="I251" s="42" t="str">
        <f>LEFT(J251,4)</f>
        <v>2018</v>
      </c>
      <c r="J251" s="46">
        <v>2018</v>
      </c>
      <c r="K251" t="s">
        <v>1</v>
      </c>
      <c r="L251" t="s">
        <v>65</v>
      </c>
      <c r="M251">
        <v>98</v>
      </c>
      <c r="N251">
        <v>63</v>
      </c>
      <c r="O251">
        <v>235</v>
      </c>
      <c r="Q251" t="s">
        <v>153</v>
      </c>
      <c r="R251" t="s">
        <v>153</v>
      </c>
      <c r="S251" t="s">
        <v>247</v>
      </c>
    </row>
    <row r="252" spans="1:19" x14ac:dyDescent="0.25">
      <c r="A252" s="11" t="str">
        <f>PROPER(K252)</f>
        <v>Fanatic</v>
      </c>
      <c r="B252" s="11" t="str">
        <f>TRIM(PROPER(LEFT(L252,IFERROR(FIND(" ",L252),99))&amp;MID(L252,IFERROR(FIND(" ",L252),99),99)))</f>
        <v>Freewave Stb Txtr 105</v>
      </c>
      <c r="C252" s="11">
        <f>TRUNC(O252)</f>
        <v>229</v>
      </c>
      <c r="D252" s="11">
        <f>TRUNC(N252)</f>
        <v>62</v>
      </c>
      <c r="E252" s="11">
        <f>M252</f>
        <v>105</v>
      </c>
      <c r="F252" s="38" t="str">
        <f>I252</f>
        <v>2018</v>
      </c>
      <c r="G252" s="11" t="str" cm="1">
        <f t="array" ref="G252">gssBoardClass(A252,B252,C252,D252,E252,F252)</f>
        <v>Wave / Freestyle</v>
      </c>
      <c r="H252" s="39" t="str">
        <f>_xlfn.CONCAT(I252,"-",LEFT(K252,2),"-",LEFT(L252,3),"-",M252,"-",TRUNC(N252),"-",TRUNC(O252))</f>
        <v>2018-Fa-Fre-105-62-229</v>
      </c>
      <c r="I252" s="42" t="str">
        <f>LEFT(J252,4)</f>
        <v>2018</v>
      </c>
      <c r="J252" s="46">
        <v>2018</v>
      </c>
      <c r="K252" t="s">
        <v>1</v>
      </c>
      <c r="L252" t="s">
        <v>161</v>
      </c>
      <c r="M252">
        <v>105</v>
      </c>
      <c r="N252">
        <v>62.5</v>
      </c>
      <c r="O252">
        <v>229</v>
      </c>
      <c r="R252" t="s">
        <v>162</v>
      </c>
      <c r="S252" t="s">
        <v>163</v>
      </c>
    </row>
    <row r="253" spans="1:19" x14ac:dyDescent="0.25">
      <c r="A253" s="11" t="str">
        <f>PROPER(K253)</f>
        <v>Fanatic</v>
      </c>
      <c r="B253" s="11" t="str">
        <f>TRIM(PROPER(LEFT(L253,IFERROR(FIND(" ",L253),99))&amp;MID(L253,IFERROR(FIND(" ",L253),99),99)))</f>
        <v>Freewave Stb Te 105</v>
      </c>
      <c r="C253" s="11">
        <f>TRUNC(O253)</f>
        <v>229</v>
      </c>
      <c r="D253" s="11">
        <f>TRUNC(N253)</f>
        <v>62</v>
      </c>
      <c r="E253" s="11">
        <f>M253</f>
        <v>105</v>
      </c>
      <c r="F253" s="38" t="str">
        <f>I253</f>
        <v>2018</v>
      </c>
      <c r="G253" s="11" t="str" cm="1">
        <f t="array" ref="G253">gssBoardClass(A253,B253,C253,D253,E253,F253)</f>
        <v>Wave / Freestyle</v>
      </c>
      <c r="H253" s="39" t="str">
        <f>_xlfn.CONCAT(I253,"-",LEFT(K253,2),"-",LEFT(L253,3),"-",M253,"-",TRUNC(N253),"-",TRUNC(O253))</f>
        <v>2018-Fa-Fre-105-62-229</v>
      </c>
      <c r="I253" s="42" t="str">
        <f>LEFT(J253,4)</f>
        <v>2018</v>
      </c>
      <c r="J253" s="46">
        <v>2018</v>
      </c>
      <c r="K253" t="s">
        <v>1</v>
      </c>
      <c r="L253" t="s">
        <v>169</v>
      </c>
      <c r="M253">
        <v>105</v>
      </c>
      <c r="N253">
        <v>62.5</v>
      </c>
      <c r="O253">
        <v>229</v>
      </c>
      <c r="R253" t="s">
        <v>162</v>
      </c>
      <c r="S253" t="s">
        <v>163</v>
      </c>
    </row>
    <row r="254" spans="1:19" x14ac:dyDescent="0.25">
      <c r="A254" s="11" t="str">
        <f>PROPER(K254)</f>
        <v>Fanatic</v>
      </c>
      <c r="B254" s="11" t="str">
        <f>TRIM(PROPER(LEFT(L254,IFERROR(FIND(" ",L254),99))&amp;MID(L254,IFERROR(FIND(" ",L254),99),99)))</f>
        <v>Freewave Stb 105</v>
      </c>
      <c r="C254" s="11">
        <f>TRUNC(O254)</f>
        <v>229</v>
      </c>
      <c r="D254" s="11">
        <f>TRUNC(N254)</f>
        <v>62</v>
      </c>
      <c r="E254" s="11">
        <f>M254</f>
        <v>105</v>
      </c>
      <c r="F254" s="38" t="str">
        <f>I254</f>
        <v>2018</v>
      </c>
      <c r="G254" s="11" t="str" cm="1">
        <f t="array" ref="G254">gssBoardClass(A254,B254,C254,D254,E254,F254)</f>
        <v>Wave / Freestyle</v>
      </c>
      <c r="H254" s="39" t="str">
        <f>_xlfn.CONCAT(I254,"-",LEFT(K254,2),"-",LEFT(L254,3),"-",M254,"-",TRUNC(N254),"-",TRUNC(O254))</f>
        <v>2018-Fa-Fre-105-62-229</v>
      </c>
      <c r="I254" s="42" t="str">
        <f>LEFT(J254,4)</f>
        <v>2018</v>
      </c>
      <c r="J254" s="46">
        <v>2018</v>
      </c>
      <c r="K254" t="s">
        <v>1</v>
      </c>
      <c r="L254" t="s">
        <v>176</v>
      </c>
      <c r="M254">
        <v>105</v>
      </c>
      <c r="N254">
        <v>62.5</v>
      </c>
      <c r="O254">
        <v>229</v>
      </c>
      <c r="R254" t="s">
        <v>177</v>
      </c>
      <c r="S254" t="s">
        <v>163</v>
      </c>
    </row>
    <row r="255" spans="1:19" x14ac:dyDescent="0.25">
      <c r="A255" s="11" t="str">
        <f>PROPER(K255)</f>
        <v>Fanatic</v>
      </c>
      <c r="B255" s="11" t="str">
        <f>TRIM(PROPER(LEFT(L255,IFERROR(FIND(" ",L255),99))&amp;MID(L255,IFERROR(FIND(" ",L255),99),99)))</f>
        <v>Freewave Stb Txtr 115</v>
      </c>
      <c r="C255" s="11">
        <f>TRUNC(O255)</f>
        <v>231</v>
      </c>
      <c r="D255" s="11">
        <f>TRUNC(N255)</f>
        <v>65</v>
      </c>
      <c r="E255" s="11">
        <f>M255</f>
        <v>115</v>
      </c>
      <c r="F255" s="38" t="str">
        <f>I255</f>
        <v>2018</v>
      </c>
      <c r="G255" s="11" t="str" cm="1">
        <f t="array" ref="G255">gssBoardClass(A255,B255,C255,D255,E255,F255)</f>
        <v>Wave / Freestyle</v>
      </c>
      <c r="H255" s="39" t="str">
        <f>_xlfn.CONCAT(I255,"-",LEFT(K255,2),"-",LEFT(L255,3),"-",M255,"-",TRUNC(N255),"-",TRUNC(O255))</f>
        <v>2018-Fa-Fre-115-65-231</v>
      </c>
      <c r="I255" s="42" t="str">
        <f>LEFT(J255,4)</f>
        <v>2018</v>
      </c>
      <c r="J255" s="46">
        <v>2018</v>
      </c>
      <c r="K255" t="s">
        <v>1</v>
      </c>
      <c r="L255" t="s">
        <v>164</v>
      </c>
      <c r="M255">
        <v>115</v>
      </c>
      <c r="N255">
        <v>65</v>
      </c>
      <c r="O255">
        <v>231</v>
      </c>
      <c r="R255" t="s">
        <v>165</v>
      </c>
      <c r="S255" t="s">
        <v>166</v>
      </c>
    </row>
    <row r="256" spans="1:19" x14ac:dyDescent="0.25">
      <c r="A256" s="11" t="str">
        <f>PROPER(K256)</f>
        <v>Fanatic</v>
      </c>
      <c r="B256" s="11" t="str">
        <f>TRIM(PROPER(LEFT(L256,IFERROR(FIND(" ",L256),99))&amp;MID(L256,IFERROR(FIND(" ",L256),99),99)))</f>
        <v>Freewave Stb Te 115</v>
      </c>
      <c r="C256" s="11">
        <f>TRUNC(O256)</f>
        <v>231</v>
      </c>
      <c r="D256" s="11">
        <f>TRUNC(N256)</f>
        <v>65</v>
      </c>
      <c r="E256" s="11">
        <f>M256</f>
        <v>115</v>
      </c>
      <c r="F256" s="38" t="str">
        <f>I256</f>
        <v>2018</v>
      </c>
      <c r="G256" s="11" t="str" cm="1">
        <f t="array" ref="G256">gssBoardClass(A256,B256,C256,D256,E256,F256)</f>
        <v>Wave / Freestyle</v>
      </c>
      <c r="H256" s="39" t="str">
        <f>_xlfn.CONCAT(I256,"-",LEFT(K256,2),"-",LEFT(L256,3),"-",M256,"-",TRUNC(N256),"-",TRUNC(O256))</f>
        <v>2018-Fa-Fre-115-65-231</v>
      </c>
      <c r="I256" s="42" t="str">
        <f>LEFT(J256,4)</f>
        <v>2018</v>
      </c>
      <c r="J256" s="46">
        <v>2018</v>
      </c>
      <c r="K256" t="s">
        <v>1</v>
      </c>
      <c r="L256" t="s">
        <v>170</v>
      </c>
      <c r="M256">
        <v>115</v>
      </c>
      <c r="N256">
        <v>65</v>
      </c>
      <c r="O256">
        <v>231</v>
      </c>
      <c r="R256" t="s">
        <v>165</v>
      </c>
      <c r="S256" t="s">
        <v>166</v>
      </c>
    </row>
    <row r="257" spans="1:19" x14ac:dyDescent="0.25">
      <c r="A257" s="11" t="str">
        <f>PROPER(K257)</f>
        <v>Fanatic</v>
      </c>
      <c r="B257" s="11" t="str">
        <f>TRIM(PROPER(LEFT(L257,IFERROR(FIND(" ",L257),99))&amp;MID(L257,IFERROR(FIND(" ",L257),99),99)))</f>
        <v>Freewave Stb Txtr 85</v>
      </c>
      <c r="C257" s="11">
        <f>TRUNC(O257)</f>
        <v>225</v>
      </c>
      <c r="D257" s="11">
        <f>TRUNC(N257)</f>
        <v>57</v>
      </c>
      <c r="E257" s="11">
        <f>M257</f>
        <v>85</v>
      </c>
      <c r="F257" s="38" t="str">
        <f>I257</f>
        <v>2018</v>
      </c>
      <c r="G257" s="11" t="str" cm="1">
        <f t="array" ref="G257">gssBoardClass(A257,B257,C257,D257,E257,F257)</f>
        <v>Wave / Freestyle</v>
      </c>
      <c r="H257" s="39" t="str">
        <f>_xlfn.CONCAT(I257,"-",LEFT(K257,2),"-",LEFT(L257,3),"-",M257,"-",TRUNC(N257),"-",TRUNC(O257))</f>
        <v>2018-Fa-Fre-85-57-225</v>
      </c>
      <c r="I257" s="42" t="str">
        <f>LEFT(J257,4)</f>
        <v>2018</v>
      </c>
      <c r="J257" s="46">
        <v>2018</v>
      </c>
      <c r="K257" t="s">
        <v>1</v>
      </c>
      <c r="L257" t="s">
        <v>154</v>
      </c>
      <c r="M257">
        <v>85</v>
      </c>
      <c r="N257">
        <v>57.5</v>
      </c>
      <c r="O257">
        <v>225</v>
      </c>
      <c r="P257" t="s">
        <v>155</v>
      </c>
      <c r="Q257" t="s">
        <v>156</v>
      </c>
      <c r="R257" t="s">
        <v>157</v>
      </c>
      <c r="S257" t="s">
        <v>158</v>
      </c>
    </row>
    <row r="258" spans="1:19" x14ac:dyDescent="0.25">
      <c r="A258" s="11" t="str">
        <f>PROPER(K258)</f>
        <v>Fanatic</v>
      </c>
      <c r="B258" s="11" t="str">
        <f>TRIM(PROPER(LEFT(L258,IFERROR(FIND(" ",L258),99))&amp;MID(L258,IFERROR(FIND(" ",L258),99),99)))</f>
        <v>Freewave Stb Te 85</v>
      </c>
      <c r="C258" s="11">
        <f>TRUNC(O258)</f>
        <v>225</v>
      </c>
      <c r="D258" s="11">
        <f>TRUNC(N258)</f>
        <v>57</v>
      </c>
      <c r="E258" s="11">
        <f>M258</f>
        <v>85</v>
      </c>
      <c r="F258" s="38" t="str">
        <f>I258</f>
        <v>2018</v>
      </c>
      <c r="G258" s="11" t="str" cm="1">
        <f t="array" ref="G258">gssBoardClass(A258,B258,C258,D258,E258,F258)</f>
        <v>Wave / Freestyle</v>
      </c>
      <c r="H258" s="39" t="str">
        <f>_xlfn.CONCAT(I258,"-",LEFT(K258,2),"-",LEFT(L258,3),"-",M258,"-",TRUNC(N258),"-",TRUNC(O258))</f>
        <v>2018-Fa-Fre-85-57-225</v>
      </c>
      <c r="I258" s="42" t="str">
        <f>LEFT(J258,4)</f>
        <v>2018</v>
      </c>
      <c r="J258" s="46">
        <v>2018</v>
      </c>
      <c r="K258" t="s">
        <v>1</v>
      </c>
      <c r="L258" t="s">
        <v>167</v>
      </c>
      <c r="M258">
        <v>85</v>
      </c>
      <c r="N258">
        <v>57.5</v>
      </c>
      <c r="O258">
        <v>225</v>
      </c>
      <c r="P258" t="s">
        <v>130</v>
      </c>
      <c r="Q258" t="s">
        <v>156</v>
      </c>
      <c r="R258" t="s">
        <v>157</v>
      </c>
      <c r="S258" t="s">
        <v>158</v>
      </c>
    </row>
    <row r="259" spans="1:19" x14ac:dyDescent="0.25">
      <c r="A259" s="11" t="str">
        <f>PROPER(K259)</f>
        <v>Fanatic</v>
      </c>
      <c r="B259" s="11" t="str">
        <f>TRIM(PROPER(LEFT(L259,IFERROR(FIND(" ",L259),99))&amp;MID(L259,IFERROR(FIND(" ",L259),99),99)))</f>
        <v>Freewave Stb 85</v>
      </c>
      <c r="C259" s="11">
        <f>TRUNC(O259)</f>
        <v>225</v>
      </c>
      <c r="D259" s="11">
        <f>TRUNC(N259)</f>
        <v>57</v>
      </c>
      <c r="E259" s="11">
        <f>M259</f>
        <v>85</v>
      </c>
      <c r="F259" s="38" t="str">
        <f>I259</f>
        <v>2018</v>
      </c>
      <c r="G259" s="11" t="str" cm="1">
        <f t="array" ref="G259">gssBoardClass(A259,B259,C259,D259,E259,F259)</f>
        <v>Wave / Freestyle</v>
      </c>
      <c r="H259" s="39" t="str">
        <f>_xlfn.CONCAT(I259,"-",LEFT(K259,2),"-",LEFT(L259,3),"-",M259,"-",TRUNC(N259),"-",TRUNC(O259))</f>
        <v>2018-Fa-Fre-85-57-225</v>
      </c>
      <c r="I259" s="42" t="str">
        <f>LEFT(J259,4)</f>
        <v>2018</v>
      </c>
      <c r="J259" s="46">
        <v>2018</v>
      </c>
      <c r="K259" t="s">
        <v>1</v>
      </c>
      <c r="L259" t="s">
        <v>171</v>
      </c>
      <c r="M259">
        <v>85</v>
      </c>
      <c r="N259">
        <v>57.5</v>
      </c>
      <c r="O259">
        <v>225</v>
      </c>
      <c r="P259" t="s">
        <v>172</v>
      </c>
      <c r="Q259" t="s">
        <v>156</v>
      </c>
      <c r="R259" t="s">
        <v>173</v>
      </c>
      <c r="S259" t="s">
        <v>158</v>
      </c>
    </row>
    <row r="260" spans="1:19" x14ac:dyDescent="0.25">
      <c r="A260" s="11" t="str">
        <f>PROPER(K260)</f>
        <v>Fanatic</v>
      </c>
      <c r="B260" s="11" t="str">
        <f>TRIM(PROPER(LEFT(L260,IFERROR(FIND(" ",L260),99))&amp;MID(L260,IFERROR(FIND(" ",L260),99),99)))</f>
        <v>Freewave Stb Txtr 95</v>
      </c>
      <c r="C260" s="11">
        <f>TRUNC(O260)</f>
        <v>227</v>
      </c>
      <c r="D260" s="11">
        <f>TRUNC(N260)</f>
        <v>60</v>
      </c>
      <c r="E260" s="11">
        <f>M260</f>
        <v>95</v>
      </c>
      <c r="F260" s="38" t="str">
        <f>I260</f>
        <v>2018</v>
      </c>
      <c r="G260" s="11" t="str" cm="1">
        <f t="array" ref="G260">gssBoardClass(A260,B260,C260,D260,E260,F260)</f>
        <v>Wave / Freestyle</v>
      </c>
      <c r="H260" s="39" t="str">
        <f>_xlfn.CONCAT(I260,"-",LEFT(K260,2),"-",LEFT(L260,3),"-",M260,"-",TRUNC(N260),"-",TRUNC(O260))</f>
        <v>2018-Fa-Fre-95-60-227</v>
      </c>
      <c r="I260" s="42" t="str">
        <f>LEFT(J260,4)</f>
        <v>2018</v>
      </c>
      <c r="J260" s="46">
        <v>2018</v>
      </c>
      <c r="K260" t="s">
        <v>1</v>
      </c>
      <c r="L260" t="s">
        <v>159</v>
      </c>
      <c r="M260">
        <v>95</v>
      </c>
      <c r="N260">
        <v>60</v>
      </c>
      <c r="O260">
        <v>227</v>
      </c>
      <c r="R260" t="s">
        <v>160</v>
      </c>
      <c r="S260" t="s">
        <v>138</v>
      </c>
    </row>
    <row r="261" spans="1:19" x14ac:dyDescent="0.25">
      <c r="A261" s="11" t="str">
        <f>PROPER(K261)</f>
        <v>Fanatic</v>
      </c>
      <c r="B261" s="11" t="str">
        <f>TRIM(PROPER(LEFT(L261,IFERROR(FIND(" ",L261),99))&amp;MID(L261,IFERROR(FIND(" ",L261),99),99)))</f>
        <v>Freewave Stb Te 95</v>
      </c>
      <c r="C261" s="11">
        <f>TRUNC(O261)</f>
        <v>227</v>
      </c>
      <c r="D261" s="11">
        <f>TRUNC(N261)</f>
        <v>60</v>
      </c>
      <c r="E261" s="11">
        <f>M261</f>
        <v>95</v>
      </c>
      <c r="F261" s="38" t="str">
        <f>I261</f>
        <v>2018</v>
      </c>
      <c r="G261" s="11" t="str" cm="1">
        <f t="array" ref="G261">gssBoardClass(A261,B261,C261,D261,E261,F261)</f>
        <v>Wave / Freestyle</v>
      </c>
      <c r="H261" s="39" t="str">
        <f>_xlfn.CONCAT(I261,"-",LEFT(K261,2),"-",LEFT(L261,3),"-",M261,"-",TRUNC(N261),"-",TRUNC(O261))</f>
        <v>2018-Fa-Fre-95-60-227</v>
      </c>
      <c r="I261" s="42" t="str">
        <f>LEFT(J261,4)</f>
        <v>2018</v>
      </c>
      <c r="J261" s="46">
        <v>2018</v>
      </c>
      <c r="K261" t="s">
        <v>1</v>
      </c>
      <c r="L261" t="s">
        <v>168</v>
      </c>
      <c r="M261">
        <v>95</v>
      </c>
      <c r="N261">
        <v>60</v>
      </c>
      <c r="O261">
        <v>227</v>
      </c>
      <c r="R261" t="s">
        <v>160</v>
      </c>
      <c r="S261" t="s">
        <v>138</v>
      </c>
    </row>
    <row r="262" spans="1:19" x14ac:dyDescent="0.25">
      <c r="A262" s="11" t="str">
        <f>PROPER(K262)</f>
        <v>Fanatic</v>
      </c>
      <c r="B262" s="11" t="str">
        <f>TRIM(PROPER(LEFT(L262,IFERROR(FIND(" ",L262),99))&amp;MID(L262,IFERROR(FIND(" ",L262),99),99)))</f>
        <v>Freewave Stb 95</v>
      </c>
      <c r="C262" s="11">
        <f>TRUNC(O262)</f>
        <v>227</v>
      </c>
      <c r="D262" s="11">
        <f>TRUNC(N262)</f>
        <v>60</v>
      </c>
      <c r="E262" s="11">
        <f>M262</f>
        <v>95</v>
      </c>
      <c r="F262" s="38" t="str">
        <f>I262</f>
        <v>2018</v>
      </c>
      <c r="G262" s="11" t="str" cm="1">
        <f t="array" ref="G262">gssBoardClass(A262,B262,C262,D262,E262,F262)</f>
        <v>Wave / Freestyle</v>
      </c>
      <c r="H262" s="39" t="str">
        <f>_xlfn.CONCAT(I262,"-",LEFT(K262,2),"-",LEFT(L262,3),"-",M262,"-",TRUNC(N262),"-",TRUNC(O262))</f>
        <v>2018-Fa-Fre-95-60-227</v>
      </c>
      <c r="I262" s="42" t="str">
        <f>LEFT(J262,4)</f>
        <v>2018</v>
      </c>
      <c r="J262" s="46">
        <v>2018</v>
      </c>
      <c r="K262" t="s">
        <v>1</v>
      </c>
      <c r="L262" t="s">
        <v>174</v>
      </c>
      <c r="M262">
        <v>95</v>
      </c>
      <c r="N262">
        <v>60</v>
      </c>
      <c r="O262">
        <v>227</v>
      </c>
      <c r="R262" t="s">
        <v>175</v>
      </c>
      <c r="S262" t="s">
        <v>138</v>
      </c>
    </row>
    <row r="263" spans="1:19" x14ac:dyDescent="0.25">
      <c r="A263" s="11" t="str">
        <f>PROPER(K263)</f>
        <v>Fanatic</v>
      </c>
      <c r="B263" s="11" t="str">
        <f>TRIM(PROPER(LEFT(L263,IFERROR(FIND(" ",L263),99))&amp;MID(L263,IFERROR(FIND(" ",L263),99),99)))</f>
        <v>Gecko Ltd 105</v>
      </c>
      <c r="C263" s="11">
        <f>TRUNC(O263)</f>
        <v>239</v>
      </c>
      <c r="D263" s="11">
        <f>TRUNC(N263)</f>
        <v>69</v>
      </c>
      <c r="E263" s="11">
        <f>M263</f>
        <v>105</v>
      </c>
      <c r="F263" s="38" t="str">
        <f>I263</f>
        <v>2018</v>
      </c>
      <c r="G263" s="11" t="str" cm="1">
        <f t="array" ref="G263">gssBoardClass(A263,B263,C263,D263,E263,F263)</f>
        <v>Slalom Medium</v>
      </c>
      <c r="H263" s="39" t="str">
        <f>_xlfn.CONCAT(I263,"-",LEFT(K263,2),"-",LEFT(L263,3),"-",M263,"-",TRUNC(N263),"-",TRUNC(O263))</f>
        <v>2018-Fa-Gec-105-69-239</v>
      </c>
      <c r="I263" s="42" t="str">
        <f>LEFT(J263,4)</f>
        <v>2018</v>
      </c>
      <c r="J263" s="46">
        <v>2018</v>
      </c>
      <c r="K263" t="s">
        <v>1</v>
      </c>
      <c r="L263" t="s">
        <v>191</v>
      </c>
      <c r="M263">
        <v>105</v>
      </c>
      <c r="N263">
        <v>69</v>
      </c>
      <c r="O263">
        <v>239</v>
      </c>
      <c r="R263" t="s">
        <v>192</v>
      </c>
      <c r="S263" t="s">
        <v>193</v>
      </c>
    </row>
    <row r="264" spans="1:19" x14ac:dyDescent="0.25">
      <c r="A264" s="11" t="str">
        <f>PROPER(K264)</f>
        <v>Fanatic</v>
      </c>
      <c r="B264" s="11" t="str">
        <f>TRIM(PROPER(LEFT(L264,IFERROR(FIND(" ",L264),99))&amp;MID(L264,IFERROR(FIND(" ",L264),99),99)))</f>
        <v>Gecko Hrs 105</v>
      </c>
      <c r="C264" s="11">
        <f>TRUNC(O264)</f>
        <v>239</v>
      </c>
      <c r="D264" s="11">
        <f>TRUNC(N264)</f>
        <v>69</v>
      </c>
      <c r="E264" s="11">
        <f>M264</f>
        <v>105</v>
      </c>
      <c r="F264" s="38" t="str">
        <f>I264</f>
        <v>2018</v>
      </c>
      <c r="G264" s="11" t="str" cm="1">
        <f t="array" ref="G264">gssBoardClass(A264,B264,C264,D264,E264,F264)</f>
        <v>Slalom Medium</v>
      </c>
      <c r="H264" s="39" t="str">
        <f>_xlfn.CONCAT(I264,"-",LEFT(K264,2),"-",LEFT(L264,3),"-",M264,"-",TRUNC(N264),"-",TRUNC(O264))</f>
        <v>2018-Fa-Gec-105-69-239</v>
      </c>
      <c r="I264" s="42" t="str">
        <f>LEFT(J264,4)</f>
        <v>2018</v>
      </c>
      <c r="J264" s="46">
        <v>2018</v>
      </c>
      <c r="K264" t="s">
        <v>1</v>
      </c>
      <c r="L264" t="s">
        <v>215</v>
      </c>
      <c r="M264">
        <v>105</v>
      </c>
      <c r="N264">
        <v>69</v>
      </c>
      <c r="O264">
        <v>239</v>
      </c>
      <c r="R264" t="s">
        <v>216</v>
      </c>
      <c r="S264" t="s">
        <v>193</v>
      </c>
    </row>
    <row r="265" spans="1:19" x14ac:dyDescent="0.25">
      <c r="A265" s="11" t="str">
        <f>PROPER(K265)</f>
        <v>Fanatic</v>
      </c>
      <c r="B265" s="11" t="str">
        <f>TRIM(PROPER(LEFT(L265,IFERROR(FIND(" ",L265),99))&amp;MID(L265,IFERROR(FIND(" ",L265),99),99)))</f>
        <v>Gecko Ltd 112</v>
      </c>
      <c r="C265" s="11">
        <f>TRUNC(O265)</f>
        <v>239</v>
      </c>
      <c r="D265" s="11">
        <f>TRUNC(N265)</f>
        <v>73</v>
      </c>
      <c r="E265" s="11">
        <f>M265</f>
        <v>112</v>
      </c>
      <c r="F265" s="38" t="str">
        <f>I265</f>
        <v>2018</v>
      </c>
      <c r="G265" s="11" t="str" cm="1">
        <f t="array" ref="G265">gssBoardClass(A265,B265,C265,D265,E265,F265)</f>
        <v>Slalom Medium</v>
      </c>
      <c r="H265" s="39" t="str">
        <f>_xlfn.CONCAT(I265,"-",LEFT(K265,2),"-",LEFT(L265,3),"-",M265,"-",TRUNC(N265),"-",TRUNC(O265))</f>
        <v>2018-Fa-Gec-112-73-239</v>
      </c>
      <c r="I265" s="42" t="str">
        <f>LEFT(J265,4)</f>
        <v>2018</v>
      </c>
      <c r="J265" s="46">
        <v>2018</v>
      </c>
      <c r="K265" t="s">
        <v>1</v>
      </c>
      <c r="L265" t="s">
        <v>194</v>
      </c>
      <c r="M265">
        <v>112</v>
      </c>
      <c r="N265">
        <v>73</v>
      </c>
      <c r="O265">
        <v>239</v>
      </c>
      <c r="R265" t="s">
        <v>195</v>
      </c>
      <c r="S265" t="s">
        <v>196</v>
      </c>
    </row>
    <row r="266" spans="1:19" x14ac:dyDescent="0.25">
      <c r="A266" s="11" t="str">
        <f>PROPER(K266)</f>
        <v>Fanatic</v>
      </c>
      <c r="B266" s="11" t="str">
        <f>TRIM(PROPER(LEFT(L266,IFERROR(FIND(" ",L266),99))&amp;MID(L266,IFERROR(FIND(" ",L266),99),99)))</f>
        <v>Gecko Eco 112</v>
      </c>
      <c r="C266" s="11">
        <f>TRUNC(O266)</f>
        <v>239</v>
      </c>
      <c r="D266" s="11">
        <f>TRUNC(N266)</f>
        <v>73</v>
      </c>
      <c r="E266" s="11">
        <f>M266</f>
        <v>112</v>
      </c>
      <c r="F266" s="38" t="str">
        <f>I266</f>
        <v>2018</v>
      </c>
      <c r="G266" s="11" t="str" cm="1">
        <f t="array" ref="G266">gssBoardClass(A266,B266,C266,D266,E266,F266)</f>
        <v>Slalom Medium</v>
      </c>
      <c r="H266" s="39" t="str">
        <f>_xlfn.CONCAT(I266,"-",LEFT(K266,2),"-",LEFT(L266,3),"-",M266,"-",TRUNC(N266),"-",TRUNC(O266))</f>
        <v>2018-Fa-Gec-112-73-239</v>
      </c>
      <c r="I266" s="42" t="str">
        <f>LEFT(J266,4)</f>
        <v>2018</v>
      </c>
      <c r="J266" s="46">
        <v>2018</v>
      </c>
      <c r="K266" t="s">
        <v>1</v>
      </c>
      <c r="L266" t="s">
        <v>210</v>
      </c>
      <c r="M266">
        <v>112</v>
      </c>
      <c r="N266">
        <v>73</v>
      </c>
      <c r="O266">
        <v>239</v>
      </c>
      <c r="P266" t="s">
        <v>211</v>
      </c>
      <c r="Q266" t="s">
        <v>179</v>
      </c>
      <c r="R266" t="s">
        <v>195</v>
      </c>
      <c r="S266" t="s">
        <v>196</v>
      </c>
    </row>
    <row r="267" spans="1:19" x14ac:dyDescent="0.25">
      <c r="A267" s="11" t="str">
        <f>PROPER(K267)</f>
        <v>Fanatic</v>
      </c>
      <c r="B267" s="11" t="str">
        <f>TRIM(PROPER(LEFT(L267,IFERROR(FIND(" ",L267),99))&amp;MID(L267,IFERROR(FIND(" ",L267),99),99)))</f>
        <v>Gecko Hrs 112</v>
      </c>
      <c r="C267" s="11">
        <f>TRUNC(O267)</f>
        <v>239</v>
      </c>
      <c r="D267" s="11">
        <f>TRUNC(N267)</f>
        <v>73</v>
      </c>
      <c r="E267" s="11">
        <f>M267</f>
        <v>112</v>
      </c>
      <c r="F267" s="38" t="str">
        <f>I267</f>
        <v>2018</v>
      </c>
      <c r="G267" s="11" t="str" cm="1">
        <f t="array" ref="G267">gssBoardClass(A267,B267,C267,D267,E267,F267)</f>
        <v>Slalom Medium</v>
      </c>
      <c r="H267" s="39" t="str">
        <f>_xlfn.CONCAT(I267,"-",LEFT(K267,2),"-",LEFT(L267,3),"-",M267,"-",TRUNC(N267),"-",TRUNC(O267))</f>
        <v>2018-Fa-Gec-112-73-239</v>
      </c>
      <c r="I267" s="42" t="str">
        <f>LEFT(J267,4)</f>
        <v>2018</v>
      </c>
      <c r="J267" s="46">
        <v>2018</v>
      </c>
      <c r="K267" t="s">
        <v>1</v>
      </c>
      <c r="L267" t="s">
        <v>217</v>
      </c>
      <c r="M267">
        <v>112</v>
      </c>
      <c r="N267">
        <v>73</v>
      </c>
      <c r="O267">
        <v>239</v>
      </c>
      <c r="R267" t="s">
        <v>218</v>
      </c>
      <c r="S267" t="s">
        <v>196</v>
      </c>
    </row>
    <row r="268" spans="1:19" x14ac:dyDescent="0.25">
      <c r="A268" s="11" t="str">
        <f>PROPER(K268)</f>
        <v>Fanatic</v>
      </c>
      <c r="B268" s="11" t="str">
        <f>TRIM(PROPER(LEFT(L268,IFERROR(FIND(" ",L268),99))&amp;MID(L268,IFERROR(FIND(" ",L268),99),99)))</f>
        <v>Gecko Ltd 120</v>
      </c>
      <c r="C268" s="11">
        <f>TRUNC(O268)</f>
        <v>242</v>
      </c>
      <c r="D268" s="11">
        <f>TRUNC(N268)</f>
        <v>76</v>
      </c>
      <c r="E268" s="11">
        <f>M268</f>
        <v>120</v>
      </c>
      <c r="F268" s="38" t="str">
        <f>I268</f>
        <v>2018</v>
      </c>
      <c r="G268" s="11" t="str" cm="1">
        <f t="array" ref="G268">gssBoardClass(A268,B268,C268,D268,E268,F268)</f>
        <v>Slalom Large</v>
      </c>
      <c r="H268" s="39" t="str">
        <f>_xlfn.CONCAT(I268,"-",LEFT(K268,2),"-",LEFT(L268,3),"-",M268,"-",TRUNC(N268),"-",TRUNC(O268))</f>
        <v>2018-Fa-Gec-120-76-242</v>
      </c>
      <c r="I268" s="42" t="str">
        <f>LEFT(J268,4)</f>
        <v>2018</v>
      </c>
      <c r="J268" s="46">
        <v>2018</v>
      </c>
      <c r="K268" t="s">
        <v>1</v>
      </c>
      <c r="L268" t="s">
        <v>197</v>
      </c>
      <c r="M268">
        <v>120</v>
      </c>
      <c r="N268">
        <v>76</v>
      </c>
      <c r="O268">
        <v>242</v>
      </c>
      <c r="R268" t="s">
        <v>198</v>
      </c>
      <c r="S268" t="s">
        <v>199</v>
      </c>
    </row>
    <row r="269" spans="1:19" x14ac:dyDescent="0.25">
      <c r="A269" s="11" t="str">
        <f>PROPER(K269)</f>
        <v>Fanatic</v>
      </c>
      <c r="B269" s="11" t="str">
        <f>TRIM(PROPER(LEFT(L269,IFERROR(FIND(" ",L269),99))&amp;MID(L269,IFERROR(FIND(" ",L269),99),99)))</f>
        <v>Gecko Hrs 120</v>
      </c>
      <c r="C269" s="11">
        <f>TRUNC(O269)</f>
        <v>242</v>
      </c>
      <c r="D269" s="11">
        <f>TRUNC(N269)</f>
        <v>76</v>
      </c>
      <c r="E269" s="11">
        <f>M269</f>
        <v>120</v>
      </c>
      <c r="F269" s="38" t="str">
        <f>I269</f>
        <v>2018</v>
      </c>
      <c r="G269" s="11" t="str" cm="1">
        <f t="array" ref="G269">gssBoardClass(A269,B269,C269,D269,E269,F269)</f>
        <v>Slalom Large</v>
      </c>
      <c r="H269" s="39" t="str">
        <f>_xlfn.CONCAT(I269,"-",LEFT(K269,2),"-",LEFT(L269,3),"-",M269,"-",TRUNC(N269),"-",TRUNC(O269))</f>
        <v>2018-Fa-Gec-120-76-242</v>
      </c>
      <c r="I269" s="42" t="str">
        <f>LEFT(J269,4)</f>
        <v>2018</v>
      </c>
      <c r="J269" s="46">
        <v>2018</v>
      </c>
      <c r="K269" t="s">
        <v>1</v>
      </c>
      <c r="L269" t="s">
        <v>219</v>
      </c>
      <c r="M269">
        <v>120</v>
      </c>
      <c r="N269">
        <v>76</v>
      </c>
      <c r="O269">
        <v>242</v>
      </c>
      <c r="R269" t="s">
        <v>220</v>
      </c>
      <c r="S269" t="s">
        <v>199</v>
      </c>
    </row>
    <row r="270" spans="1:19" x14ac:dyDescent="0.25">
      <c r="A270" s="11" t="str">
        <f>PROPER(K270)</f>
        <v>Fanatic</v>
      </c>
      <c r="B270" s="11" t="str">
        <f>TRIM(PROPER(LEFT(L270,IFERROR(FIND(" ",L270),99))&amp;MID(L270,IFERROR(FIND(" ",L270),99),99)))</f>
        <v>Gecko Foil Edition 120</v>
      </c>
      <c r="C270" s="11">
        <f>TRUNC(O270)</f>
        <v>242</v>
      </c>
      <c r="D270" s="11">
        <f>TRUNC(N270)</f>
        <v>76</v>
      </c>
      <c r="E270" s="11">
        <f>M270</f>
        <v>120</v>
      </c>
      <c r="F270" s="38" t="str">
        <f>I270</f>
        <v>2018</v>
      </c>
      <c r="G270" s="11" t="str" cm="1">
        <f t="array" ref="G270">gssBoardClass(A270,B270,C270,D270,E270,F270)</f>
        <v>Foilboard</v>
      </c>
      <c r="H270" s="39" t="str">
        <f>_xlfn.CONCAT(I270,"-",LEFT(K270,2),"-",LEFT(L270,3),"-",M270,"-",TRUNC(N270),"-",TRUNC(O270))</f>
        <v>2018-Fa-Gec-120-76-242</v>
      </c>
      <c r="I270" s="42" t="str">
        <f>LEFT(J270,4)</f>
        <v>2018</v>
      </c>
      <c r="J270" s="46">
        <v>2018</v>
      </c>
      <c r="K270" t="s">
        <v>1</v>
      </c>
      <c r="L270" t="s">
        <v>206</v>
      </c>
      <c r="M270">
        <v>120</v>
      </c>
      <c r="N270">
        <v>76</v>
      </c>
      <c r="O270">
        <v>242</v>
      </c>
      <c r="P270" t="s">
        <v>172</v>
      </c>
      <c r="Q270" t="s">
        <v>207</v>
      </c>
      <c r="R270" t="s">
        <v>201</v>
      </c>
      <c r="S270" t="s">
        <v>199</v>
      </c>
    </row>
    <row r="271" spans="1:19" x14ac:dyDescent="0.25">
      <c r="A271" s="11" t="str">
        <f>PROPER(K271)</f>
        <v>Fanatic</v>
      </c>
      <c r="B271" s="11" t="str">
        <f>TRIM(PROPER(LEFT(L271,IFERROR(FIND(" ",L271),99))&amp;MID(L271,IFERROR(FIND(" ",L271),99),99)))</f>
        <v>Gecko Foil Edition 133</v>
      </c>
      <c r="C271" s="11">
        <f>TRUNC(O271)</f>
        <v>246</v>
      </c>
      <c r="D271" s="11">
        <f>TRUNC(N271)</f>
        <v>78</v>
      </c>
      <c r="E271" s="11">
        <f>M271</f>
        <v>133</v>
      </c>
      <c r="F271" s="38" t="str">
        <f>I271</f>
        <v>2018</v>
      </c>
      <c r="G271" s="11" t="str" cm="1">
        <f t="array" ref="G271">gssBoardClass(A271,B271,C271,D271,E271,F271)</f>
        <v>Foilboard</v>
      </c>
      <c r="H271" s="39" t="str">
        <f>_xlfn.CONCAT(I271,"-",LEFT(K271,2),"-",LEFT(L271,3),"-",M271,"-",TRUNC(N271),"-",TRUNC(O271))</f>
        <v>2018-Fa-Gec-133-78-246</v>
      </c>
      <c r="I271" s="42" t="str">
        <f>LEFT(J271,4)</f>
        <v>2018</v>
      </c>
      <c r="J271" s="46">
        <v>2018</v>
      </c>
      <c r="K271" t="s">
        <v>1</v>
      </c>
      <c r="L271" t="s">
        <v>208</v>
      </c>
      <c r="M271">
        <v>133</v>
      </c>
      <c r="N271">
        <v>78</v>
      </c>
      <c r="O271">
        <v>246</v>
      </c>
      <c r="R271" t="s">
        <v>209</v>
      </c>
      <c r="S271" t="s">
        <v>202</v>
      </c>
    </row>
    <row r="272" spans="1:19" x14ac:dyDescent="0.25">
      <c r="A272" s="11" t="str">
        <f>PROPER(K272)</f>
        <v>Fanatic</v>
      </c>
      <c r="B272" s="11" t="str">
        <f>TRIM(PROPER(LEFT(L272,IFERROR(FIND(" ",L272),99))&amp;MID(L272,IFERROR(FIND(" ",L272),99),99)))</f>
        <v>Gecko Ltd 133</v>
      </c>
      <c r="C272" s="11">
        <f>TRUNC(O272)</f>
        <v>246</v>
      </c>
      <c r="D272" s="11">
        <f>TRUNC(N272)</f>
        <v>78</v>
      </c>
      <c r="E272" s="11">
        <f>M272</f>
        <v>133</v>
      </c>
      <c r="F272" s="38" t="str">
        <f>I272</f>
        <v>2018</v>
      </c>
      <c r="G272" s="11" t="str" cm="1">
        <f t="array" ref="G272">gssBoardClass(A272,B272,C272,D272,E272,F272)</f>
        <v>Slalom Large</v>
      </c>
      <c r="H272" s="39" t="str">
        <f>_xlfn.CONCAT(I272,"-",LEFT(K272,2),"-",LEFT(L272,3),"-",M272,"-",TRUNC(N272),"-",TRUNC(O272))</f>
        <v>2018-Fa-Gec-133-78-246</v>
      </c>
      <c r="I272" s="42" t="str">
        <f>LEFT(J272,4)</f>
        <v>2018</v>
      </c>
      <c r="J272" s="46">
        <v>2018</v>
      </c>
      <c r="K272" t="s">
        <v>1</v>
      </c>
      <c r="L272" t="s">
        <v>200</v>
      </c>
      <c r="M272">
        <v>133</v>
      </c>
      <c r="N272">
        <v>78</v>
      </c>
      <c r="O272">
        <v>246</v>
      </c>
      <c r="R272" t="s">
        <v>201</v>
      </c>
      <c r="S272" t="s">
        <v>202</v>
      </c>
    </row>
    <row r="273" spans="1:19" x14ac:dyDescent="0.25">
      <c r="A273" s="11" t="str">
        <f>PROPER(K273)</f>
        <v>Fanatic</v>
      </c>
      <c r="B273" s="11" t="str">
        <f>TRIM(PROPER(LEFT(L273,IFERROR(FIND(" ",L273),99))&amp;MID(L273,IFERROR(FIND(" ",L273),99),99)))</f>
        <v>Gecko Hrs 133</v>
      </c>
      <c r="C273" s="11">
        <f>TRUNC(O273)</f>
        <v>246</v>
      </c>
      <c r="D273" s="11">
        <f>TRUNC(N273)</f>
        <v>78</v>
      </c>
      <c r="E273" s="11">
        <f>M273</f>
        <v>133</v>
      </c>
      <c r="F273" s="38" t="str">
        <f>I273</f>
        <v>2018</v>
      </c>
      <c r="G273" s="11" t="str" cm="1">
        <f t="array" ref="G273">gssBoardClass(A273,B273,C273,D273,E273,F273)</f>
        <v>Slalom Large</v>
      </c>
      <c r="H273" s="39" t="str">
        <f>_xlfn.CONCAT(I273,"-",LEFT(K273,2),"-",LEFT(L273,3),"-",M273,"-",TRUNC(N273),"-",TRUNC(O273))</f>
        <v>2018-Fa-Gec-133-78-246</v>
      </c>
      <c r="I273" s="42" t="str">
        <f>LEFT(J273,4)</f>
        <v>2018</v>
      </c>
      <c r="J273" s="46">
        <v>2018</v>
      </c>
      <c r="K273" t="s">
        <v>1</v>
      </c>
      <c r="L273" t="s">
        <v>221</v>
      </c>
      <c r="M273">
        <v>133</v>
      </c>
      <c r="N273">
        <v>78</v>
      </c>
      <c r="O273">
        <v>246</v>
      </c>
      <c r="R273" t="s">
        <v>222</v>
      </c>
      <c r="S273" t="s">
        <v>202</v>
      </c>
    </row>
    <row r="274" spans="1:19" x14ac:dyDescent="0.25">
      <c r="A274" s="11" t="str">
        <f>PROPER(K274)</f>
        <v>Fanatic</v>
      </c>
      <c r="B274" s="11" t="str">
        <f>TRIM(PROPER(LEFT(L274,IFERROR(FIND(" ",L274),99))&amp;MID(L274,IFERROR(FIND(" ",L274),99),99)))</f>
        <v>Gecko Ltd 146</v>
      </c>
      <c r="C274" s="11">
        <f>TRUNC(O274)</f>
        <v>250</v>
      </c>
      <c r="D274" s="11">
        <f>TRUNC(N274)</f>
        <v>83</v>
      </c>
      <c r="E274" s="11">
        <f>M274</f>
        <v>146</v>
      </c>
      <c r="F274" s="38" t="str">
        <f>I274</f>
        <v>2018</v>
      </c>
      <c r="G274" s="11" t="str" cm="1">
        <f t="array" ref="G274">gssBoardClass(A274,B274,C274,D274,E274,F274)</f>
        <v>Slalom Large</v>
      </c>
      <c r="H274" s="39" t="str">
        <f>_xlfn.CONCAT(I274,"-",LEFT(K274,2),"-",LEFT(L274,3),"-",M274,"-",TRUNC(N274),"-",TRUNC(O274))</f>
        <v>2018-Fa-Gec-146-83-250</v>
      </c>
      <c r="I274" s="42" t="str">
        <f>LEFT(J274,4)</f>
        <v>2018</v>
      </c>
      <c r="J274" s="46">
        <v>2018</v>
      </c>
      <c r="K274" t="s">
        <v>1</v>
      </c>
      <c r="L274" t="s">
        <v>203</v>
      </c>
      <c r="M274">
        <v>146</v>
      </c>
      <c r="N274">
        <v>83</v>
      </c>
      <c r="O274">
        <v>250</v>
      </c>
      <c r="R274" t="s">
        <v>204</v>
      </c>
      <c r="S274" t="s">
        <v>205</v>
      </c>
    </row>
    <row r="275" spans="1:19" x14ac:dyDescent="0.25">
      <c r="A275" s="11" t="str">
        <f>PROPER(K275)</f>
        <v>Fanatic</v>
      </c>
      <c r="B275" s="11" t="str">
        <f>TRIM(PROPER(LEFT(L275,IFERROR(FIND(" ",L275),99))&amp;MID(L275,IFERROR(FIND(" ",L275),99),99)))</f>
        <v>Gecko Hrs 146</v>
      </c>
      <c r="C275" s="11">
        <f>TRUNC(O275)</f>
        <v>250</v>
      </c>
      <c r="D275" s="11">
        <f>TRUNC(N275)</f>
        <v>83</v>
      </c>
      <c r="E275" s="11">
        <f>M275</f>
        <v>146</v>
      </c>
      <c r="F275" s="38" t="str">
        <f>I275</f>
        <v>2018</v>
      </c>
      <c r="G275" s="11" t="str" cm="1">
        <f t="array" ref="G275">gssBoardClass(A275,B275,C275,D275,E275,F275)</f>
        <v>Slalom Large</v>
      </c>
      <c r="H275" s="39" t="str">
        <f>_xlfn.CONCAT(I275,"-",LEFT(K275,2),"-",LEFT(L275,3),"-",M275,"-",TRUNC(N275),"-",TRUNC(O275))</f>
        <v>2018-Fa-Gec-146-83-250</v>
      </c>
      <c r="I275" s="42" t="str">
        <f>LEFT(J275,4)</f>
        <v>2018</v>
      </c>
      <c r="J275" s="46">
        <v>2018</v>
      </c>
      <c r="K275" t="s">
        <v>1</v>
      </c>
      <c r="L275" t="s">
        <v>223</v>
      </c>
      <c r="M275">
        <v>146</v>
      </c>
      <c r="N275">
        <v>83</v>
      </c>
      <c r="O275">
        <v>250</v>
      </c>
      <c r="R275" t="s">
        <v>224</v>
      </c>
      <c r="S275" t="s">
        <v>205</v>
      </c>
    </row>
    <row r="276" spans="1:19" x14ac:dyDescent="0.25">
      <c r="A276" s="11" t="str">
        <f>PROPER(K276)</f>
        <v>Fanatic</v>
      </c>
      <c r="B276" s="11" t="str">
        <f>TRIM(PROPER(LEFT(L276,IFERROR(FIND(" ",L276),99))&amp;MID(L276,IFERROR(FIND(" ",L276),99),99)))</f>
        <v>Gecko Hrs 156 +</v>
      </c>
      <c r="C276" s="11">
        <f>TRUNC(O276)</f>
        <v>252</v>
      </c>
      <c r="D276" s="11">
        <f>TRUNC(N276)</f>
        <v>85</v>
      </c>
      <c r="E276" s="11">
        <f>M276</f>
        <v>156</v>
      </c>
      <c r="F276" s="38" t="str">
        <f>I276</f>
        <v>2018</v>
      </c>
      <c r="G276" s="11" t="str" cm="1">
        <f t="array" ref="G276">gssBoardClass(A276,B276,C276,D276,E276,F276)</f>
        <v>Slalom Large</v>
      </c>
      <c r="H276" s="39" t="str">
        <f>_xlfn.CONCAT(I276,"-",LEFT(K276,2),"-",LEFT(L276,3),"-",M276,"-",TRUNC(N276),"-",TRUNC(O276))</f>
        <v>2018-Fa-Gec-156-85-252</v>
      </c>
      <c r="I276" s="42" t="str">
        <f>LEFT(J276,4)</f>
        <v>2018</v>
      </c>
      <c r="J276" s="46">
        <v>2018</v>
      </c>
      <c r="K276" t="s">
        <v>1</v>
      </c>
      <c r="L276" t="s">
        <v>225</v>
      </c>
      <c r="M276">
        <v>156</v>
      </c>
      <c r="N276">
        <v>85</v>
      </c>
      <c r="O276">
        <v>252</v>
      </c>
      <c r="R276" t="s">
        <v>226</v>
      </c>
      <c r="S276" t="s">
        <v>227</v>
      </c>
    </row>
    <row r="277" spans="1:19" x14ac:dyDescent="0.25">
      <c r="A277" s="11" t="str">
        <f>PROPER(K277)</f>
        <v>Fanatic</v>
      </c>
      <c r="B277" s="11" t="str">
        <f>TRIM(PROPER(LEFT(L277,IFERROR(FIND(" ",L277),99))&amp;MID(L277,IFERROR(FIND(" ",L277),99),99)))</f>
        <v>Gecko Hrs 156 + Daggerboard</v>
      </c>
      <c r="C277" s="11">
        <f>TRUNC(O277)</f>
        <v>252</v>
      </c>
      <c r="D277" s="11">
        <f>TRUNC(N277)</f>
        <v>85</v>
      </c>
      <c r="E277" s="11">
        <f>M277</f>
        <v>156</v>
      </c>
      <c r="F277" s="38" t="str">
        <f>I277</f>
        <v>2018</v>
      </c>
      <c r="G277" s="11" t="str" cm="1">
        <f t="array" ref="G277">gssBoardClass(A277,B277,C277,D277,E277,F277)</f>
        <v>Slalom Large</v>
      </c>
      <c r="H277" s="39" t="str">
        <f>_xlfn.CONCAT(I277,"-",LEFT(K277,2),"-",LEFT(L277,3),"-",M277,"-",TRUNC(N277),"-",TRUNC(O277))</f>
        <v>2018-Fa-Gec-156-85-252</v>
      </c>
      <c r="I277" s="42" t="str">
        <f>LEFT(J277,4)</f>
        <v>2018</v>
      </c>
      <c r="J277" s="46">
        <v>2018</v>
      </c>
      <c r="K277" t="s">
        <v>1</v>
      </c>
      <c r="L277" t="s">
        <v>228</v>
      </c>
      <c r="M277">
        <v>156</v>
      </c>
      <c r="N277">
        <v>85</v>
      </c>
      <c r="O277">
        <v>252</v>
      </c>
      <c r="R277" t="s">
        <v>229</v>
      </c>
      <c r="S277" t="s">
        <v>227</v>
      </c>
    </row>
    <row r="278" spans="1:19" x14ac:dyDescent="0.25">
      <c r="A278" s="11" t="str">
        <f>PROPER(K278)</f>
        <v>Fanatic</v>
      </c>
      <c r="B278" s="11" t="str">
        <f>TRIM(PROPER(LEFT(L278,IFERROR(FIND(" ",L278),99))&amp;MID(L278,IFERROR(FIND(" ",L278),99),99)))</f>
        <v>Gecko Ltd 98</v>
      </c>
      <c r="C278" s="11">
        <f>TRUNC(O278)</f>
        <v>239</v>
      </c>
      <c r="D278" s="11">
        <f>TRUNC(N278)</f>
        <v>63</v>
      </c>
      <c r="E278" s="11">
        <f>M278</f>
        <v>98</v>
      </c>
      <c r="F278" s="38" t="str">
        <f>I278</f>
        <v>2018</v>
      </c>
      <c r="G278" s="11" t="str" cm="1">
        <f t="array" ref="G278">gssBoardClass(A278,B278,C278,D278,E278,F278)</f>
        <v>Speed/Slalom Small</v>
      </c>
      <c r="H278" s="39" t="str">
        <f>_xlfn.CONCAT(I278,"-",LEFT(K278,2),"-",LEFT(L278,3),"-",M278,"-",TRUNC(N278),"-",TRUNC(O278))</f>
        <v>2018-Fa-Gec-98-63-239</v>
      </c>
      <c r="I278" s="42" t="str">
        <f>LEFT(J278,4)</f>
        <v>2018</v>
      </c>
      <c r="J278" s="46">
        <v>2018</v>
      </c>
      <c r="K278" t="s">
        <v>1</v>
      </c>
      <c r="L278" t="s">
        <v>189</v>
      </c>
      <c r="M278">
        <v>98</v>
      </c>
      <c r="N278">
        <v>63</v>
      </c>
      <c r="O278">
        <v>239</v>
      </c>
      <c r="P278" t="s">
        <v>172</v>
      </c>
      <c r="Q278" t="s">
        <v>179</v>
      </c>
      <c r="R278" t="s">
        <v>190</v>
      </c>
      <c r="S278" t="s">
        <v>166</v>
      </c>
    </row>
    <row r="279" spans="1:19" x14ac:dyDescent="0.25">
      <c r="A279" s="11" t="str">
        <f>PROPER(K279)</f>
        <v>Fanatic</v>
      </c>
      <c r="B279" s="11" t="str">
        <f>TRIM(PROPER(LEFT(L279,IFERROR(FIND(" ",L279),99))&amp;MID(L279,IFERROR(FIND(" ",L279),99),99)))</f>
        <v>Gecko Hrs 98</v>
      </c>
      <c r="C279" s="11">
        <f>TRUNC(O279)</f>
        <v>239</v>
      </c>
      <c r="D279" s="11">
        <f>TRUNC(N279)</f>
        <v>63</v>
      </c>
      <c r="E279" s="11">
        <f>M279</f>
        <v>98</v>
      </c>
      <c r="F279" s="38" t="str">
        <f>I279</f>
        <v>2018</v>
      </c>
      <c r="G279" s="11" t="str" cm="1">
        <f t="array" ref="G279">gssBoardClass(A279,B279,C279,D279,E279,F279)</f>
        <v>Speed/Slalom Small</v>
      </c>
      <c r="H279" s="39" t="str">
        <f>_xlfn.CONCAT(I279,"-",LEFT(K279,2),"-",LEFT(L279,3),"-",M279,"-",TRUNC(N279),"-",TRUNC(O279))</f>
        <v>2018-Fa-Gec-98-63-239</v>
      </c>
      <c r="I279" s="42" t="str">
        <f>LEFT(J279,4)</f>
        <v>2018</v>
      </c>
      <c r="J279" s="46">
        <v>2018</v>
      </c>
      <c r="K279" t="s">
        <v>1</v>
      </c>
      <c r="L279" t="s">
        <v>212</v>
      </c>
      <c r="M279">
        <v>98</v>
      </c>
      <c r="N279">
        <v>63</v>
      </c>
      <c r="O279">
        <v>239</v>
      </c>
      <c r="P279" t="s">
        <v>213</v>
      </c>
      <c r="Q279" t="s">
        <v>179</v>
      </c>
      <c r="R279" t="s">
        <v>214</v>
      </c>
      <c r="S279" t="s">
        <v>166</v>
      </c>
    </row>
    <row r="280" spans="1:19" x14ac:dyDescent="0.25">
      <c r="A280" s="11" t="str">
        <f>PROPER(K280)</f>
        <v>Fanatic</v>
      </c>
      <c r="B280" s="11" t="str">
        <f>TRIM(PROPER(LEFT(L280,IFERROR(FIND(" ",L280),99))&amp;MID(L280,IFERROR(FIND(" ",L280),99),99)))</f>
        <v>Grip Te 68</v>
      </c>
      <c r="C280" s="11">
        <f>TRUNC(O280)</f>
        <v>220</v>
      </c>
      <c r="D280" s="11">
        <f>TRUNC(N280)</f>
        <v>54</v>
      </c>
      <c r="E280" s="11">
        <f>M280</f>
        <v>68</v>
      </c>
      <c r="F280" s="38" t="str">
        <f>I280</f>
        <v>2018</v>
      </c>
      <c r="G280" s="11" t="str" cm="1">
        <f t="array" ref="G280">gssBoardClass(A280,B280,C280,D280,E280,F280)</f>
        <v>Wave / Freestyle</v>
      </c>
      <c r="H280" s="39" t="str">
        <f>_xlfn.CONCAT(I280,"-",LEFT(K280,2),"-",LEFT(L280,3),"-",M280,"-",TRUNC(N280),"-",TRUNC(O280))</f>
        <v>2018-Fa-Gri-68-54-220</v>
      </c>
      <c r="I280" s="42" t="str">
        <f>LEFT(J280,4)</f>
        <v>2018</v>
      </c>
      <c r="J280" s="46">
        <v>2018</v>
      </c>
      <c r="K280" t="s">
        <v>1</v>
      </c>
      <c r="L280" t="s">
        <v>140</v>
      </c>
      <c r="M280">
        <v>68</v>
      </c>
      <c r="N280">
        <v>54</v>
      </c>
      <c r="O280">
        <v>220</v>
      </c>
      <c r="P280" t="s">
        <v>130</v>
      </c>
      <c r="Q280" t="s">
        <v>141</v>
      </c>
      <c r="R280" t="s">
        <v>142</v>
      </c>
      <c r="S280" t="s">
        <v>143</v>
      </c>
    </row>
    <row r="281" spans="1:19" x14ac:dyDescent="0.25">
      <c r="A281" s="11" t="str">
        <f>PROPER(K281)</f>
        <v>Fanatic</v>
      </c>
      <c r="B281" s="11" t="str">
        <f>TRIM(PROPER(LEFT(L281,IFERROR(FIND(" ",L281),99))&amp;MID(L281,IFERROR(FIND(" ",L281),99),99)))</f>
        <v>Grip Te 76</v>
      </c>
      <c r="C281" s="11">
        <f>TRUNC(O281)</f>
        <v>222</v>
      </c>
      <c r="D281" s="11">
        <f>TRUNC(N281)</f>
        <v>56</v>
      </c>
      <c r="E281" s="11">
        <f>M281</f>
        <v>76</v>
      </c>
      <c r="F281" s="38" t="str">
        <f>I281</f>
        <v>2018</v>
      </c>
      <c r="G281" s="11" t="str" cm="1">
        <f t="array" ref="G281">gssBoardClass(A281,B281,C281,D281,E281,F281)</f>
        <v>Wave / Freestyle</v>
      </c>
      <c r="H281" s="39" t="str">
        <f>_xlfn.CONCAT(I281,"-",LEFT(K281,2),"-",LEFT(L281,3),"-",M281,"-",TRUNC(N281),"-",TRUNC(O281))</f>
        <v>2018-Fa-Gri-76-56-222</v>
      </c>
      <c r="I281" s="42" t="str">
        <f>LEFT(J281,4)</f>
        <v>2018</v>
      </c>
      <c r="J281" s="46">
        <v>2018</v>
      </c>
      <c r="K281" t="s">
        <v>1</v>
      </c>
      <c r="L281" t="s">
        <v>144</v>
      </c>
      <c r="M281">
        <v>76</v>
      </c>
      <c r="N281">
        <v>56</v>
      </c>
      <c r="O281">
        <v>222</v>
      </c>
      <c r="Q281" t="s">
        <v>145</v>
      </c>
      <c r="R281" t="s">
        <v>146</v>
      </c>
      <c r="S281" t="s">
        <v>133</v>
      </c>
    </row>
    <row r="282" spans="1:19" x14ac:dyDescent="0.25">
      <c r="A282" s="11" t="str">
        <f>PROPER(K282)</f>
        <v>Fanatic</v>
      </c>
      <c r="B282" s="11" t="str">
        <f>TRIM(PROPER(LEFT(L282,IFERROR(FIND(" ",L282),99))&amp;MID(L282,IFERROR(FIND(" ",L282),99),99)))</f>
        <v>Grip Te 82</v>
      </c>
      <c r="C282" s="11">
        <f>TRUNC(O282)</f>
        <v>224</v>
      </c>
      <c r="D282" s="11">
        <f>TRUNC(N282)</f>
        <v>58</v>
      </c>
      <c r="E282" s="11">
        <f>M282</f>
        <v>82</v>
      </c>
      <c r="F282" s="38" t="str">
        <f>I282</f>
        <v>2018</v>
      </c>
      <c r="G282" s="11" t="str" cm="1">
        <f t="array" ref="G282">gssBoardClass(A282,B282,C282,D282,E282,F282)</f>
        <v>Wave / Freestyle</v>
      </c>
      <c r="H282" s="39" t="str">
        <f>_xlfn.CONCAT(I282,"-",LEFT(K282,2),"-",LEFT(L282,3),"-",M282,"-",TRUNC(N282),"-",TRUNC(O282))</f>
        <v>2018-Fa-Gri-82-58-224</v>
      </c>
      <c r="I282" s="42" t="str">
        <f>LEFT(J282,4)</f>
        <v>2018</v>
      </c>
      <c r="J282" s="46">
        <v>2018</v>
      </c>
      <c r="K282" t="s">
        <v>1</v>
      </c>
      <c r="L282" t="s">
        <v>147</v>
      </c>
      <c r="M282">
        <v>82</v>
      </c>
      <c r="N282">
        <v>58</v>
      </c>
      <c r="O282">
        <v>224</v>
      </c>
      <c r="R282" t="s">
        <v>146</v>
      </c>
      <c r="S282" t="s">
        <v>135</v>
      </c>
    </row>
    <row r="283" spans="1:19" x14ac:dyDescent="0.25">
      <c r="A283" s="11" t="str">
        <f>PROPER(K283)</f>
        <v>Fanatic</v>
      </c>
      <c r="B283" s="11" t="str">
        <f>TRIM(PROPER(LEFT(L283,IFERROR(FIND(" ",L283),99))&amp;MID(L283,IFERROR(FIND(" ",L283),99),99)))</f>
        <v>Grip Te 89</v>
      </c>
      <c r="C283" s="11">
        <f>TRUNC(O283)</f>
        <v>226</v>
      </c>
      <c r="D283" s="11">
        <f>TRUNC(N283)</f>
        <v>59</v>
      </c>
      <c r="E283" s="11">
        <f>M283</f>
        <v>89</v>
      </c>
      <c r="F283" s="38" t="str">
        <f>I283</f>
        <v>2018</v>
      </c>
      <c r="G283" s="11" t="str" cm="1">
        <f t="array" ref="G283">gssBoardClass(A283,B283,C283,D283,E283,F283)</f>
        <v>Wave / Freestyle</v>
      </c>
      <c r="H283" s="39" t="str">
        <f>_xlfn.CONCAT(I283,"-",LEFT(K283,2),"-",LEFT(L283,3),"-",M283,"-",TRUNC(N283),"-",TRUNC(O283))</f>
        <v>2018-Fa-Gri-89-59-226</v>
      </c>
      <c r="I283" s="42" t="str">
        <f>LEFT(J283,4)</f>
        <v>2018</v>
      </c>
      <c r="J283" s="46">
        <v>2018</v>
      </c>
      <c r="K283" t="s">
        <v>1</v>
      </c>
      <c r="L283" t="s">
        <v>148</v>
      </c>
      <c r="M283">
        <v>89</v>
      </c>
      <c r="N283">
        <v>59.5</v>
      </c>
      <c r="O283">
        <v>226</v>
      </c>
      <c r="R283" t="s">
        <v>149</v>
      </c>
      <c r="S283" t="s">
        <v>138</v>
      </c>
    </row>
    <row r="284" spans="1:19" x14ac:dyDescent="0.25">
      <c r="A284" s="11" t="str">
        <f>PROPER(K284)</f>
        <v>Fanatic</v>
      </c>
      <c r="B284" s="11" t="str">
        <f>TRIM(PROPER(LEFT(L284,IFERROR(FIND(" ",L284),99))&amp;MID(L284,IFERROR(FIND(" ",L284),99),99)))</f>
        <v>Grip Te 99</v>
      </c>
      <c r="C284" s="11">
        <f>TRUNC(O284)</f>
        <v>229</v>
      </c>
      <c r="D284" s="11">
        <f>TRUNC(N284)</f>
        <v>62</v>
      </c>
      <c r="E284" s="11">
        <f>M284</f>
        <v>99</v>
      </c>
      <c r="F284" s="38" t="str">
        <f>I284</f>
        <v>2018</v>
      </c>
      <c r="G284" s="11" t="str" cm="1">
        <f t="array" ref="G284">gssBoardClass(A284,B284,C284,D284,E284,F284)</f>
        <v>Wave / Freestyle</v>
      </c>
      <c r="H284" s="39" t="str">
        <f>_xlfn.CONCAT(I284,"-",LEFT(K284,2),"-",LEFT(L284,3),"-",M284,"-",TRUNC(N284),"-",TRUNC(O284))</f>
        <v>2018-Fa-Gri-99-62-229</v>
      </c>
      <c r="I284" s="42" t="str">
        <f>LEFT(J284,4)</f>
        <v>2018</v>
      </c>
      <c r="J284" s="46">
        <v>2018</v>
      </c>
      <c r="K284" t="s">
        <v>1</v>
      </c>
      <c r="L284" t="s">
        <v>150</v>
      </c>
      <c r="M284">
        <v>99</v>
      </c>
      <c r="N284">
        <v>62</v>
      </c>
      <c r="O284">
        <v>229</v>
      </c>
      <c r="P284" t="s">
        <v>151</v>
      </c>
      <c r="Q284" t="s">
        <v>152</v>
      </c>
      <c r="R284" t="s">
        <v>139</v>
      </c>
      <c r="S284" t="s">
        <v>153</v>
      </c>
    </row>
    <row r="285" spans="1:19" x14ac:dyDescent="0.25">
      <c r="A285" s="11" t="str">
        <f>PROPER(K285)</f>
        <v>Fanatic</v>
      </c>
      <c r="B285" s="11" t="str">
        <f>TRIM(PROPER(LEFT(L285,IFERROR(FIND(" ",L285),99))&amp;MID(L285,IFERROR(FIND(" ",L285),99),99)))</f>
        <v>Ripper 112</v>
      </c>
      <c r="C285" s="11">
        <f>TRUNC(O285)</f>
        <v>239</v>
      </c>
      <c r="D285" s="11">
        <f>TRUNC(N285)</f>
        <v>73</v>
      </c>
      <c r="E285" s="11">
        <f>M285</f>
        <v>112</v>
      </c>
      <c r="F285" s="38" t="str">
        <f>I285</f>
        <v>2018</v>
      </c>
      <c r="G285" s="11" t="str" cm="1">
        <f t="array" ref="G285">gssBoardClass(A285,B285,C285,D285,E285,F285)</f>
        <v>Slalom Medium</v>
      </c>
      <c r="H285" s="39" t="str">
        <f>_xlfn.CONCAT(I285,"-",LEFT(K285,2),"-",LEFT(L285,3),"-",M285,"-",TRUNC(N285),"-",TRUNC(O285))</f>
        <v>2018-Fa-Rip-112-73-239</v>
      </c>
      <c r="I285" s="42" t="str">
        <f>LEFT(J285,4)</f>
        <v>2018</v>
      </c>
      <c r="J285" s="46">
        <v>2018</v>
      </c>
      <c r="K285" t="s">
        <v>1</v>
      </c>
      <c r="L285" t="s">
        <v>274</v>
      </c>
      <c r="M285">
        <v>112</v>
      </c>
      <c r="N285">
        <v>73</v>
      </c>
      <c r="O285">
        <v>239</v>
      </c>
      <c r="P285" t="s">
        <v>213</v>
      </c>
      <c r="Q285" t="s">
        <v>179</v>
      </c>
      <c r="R285" t="s">
        <v>275</v>
      </c>
      <c r="S285" t="s">
        <v>193</v>
      </c>
    </row>
    <row r="286" spans="1:19" x14ac:dyDescent="0.25">
      <c r="A286" s="11" t="str">
        <f>PROPER(K286)</f>
        <v>Fanatic</v>
      </c>
      <c r="B286" s="11" t="str">
        <f>TRIM(PROPER(LEFT(L286,IFERROR(FIND(" ",L286),99))&amp;MID(L286,IFERROR(FIND(" ",L286),99),99)))</f>
        <v>Ripper Air Windsurf 187</v>
      </c>
      <c r="C286" s="11">
        <f>TRUNC(O286)</f>
        <v>274</v>
      </c>
      <c r="D286" s="11">
        <f>TRUNC(N286)</f>
        <v>73</v>
      </c>
      <c r="E286" s="11">
        <f>M286</f>
        <v>187</v>
      </c>
      <c r="F286" s="38" t="str">
        <f>I286</f>
        <v>2018</v>
      </c>
      <c r="G286" s="11" t="str" cm="1">
        <f t="array" ref="G286">gssBoardClass(A286,B286,C286,D286,E286,F286)</f>
        <v>Slalom Medium</v>
      </c>
      <c r="H286" s="39" t="str">
        <f>_xlfn.CONCAT(I286,"-",LEFT(K286,2),"-",LEFT(L286,3),"-",M286,"-",TRUNC(N286),"-",TRUNC(O286))</f>
        <v>2018-Fa-Rip-187-73-274</v>
      </c>
      <c r="I286" s="42" t="str">
        <f>LEFT(J286,4)</f>
        <v>2018</v>
      </c>
      <c r="J286" s="46">
        <v>2018</v>
      </c>
      <c r="K286" t="s">
        <v>1</v>
      </c>
      <c r="L286" t="s">
        <v>276</v>
      </c>
      <c r="M286">
        <v>187</v>
      </c>
      <c r="N286">
        <v>73.7</v>
      </c>
      <c r="O286">
        <v>274.3</v>
      </c>
      <c r="P286" t="s">
        <v>273</v>
      </c>
      <c r="Q286" t="s">
        <v>269</v>
      </c>
      <c r="R286" t="s">
        <v>270</v>
      </c>
      <c r="S286" t="s">
        <v>271</v>
      </c>
    </row>
    <row r="287" spans="1:19" x14ac:dyDescent="0.25">
      <c r="A287" s="11" t="str">
        <f>PROPER(K287)</f>
        <v>Fanatic</v>
      </c>
      <c r="B287" s="11" t="str">
        <f>TRIM(PROPER(LEFT(L287,IFERROR(FIND(" ",L287),99))&amp;MID(L287,IFERROR(FIND(" ",L287),99),99)))</f>
        <v>Skate Te 100</v>
      </c>
      <c r="C287" s="11">
        <f>TRUNC(O287)</f>
        <v>228</v>
      </c>
      <c r="D287" s="11">
        <f>TRUNC(N287)</f>
        <v>64</v>
      </c>
      <c r="E287" s="11">
        <f>M287</f>
        <v>100</v>
      </c>
      <c r="F287" s="38" t="str">
        <f>I287</f>
        <v>2018</v>
      </c>
      <c r="G287" s="11" t="str" cm="1">
        <f t="array" ref="G287">gssBoardClass(A287,B287,C287,D287,E287,F287)</f>
        <v>Wave / Freestyle</v>
      </c>
      <c r="H287" s="39" t="str">
        <f>_xlfn.CONCAT(I287,"-",LEFT(K287,2),"-",LEFT(L287,3),"-",M287,"-",TRUNC(N287),"-",TRUNC(O287))</f>
        <v>2018-Fa-Ska-100-64-228</v>
      </c>
      <c r="I287" s="42" t="str">
        <f>LEFT(J287,4)</f>
        <v>2018</v>
      </c>
      <c r="J287" s="46">
        <v>2018</v>
      </c>
      <c r="K287" t="s">
        <v>1</v>
      </c>
      <c r="L287" t="s">
        <v>184</v>
      </c>
      <c r="M287">
        <v>100</v>
      </c>
      <c r="N287">
        <v>64</v>
      </c>
      <c r="O287">
        <v>228</v>
      </c>
      <c r="R287" t="s">
        <v>185</v>
      </c>
      <c r="S287" t="s">
        <v>138</v>
      </c>
    </row>
    <row r="288" spans="1:19" x14ac:dyDescent="0.25">
      <c r="A288" s="11" t="str">
        <f>PROPER(K288)</f>
        <v>Fanatic</v>
      </c>
      <c r="B288" s="11" t="str">
        <f>TRIM(PROPER(LEFT(L288,IFERROR(FIND(" ",L288),99))&amp;MID(L288,IFERROR(FIND(" ",L288),99),99)))</f>
        <v>Skate Te 108</v>
      </c>
      <c r="C288" s="11">
        <f>TRUNC(O288)</f>
        <v>226</v>
      </c>
      <c r="D288" s="11">
        <f>TRUNC(N288)</f>
        <v>66</v>
      </c>
      <c r="E288" s="11">
        <f>M288</f>
        <v>108</v>
      </c>
      <c r="F288" s="38" t="str">
        <f>I288</f>
        <v>2018</v>
      </c>
      <c r="G288" s="11" t="str" cm="1">
        <f t="array" ref="G288">gssBoardClass(A288,B288,C288,D288,E288,F288)</f>
        <v>Wave / Freestyle</v>
      </c>
      <c r="H288" s="39" t="str">
        <f>_xlfn.CONCAT(I288,"-",LEFT(K288,2),"-",LEFT(L288,3),"-",M288,"-",TRUNC(N288),"-",TRUNC(O288))</f>
        <v>2018-Fa-Ska-108-66-226</v>
      </c>
      <c r="I288" s="42" t="str">
        <f>LEFT(J288,4)</f>
        <v>2018</v>
      </c>
      <c r="J288" s="46">
        <v>2018</v>
      </c>
      <c r="K288" t="s">
        <v>1</v>
      </c>
      <c r="L288" t="s">
        <v>186</v>
      </c>
      <c r="M288">
        <v>108</v>
      </c>
      <c r="N288">
        <v>66.5</v>
      </c>
      <c r="O288">
        <v>226</v>
      </c>
      <c r="R288" t="s">
        <v>187</v>
      </c>
      <c r="S288" t="s">
        <v>188</v>
      </c>
    </row>
    <row r="289" spans="1:19" x14ac:dyDescent="0.25">
      <c r="A289" s="11" t="str">
        <f>PROPER(K289)</f>
        <v>Fanatic</v>
      </c>
      <c r="B289" s="11" t="str">
        <f>TRIM(PROPER(LEFT(L289,IFERROR(FIND(" ",L289),99))&amp;MID(L289,IFERROR(FIND(" ",L289),99),99)))</f>
        <v>Skate Te 86</v>
      </c>
      <c r="C289" s="11">
        <f>TRUNC(O289)</f>
        <v>228</v>
      </c>
      <c r="D289" s="11">
        <f>TRUNC(N289)</f>
        <v>60</v>
      </c>
      <c r="E289" s="11">
        <f>M289</f>
        <v>86</v>
      </c>
      <c r="F289" s="38" t="str">
        <f>I289</f>
        <v>2018</v>
      </c>
      <c r="G289" s="11" t="str" cm="1">
        <f t="array" ref="G289">gssBoardClass(A289,B289,C289,D289,E289,F289)</f>
        <v>Wave / Freestyle</v>
      </c>
      <c r="H289" s="39" t="str">
        <f>_xlfn.CONCAT(I289,"-",LEFT(K289,2),"-",LEFT(L289,3),"-",M289,"-",TRUNC(N289),"-",TRUNC(O289))</f>
        <v>2018-Fa-Ska-86-60-228</v>
      </c>
      <c r="I289" s="42" t="str">
        <f>LEFT(J289,4)</f>
        <v>2018</v>
      </c>
      <c r="J289" s="46">
        <v>2018</v>
      </c>
      <c r="K289" t="s">
        <v>1</v>
      </c>
      <c r="L289" t="s">
        <v>178</v>
      </c>
      <c r="M289">
        <v>86</v>
      </c>
      <c r="N289">
        <v>60</v>
      </c>
      <c r="O289">
        <v>228</v>
      </c>
      <c r="P289" t="s">
        <v>130</v>
      </c>
      <c r="Q289" t="s">
        <v>179</v>
      </c>
      <c r="R289" t="s">
        <v>180</v>
      </c>
      <c r="S289" t="s">
        <v>133</v>
      </c>
    </row>
    <row r="290" spans="1:19" x14ac:dyDescent="0.25">
      <c r="A290" s="11" t="str">
        <f>PROPER(K290)</f>
        <v>Fanatic</v>
      </c>
      <c r="B290" s="11" t="str">
        <f>TRIM(PROPER(LEFT(L290,IFERROR(FIND(" ",L290),99))&amp;MID(L290,IFERROR(FIND(" ",L290),99),99)))</f>
        <v>Skate Te 93</v>
      </c>
      <c r="C290" s="11">
        <f>TRUNC(O290)</f>
        <v>225</v>
      </c>
      <c r="D290" s="11">
        <f>TRUNC(N290)</f>
        <v>62</v>
      </c>
      <c r="E290" s="11">
        <f>M290</f>
        <v>93</v>
      </c>
      <c r="F290" s="38" t="str">
        <f>I290</f>
        <v>2018</v>
      </c>
      <c r="G290" s="11" t="str" cm="1">
        <f t="array" ref="G290">gssBoardClass(A290,B290,C290,D290,E290,F290)</f>
        <v>Wave / Freestyle</v>
      </c>
      <c r="H290" s="39" t="str">
        <f>_xlfn.CONCAT(I290,"-",LEFT(K290,2),"-",LEFT(L290,3),"-",M290,"-",TRUNC(N290),"-",TRUNC(O290))</f>
        <v>2018-Fa-Ska-93-62-225</v>
      </c>
      <c r="I290" s="42" t="str">
        <f>LEFT(J290,4)</f>
        <v>2018</v>
      </c>
      <c r="J290" s="46">
        <v>2018</v>
      </c>
      <c r="K290" t="s">
        <v>1</v>
      </c>
      <c r="L290" t="s">
        <v>181</v>
      </c>
      <c r="M290">
        <v>93</v>
      </c>
      <c r="N290">
        <v>62</v>
      </c>
      <c r="O290">
        <v>225</v>
      </c>
      <c r="R290" t="s">
        <v>182</v>
      </c>
      <c r="S290" t="s">
        <v>183</v>
      </c>
    </row>
    <row r="291" spans="1:19" x14ac:dyDescent="0.25">
      <c r="A291" s="11" t="str">
        <f>PROPER(K291)</f>
        <v>Fanatic</v>
      </c>
      <c r="B291" s="11" t="str">
        <f>TRIM(PROPER(LEFT(L291,IFERROR(FIND(" ",L291),99))&amp;MID(L291,IFERROR(FIND(" ",L291),99),99)))</f>
        <v>Stubby Te 76</v>
      </c>
      <c r="C291" s="11">
        <f>TRUNC(O291)</f>
        <v>212</v>
      </c>
      <c r="D291" s="11">
        <f>TRUNC(N291)</f>
        <v>55</v>
      </c>
      <c r="E291" s="11">
        <f>M291</f>
        <v>76</v>
      </c>
      <c r="F291" s="38" t="str">
        <f>I291</f>
        <v>2018</v>
      </c>
      <c r="G291" s="11" t="str" cm="1">
        <f t="array" ref="G291">gssBoardClass(A291,B291,C291,D291,E291,F291)</f>
        <v>Wave / Freestyle</v>
      </c>
      <c r="H291" s="39" t="str">
        <f>_xlfn.CONCAT(I291,"-",LEFT(K291,2),"-",LEFT(L291,3),"-",M291,"-",TRUNC(N291),"-",TRUNC(O291))</f>
        <v>2018-Fa-Stu-76-55-212</v>
      </c>
      <c r="I291" s="42" t="str">
        <f>LEFT(J291,4)</f>
        <v>2018</v>
      </c>
      <c r="J291" s="46">
        <v>2018</v>
      </c>
      <c r="K291" t="s">
        <v>1</v>
      </c>
      <c r="L291" t="s">
        <v>129</v>
      </c>
      <c r="M291">
        <v>76</v>
      </c>
      <c r="N291">
        <v>55</v>
      </c>
      <c r="O291">
        <v>212</v>
      </c>
      <c r="P291" t="s">
        <v>130</v>
      </c>
      <c r="Q291" t="s">
        <v>131</v>
      </c>
      <c r="R291" t="s">
        <v>132</v>
      </c>
      <c r="S291" t="s">
        <v>133</v>
      </c>
    </row>
    <row r="292" spans="1:19" x14ac:dyDescent="0.25">
      <c r="A292" s="11" t="str">
        <f>PROPER(K292)</f>
        <v>Fanatic</v>
      </c>
      <c r="B292" s="11" t="str">
        <f>TRIM(PROPER(LEFT(L292,IFERROR(FIND(" ",L292),99))&amp;MID(L292,IFERROR(FIND(" ",L292),99),99)))</f>
        <v>Stubby Te 82</v>
      </c>
      <c r="C292" s="11">
        <f>TRUNC(O292)</f>
        <v>214</v>
      </c>
      <c r="D292" s="11">
        <f>TRUNC(N292)</f>
        <v>56</v>
      </c>
      <c r="E292" s="11">
        <f>M292</f>
        <v>82</v>
      </c>
      <c r="F292" s="38" t="str">
        <f>I292</f>
        <v>2018</v>
      </c>
      <c r="G292" s="11" t="str" cm="1">
        <f t="array" ref="G292">gssBoardClass(A292,B292,C292,D292,E292,F292)</f>
        <v>Wave / Freestyle</v>
      </c>
      <c r="H292" s="39" t="str">
        <f>_xlfn.CONCAT(I292,"-",LEFT(K292,2),"-",LEFT(L292,3),"-",M292,"-",TRUNC(N292),"-",TRUNC(O292))</f>
        <v>2018-Fa-Stu-82-56-214</v>
      </c>
      <c r="I292" s="42" t="str">
        <f>LEFT(J292,4)</f>
        <v>2018</v>
      </c>
      <c r="J292" s="46">
        <v>2018</v>
      </c>
      <c r="K292" t="s">
        <v>1</v>
      </c>
      <c r="L292" t="s">
        <v>134</v>
      </c>
      <c r="M292">
        <v>82</v>
      </c>
      <c r="N292">
        <v>56</v>
      </c>
      <c r="O292">
        <v>214</v>
      </c>
      <c r="R292" t="s">
        <v>132</v>
      </c>
      <c r="S292" t="s">
        <v>135</v>
      </c>
    </row>
    <row r="293" spans="1:19" x14ac:dyDescent="0.25">
      <c r="A293" s="11" t="str">
        <f>PROPER(K293)</f>
        <v>Fanatic</v>
      </c>
      <c r="B293" s="11" t="str">
        <f>TRIM(PROPER(LEFT(L293,IFERROR(FIND(" ",L293),99))&amp;MID(L293,IFERROR(FIND(" ",L293),99),99)))</f>
        <v>Stubby Te 89</v>
      </c>
      <c r="C293" s="11">
        <f>TRUNC(O293)</f>
        <v>215</v>
      </c>
      <c r="D293" s="11">
        <f>TRUNC(N293)</f>
        <v>57</v>
      </c>
      <c r="E293" s="11">
        <f>M293</f>
        <v>89</v>
      </c>
      <c r="F293" s="38" t="str">
        <f>I293</f>
        <v>2018</v>
      </c>
      <c r="G293" s="11" t="str" cm="1">
        <f t="array" ref="G293">gssBoardClass(A293,B293,C293,D293,E293,F293)</f>
        <v>Wave / Freestyle</v>
      </c>
      <c r="H293" s="39" t="str">
        <f>_xlfn.CONCAT(I293,"-",LEFT(K293,2),"-",LEFT(L293,3),"-",M293,"-",TRUNC(N293),"-",TRUNC(O293))</f>
        <v>2018-Fa-Stu-89-57-215</v>
      </c>
      <c r="I293" s="42" t="str">
        <f>LEFT(J293,4)</f>
        <v>2018</v>
      </c>
      <c r="J293" s="46">
        <v>2018</v>
      </c>
      <c r="K293" t="s">
        <v>1</v>
      </c>
      <c r="L293" t="s">
        <v>136</v>
      </c>
      <c r="M293">
        <v>89</v>
      </c>
      <c r="N293">
        <v>57.5</v>
      </c>
      <c r="O293">
        <v>215</v>
      </c>
      <c r="R293" t="s">
        <v>137</v>
      </c>
      <c r="S293" t="s">
        <v>138</v>
      </c>
    </row>
    <row r="294" spans="1:19" x14ac:dyDescent="0.25">
      <c r="A294" s="11" t="str">
        <f>PROPER(K294)</f>
        <v>Fanatic</v>
      </c>
      <c r="B294" s="11" t="str">
        <f>TRIM(PROPER(LEFT(L294,IFERROR(FIND(" ",L294),99))&amp;MID(L294,IFERROR(FIND(" ",L294),99),99)))</f>
        <v>Stubby Te 99</v>
      </c>
      <c r="C294" s="11">
        <f>TRUNC(O294)</f>
        <v>218</v>
      </c>
      <c r="D294" s="11">
        <f>TRUNC(N294)</f>
        <v>60</v>
      </c>
      <c r="E294" s="11">
        <f>M294</f>
        <v>99</v>
      </c>
      <c r="F294" s="38" t="str">
        <f>I294</f>
        <v>2018</v>
      </c>
      <c r="G294" s="11" t="str" cm="1">
        <f t="array" ref="G294">gssBoardClass(A294,B294,C294,D294,E294,F294)</f>
        <v>Wave / Freestyle</v>
      </c>
      <c r="H294" s="39" t="str">
        <f>_xlfn.CONCAT(I294,"-",LEFT(K294,2),"-",LEFT(L294,3),"-",M294,"-",TRUNC(N294),"-",TRUNC(O294))</f>
        <v>2018-Fa-Stu-99-60-218</v>
      </c>
      <c r="I294" s="42" t="str">
        <f>LEFT(J294,4)</f>
        <v>2018</v>
      </c>
      <c r="J294" s="46">
        <v>2018</v>
      </c>
      <c r="K294" t="s">
        <v>1</v>
      </c>
      <c r="L294" t="s">
        <v>110</v>
      </c>
      <c r="M294">
        <v>99</v>
      </c>
      <c r="N294">
        <v>60</v>
      </c>
      <c r="O294">
        <v>218</v>
      </c>
      <c r="R294" t="s">
        <v>137</v>
      </c>
      <c r="S294" t="s">
        <v>139</v>
      </c>
    </row>
    <row r="295" spans="1:19" x14ac:dyDescent="0.25">
      <c r="A295" s="11" t="str">
        <f>PROPER(K295)</f>
        <v>Fanatic</v>
      </c>
      <c r="B295" s="11" t="str">
        <f>TRIM(PROPER(LEFT(L295,IFERROR(FIND(" ",L295),99))&amp;MID(L295,IFERROR(FIND(" ",L295),99),99)))</f>
        <v>Tandem Air Premium</v>
      </c>
      <c r="C295" s="11">
        <f>TRUNC(O295)</f>
        <v>487</v>
      </c>
      <c r="D295" s="11">
        <f>TRUNC(N295)</f>
        <v>86</v>
      </c>
      <c r="E295" s="11">
        <f>M295</f>
        <v>505</v>
      </c>
      <c r="F295" s="38" t="str">
        <f>I295</f>
        <v>2018</v>
      </c>
      <c r="G295" s="11" t="str" cm="1">
        <f t="array" ref="G295">gssBoardClass(A295,B295,C295,D295,E295,F295)</f>
        <v>Special / Longboard</v>
      </c>
      <c r="H295" s="39" t="str">
        <f>_xlfn.CONCAT(I295,"-",LEFT(K295,2),"-",LEFT(L295,3),"-",M295,"-",TRUNC(N295),"-",TRUNC(O295))</f>
        <v>2018-Fa-Tan-505-86-487</v>
      </c>
      <c r="I295" s="42" t="str">
        <f>LEFT(J295,4)</f>
        <v>2018</v>
      </c>
      <c r="J295" s="46">
        <v>2018</v>
      </c>
      <c r="K295" t="s">
        <v>1</v>
      </c>
      <c r="L295" t="s">
        <v>277</v>
      </c>
      <c r="M295">
        <v>505</v>
      </c>
      <c r="N295">
        <v>86.4</v>
      </c>
      <c r="O295">
        <v>487.6</v>
      </c>
      <c r="P295" t="s">
        <v>268</v>
      </c>
      <c r="Q295" t="s">
        <v>269</v>
      </c>
      <c r="R295" t="s">
        <v>278</v>
      </c>
      <c r="S295" t="s">
        <v>271</v>
      </c>
    </row>
    <row r="296" spans="1:19" x14ac:dyDescent="0.25">
      <c r="A296" s="11" t="str">
        <f>PROPER(K296)</f>
        <v>Fanatic</v>
      </c>
      <c r="B296" s="11" t="str">
        <f>TRIM(PROPER(LEFT(L296,IFERROR(FIND(" ",L296),99))&amp;MID(L296,IFERROR(FIND(" ",L296),99),99)))</f>
        <v>Viper 75</v>
      </c>
      <c r="C296" s="11">
        <f>TRUNC(O296)</f>
        <v>275</v>
      </c>
      <c r="D296" s="11">
        <f>TRUNC(N296)</f>
        <v>75</v>
      </c>
      <c r="E296" s="11">
        <f>M296</f>
        <v>160</v>
      </c>
      <c r="F296" s="38" t="str">
        <f>I296</f>
        <v>2018</v>
      </c>
      <c r="G296" s="11" t="str" cm="1">
        <f t="array" ref="G296">gssBoardClass(A296,B296,C296,D296,E296,F296)</f>
        <v>Slalom Large</v>
      </c>
      <c r="H296" s="39" t="str">
        <f>_xlfn.CONCAT(I296,"-",LEFT(K296,2),"-",LEFT(L296,3),"-",M296,"-",TRUNC(N296),"-",TRUNC(O296))</f>
        <v>2018-Fa-Vip-160-75-275</v>
      </c>
      <c r="I296" s="42" t="str">
        <f>LEFT(J296,4)</f>
        <v>2018</v>
      </c>
      <c r="J296" s="46">
        <v>2018</v>
      </c>
      <c r="K296" t="s">
        <v>1</v>
      </c>
      <c r="L296" t="s">
        <v>262</v>
      </c>
      <c r="M296">
        <v>160</v>
      </c>
      <c r="N296">
        <v>75</v>
      </c>
      <c r="O296">
        <v>275</v>
      </c>
      <c r="P296" t="s">
        <v>213</v>
      </c>
      <c r="Q296" t="s">
        <v>179</v>
      </c>
      <c r="R296" t="s">
        <v>263</v>
      </c>
      <c r="S296" t="s">
        <v>205</v>
      </c>
    </row>
    <row r="297" spans="1:19" x14ac:dyDescent="0.25">
      <c r="A297" s="11" t="str">
        <f>PROPER(K297)</f>
        <v>Fanatic</v>
      </c>
      <c r="B297" s="11" t="str">
        <f>TRIM(PROPER(LEFT(L297,IFERROR(FIND(" ",L297),99))&amp;MID(L297,IFERROR(FIND(" ",L297),99),99)))</f>
        <v>Viper 80</v>
      </c>
      <c r="C297" s="11">
        <f>TRUNC(O297)</f>
        <v>280</v>
      </c>
      <c r="D297" s="11">
        <f>TRUNC(N297)</f>
        <v>80</v>
      </c>
      <c r="E297" s="11">
        <f>M297</f>
        <v>190</v>
      </c>
      <c r="F297" s="38" t="str">
        <f>I297</f>
        <v>2018</v>
      </c>
      <c r="G297" s="11" t="str" cm="1">
        <f t="array" ref="G297">gssBoardClass(A297,B297,C297,D297,E297,F297)</f>
        <v>Special / Longboard</v>
      </c>
      <c r="H297" s="39" t="str">
        <f>_xlfn.CONCAT(I297,"-",LEFT(K297,2),"-",LEFT(L297,3),"-",M297,"-",TRUNC(N297),"-",TRUNC(O297))</f>
        <v>2018-Fa-Vip-190-80-280</v>
      </c>
      <c r="I297" s="42" t="str">
        <f>LEFT(J297,4)</f>
        <v>2018</v>
      </c>
      <c r="J297" s="46">
        <v>2018</v>
      </c>
      <c r="K297" t="s">
        <v>1</v>
      </c>
      <c r="L297" t="s">
        <v>264</v>
      </c>
      <c r="M297">
        <v>190</v>
      </c>
      <c r="N297">
        <v>80</v>
      </c>
      <c r="O297">
        <v>280</v>
      </c>
      <c r="P297" t="s">
        <v>153</v>
      </c>
      <c r="Q297" t="s">
        <v>153</v>
      </c>
      <c r="R297" t="s">
        <v>153</v>
      </c>
      <c r="S297" t="s">
        <v>153</v>
      </c>
    </row>
    <row r="298" spans="1:19" x14ac:dyDescent="0.25">
      <c r="A298" s="11" t="str">
        <f>PROPER(K298)</f>
        <v>Fanatic</v>
      </c>
      <c r="B298" s="11" t="str">
        <f>TRIM(PROPER(LEFT(L298,IFERROR(FIND(" ",L298),99))&amp;MID(L298,IFERROR(FIND(" ",L298),99),99)))</f>
        <v>Viper 85</v>
      </c>
      <c r="C298" s="11">
        <f>TRUNC(O298)</f>
        <v>285</v>
      </c>
      <c r="D298" s="11">
        <f>TRUNC(N298)</f>
        <v>85</v>
      </c>
      <c r="E298" s="11">
        <f>M298</f>
        <v>220</v>
      </c>
      <c r="F298" s="38" t="str">
        <f>I298</f>
        <v>2018</v>
      </c>
      <c r="G298" s="11" t="str" cm="1">
        <f t="array" ref="G298">gssBoardClass(A298,B298,C298,D298,E298,F298)</f>
        <v>Special / Longboard</v>
      </c>
      <c r="H298" s="39" t="str">
        <f>_xlfn.CONCAT(I298,"-",LEFT(K298,2),"-",LEFT(L298,3),"-",M298,"-",TRUNC(N298),"-",TRUNC(O298))</f>
        <v>2018-Fa-Vip-220-85-285</v>
      </c>
      <c r="I298" s="42" t="str">
        <f>LEFT(J298,4)</f>
        <v>2018</v>
      </c>
      <c r="J298" s="46">
        <v>2018</v>
      </c>
      <c r="K298" t="s">
        <v>1</v>
      </c>
      <c r="L298" t="s">
        <v>265</v>
      </c>
      <c r="M298">
        <v>220</v>
      </c>
      <c r="N298">
        <v>85</v>
      </c>
      <c r="O298">
        <v>285</v>
      </c>
      <c r="P298" t="s">
        <v>153</v>
      </c>
      <c r="Q298" t="s">
        <v>153</v>
      </c>
      <c r="R298" t="s">
        <v>153</v>
      </c>
      <c r="S298" t="s">
        <v>153</v>
      </c>
    </row>
    <row r="299" spans="1:19" x14ac:dyDescent="0.25">
      <c r="A299" s="11" t="str">
        <f>PROPER(K299)</f>
        <v>Fanatic</v>
      </c>
      <c r="B299" s="11" t="str">
        <f>TRIM(PROPER(LEFT(L299,IFERROR(FIND(" ",L299),99))&amp;MID(L299,IFERROR(FIND(" ",L299),99),99)))</f>
        <v>Viper 91</v>
      </c>
      <c r="C299" s="11">
        <f>TRUNC(O299)</f>
        <v>290</v>
      </c>
      <c r="D299" s="11">
        <f>TRUNC(N299)</f>
        <v>91</v>
      </c>
      <c r="E299" s="11">
        <f>M299</f>
        <v>240</v>
      </c>
      <c r="F299" s="38" t="str">
        <f>I299</f>
        <v>2018</v>
      </c>
      <c r="G299" s="11" t="str" cm="1">
        <f t="array" ref="G299">gssBoardClass(A299,B299,C299,D299,E299,F299)</f>
        <v>Special / Longboard</v>
      </c>
      <c r="H299" s="39" t="str">
        <f>_xlfn.CONCAT(I299,"-",LEFT(K299,2),"-",LEFT(L299,3),"-",M299,"-",TRUNC(N299),"-",TRUNC(O299))</f>
        <v>2018-Fa-Vip-240-91-290</v>
      </c>
      <c r="I299" s="42" t="str">
        <f>LEFT(J299,4)</f>
        <v>2018</v>
      </c>
      <c r="J299" s="46">
        <v>2018</v>
      </c>
      <c r="K299" t="s">
        <v>1</v>
      </c>
      <c r="L299" t="s">
        <v>266</v>
      </c>
      <c r="M299">
        <v>240</v>
      </c>
      <c r="N299">
        <v>91</v>
      </c>
      <c r="O299">
        <v>290</v>
      </c>
      <c r="P299" t="s">
        <v>153</v>
      </c>
      <c r="Q299" t="s">
        <v>153</v>
      </c>
      <c r="R299" t="s">
        <v>153</v>
      </c>
      <c r="S299" t="s">
        <v>153</v>
      </c>
    </row>
    <row r="300" spans="1:19" x14ac:dyDescent="0.25">
      <c r="A300" s="11" t="str">
        <f>PROPER(K300)</f>
        <v>Fanatic</v>
      </c>
      <c r="B300" s="11" t="str">
        <f>TRIM(PROPER(LEFT(L300,IFERROR(FIND(" ",L300),99))&amp;MID(L300,IFERROR(FIND(" ",L300),99),99)))</f>
        <v>Viper Air Windsurf 355</v>
      </c>
      <c r="C300" s="11">
        <f>TRUNC(O300)</f>
        <v>335</v>
      </c>
      <c r="D300" s="11">
        <f>TRUNC(N300)</f>
        <v>85</v>
      </c>
      <c r="E300" s="11">
        <f>M300</f>
        <v>355</v>
      </c>
      <c r="F300" s="38" t="str">
        <f>I300</f>
        <v>2018</v>
      </c>
      <c r="G300" s="11" t="str" cm="1">
        <f t="array" ref="G300">gssBoardClass(A300,B300,C300,D300,E300,F300)</f>
        <v>Special / Longboard</v>
      </c>
      <c r="H300" s="39" t="str">
        <f>_xlfn.CONCAT(I300,"-",LEFT(K300,2),"-",LEFT(L300,3),"-",M300,"-",TRUNC(N300),"-",TRUNC(O300))</f>
        <v>2018-Fa-Vip-355-85-335</v>
      </c>
      <c r="I300" s="42" t="str">
        <f>LEFT(J300,4)</f>
        <v>2018</v>
      </c>
      <c r="J300" s="46">
        <v>2018</v>
      </c>
      <c r="K300" t="s">
        <v>1</v>
      </c>
      <c r="L300" t="s">
        <v>267</v>
      </c>
      <c r="M300">
        <v>355</v>
      </c>
      <c r="N300">
        <v>85.1</v>
      </c>
      <c r="O300">
        <v>335.3</v>
      </c>
      <c r="P300" t="s">
        <v>268</v>
      </c>
      <c r="Q300" t="s">
        <v>269</v>
      </c>
      <c r="R300" t="s">
        <v>270</v>
      </c>
      <c r="S300" t="s">
        <v>271</v>
      </c>
    </row>
    <row r="301" spans="1:19" x14ac:dyDescent="0.25">
      <c r="A301" s="11" t="str">
        <f>PROPER(K301)</f>
        <v>Fanatic</v>
      </c>
      <c r="B301" s="11" t="str">
        <f>TRIM(PROPER(LEFT(L301,IFERROR(FIND(" ",L301),99))&amp;MID(L301,IFERROR(FIND(" ",L301),99),99)))</f>
        <v>Viper Air Windsurf 355 Pure</v>
      </c>
      <c r="C301" s="11">
        <f>TRUNC(O301)</f>
        <v>335</v>
      </c>
      <c r="D301" s="11">
        <f>TRUNC(N301)</f>
        <v>85</v>
      </c>
      <c r="E301" s="11">
        <f>M301</f>
        <v>355</v>
      </c>
      <c r="F301" s="38" t="str">
        <f>I301</f>
        <v>2018</v>
      </c>
      <c r="G301" s="11" t="str" cm="1">
        <f t="array" ref="G301">gssBoardClass(A301,B301,C301,D301,E301,F301)</f>
        <v>Special / Longboard</v>
      </c>
      <c r="H301" s="39" t="str">
        <f>_xlfn.CONCAT(I301,"-",LEFT(K301,2),"-",LEFT(L301,3),"-",M301,"-",TRUNC(N301),"-",TRUNC(O301))</f>
        <v>2018-Fa-Vip-355-85-335</v>
      </c>
      <c r="I301" s="42" t="str">
        <f>LEFT(J301,4)</f>
        <v>2018</v>
      </c>
      <c r="J301" s="46">
        <v>2018</v>
      </c>
      <c r="K301" t="s">
        <v>1</v>
      </c>
      <c r="L301" t="s">
        <v>272</v>
      </c>
      <c r="M301">
        <v>355</v>
      </c>
      <c r="N301">
        <v>85.1</v>
      </c>
      <c r="O301">
        <v>335.3</v>
      </c>
      <c r="P301" t="s">
        <v>273</v>
      </c>
      <c r="Q301" t="s">
        <v>269</v>
      </c>
      <c r="R301" t="s">
        <v>270</v>
      </c>
      <c r="S301" t="s">
        <v>271</v>
      </c>
    </row>
    <row r="302" spans="1:19" x14ac:dyDescent="0.25">
      <c r="A302" s="11" t="str">
        <f>PROPER(K302)</f>
        <v>Fanatic</v>
      </c>
      <c r="B302" s="11" t="str">
        <f>TRIM(PROPER(LEFT(L302,IFERROR(FIND(" ",L302),99))&amp;MID(L302,IFERROR(FIND(" ",L302),99),99)))</f>
        <v>Blast Ltd</v>
      </c>
      <c r="C302" s="11">
        <f>TRUNC(O302)</f>
        <v>231</v>
      </c>
      <c r="D302" s="11">
        <f>TRUNC(N302)</f>
        <v>62</v>
      </c>
      <c r="E302" s="11">
        <f>M302</f>
        <v>100</v>
      </c>
      <c r="F302" s="38" t="str">
        <f>I302</f>
        <v>2020</v>
      </c>
      <c r="G302" s="11" t="str" cm="1">
        <f t="array" ref="G302">gssBoardClass(A302,B302,C302,D302,E302,F302)</f>
        <v>Speed/Slalom Small</v>
      </c>
      <c r="H302" s="39" t="str">
        <f>_xlfn.CONCAT(I302,"-",LEFT(K302,2),"-",LEFT(L302,3),"-",M302,"-",TRUNC(N302),"-",TRUNC(O302))</f>
        <v>2020-Fa-Bla-100-62-231</v>
      </c>
      <c r="I302" s="42" t="str">
        <f>LEFT(J302,4)</f>
        <v>2020</v>
      </c>
      <c r="J302" s="46">
        <v>2020</v>
      </c>
      <c r="K302" t="s">
        <v>1</v>
      </c>
      <c r="L302" t="s">
        <v>667</v>
      </c>
      <c r="M302">
        <v>100</v>
      </c>
      <c r="N302">
        <v>62</v>
      </c>
      <c r="O302">
        <v>231</v>
      </c>
      <c r="P302" t="s">
        <v>709</v>
      </c>
      <c r="Q302" t="s">
        <v>283</v>
      </c>
      <c r="R302" t="s">
        <v>190</v>
      </c>
      <c r="S302" t="s">
        <v>233</v>
      </c>
    </row>
    <row r="303" spans="1:19" x14ac:dyDescent="0.25">
      <c r="A303" s="11" t="str">
        <f>PROPER(K303)</f>
        <v>Fanatic</v>
      </c>
      <c r="B303" s="11" t="str">
        <f>TRIM(PROPER(LEFT(L303,IFERROR(FIND(" ",L303),99))&amp;MID(L303,IFERROR(FIND(" ",L303),99),99)))</f>
        <v>Blast Hrs</v>
      </c>
      <c r="C303" s="11">
        <f>TRUNC(O303)</f>
        <v>231</v>
      </c>
      <c r="D303" s="11">
        <f>TRUNC(N303)</f>
        <v>62</v>
      </c>
      <c r="E303" s="11">
        <f>M303</f>
        <v>100</v>
      </c>
      <c r="F303" s="38" t="str">
        <f>I303</f>
        <v>2020</v>
      </c>
      <c r="G303" s="11" t="str" cm="1">
        <f t="array" ref="G303">gssBoardClass(A303,B303,C303,D303,E303,F303)</f>
        <v>Speed/Slalom Small</v>
      </c>
      <c r="H303" s="39" t="str">
        <f>_xlfn.CONCAT(I303,"-",LEFT(K303,2),"-",LEFT(L303,3),"-",M303,"-",TRUNC(N303),"-",TRUNC(O303))</f>
        <v>2020-Fa-Bla-100-62-231</v>
      </c>
      <c r="I303" s="42" t="str">
        <f>LEFT(J303,4)</f>
        <v>2020</v>
      </c>
      <c r="J303" s="46">
        <v>2020</v>
      </c>
      <c r="K303" t="s">
        <v>1</v>
      </c>
      <c r="L303" t="s">
        <v>670</v>
      </c>
      <c r="M303">
        <v>100</v>
      </c>
      <c r="N303">
        <v>62</v>
      </c>
      <c r="O303">
        <v>231</v>
      </c>
      <c r="P303" t="s">
        <v>592</v>
      </c>
      <c r="Q303" t="s">
        <v>283</v>
      </c>
      <c r="R303" t="s">
        <v>668</v>
      </c>
      <c r="S303" t="s">
        <v>233</v>
      </c>
    </row>
    <row r="304" spans="1:19" x14ac:dyDescent="0.25">
      <c r="A304" s="11" t="str">
        <f>PROPER(K304)</f>
        <v>Fanatic</v>
      </c>
      <c r="B304" s="11" t="str">
        <f>TRIM(PROPER(LEFT(L304,IFERROR(FIND(" ",L304),99))&amp;MID(L304,IFERROR(FIND(" ",L304),99),99)))</f>
        <v>Blast Ltd</v>
      </c>
      <c r="C304" s="11">
        <f>TRUNC(O304)</f>
        <v>232</v>
      </c>
      <c r="D304" s="11">
        <f>TRUNC(N304)</f>
        <v>66</v>
      </c>
      <c r="E304" s="11">
        <f>M304</f>
        <v>115</v>
      </c>
      <c r="F304" s="38" t="str">
        <f>I304</f>
        <v>2020</v>
      </c>
      <c r="G304" s="11" t="str" cm="1">
        <f t="array" ref="G304">gssBoardClass(A304,B304,C304,D304,E304,F304)</f>
        <v>Slalom Medium</v>
      </c>
      <c r="H304" s="39" t="str">
        <f>_xlfn.CONCAT(I304,"-",LEFT(K304,2),"-",LEFT(L304,3),"-",M304,"-",TRUNC(N304),"-",TRUNC(O304))</f>
        <v>2020-Fa-Bla-115-66-232</v>
      </c>
      <c r="I304" s="42" t="str">
        <f>LEFT(J304,4)</f>
        <v>2020</v>
      </c>
      <c r="J304" s="46">
        <v>2020</v>
      </c>
      <c r="K304" t="s">
        <v>1</v>
      </c>
      <c r="L304" t="s">
        <v>667</v>
      </c>
      <c r="M304">
        <v>115</v>
      </c>
      <c r="N304">
        <v>66</v>
      </c>
      <c r="O304">
        <v>232</v>
      </c>
      <c r="P304" t="s">
        <v>709</v>
      </c>
      <c r="Q304" t="s">
        <v>283</v>
      </c>
      <c r="R304" t="s">
        <v>195</v>
      </c>
      <c r="S304" t="s">
        <v>235</v>
      </c>
    </row>
    <row r="305" spans="1:19" x14ac:dyDescent="0.25">
      <c r="A305" s="11" t="str">
        <f>PROPER(K305)</f>
        <v>Fanatic</v>
      </c>
      <c r="B305" s="11" t="str">
        <f>TRIM(PROPER(LEFT(L305,IFERROR(FIND(" ",L305),99))&amp;MID(L305,IFERROR(FIND(" ",L305),99),99)))</f>
        <v>Blast Hrs</v>
      </c>
      <c r="C305" s="11">
        <f>TRUNC(O305)</f>
        <v>232</v>
      </c>
      <c r="D305" s="11">
        <f>TRUNC(N305)</f>
        <v>66</v>
      </c>
      <c r="E305" s="11">
        <f>M305</f>
        <v>115</v>
      </c>
      <c r="F305" s="38" t="str">
        <f>I305</f>
        <v>2020</v>
      </c>
      <c r="G305" s="11" t="str" cm="1">
        <f t="array" ref="G305">gssBoardClass(A305,B305,C305,D305,E305,F305)</f>
        <v>Slalom Medium</v>
      </c>
      <c r="H305" s="39" t="str">
        <f>_xlfn.CONCAT(I305,"-",LEFT(K305,2),"-",LEFT(L305,3),"-",M305,"-",TRUNC(N305),"-",TRUNC(O305))</f>
        <v>2020-Fa-Bla-115-66-232</v>
      </c>
      <c r="I305" s="42" t="str">
        <f>LEFT(J305,4)</f>
        <v>2020</v>
      </c>
      <c r="J305" s="46">
        <v>2020</v>
      </c>
      <c r="K305" t="s">
        <v>1</v>
      </c>
      <c r="L305" t="s">
        <v>670</v>
      </c>
      <c r="M305">
        <v>115</v>
      </c>
      <c r="N305">
        <v>66</v>
      </c>
      <c r="O305">
        <v>232</v>
      </c>
      <c r="P305" t="s">
        <v>592</v>
      </c>
      <c r="Q305" t="s">
        <v>283</v>
      </c>
      <c r="R305" t="s">
        <v>669</v>
      </c>
      <c r="S305" t="s">
        <v>235</v>
      </c>
    </row>
    <row r="306" spans="1:19" x14ac:dyDescent="0.25">
      <c r="A306" s="11" t="str">
        <f>PROPER(K306)</f>
        <v>Fanatic</v>
      </c>
      <c r="B306" s="11" t="str">
        <f>TRIM(PROPER(LEFT(L306,IFERROR(FIND(" ",L306),99))&amp;MID(L306,IFERROR(FIND(" ",L306),99),99)))</f>
        <v>Blast Ltd</v>
      </c>
      <c r="C306" s="11">
        <f>TRUNC(O306)</f>
        <v>233</v>
      </c>
      <c r="D306" s="11">
        <f>TRUNC(N306)</f>
        <v>70</v>
      </c>
      <c r="E306" s="11">
        <f>M306</f>
        <v>130</v>
      </c>
      <c r="F306" s="38" t="str">
        <f>I306</f>
        <v>2020</v>
      </c>
      <c r="G306" s="11" t="str" cm="1">
        <f t="array" ref="G306">gssBoardClass(A306,B306,C306,D306,E306,F306)</f>
        <v>Slalom Medium</v>
      </c>
      <c r="H306" s="39" t="str">
        <f>_xlfn.CONCAT(I306,"-",LEFT(K306,2),"-",LEFT(L306,3),"-",M306,"-",TRUNC(N306),"-",TRUNC(O306))</f>
        <v>2020-Fa-Bla-130-70-233</v>
      </c>
      <c r="I306" s="42" t="str">
        <f>LEFT(J306,4)</f>
        <v>2020</v>
      </c>
      <c r="J306" s="46">
        <v>2020</v>
      </c>
      <c r="K306" t="s">
        <v>1</v>
      </c>
      <c r="L306" t="s">
        <v>667</v>
      </c>
      <c r="M306">
        <v>130</v>
      </c>
      <c r="N306">
        <v>70</v>
      </c>
      <c r="O306">
        <v>233</v>
      </c>
      <c r="P306" t="s">
        <v>709</v>
      </c>
      <c r="Q306" t="s">
        <v>153</v>
      </c>
      <c r="R306" t="s">
        <v>201</v>
      </c>
      <c r="S306" t="s">
        <v>199</v>
      </c>
    </row>
    <row r="307" spans="1:19" x14ac:dyDescent="0.25">
      <c r="A307" s="11" t="str">
        <f>PROPER(K307)</f>
        <v>Fanatic</v>
      </c>
      <c r="B307" s="11" t="str">
        <f>TRIM(PROPER(LEFT(L307,IFERROR(FIND(" ",L307),99))&amp;MID(L307,IFERROR(FIND(" ",L307),99),99)))</f>
        <v>Blast Hrs</v>
      </c>
      <c r="C307" s="11">
        <f>TRUNC(O307)</f>
        <v>233</v>
      </c>
      <c r="D307" s="11">
        <f>TRUNC(N307)</f>
        <v>70</v>
      </c>
      <c r="E307" s="11">
        <f>M307</f>
        <v>130</v>
      </c>
      <c r="F307" s="38" t="str">
        <f>I307</f>
        <v>2020</v>
      </c>
      <c r="G307" s="11" t="str" cm="1">
        <f t="array" ref="G307">gssBoardClass(A307,B307,C307,D307,E307,F307)</f>
        <v>Slalom Medium</v>
      </c>
      <c r="H307" s="39" t="str">
        <f>_xlfn.CONCAT(I307,"-",LEFT(K307,2),"-",LEFT(L307,3),"-",M307,"-",TRUNC(N307),"-",TRUNC(O307))</f>
        <v>2020-Fa-Bla-130-70-233</v>
      </c>
      <c r="I307" s="42" t="str">
        <f>LEFT(J307,4)</f>
        <v>2020</v>
      </c>
      <c r="J307" s="46">
        <v>2020</v>
      </c>
      <c r="K307" t="s">
        <v>1</v>
      </c>
      <c r="L307" t="s">
        <v>670</v>
      </c>
      <c r="M307">
        <v>130</v>
      </c>
      <c r="N307">
        <v>70</v>
      </c>
      <c r="O307">
        <v>233</v>
      </c>
      <c r="P307" t="s">
        <v>592</v>
      </c>
      <c r="Q307" t="s">
        <v>283</v>
      </c>
      <c r="R307" t="s">
        <v>671</v>
      </c>
      <c r="S307" t="s">
        <v>199</v>
      </c>
    </row>
    <row r="308" spans="1:19" x14ac:dyDescent="0.25">
      <c r="A308" s="11" t="str">
        <f>PROPER(K308)</f>
        <v>Fanatic</v>
      </c>
      <c r="B308" s="11" t="str">
        <f>TRIM(PROPER(LEFT(L308,IFERROR(FIND(" ",L308),99))&amp;MID(L308,IFERROR(FIND(" ",L308),99),99)))</f>
        <v>Blast Ltd</v>
      </c>
      <c r="C308" s="11">
        <f>TRUNC(O308)</f>
        <v>235</v>
      </c>
      <c r="D308" s="11">
        <f>TRUNC(N308)</f>
        <v>77</v>
      </c>
      <c r="E308" s="11">
        <f>M308</f>
        <v>145</v>
      </c>
      <c r="F308" s="38" t="str">
        <f>I308</f>
        <v>2020</v>
      </c>
      <c r="G308" s="11" t="str" cm="1">
        <f t="array" ref="G308">gssBoardClass(A308,B308,C308,D308,E308,F308)</f>
        <v>Slalom Large</v>
      </c>
      <c r="H308" s="39" t="str">
        <f>_xlfn.CONCAT(I308,"-",LEFT(K308,2),"-",LEFT(L308,3),"-",M308,"-",TRUNC(N308),"-",TRUNC(O308))</f>
        <v>2020-Fa-Bla-145-77-235</v>
      </c>
      <c r="I308" s="42" t="str">
        <f>LEFT(J308,4)</f>
        <v>2020</v>
      </c>
      <c r="J308" s="46">
        <v>2020</v>
      </c>
      <c r="K308" t="s">
        <v>1</v>
      </c>
      <c r="L308" t="s">
        <v>667</v>
      </c>
      <c r="M308">
        <v>145</v>
      </c>
      <c r="N308">
        <v>77</v>
      </c>
      <c r="O308">
        <v>235</v>
      </c>
      <c r="P308" t="s">
        <v>709</v>
      </c>
      <c r="Q308" t="s">
        <v>153</v>
      </c>
      <c r="R308" t="s">
        <v>209</v>
      </c>
      <c r="S308" t="s">
        <v>238</v>
      </c>
    </row>
    <row r="309" spans="1:19" x14ac:dyDescent="0.25">
      <c r="A309" s="11" t="str">
        <f>PROPER(K309)</f>
        <v>Fanatic</v>
      </c>
      <c r="B309" s="11" t="str">
        <f>TRIM(PROPER(LEFT(L309,IFERROR(FIND(" ",L309),99))&amp;MID(L309,IFERROR(FIND(" ",L309),99),99)))</f>
        <v>Blast Hrs</v>
      </c>
      <c r="C309" s="11">
        <f>TRUNC(O309)</f>
        <v>235</v>
      </c>
      <c r="D309" s="11">
        <f>TRUNC(N309)</f>
        <v>77</v>
      </c>
      <c r="E309" s="11">
        <f>M309</f>
        <v>145</v>
      </c>
      <c r="F309" s="38" t="str">
        <f>I309</f>
        <v>2020</v>
      </c>
      <c r="G309" s="11" t="str" cm="1">
        <f t="array" ref="G309">gssBoardClass(A309,B309,C309,D309,E309,F309)</f>
        <v>Slalom Large</v>
      </c>
      <c r="H309" s="39" t="str">
        <f>_xlfn.CONCAT(I309,"-",LEFT(K309,2),"-",LEFT(L309,3),"-",M309,"-",TRUNC(N309),"-",TRUNC(O309))</f>
        <v>2020-Fa-Bla-145-77-235</v>
      </c>
      <c r="I309" s="42" t="str">
        <f>LEFT(J309,4)</f>
        <v>2020</v>
      </c>
      <c r="J309" s="46">
        <v>2020</v>
      </c>
      <c r="K309" t="s">
        <v>1</v>
      </c>
      <c r="L309" t="s">
        <v>670</v>
      </c>
      <c r="M309">
        <v>145</v>
      </c>
      <c r="N309">
        <v>77</v>
      </c>
      <c r="O309">
        <v>235</v>
      </c>
      <c r="P309" t="s">
        <v>592</v>
      </c>
      <c r="Q309" t="s">
        <v>283</v>
      </c>
      <c r="R309" t="s">
        <v>672</v>
      </c>
      <c r="S309" t="s">
        <v>238</v>
      </c>
    </row>
    <row r="310" spans="1:19" x14ac:dyDescent="0.25">
      <c r="A310" s="11" t="str">
        <f>PROPER(K310)</f>
        <v>Fanatic</v>
      </c>
      <c r="B310" s="11" t="str">
        <f>TRIM(PROPER(LEFT(L310,IFERROR(FIND(" ",L310),99))&amp;MID(L310,IFERROR(FIND(" ",L310),99),99)))</f>
        <v>Falcon Slalom Te</v>
      </c>
      <c r="C310" s="11">
        <f>TRUNC(O310)</f>
        <v>235</v>
      </c>
      <c r="D310" s="11">
        <f>TRUNC(N310)</f>
        <v>68</v>
      </c>
      <c r="E310" s="11">
        <f>M310</f>
        <v>106</v>
      </c>
      <c r="F310" s="38" t="str">
        <f>I310</f>
        <v>2020</v>
      </c>
      <c r="G310" s="11" t="str" cm="1">
        <f t="array" ref="G310">gssBoardClass(A310,B310,C310,D310,E310,F310)</f>
        <v>Slalom Medium</v>
      </c>
      <c r="H310" s="39" t="str">
        <f>_xlfn.CONCAT(I310,"-",LEFT(K310,2),"-",LEFT(L310,3),"-",M310,"-",TRUNC(N310),"-",TRUNC(O310))</f>
        <v>2020-Fa-Fal-106-68-235</v>
      </c>
      <c r="I310" s="42" t="str">
        <f>LEFT(J310,4)</f>
        <v>2020</v>
      </c>
      <c r="J310" s="46">
        <v>2020</v>
      </c>
      <c r="K310" t="s">
        <v>1</v>
      </c>
      <c r="L310" t="s">
        <v>691</v>
      </c>
      <c r="M310">
        <v>106</v>
      </c>
      <c r="N310">
        <v>68</v>
      </c>
      <c r="O310">
        <v>235</v>
      </c>
      <c r="P310" t="s">
        <v>692</v>
      </c>
      <c r="Q310" t="s">
        <v>250</v>
      </c>
      <c r="R310" t="s">
        <v>246</v>
      </c>
      <c r="S310" t="s">
        <v>235</v>
      </c>
    </row>
    <row r="311" spans="1:19" x14ac:dyDescent="0.25">
      <c r="A311" s="11" t="str">
        <f>PROPER(K311)</f>
        <v>Fanatic</v>
      </c>
      <c r="B311" s="11" t="str">
        <f>TRIM(PROPER(LEFT(L311,IFERROR(FIND(" ",L311),99))&amp;MID(L311,IFERROR(FIND(" ",L311),99),99)))</f>
        <v>Falcon Slalom Te</v>
      </c>
      <c r="C311" s="11">
        <f>TRUNC(O311)</f>
        <v>230</v>
      </c>
      <c r="D311" s="11">
        <f>TRUNC(N311)</f>
        <v>71</v>
      </c>
      <c r="E311" s="11">
        <f>M311</f>
        <v>115</v>
      </c>
      <c r="F311" s="38" t="str">
        <f>I311</f>
        <v>2020</v>
      </c>
      <c r="G311" s="11" t="str" cm="1">
        <f t="array" ref="G311">gssBoardClass(A311,B311,C311,D311,E311,F311)</f>
        <v>Slalom Medium</v>
      </c>
      <c r="H311" s="39" t="str">
        <f>_xlfn.CONCAT(I311,"-",LEFT(K311,2),"-",LEFT(L311,3),"-",M311,"-",TRUNC(N311),"-",TRUNC(O311))</f>
        <v>2020-Fa-Fal-115-71-230</v>
      </c>
      <c r="I311" s="42" t="str">
        <f>LEFT(J311,4)</f>
        <v>2020</v>
      </c>
      <c r="J311" s="46">
        <v>2020</v>
      </c>
      <c r="K311" t="s">
        <v>1</v>
      </c>
      <c r="L311" t="s">
        <v>691</v>
      </c>
      <c r="M311">
        <v>115</v>
      </c>
      <c r="N311">
        <v>71.5</v>
      </c>
      <c r="O311">
        <v>230</v>
      </c>
      <c r="P311" t="s">
        <v>692</v>
      </c>
      <c r="Q311" t="s">
        <v>250</v>
      </c>
      <c r="R311" t="s">
        <v>246</v>
      </c>
      <c r="S311" t="s">
        <v>251</v>
      </c>
    </row>
    <row r="312" spans="1:19" x14ac:dyDescent="0.25">
      <c r="A312" s="11" t="str">
        <f>PROPER(K312)</f>
        <v>Fanatic</v>
      </c>
      <c r="B312" s="11" t="str">
        <f>TRIM(PROPER(LEFT(L312,IFERROR(FIND(" ",L312),99))&amp;MID(L312,IFERROR(FIND(" ",L312),99),99)))</f>
        <v>Falcon Slalom Te</v>
      </c>
      <c r="C312" s="11">
        <f>TRUNC(O312)</f>
        <v>230</v>
      </c>
      <c r="D312" s="11">
        <f>TRUNC(N312)</f>
        <v>75</v>
      </c>
      <c r="E312" s="11">
        <f>M312</f>
        <v>121</v>
      </c>
      <c r="F312" s="38" t="str">
        <f>I312</f>
        <v>2020</v>
      </c>
      <c r="G312" s="11" t="str" cm="1">
        <f t="array" ref="G312">gssBoardClass(A312,B312,C312,D312,E312,F312)</f>
        <v>Slalom Large</v>
      </c>
      <c r="H312" s="39" t="str">
        <f>_xlfn.CONCAT(I312,"-",LEFT(K312,2),"-",LEFT(L312,3),"-",M312,"-",TRUNC(N312),"-",TRUNC(O312))</f>
        <v>2020-Fa-Fal-121-75-230</v>
      </c>
      <c r="I312" s="42" t="str">
        <f>LEFT(J312,4)</f>
        <v>2020</v>
      </c>
      <c r="J312" s="46">
        <v>2020</v>
      </c>
      <c r="K312" t="s">
        <v>1</v>
      </c>
      <c r="L312" t="s">
        <v>691</v>
      </c>
      <c r="M312">
        <v>121</v>
      </c>
      <c r="N312">
        <v>75</v>
      </c>
      <c r="O312">
        <v>230</v>
      </c>
      <c r="P312" t="s">
        <v>692</v>
      </c>
      <c r="Q312" t="s">
        <v>250</v>
      </c>
      <c r="R312" t="s">
        <v>246</v>
      </c>
      <c r="S312" t="s">
        <v>252</v>
      </c>
    </row>
    <row r="313" spans="1:19" x14ac:dyDescent="0.25">
      <c r="A313" s="11" t="str">
        <f>PROPER(K313)</f>
        <v>Fanatic</v>
      </c>
      <c r="B313" s="11" t="str">
        <f>TRIM(PROPER(LEFT(L313,IFERROR(FIND(" ",L313),99))&amp;MID(L313,IFERROR(FIND(" ",L313),99),99)))</f>
        <v>Falcon Slalom Te</v>
      </c>
      <c r="C313" s="11">
        <f>TRUNC(O313)</f>
        <v>228</v>
      </c>
      <c r="D313" s="11">
        <f>TRUNC(N313)</f>
        <v>80</v>
      </c>
      <c r="E313" s="11">
        <f>M313</f>
        <v>130</v>
      </c>
      <c r="F313" s="38" t="str">
        <f>I313</f>
        <v>2020</v>
      </c>
      <c r="G313" s="11" t="str" cm="1">
        <f t="array" ref="G313">gssBoardClass(A313,B313,C313,D313,E313,F313)</f>
        <v>Slalom Large</v>
      </c>
      <c r="H313" s="39" t="str">
        <f>_xlfn.CONCAT(I313,"-",LEFT(K313,2),"-",LEFT(L313,3),"-",M313,"-",TRUNC(N313),"-",TRUNC(O313))</f>
        <v>2020-Fa-Fal-130-80-228</v>
      </c>
      <c r="I313" s="42" t="str">
        <f>LEFT(J313,4)</f>
        <v>2020</v>
      </c>
      <c r="J313" s="46">
        <v>2020</v>
      </c>
      <c r="K313" t="s">
        <v>1</v>
      </c>
      <c r="L313" t="s">
        <v>691</v>
      </c>
      <c r="M313">
        <v>130</v>
      </c>
      <c r="N313">
        <v>80</v>
      </c>
      <c r="O313">
        <v>228</v>
      </c>
      <c r="P313" t="s">
        <v>692</v>
      </c>
      <c r="Q313" t="s">
        <v>283</v>
      </c>
      <c r="R313" t="s">
        <v>246</v>
      </c>
      <c r="S313" t="s">
        <v>202</v>
      </c>
    </row>
    <row r="314" spans="1:19" x14ac:dyDescent="0.25">
      <c r="A314" s="11" t="str">
        <f>PROPER(K314)</f>
        <v>Fanatic</v>
      </c>
      <c r="B314" s="11" t="str">
        <f>TRIM(PROPER(LEFT(L314,IFERROR(FIND(" ",L314),99))&amp;MID(L314,IFERROR(FIND(" ",L314),99),99)))</f>
        <v>Falcon Slalom Te</v>
      </c>
      <c r="C314" s="11">
        <f>TRUNC(O314)</f>
        <v>228</v>
      </c>
      <c r="D314" s="11">
        <f>TRUNC(N314)</f>
        <v>85</v>
      </c>
      <c r="E314" s="11">
        <f>M314</f>
        <v>140</v>
      </c>
      <c r="F314" s="38" t="str">
        <f>I314</f>
        <v>2020</v>
      </c>
      <c r="G314" s="11" t="str" cm="1">
        <f t="array" ref="G314">gssBoardClass(A314,B314,C314,D314,E314,F314)</f>
        <v>Slalom Large</v>
      </c>
      <c r="H314" s="39" t="str">
        <f>_xlfn.CONCAT(I314,"-",LEFT(K314,2),"-",LEFT(L314,3),"-",M314,"-",TRUNC(N314),"-",TRUNC(O314))</f>
        <v>2020-Fa-Fal-140-85-228</v>
      </c>
      <c r="I314" s="42" t="str">
        <f>LEFT(J314,4)</f>
        <v>2020</v>
      </c>
      <c r="J314" s="46">
        <v>2020</v>
      </c>
      <c r="K314" t="s">
        <v>1</v>
      </c>
      <c r="L314" t="s">
        <v>691</v>
      </c>
      <c r="M314">
        <v>140</v>
      </c>
      <c r="N314">
        <v>85</v>
      </c>
      <c r="O314">
        <v>228</v>
      </c>
      <c r="P314" t="s">
        <v>692</v>
      </c>
      <c r="Q314" t="s">
        <v>283</v>
      </c>
      <c r="R314" t="s">
        <v>246</v>
      </c>
      <c r="S314" t="s">
        <v>205</v>
      </c>
    </row>
    <row r="315" spans="1:19" x14ac:dyDescent="0.25">
      <c r="A315" s="11" t="str">
        <f>PROPER(K315)</f>
        <v>Fanatic</v>
      </c>
      <c r="B315" s="11" t="str">
        <f>TRIM(PROPER(LEFT(L315,IFERROR(FIND(" ",L315),99))&amp;MID(L315,IFERROR(FIND(" ",L315),99),99)))</f>
        <v>Falcon Lightwind</v>
      </c>
      <c r="C315" s="11">
        <f>TRUNC(O315)</f>
        <v>230</v>
      </c>
      <c r="D315" s="11">
        <f>TRUNC(N315)</f>
        <v>90</v>
      </c>
      <c r="E315" s="11">
        <f>M315</f>
        <v>159</v>
      </c>
      <c r="F315" s="38" t="str">
        <f>I315</f>
        <v>2020</v>
      </c>
      <c r="G315" s="11" t="str" cm="1">
        <f t="array" ref="G315">gssBoardClass(A315,B315,C315,D315,E315,F315)</f>
        <v>Slalom Xtra Large</v>
      </c>
      <c r="H315" s="39" t="str">
        <f>_xlfn.CONCAT(I315,"-",LEFT(K315,2),"-",LEFT(L315,3),"-",M315,"-",TRUNC(N315),"-",TRUNC(O315))</f>
        <v>2020-Fa-Fal-159-90-230</v>
      </c>
      <c r="I315" s="42" t="str">
        <f>LEFT(J315,4)</f>
        <v>2020</v>
      </c>
      <c r="J315" s="46">
        <v>2020</v>
      </c>
      <c r="K315" t="s">
        <v>1</v>
      </c>
      <c r="L315" t="s">
        <v>40</v>
      </c>
      <c r="M315">
        <v>159</v>
      </c>
      <c r="N315">
        <v>90</v>
      </c>
      <c r="O315">
        <v>230</v>
      </c>
      <c r="P315" t="s">
        <v>640</v>
      </c>
      <c r="Q315" t="s">
        <v>283</v>
      </c>
      <c r="R315" t="s">
        <v>693</v>
      </c>
      <c r="S315" t="s">
        <v>227</v>
      </c>
    </row>
    <row r="316" spans="1:19" x14ac:dyDescent="0.25">
      <c r="A316" s="11" t="str">
        <f>PROPER(K316)</f>
        <v>Fanatic</v>
      </c>
      <c r="B316" s="11" t="str">
        <f>TRIM(PROPER(LEFT(L316,IFERROR(FIND(" ",L316),99))&amp;MID(L316,IFERROR(FIND(" ",L316),99),99)))</f>
        <v>Falcon Foil</v>
      </c>
      <c r="C316" s="11">
        <f>TRUNC(O316)</f>
        <v>230</v>
      </c>
      <c r="D316" s="11">
        <f>TRUNC(N316)</f>
        <v>91</v>
      </c>
      <c r="E316" s="11">
        <f>M316</f>
        <v>180</v>
      </c>
      <c r="F316" s="38" t="str">
        <f>I316</f>
        <v>2020</v>
      </c>
      <c r="G316" s="11" t="str" cm="1">
        <f t="array" ref="G316">gssBoardClass(A316,B316,C316,D316,E316,F316)</f>
        <v>Foilboard</v>
      </c>
      <c r="H316" s="39" t="str">
        <f>_xlfn.CONCAT(I316,"-",LEFT(K316,2),"-",LEFT(L316,3),"-",M316,"-",TRUNC(N316),"-",TRUNC(O316))</f>
        <v>2020-Fa-Fal-180-91-230</v>
      </c>
      <c r="I316" s="42" t="str">
        <f>LEFT(J316,4)</f>
        <v>2020</v>
      </c>
      <c r="J316" s="46">
        <v>2020</v>
      </c>
      <c r="K316" t="s">
        <v>1</v>
      </c>
      <c r="L316" t="s">
        <v>698</v>
      </c>
      <c r="M316">
        <v>180</v>
      </c>
      <c r="N316">
        <v>91</v>
      </c>
      <c r="O316">
        <v>230</v>
      </c>
      <c r="P316" t="s">
        <v>690</v>
      </c>
      <c r="Q316" t="s">
        <v>283</v>
      </c>
      <c r="R316" t="s">
        <v>246</v>
      </c>
      <c r="S316" t="s">
        <v>227</v>
      </c>
    </row>
    <row r="317" spans="1:19" x14ac:dyDescent="0.25">
      <c r="A317" s="11" t="str">
        <f>PROPER(K317)</f>
        <v>Fanatic</v>
      </c>
      <c r="B317" s="11" t="str">
        <f>TRIM(PROPER(LEFT(L317,IFERROR(FIND(" ",L317),99))&amp;MID(L317,IFERROR(FIND(" ",L317),99),99)))</f>
        <v>Falcon Speed Te</v>
      </c>
      <c r="C317" s="11">
        <f>TRUNC(O317)</f>
        <v>230</v>
      </c>
      <c r="D317" s="11">
        <f>TRUNC(N317)</f>
        <v>44</v>
      </c>
      <c r="E317" s="11">
        <f>M317</f>
        <v>54</v>
      </c>
      <c r="F317" s="38" t="str">
        <f>I317</f>
        <v>2020</v>
      </c>
      <c r="G317" s="11" t="str" cm="1">
        <f t="array" ref="G317">gssBoardClass(A317,B317,C317,D317,E317,F317)</f>
        <v>Speedboard</v>
      </c>
      <c r="H317" s="39" t="str">
        <f>_xlfn.CONCAT(I317,"-",LEFT(K317,2),"-",LEFT(L317,3),"-",M317,"-",TRUNC(N317),"-",TRUNC(O317))</f>
        <v>2020-Fa-Fal-54-44-230</v>
      </c>
      <c r="I317" s="42" t="str">
        <f>LEFT(J317,4)</f>
        <v>2020</v>
      </c>
      <c r="J317" s="46">
        <v>2020</v>
      </c>
      <c r="K317" t="s">
        <v>1</v>
      </c>
      <c r="L317" t="s">
        <v>694</v>
      </c>
      <c r="M317">
        <v>54</v>
      </c>
      <c r="N317">
        <v>44</v>
      </c>
      <c r="O317">
        <v>230</v>
      </c>
      <c r="P317" t="s">
        <v>690</v>
      </c>
      <c r="Q317" t="s">
        <v>245</v>
      </c>
      <c r="R317" t="s">
        <v>246</v>
      </c>
      <c r="S317" t="s">
        <v>139</v>
      </c>
    </row>
    <row r="318" spans="1:19" x14ac:dyDescent="0.25">
      <c r="A318" s="11" t="str">
        <f>PROPER(K318)</f>
        <v>Fanatic</v>
      </c>
      <c r="B318" s="11" t="str">
        <f>TRIM(PROPER(LEFT(L318,IFERROR(FIND(" ",L318),99))&amp;MID(L318,IFERROR(FIND(" ",L318),99),99)))</f>
        <v>Falcon Speed Te</v>
      </c>
      <c r="C318" s="11">
        <f>TRUNC(O318)</f>
        <v>230</v>
      </c>
      <c r="D318" s="11">
        <f>TRUNC(N318)</f>
        <v>52</v>
      </c>
      <c r="E318" s="11">
        <f>M318</f>
        <v>70</v>
      </c>
      <c r="F318" s="38" t="str">
        <f>I318</f>
        <v>2020</v>
      </c>
      <c r="G318" s="11" t="str" cm="1">
        <f t="array" ref="G318">gssBoardClass(A318,B318,C318,D318,E318,F318)</f>
        <v>Speed/Slalom Xtra Small</v>
      </c>
      <c r="H318" s="39" t="str">
        <f>_xlfn.CONCAT(I318,"-",LEFT(K318,2),"-",LEFT(L318,3),"-",M318,"-",TRUNC(N318),"-",TRUNC(O318))</f>
        <v>2020-Fa-Fal-70-52-230</v>
      </c>
      <c r="I318" s="42" t="str">
        <f>LEFT(J318,4)</f>
        <v>2020</v>
      </c>
      <c r="J318" s="46">
        <v>2020</v>
      </c>
      <c r="K318" t="s">
        <v>1</v>
      </c>
      <c r="L318" t="s">
        <v>694</v>
      </c>
      <c r="M318">
        <v>70</v>
      </c>
      <c r="N318">
        <v>52.5</v>
      </c>
      <c r="O318">
        <v>230</v>
      </c>
      <c r="P318" t="s">
        <v>690</v>
      </c>
      <c r="Q318" t="s">
        <v>245</v>
      </c>
      <c r="R318" t="s">
        <v>246</v>
      </c>
      <c r="S318" t="s">
        <v>257</v>
      </c>
    </row>
    <row r="319" spans="1:19" x14ac:dyDescent="0.25">
      <c r="A319" s="11" t="str">
        <f>PROPER(K319)</f>
        <v>Fanatic</v>
      </c>
      <c r="B319" s="11" t="str">
        <f>TRIM(PROPER(LEFT(L319,IFERROR(FIND(" ",L319),99))&amp;MID(L319,IFERROR(FIND(" ",L319),99),99)))</f>
        <v>Falcon Slalom Te</v>
      </c>
      <c r="C319" s="11">
        <f>TRUNC(O319)</f>
        <v>233</v>
      </c>
      <c r="D319" s="11">
        <f>TRUNC(N319)</f>
        <v>56</v>
      </c>
      <c r="E319" s="11">
        <f>M319</f>
        <v>80</v>
      </c>
      <c r="F319" s="38" t="str">
        <f>I319</f>
        <v>2020</v>
      </c>
      <c r="G319" s="11" t="str" cm="1">
        <f t="array" ref="G319">gssBoardClass(A319,B319,C319,D319,E319,F319)</f>
        <v>Speed/Slalom Xtra Small</v>
      </c>
      <c r="H319" s="39" t="str">
        <f>_xlfn.CONCAT(I319,"-",LEFT(K319,2),"-",LEFT(L319,3),"-",M319,"-",TRUNC(N319),"-",TRUNC(O319))</f>
        <v>2020-Fa-Fal-80-56-233</v>
      </c>
      <c r="I319" s="42" t="str">
        <f>LEFT(J319,4)</f>
        <v>2020</v>
      </c>
      <c r="J319" s="46">
        <v>2020</v>
      </c>
      <c r="K319" t="s">
        <v>1</v>
      </c>
      <c r="L319" t="s">
        <v>691</v>
      </c>
      <c r="M319">
        <v>80</v>
      </c>
      <c r="N319">
        <v>56</v>
      </c>
      <c r="O319">
        <v>233</v>
      </c>
      <c r="P319" t="s">
        <v>690</v>
      </c>
      <c r="Q319" t="s">
        <v>245</v>
      </c>
      <c r="R319" t="s">
        <v>246</v>
      </c>
      <c r="S319" t="s">
        <v>166</v>
      </c>
    </row>
    <row r="320" spans="1:19" x14ac:dyDescent="0.25">
      <c r="A320" s="11" t="str">
        <f>PROPER(K320)</f>
        <v>Fanatic</v>
      </c>
      <c r="B320" s="11" t="str">
        <f>TRIM(PROPER(LEFT(L320,IFERROR(FIND(" ",L320),99))&amp;MID(L320,IFERROR(FIND(" ",L320),99),99)))</f>
        <v>Falcon Slalom Te</v>
      </c>
      <c r="C320" s="11">
        <f>TRUNC(O320)</f>
        <v>233</v>
      </c>
      <c r="D320" s="11">
        <f>TRUNC(N320)</f>
        <v>60</v>
      </c>
      <c r="E320" s="11">
        <f>M320</f>
        <v>90</v>
      </c>
      <c r="F320" s="38" t="str">
        <f>I320</f>
        <v>2020</v>
      </c>
      <c r="G320" s="11" t="str" cm="1">
        <f t="array" ref="G320">gssBoardClass(A320,B320,C320,D320,E320,F320)</f>
        <v>Speed/Slalom Xtra Small</v>
      </c>
      <c r="H320" s="39" t="str">
        <f>_xlfn.CONCAT(I320,"-",LEFT(K320,2),"-",LEFT(L320,3),"-",M320,"-",TRUNC(N320),"-",TRUNC(O320))</f>
        <v>2020-Fa-Fal-90-60-233</v>
      </c>
      <c r="I320" s="42" t="str">
        <f>LEFT(J320,4)</f>
        <v>2020</v>
      </c>
      <c r="J320" s="46">
        <v>2020</v>
      </c>
      <c r="K320" t="s">
        <v>1</v>
      </c>
      <c r="L320" t="s">
        <v>691</v>
      </c>
      <c r="M320">
        <v>90</v>
      </c>
      <c r="N320">
        <v>60</v>
      </c>
      <c r="O320">
        <v>233</v>
      </c>
      <c r="P320" t="s">
        <v>690</v>
      </c>
      <c r="Q320" t="s">
        <v>245</v>
      </c>
      <c r="R320" t="s">
        <v>246</v>
      </c>
      <c r="S320" t="s">
        <v>233</v>
      </c>
    </row>
    <row r="321" spans="1:19" x14ac:dyDescent="0.25">
      <c r="A321" s="11" t="str">
        <f>PROPER(K321)</f>
        <v>Fanatic</v>
      </c>
      <c r="B321" s="11" t="str">
        <f>TRIM(PROPER(LEFT(L321,IFERROR(FIND(" ",L321),99))&amp;MID(L321,IFERROR(FIND(" ",L321),99),99)))</f>
        <v>Falcon Slalom Te</v>
      </c>
      <c r="C321" s="11">
        <f>TRUNC(O321)</f>
        <v>233</v>
      </c>
      <c r="D321" s="11">
        <f>TRUNC(N321)</f>
        <v>62</v>
      </c>
      <c r="E321" s="11">
        <f>M321</f>
        <v>97</v>
      </c>
      <c r="F321" s="38" t="str">
        <f>I321</f>
        <v>2020</v>
      </c>
      <c r="G321" s="11" t="str" cm="1">
        <f t="array" ref="G321">gssBoardClass(A321,B321,C321,D321,E321,F321)</f>
        <v>Speed/Slalom Small</v>
      </c>
      <c r="H321" s="39" t="str">
        <f>_xlfn.CONCAT(I321,"-",LEFT(K321,2),"-",LEFT(L321,3),"-",M321,"-",TRUNC(N321),"-",TRUNC(O321))</f>
        <v>2020-Fa-Fal-97-62-233</v>
      </c>
      <c r="I321" s="42" t="str">
        <f>LEFT(J321,4)</f>
        <v>2020</v>
      </c>
      <c r="J321" s="46">
        <v>2020</v>
      </c>
      <c r="K321" t="s">
        <v>1</v>
      </c>
      <c r="L321" t="s">
        <v>691</v>
      </c>
      <c r="M321">
        <v>97</v>
      </c>
      <c r="N321">
        <v>62</v>
      </c>
      <c r="O321">
        <v>233</v>
      </c>
      <c r="P321" t="s">
        <v>690</v>
      </c>
      <c r="Q321" t="s">
        <v>245</v>
      </c>
      <c r="R321" t="s">
        <v>246</v>
      </c>
      <c r="S321" t="s">
        <v>247</v>
      </c>
    </row>
    <row r="322" spans="1:19" x14ac:dyDescent="0.25">
      <c r="A322" s="11" t="str">
        <f>PROPER(K322)</f>
        <v>Fanatic</v>
      </c>
      <c r="B322" s="11" t="str">
        <f>TRIM(PROPER(LEFT(L322,IFERROR(FIND(" ",L322),99))&amp;MID(L322,IFERROR(FIND(" ",L322),99),99)))</f>
        <v>Freewave Txtr</v>
      </c>
      <c r="C322" s="11">
        <f>TRUNC(O322)</f>
        <v>231</v>
      </c>
      <c r="D322" s="11">
        <f>TRUNC(N322)</f>
        <v>63</v>
      </c>
      <c r="E322" s="11">
        <f>M322</f>
        <v>105</v>
      </c>
      <c r="F322" s="38" t="str">
        <f>I322</f>
        <v>2020</v>
      </c>
      <c r="G322" s="11" t="str" cm="1">
        <f t="array" ref="G322">gssBoardClass(A322,B322,C322,D322,E322,F322)</f>
        <v>Wave / Freestyle</v>
      </c>
      <c r="H322" s="39" t="str">
        <f>_xlfn.CONCAT(I322,"-",LEFT(K322,2),"-",LEFT(L322,3),"-",M322,"-",TRUNC(N322),"-",TRUNC(O322))</f>
        <v>2020-Fa-Fre-105-63-231</v>
      </c>
      <c r="I322" s="42" t="str">
        <f>LEFT(J322,4)</f>
        <v>2020</v>
      </c>
      <c r="J322" s="46">
        <v>2020</v>
      </c>
      <c r="K322" t="s">
        <v>1</v>
      </c>
      <c r="L322" t="s">
        <v>650</v>
      </c>
      <c r="M322">
        <v>105</v>
      </c>
      <c r="N322">
        <v>63</v>
      </c>
      <c r="O322">
        <v>231</v>
      </c>
      <c r="P322" t="s">
        <v>652</v>
      </c>
      <c r="Q322" t="s">
        <v>651</v>
      </c>
      <c r="R322" t="s">
        <v>653</v>
      </c>
      <c r="S322" t="s">
        <v>163</v>
      </c>
    </row>
    <row r="323" spans="1:19" x14ac:dyDescent="0.25">
      <c r="A323" s="11" t="str">
        <f>PROPER(K323)</f>
        <v>Fanatic</v>
      </c>
      <c r="B323" s="11" t="str">
        <f>TRIM(PROPER(LEFT(L323,IFERROR(FIND(" ",L323),99))&amp;MID(L323,IFERROR(FIND(" ",L323),99),99)))</f>
        <v>Freewave Te</v>
      </c>
      <c r="C323" s="11">
        <f>TRUNC(O323)</f>
        <v>231</v>
      </c>
      <c r="D323" s="11">
        <f>TRUNC(N323)</f>
        <v>63</v>
      </c>
      <c r="E323" s="11">
        <f>M323</f>
        <v>105</v>
      </c>
      <c r="F323" s="38" t="str">
        <f>I323</f>
        <v>2020</v>
      </c>
      <c r="G323" s="11" t="str" cm="1">
        <f t="array" ref="G323">gssBoardClass(A323,B323,C323,D323,E323,F323)</f>
        <v>Wave / Freestyle</v>
      </c>
      <c r="H323" s="39" t="str">
        <f>_xlfn.CONCAT(I323,"-",LEFT(K323,2),"-",LEFT(L323,3),"-",M323,"-",TRUNC(N323),"-",TRUNC(O323))</f>
        <v>2020-Fa-Fre-105-63-231</v>
      </c>
      <c r="I323" s="42" t="str">
        <f>LEFT(J323,4)</f>
        <v>2020</v>
      </c>
      <c r="J323" s="46">
        <v>2020</v>
      </c>
      <c r="K323" t="s">
        <v>1</v>
      </c>
      <c r="L323" t="s">
        <v>655</v>
      </c>
      <c r="M323">
        <v>105</v>
      </c>
      <c r="N323">
        <v>63</v>
      </c>
      <c r="O323">
        <v>231</v>
      </c>
      <c r="P323" t="s">
        <v>644</v>
      </c>
      <c r="Q323" t="s">
        <v>651</v>
      </c>
      <c r="R323" t="s">
        <v>653</v>
      </c>
      <c r="S323" t="s">
        <v>163</v>
      </c>
    </row>
    <row r="324" spans="1:19" x14ac:dyDescent="0.25">
      <c r="A324" s="11" t="str">
        <f>PROPER(K324)</f>
        <v>Fanatic</v>
      </c>
      <c r="B324" s="11" t="str">
        <f>TRIM(PROPER(LEFT(L324,IFERROR(FIND(" ",L324),99))&amp;MID(L324,IFERROR(FIND(" ",L324),99),99)))</f>
        <v>Freewave</v>
      </c>
      <c r="C324" s="11">
        <f>TRUNC(O324)</f>
        <v>231</v>
      </c>
      <c r="D324" s="11">
        <f>TRUNC(N324)</f>
        <v>63</v>
      </c>
      <c r="E324" s="11">
        <f>M324</f>
        <v>105</v>
      </c>
      <c r="F324" s="38" t="str">
        <f>I324</f>
        <v>2020</v>
      </c>
      <c r="G324" s="11" t="str" cm="1">
        <f t="array" ref="G324">gssBoardClass(A324,B324,C324,D324,E324,F324)</f>
        <v>Wave / Freestyle</v>
      </c>
      <c r="H324" s="39" t="str">
        <f>_xlfn.CONCAT(I324,"-",LEFT(K324,2),"-",LEFT(L324,3),"-",M324,"-",TRUNC(N324),"-",TRUNC(O324))</f>
        <v>2020-Fa-Fre-105-63-231</v>
      </c>
      <c r="I324" s="42" t="str">
        <f>LEFT(J324,4)</f>
        <v>2020</v>
      </c>
      <c r="J324" s="46">
        <v>2020</v>
      </c>
      <c r="K324" t="s">
        <v>1</v>
      </c>
      <c r="L324" t="s">
        <v>72</v>
      </c>
      <c r="M324">
        <v>105</v>
      </c>
      <c r="N324">
        <v>63</v>
      </c>
      <c r="O324">
        <v>231</v>
      </c>
      <c r="P324" t="s">
        <v>709</v>
      </c>
      <c r="Q324" t="s">
        <v>651</v>
      </c>
      <c r="R324" t="s">
        <v>661</v>
      </c>
      <c r="S324" t="s">
        <v>163</v>
      </c>
    </row>
    <row r="325" spans="1:19" x14ac:dyDescent="0.25">
      <c r="A325" s="11" t="str">
        <f>PROPER(K325)</f>
        <v>Fanatic</v>
      </c>
      <c r="B325" s="11" t="str">
        <f>TRIM(PROPER(LEFT(L325,IFERROR(FIND(" ",L325),99))&amp;MID(L325,IFERROR(FIND(" ",L325),99),99)))</f>
        <v>Freewave Txtr</v>
      </c>
      <c r="C325" s="11">
        <f>TRUNC(O325)</f>
        <v>232</v>
      </c>
      <c r="D325" s="11">
        <f>TRUNC(N325)</f>
        <v>65</v>
      </c>
      <c r="E325" s="11">
        <f>M325</f>
        <v>115</v>
      </c>
      <c r="F325" s="38" t="str">
        <f>I325</f>
        <v>2020</v>
      </c>
      <c r="G325" s="11" t="str" cm="1">
        <f t="array" ref="G325">gssBoardClass(A325,B325,C325,D325,E325,F325)</f>
        <v>Wave / Freestyle</v>
      </c>
      <c r="H325" s="39" t="str">
        <f>_xlfn.CONCAT(I325,"-",LEFT(K325,2),"-",LEFT(L325,3),"-",M325,"-",TRUNC(N325),"-",TRUNC(O325))</f>
        <v>2020-Fa-Fre-115-65-232</v>
      </c>
      <c r="I325" s="42" t="str">
        <f>LEFT(J325,4)</f>
        <v>2020</v>
      </c>
      <c r="J325" s="46">
        <v>2020</v>
      </c>
      <c r="K325" t="s">
        <v>1</v>
      </c>
      <c r="L325" t="s">
        <v>650</v>
      </c>
      <c r="M325">
        <v>115</v>
      </c>
      <c r="N325">
        <v>65</v>
      </c>
      <c r="O325">
        <v>232</v>
      </c>
      <c r="P325" t="s">
        <v>153</v>
      </c>
      <c r="Q325" t="s">
        <v>651</v>
      </c>
      <c r="R325" t="s">
        <v>654</v>
      </c>
      <c r="S325" t="s">
        <v>166</v>
      </c>
    </row>
    <row r="326" spans="1:19" x14ac:dyDescent="0.25">
      <c r="A326" s="11" t="str">
        <f>PROPER(K326)</f>
        <v>Fanatic</v>
      </c>
      <c r="B326" s="11" t="str">
        <f>TRIM(PROPER(LEFT(L326,IFERROR(FIND(" ",L326),99))&amp;MID(L326,IFERROR(FIND(" ",L326),99),99)))</f>
        <v>Freewave Te</v>
      </c>
      <c r="C326" s="11">
        <f>TRUNC(O326)</f>
        <v>232</v>
      </c>
      <c r="D326" s="11">
        <f>TRUNC(N326)</f>
        <v>65</v>
      </c>
      <c r="E326" s="11">
        <f>M326</f>
        <v>115</v>
      </c>
      <c r="F326" s="38" t="str">
        <f>I326</f>
        <v>2020</v>
      </c>
      <c r="G326" s="11" t="str" cm="1">
        <f t="array" ref="G326">gssBoardClass(A326,B326,C326,D326,E326,F326)</f>
        <v>Wave / Freestyle</v>
      </c>
      <c r="H326" s="39" t="str">
        <f>_xlfn.CONCAT(I326,"-",LEFT(K326,2),"-",LEFT(L326,3),"-",M326,"-",TRUNC(N326),"-",TRUNC(O326))</f>
        <v>2020-Fa-Fre-115-65-232</v>
      </c>
      <c r="I326" s="42" t="str">
        <f>LEFT(J326,4)</f>
        <v>2020</v>
      </c>
      <c r="J326" s="46">
        <v>2020</v>
      </c>
      <c r="K326" t="s">
        <v>1</v>
      </c>
      <c r="L326" t="s">
        <v>655</v>
      </c>
      <c r="M326">
        <v>115</v>
      </c>
      <c r="N326">
        <v>65</v>
      </c>
      <c r="O326">
        <v>232</v>
      </c>
      <c r="P326" t="s">
        <v>644</v>
      </c>
      <c r="Q326" t="s">
        <v>651</v>
      </c>
      <c r="R326" t="s">
        <v>654</v>
      </c>
      <c r="S326" t="s">
        <v>166</v>
      </c>
    </row>
    <row r="327" spans="1:19" x14ac:dyDescent="0.25">
      <c r="A327" s="11" t="str">
        <f>PROPER(K327)</f>
        <v>Fanatic</v>
      </c>
      <c r="B327" s="11" t="str">
        <f>TRIM(PROPER(LEFT(L327,IFERROR(FIND(" ",L327),99))&amp;MID(L327,IFERROR(FIND(" ",L327),99),99)))</f>
        <v>Freewave Te</v>
      </c>
      <c r="C327" s="11">
        <f>TRUNC(O327)</f>
        <v>228</v>
      </c>
      <c r="D327" s="11">
        <f>TRUNC(N327)</f>
        <v>56</v>
      </c>
      <c r="E327" s="11">
        <f>M327</f>
        <v>75</v>
      </c>
      <c r="F327" s="38" t="str">
        <f>I327</f>
        <v>2020</v>
      </c>
      <c r="G327" s="11" t="str" cm="1">
        <f t="array" ref="G327">gssBoardClass(A327,B327,C327,D327,E327,F327)</f>
        <v>Wave / Freestyle</v>
      </c>
      <c r="H327" s="39" t="str">
        <f>_xlfn.CONCAT(I327,"-",LEFT(K327,2),"-",LEFT(L327,3),"-",M327,"-",TRUNC(N327),"-",TRUNC(O327))</f>
        <v>2020-Fa-Fre-75-56-228</v>
      </c>
      <c r="I327" s="42" t="str">
        <f>LEFT(J327,4)</f>
        <v>2020</v>
      </c>
      <c r="J327" s="46">
        <v>2020</v>
      </c>
      <c r="K327" t="s">
        <v>1</v>
      </c>
      <c r="L327" t="s">
        <v>655</v>
      </c>
      <c r="M327">
        <v>75</v>
      </c>
      <c r="N327">
        <v>56</v>
      </c>
      <c r="O327">
        <v>228</v>
      </c>
      <c r="P327" t="s">
        <v>644</v>
      </c>
      <c r="Q327" t="s">
        <v>651</v>
      </c>
      <c r="R327" t="s">
        <v>157</v>
      </c>
      <c r="S327" t="s">
        <v>135</v>
      </c>
    </row>
    <row r="328" spans="1:19" x14ac:dyDescent="0.25">
      <c r="A328" s="11" t="str">
        <f>PROPER(K328)</f>
        <v>Fanatic</v>
      </c>
      <c r="B328" s="11" t="str">
        <f>TRIM(PROPER(LEFT(L328,IFERROR(FIND(" ",L328),99))&amp;MID(L328,IFERROR(FIND(" ",L328),99),99)))</f>
        <v>Freewave</v>
      </c>
      <c r="C328" s="11">
        <f>TRUNC(O328)</f>
        <v>228</v>
      </c>
      <c r="D328" s="11">
        <f>TRUNC(N328)</f>
        <v>56</v>
      </c>
      <c r="E328" s="11">
        <f>M328</f>
        <v>75</v>
      </c>
      <c r="F328" s="38" t="str">
        <f>I328</f>
        <v>2020</v>
      </c>
      <c r="G328" s="11" t="str" cm="1">
        <f t="array" ref="G328">gssBoardClass(A328,B328,C328,D328,E328,F328)</f>
        <v>Wave / Freestyle</v>
      </c>
      <c r="H328" s="39" t="str">
        <f>_xlfn.CONCAT(I328,"-",LEFT(K328,2),"-",LEFT(L328,3),"-",M328,"-",TRUNC(N328),"-",TRUNC(O328))</f>
        <v>2020-Fa-Fre-75-56-228</v>
      </c>
      <c r="I328" s="42" t="str">
        <f>LEFT(J328,4)</f>
        <v>2020</v>
      </c>
      <c r="J328" s="46">
        <v>2020</v>
      </c>
      <c r="K328" t="s">
        <v>1</v>
      </c>
      <c r="L328" t="s">
        <v>72</v>
      </c>
      <c r="M328">
        <v>75</v>
      </c>
      <c r="N328">
        <v>56</v>
      </c>
      <c r="O328">
        <v>228</v>
      </c>
      <c r="P328" t="s">
        <v>709</v>
      </c>
      <c r="Q328" t="s">
        <v>651</v>
      </c>
      <c r="R328" t="s">
        <v>656</v>
      </c>
      <c r="S328" t="s">
        <v>135</v>
      </c>
    </row>
    <row r="329" spans="1:19" x14ac:dyDescent="0.25">
      <c r="A329" s="11" t="str">
        <f>PROPER(K329)</f>
        <v>Fanatic</v>
      </c>
      <c r="B329" s="11" t="str">
        <f>TRIM(PROPER(LEFT(L329,IFERROR(FIND(" ",L329),99))&amp;MID(L329,IFERROR(FIND(" ",L329),99),99)))</f>
        <v>Freewave Txtr</v>
      </c>
      <c r="C329" s="11">
        <f>TRUNC(O329)</f>
        <v>229</v>
      </c>
      <c r="D329" s="11">
        <f>TRUNC(N329)</f>
        <v>58</v>
      </c>
      <c r="E329" s="11">
        <f>M329</f>
        <v>85</v>
      </c>
      <c r="F329" s="38" t="str">
        <f>I329</f>
        <v>2020</v>
      </c>
      <c r="G329" s="11" t="str" cm="1">
        <f t="array" ref="G329">gssBoardClass(A329,B329,C329,D329,E329,F329)</f>
        <v>Wave / Freestyle</v>
      </c>
      <c r="H329" s="39" t="str">
        <f>_xlfn.CONCAT(I329,"-",LEFT(K329,2),"-",LEFT(L329,3),"-",M329,"-",TRUNC(N329),"-",TRUNC(O329))</f>
        <v>2020-Fa-Fre-85-58-229</v>
      </c>
      <c r="I329" s="42" t="str">
        <f>LEFT(J329,4)</f>
        <v>2020</v>
      </c>
      <c r="J329" s="46">
        <v>2020</v>
      </c>
      <c r="K329" t="s">
        <v>1</v>
      </c>
      <c r="L329" t="s">
        <v>650</v>
      </c>
      <c r="M329">
        <v>85</v>
      </c>
      <c r="N329">
        <v>58.5</v>
      </c>
      <c r="O329">
        <v>229</v>
      </c>
      <c r="P329" t="s">
        <v>649</v>
      </c>
      <c r="Q329" t="s">
        <v>651</v>
      </c>
      <c r="R329" t="s">
        <v>160</v>
      </c>
      <c r="S329" t="s">
        <v>158</v>
      </c>
    </row>
    <row r="330" spans="1:19" x14ac:dyDescent="0.25">
      <c r="A330" s="11" t="str">
        <f>PROPER(K330)</f>
        <v>Fanatic</v>
      </c>
      <c r="B330" s="11" t="str">
        <f>TRIM(PROPER(LEFT(L330,IFERROR(FIND(" ",L330),99))&amp;MID(L330,IFERROR(FIND(" ",L330),99),99)))</f>
        <v>Freewave Te</v>
      </c>
      <c r="C330" s="11">
        <f>TRUNC(O330)</f>
        <v>229</v>
      </c>
      <c r="D330" s="11">
        <f>TRUNC(N330)</f>
        <v>58</v>
      </c>
      <c r="E330" s="11">
        <f>M330</f>
        <v>85</v>
      </c>
      <c r="F330" s="38" t="str">
        <f>I330</f>
        <v>2020</v>
      </c>
      <c r="G330" s="11" t="str" cm="1">
        <f t="array" ref="G330">gssBoardClass(A330,B330,C330,D330,E330,F330)</f>
        <v>Wave / Freestyle</v>
      </c>
      <c r="H330" s="39" t="str">
        <f>_xlfn.CONCAT(I330,"-",LEFT(K330,2),"-",LEFT(L330,3),"-",M330,"-",TRUNC(N330),"-",TRUNC(O330))</f>
        <v>2020-Fa-Fre-85-58-229</v>
      </c>
      <c r="I330" s="42" t="str">
        <f>LEFT(J330,4)</f>
        <v>2020</v>
      </c>
      <c r="J330" s="46">
        <v>2020</v>
      </c>
      <c r="K330" t="s">
        <v>1</v>
      </c>
      <c r="L330" t="s">
        <v>655</v>
      </c>
      <c r="M330">
        <v>85</v>
      </c>
      <c r="N330">
        <v>58.5</v>
      </c>
      <c r="O330">
        <v>229</v>
      </c>
      <c r="P330" t="s">
        <v>644</v>
      </c>
      <c r="Q330" t="s">
        <v>651</v>
      </c>
      <c r="R330" t="s">
        <v>160</v>
      </c>
      <c r="S330" t="s">
        <v>158</v>
      </c>
    </row>
    <row r="331" spans="1:19" x14ac:dyDescent="0.25">
      <c r="A331" s="11" t="str">
        <f>PROPER(K331)</f>
        <v>Fanatic</v>
      </c>
      <c r="B331" s="11" t="str">
        <f>TRIM(PROPER(LEFT(L331,IFERROR(FIND(" ",L331),99))&amp;MID(L331,IFERROR(FIND(" ",L331),99),99)))</f>
        <v>Freewave</v>
      </c>
      <c r="C331" s="11">
        <f>TRUNC(O331)</f>
        <v>229</v>
      </c>
      <c r="D331" s="11">
        <f>TRUNC(N331)</f>
        <v>58</v>
      </c>
      <c r="E331" s="11">
        <f>M331</f>
        <v>85</v>
      </c>
      <c r="F331" s="38" t="str">
        <f>I331</f>
        <v>2020</v>
      </c>
      <c r="G331" s="11" t="str" cm="1">
        <f t="array" ref="G331">gssBoardClass(A331,B331,C331,D331,E331,F331)</f>
        <v>Wave / Freestyle</v>
      </c>
      <c r="H331" s="39" t="str">
        <f>_xlfn.CONCAT(I331,"-",LEFT(K331,2),"-",LEFT(L331,3),"-",M331,"-",TRUNC(N331),"-",TRUNC(O331))</f>
        <v>2020-Fa-Fre-85-58-229</v>
      </c>
      <c r="I331" s="42" t="str">
        <f>LEFT(J331,4)</f>
        <v>2020</v>
      </c>
      <c r="J331" s="46">
        <v>2020</v>
      </c>
      <c r="K331" t="s">
        <v>1</v>
      </c>
      <c r="L331" t="s">
        <v>72</v>
      </c>
      <c r="M331">
        <v>85</v>
      </c>
      <c r="N331">
        <v>58.5</v>
      </c>
      <c r="O331">
        <v>229</v>
      </c>
      <c r="P331" t="s">
        <v>709</v>
      </c>
      <c r="Q331" t="s">
        <v>651</v>
      </c>
      <c r="R331" t="s">
        <v>658</v>
      </c>
      <c r="S331" t="s">
        <v>158</v>
      </c>
    </row>
    <row r="332" spans="1:19" x14ac:dyDescent="0.25">
      <c r="A332" s="11" t="str">
        <f>PROPER(K332)</f>
        <v>Fanatic</v>
      </c>
      <c r="B332" s="11" t="str">
        <f>TRIM(PROPER(LEFT(L332,IFERROR(FIND(" ",L332),99))&amp;MID(L332,IFERROR(FIND(" ",L332),99),99)))</f>
        <v>Freewave Txtr</v>
      </c>
      <c r="C332" s="11">
        <f>TRUNC(O332)</f>
        <v>230</v>
      </c>
      <c r="D332" s="11">
        <f>TRUNC(N332)</f>
        <v>61</v>
      </c>
      <c r="E332" s="11">
        <f>M332</f>
        <v>95</v>
      </c>
      <c r="F332" s="38" t="str">
        <f>I332</f>
        <v>2020</v>
      </c>
      <c r="G332" s="11" t="str" cm="1">
        <f t="array" ref="G332">gssBoardClass(A332,B332,C332,D332,E332,F332)</f>
        <v>Wave / Freestyle</v>
      </c>
      <c r="H332" s="39" t="str">
        <f>_xlfn.CONCAT(I332,"-",LEFT(K332,2),"-",LEFT(L332,3),"-",M332,"-",TRUNC(N332),"-",TRUNC(O332))</f>
        <v>2020-Fa-Fre-95-61-230</v>
      </c>
      <c r="I332" s="42" t="str">
        <f>LEFT(J332,4)</f>
        <v>2020</v>
      </c>
      <c r="J332" s="46">
        <v>2020</v>
      </c>
      <c r="K332" t="s">
        <v>1</v>
      </c>
      <c r="L332" t="s">
        <v>650</v>
      </c>
      <c r="M332">
        <v>95</v>
      </c>
      <c r="N332">
        <v>61</v>
      </c>
      <c r="O332">
        <v>230</v>
      </c>
      <c r="P332" t="s">
        <v>649</v>
      </c>
      <c r="Q332" t="s">
        <v>651</v>
      </c>
      <c r="R332" t="s">
        <v>162</v>
      </c>
      <c r="S332" t="s">
        <v>138</v>
      </c>
    </row>
    <row r="333" spans="1:19" x14ac:dyDescent="0.25">
      <c r="A333" s="11" t="str">
        <f>PROPER(K333)</f>
        <v>Fanatic</v>
      </c>
      <c r="B333" s="11" t="str">
        <f>TRIM(PROPER(LEFT(L333,IFERROR(FIND(" ",L333),99))&amp;MID(L333,IFERROR(FIND(" ",L333),99),99)))</f>
        <v>Freewave Te</v>
      </c>
      <c r="C333" s="11">
        <f>TRUNC(O333)</f>
        <v>230</v>
      </c>
      <c r="D333" s="11">
        <f>TRUNC(N333)</f>
        <v>61</v>
      </c>
      <c r="E333" s="11">
        <f>M333</f>
        <v>95</v>
      </c>
      <c r="F333" s="38" t="str">
        <f>I333</f>
        <v>2020</v>
      </c>
      <c r="G333" s="11" t="str" cm="1">
        <f t="array" ref="G333">gssBoardClass(A333,B333,C333,D333,E333,F333)</f>
        <v>Wave / Freestyle</v>
      </c>
      <c r="H333" s="39" t="str">
        <f>_xlfn.CONCAT(I333,"-",LEFT(K333,2),"-",LEFT(L333,3),"-",M333,"-",TRUNC(N333),"-",TRUNC(O333))</f>
        <v>2020-Fa-Fre-95-61-230</v>
      </c>
      <c r="I333" s="42" t="str">
        <f>LEFT(J333,4)</f>
        <v>2020</v>
      </c>
      <c r="J333" s="46">
        <v>2020</v>
      </c>
      <c r="K333" t="s">
        <v>1</v>
      </c>
      <c r="L333" t="s">
        <v>655</v>
      </c>
      <c r="M333">
        <v>95</v>
      </c>
      <c r="N333">
        <v>61</v>
      </c>
      <c r="O333">
        <v>230</v>
      </c>
      <c r="P333" t="s">
        <v>644</v>
      </c>
      <c r="Q333" t="s">
        <v>651</v>
      </c>
      <c r="R333" t="s">
        <v>162</v>
      </c>
      <c r="S333" t="s">
        <v>138</v>
      </c>
    </row>
    <row r="334" spans="1:19" x14ac:dyDescent="0.25">
      <c r="A334" s="11" t="str">
        <f>PROPER(K334)</f>
        <v>Fanatic</v>
      </c>
      <c r="B334" s="11" t="str">
        <f>TRIM(PROPER(LEFT(L334,IFERROR(FIND(" ",L334),99))&amp;MID(L334,IFERROR(FIND(" ",L334),99),99)))</f>
        <v>Freewave</v>
      </c>
      <c r="C334" s="11">
        <f>TRUNC(O334)</f>
        <v>230</v>
      </c>
      <c r="D334" s="11">
        <f>TRUNC(N334)</f>
        <v>61</v>
      </c>
      <c r="E334" s="11">
        <f>M334</f>
        <v>95</v>
      </c>
      <c r="F334" s="38" t="str">
        <f>I334</f>
        <v>2020</v>
      </c>
      <c r="G334" s="11" t="str" cm="1">
        <f t="array" ref="G334">gssBoardClass(A334,B334,C334,D334,E334,F334)</f>
        <v>Wave / Freestyle</v>
      </c>
      <c r="H334" s="39" t="str">
        <f>_xlfn.CONCAT(I334,"-",LEFT(K334,2),"-",LEFT(L334,3),"-",M334,"-",TRUNC(N334),"-",TRUNC(O334))</f>
        <v>2020-Fa-Fre-95-61-230</v>
      </c>
      <c r="I334" s="42" t="str">
        <f>LEFT(J334,4)</f>
        <v>2020</v>
      </c>
      <c r="J334" s="46">
        <v>2020</v>
      </c>
      <c r="K334" t="s">
        <v>1</v>
      </c>
      <c r="L334" t="s">
        <v>72</v>
      </c>
      <c r="M334">
        <v>95</v>
      </c>
      <c r="N334">
        <v>61</v>
      </c>
      <c r="O334">
        <v>230</v>
      </c>
      <c r="P334" t="s">
        <v>709</v>
      </c>
      <c r="Q334" t="s">
        <v>651</v>
      </c>
      <c r="R334" t="s">
        <v>660</v>
      </c>
      <c r="S334" t="s">
        <v>138</v>
      </c>
    </row>
    <row r="335" spans="1:19" x14ac:dyDescent="0.25">
      <c r="A335" s="11" t="str">
        <f>PROPER(K335)</f>
        <v>Fanatic</v>
      </c>
      <c r="B335" s="11" t="str">
        <f>TRIM(PROPER(LEFT(L335,IFERROR(FIND(" ",L335),99))&amp;MID(L335,IFERROR(FIND(" ",L335),99),99)))</f>
        <v>Gecko Ltd</v>
      </c>
      <c r="C335" s="11">
        <f>TRUNC(O335)</f>
        <v>239</v>
      </c>
      <c r="D335" s="11">
        <f>TRUNC(N335)</f>
        <v>66</v>
      </c>
      <c r="E335" s="11">
        <f>M335</f>
        <v>100</v>
      </c>
      <c r="F335" s="38" t="str">
        <f>I335</f>
        <v>2020</v>
      </c>
      <c r="G335" s="11" t="str" cm="1">
        <f t="array" ref="G335">gssBoardClass(A335,B335,C335,D335,E335,F335)</f>
        <v>Slalom Medium</v>
      </c>
      <c r="H335" s="39" t="str">
        <f>_xlfn.CONCAT(I335,"-",LEFT(K335,2),"-",LEFT(L335,3),"-",M335,"-",TRUNC(N335),"-",TRUNC(O335))</f>
        <v>2020-Fa-Gec-100-66-239</v>
      </c>
      <c r="I335" s="42" t="str">
        <f>LEFT(J335,4)</f>
        <v>2020</v>
      </c>
      <c r="J335" s="46">
        <v>2020</v>
      </c>
      <c r="K335" t="s">
        <v>1</v>
      </c>
      <c r="L335" t="s">
        <v>673</v>
      </c>
      <c r="M335">
        <v>100</v>
      </c>
      <c r="N335">
        <v>66</v>
      </c>
      <c r="O335">
        <v>239</v>
      </c>
      <c r="P335" t="s">
        <v>709</v>
      </c>
      <c r="Q335" t="s">
        <v>179</v>
      </c>
      <c r="R335" t="s">
        <v>192</v>
      </c>
      <c r="S335" t="s">
        <v>193</v>
      </c>
    </row>
    <row r="336" spans="1:19" x14ac:dyDescent="0.25">
      <c r="A336" s="11" t="str">
        <f>PROPER(K336)</f>
        <v>Fanatic</v>
      </c>
      <c r="B336" s="11" t="str">
        <f>TRIM(PROPER(LEFT(L336,IFERROR(FIND(" ",L336),99))&amp;MID(L336,IFERROR(FIND(" ",L336),99),99)))</f>
        <v>Gecko Hrs</v>
      </c>
      <c r="C336" s="11">
        <f>TRUNC(O336)</f>
        <v>239</v>
      </c>
      <c r="D336" s="11">
        <f>TRUNC(N336)</f>
        <v>66</v>
      </c>
      <c r="E336" s="11">
        <f>M336</f>
        <v>100</v>
      </c>
      <c r="F336" s="38" t="str">
        <f>I336</f>
        <v>2020</v>
      </c>
      <c r="G336" s="11" t="str" cm="1">
        <f t="array" ref="G336">gssBoardClass(A336,B336,C336,D336,E336,F336)</f>
        <v>Slalom Medium</v>
      </c>
      <c r="H336" s="39" t="str">
        <f>_xlfn.CONCAT(I336,"-",LEFT(K336,2),"-",LEFT(L336,3),"-",M336,"-",TRUNC(N336),"-",TRUNC(O336))</f>
        <v>2020-Fa-Gec-100-66-239</v>
      </c>
      <c r="I336" s="42" t="str">
        <f>LEFT(J336,4)</f>
        <v>2020</v>
      </c>
      <c r="J336" s="46">
        <v>2020</v>
      </c>
      <c r="K336" t="s">
        <v>1</v>
      </c>
      <c r="L336" t="s">
        <v>677</v>
      </c>
      <c r="M336">
        <v>100</v>
      </c>
      <c r="N336">
        <v>66</v>
      </c>
      <c r="O336">
        <v>239</v>
      </c>
      <c r="P336" t="s">
        <v>592</v>
      </c>
      <c r="Q336" t="s">
        <v>179</v>
      </c>
      <c r="R336" t="s">
        <v>675</v>
      </c>
      <c r="S336" t="s">
        <v>193</v>
      </c>
    </row>
    <row r="337" spans="1:19" x14ac:dyDescent="0.25">
      <c r="A337" s="11" t="str">
        <f>PROPER(K337)</f>
        <v>Fanatic</v>
      </c>
      <c r="B337" s="11" t="str">
        <f>TRIM(PROPER(LEFT(L337,IFERROR(FIND(" ",L337),99))&amp;MID(L337,IFERROR(FIND(" ",L337),99),99)))</f>
        <v>Gecko Ltd</v>
      </c>
      <c r="C337" s="11">
        <f>TRUNC(O337)</f>
        <v>239</v>
      </c>
      <c r="D337" s="11">
        <f>TRUNC(N337)</f>
        <v>72</v>
      </c>
      <c r="E337" s="11">
        <f>M337</f>
        <v>110</v>
      </c>
      <c r="F337" s="38" t="str">
        <f>I337</f>
        <v>2020</v>
      </c>
      <c r="G337" s="11" t="str" cm="1">
        <f t="array" ref="G337">gssBoardClass(A337,B337,C337,D337,E337,F337)</f>
        <v>Slalom Medium</v>
      </c>
      <c r="H337" s="39" t="str">
        <f>_xlfn.CONCAT(I337,"-",LEFT(K337,2),"-",LEFT(L337,3),"-",M337,"-",TRUNC(N337),"-",TRUNC(O337))</f>
        <v>2020-Fa-Gec-110-72-239</v>
      </c>
      <c r="I337" s="42" t="str">
        <f>LEFT(J337,4)</f>
        <v>2020</v>
      </c>
      <c r="J337" s="46">
        <v>2020</v>
      </c>
      <c r="K337" t="s">
        <v>1</v>
      </c>
      <c r="L337" t="s">
        <v>673</v>
      </c>
      <c r="M337">
        <v>110</v>
      </c>
      <c r="N337">
        <v>72</v>
      </c>
      <c r="O337">
        <v>239</v>
      </c>
      <c r="P337" t="s">
        <v>709</v>
      </c>
      <c r="Q337" t="s">
        <v>179</v>
      </c>
      <c r="R337" t="s">
        <v>195</v>
      </c>
      <c r="S337" t="s">
        <v>196</v>
      </c>
    </row>
    <row r="338" spans="1:19" x14ac:dyDescent="0.25">
      <c r="A338" s="11" t="str">
        <f>PROPER(K338)</f>
        <v>Fanatic</v>
      </c>
      <c r="B338" s="11" t="str">
        <f>TRIM(PROPER(LEFT(L338,IFERROR(FIND(" ",L338),99))&amp;MID(L338,IFERROR(FIND(" ",L338),99),99)))</f>
        <v>Gecko Eco</v>
      </c>
      <c r="C338" s="11">
        <f>TRUNC(O338)</f>
        <v>239</v>
      </c>
      <c r="D338" s="11">
        <f>TRUNC(N338)</f>
        <v>72</v>
      </c>
      <c r="E338" s="11">
        <f>M338</f>
        <v>110</v>
      </c>
      <c r="F338" s="38" t="str">
        <f>I338</f>
        <v>2020</v>
      </c>
      <c r="G338" s="11" t="str" cm="1">
        <f t="array" ref="G338">gssBoardClass(A338,B338,C338,D338,E338,F338)</f>
        <v>Slalom Medium</v>
      </c>
      <c r="H338" s="39" t="str">
        <f>_xlfn.CONCAT(I338,"-",LEFT(K338,2),"-",LEFT(L338,3),"-",M338,"-",TRUNC(N338),"-",TRUNC(O338))</f>
        <v>2020-Fa-Gec-110-72-239</v>
      </c>
      <c r="I338" s="42" t="str">
        <f>LEFT(J338,4)</f>
        <v>2020</v>
      </c>
      <c r="J338" s="46">
        <v>2020</v>
      </c>
      <c r="K338" t="s">
        <v>1</v>
      </c>
      <c r="L338" t="s">
        <v>674</v>
      </c>
      <c r="M338">
        <v>110</v>
      </c>
      <c r="N338">
        <v>72</v>
      </c>
      <c r="O338">
        <v>239</v>
      </c>
      <c r="P338" t="s">
        <v>708</v>
      </c>
      <c r="Q338" t="s">
        <v>179</v>
      </c>
      <c r="R338" t="s">
        <v>195</v>
      </c>
      <c r="S338" t="s">
        <v>196</v>
      </c>
    </row>
    <row r="339" spans="1:19" x14ac:dyDescent="0.25">
      <c r="A339" s="11" t="str">
        <f>PROPER(K339)</f>
        <v>Fanatic</v>
      </c>
      <c r="B339" s="11" t="str">
        <f>TRIM(PROPER(LEFT(L339,IFERROR(FIND(" ",L339),99))&amp;MID(L339,IFERROR(FIND(" ",L339),99),99)))</f>
        <v>Gecko Hrs</v>
      </c>
      <c r="C339" s="11">
        <f>TRUNC(O339)</f>
        <v>239</v>
      </c>
      <c r="D339" s="11">
        <f>TRUNC(N339)</f>
        <v>72</v>
      </c>
      <c r="E339" s="11">
        <f>M339</f>
        <v>110</v>
      </c>
      <c r="F339" s="38" t="str">
        <f>I339</f>
        <v>2020</v>
      </c>
      <c r="G339" s="11" t="str" cm="1">
        <f t="array" ref="G339">gssBoardClass(A339,B339,C339,D339,E339,F339)</f>
        <v>Slalom Medium</v>
      </c>
      <c r="H339" s="39" t="str">
        <f>_xlfn.CONCAT(I339,"-",LEFT(K339,2),"-",LEFT(L339,3),"-",M339,"-",TRUNC(N339),"-",TRUNC(O339))</f>
        <v>2020-Fa-Gec-110-72-239</v>
      </c>
      <c r="I339" s="42" t="str">
        <f>LEFT(J339,4)</f>
        <v>2020</v>
      </c>
      <c r="J339" s="46">
        <v>2020</v>
      </c>
      <c r="K339" t="s">
        <v>1</v>
      </c>
      <c r="L339" t="s">
        <v>677</v>
      </c>
      <c r="M339">
        <v>110</v>
      </c>
      <c r="N339">
        <v>72</v>
      </c>
      <c r="O339">
        <v>239</v>
      </c>
      <c r="P339" t="s">
        <v>592</v>
      </c>
      <c r="Q339" t="s">
        <v>179</v>
      </c>
      <c r="R339" t="s">
        <v>669</v>
      </c>
      <c r="S339" t="s">
        <v>196</v>
      </c>
    </row>
    <row r="340" spans="1:19" x14ac:dyDescent="0.25">
      <c r="A340" s="11" t="str">
        <f>PROPER(K340)</f>
        <v>Fanatic</v>
      </c>
      <c r="B340" s="11" t="str">
        <f>TRIM(PROPER(LEFT(L340,IFERROR(FIND(" ",L340),99))&amp;MID(L340,IFERROR(FIND(" ",L340),99),99)))</f>
        <v>Gecko Ltd</v>
      </c>
      <c r="C340" s="11">
        <f>TRUNC(O340)</f>
        <v>242</v>
      </c>
      <c r="D340" s="11">
        <f>TRUNC(N340)</f>
        <v>77</v>
      </c>
      <c r="E340" s="11">
        <f>M340</f>
        <v>122</v>
      </c>
      <c r="F340" s="38" t="str">
        <f>I340</f>
        <v>2020</v>
      </c>
      <c r="G340" s="11" t="str" cm="1">
        <f t="array" ref="G340">gssBoardClass(A340,B340,C340,D340,E340,F340)</f>
        <v>Slalom Large</v>
      </c>
      <c r="H340" s="39" t="str">
        <f>_xlfn.CONCAT(I340,"-",LEFT(K340,2),"-",LEFT(L340,3),"-",M340,"-",TRUNC(N340),"-",TRUNC(O340))</f>
        <v>2020-Fa-Gec-122-77-242</v>
      </c>
      <c r="I340" s="42" t="str">
        <f>LEFT(J340,4)</f>
        <v>2020</v>
      </c>
      <c r="J340" s="46">
        <v>2020</v>
      </c>
      <c r="K340" t="s">
        <v>1</v>
      </c>
      <c r="L340" t="s">
        <v>673</v>
      </c>
      <c r="M340">
        <v>122</v>
      </c>
      <c r="N340">
        <v>77</v>
      </c>
      <c r="O340">
        <v>242</v>
      </c>
      <c r="P340" t="s">
        <v>709</v>
      </c>
      <c r="Q340" t="s">
        <v>179</v>
      </c>
      <c r="R340" t="s">
        <v>198</v>
      </c>
      <c r="S340" t="s">
        <v>199</v>
      </c>
    </row>
    <row r="341" spans="1:19" x14ac:dyDescent="0.25">
      <c r="A341" s="11" t="str">
        <f>PROPER(K341)</f>
        <v>Fanatic</v>
      </c>
      <c r="B341" s="11" t="str">
        <f>TRIM(PROPER(LEFT(L341,IFERROR(FIND(" ",L341),99))&amp;MID(L341,IFERROR(FIND(" ",L341),99),99)))</f>
        <v>Gecko Eco</v>
      </c>
      <c r="C341" s="11">
        <f>TRUNC(O341)</f>
        <v>242</v>
      </c>
      <c r="D341" s="11">
        <f>TRUNC(N341)</f>
        <v>77</v>
      </c>
      <c r="E341" s="11">
        <f>M341</f>
        <v>122</v>
      </c>
      <c r="F341" s="38" t="str">
        <f>I341</f>
        <v>2020</v>
      </c>
      <c r="G341" s="11" t="str" cm="1">
        <f t="array" ref="G341">gssBoardClass(A341,B341,C341,D341,E341,F341)</f>
        <v>Slalom Large</v>
      </c>
      <c r="H341" s="39" t="str">
        <f>_xlfn.CONCAT(I341,"-",LEFT(K341,2),"-",LEFT(L341,3),"-",M341,"-",TRUNC(N341),"-",TRUNC(O341))</f>
        <v>2020-Fa-Gec-122-77-242</v>
      </c>
      <c r="I341" s="42" t="str">
        <f>LEFT(J341,4)</f>
        <v>2020</v>
      </c>
      <c r="J341" s="46">
        <v>2020</v>
      </c>
      <c r="K341" t="s">
        <v>1</v>
      </c>
      <c r="L341" t="s">
        <v>674</v>
      </c>
      <c r="M341">
        <v>122</v>
      </c>
      <c r="N341">
        <v>77</v>
      </c>
      <c r="O341">
        <v>242</v>
      </c>
      <c r="P341" t="s">
        <v>708</v>
      </c>
      <c r="Q341" t="s">
        <v>179</v>
      </c>
      <c r="R341" t="s">
        <v>198</v>
      </c>
      <c r="S341" t="s">
        <v>199</v>
      </c>
    </row>
    <row r="342" spans="1:19" x14ac:dyDescent="0.25">
      <c r="A342" s="11" t="str">
        <f>PROPER(K342)</f>
        <v>Fanatic</v>
      </c>
      <c r="B342" s="11" t="str">
        <f>TRIM(PROPER(LEFT(L342,IFERROR(FIND(" ",L342),99))&amp;MID(L342,IFERROR(FIND(" ",L342),99),99)))</f>
        <v>Gecko Hrs</v>
      </c>
      <c r="C342" s="11">
        <f>TRUNC(O342)</f>
        <v>242</v>
      </c>
      <c r="D342" s="11">
        <f>TRUNC(N342)</f>
        <v>77</v>
      </c>
      <c r="E342" s="11">
        <f>M342</f>
        <v>122</v>
      </c>
      <c r="F342" s="38" t="str">
        <f>I342</f>
        <v>2020</v>
      </c>
      <c r="G342" s="11" t="str" cm="1">
        <f t="array" ref="G342">gssBoardClass(A342,B342,C342,D342,E342,F342)</f>
        <v>Slalom Large</v>
      </c>
      <c r="H342" s="39" t="str">
        <f>_xlfn.CONCAT(I342,"-",LEFT(K342,2),"-",LEFT(L342,3),"-",M342,"-",TRUNC(N342),"-",TRUNC(O342))</f>
        <v>2020-Fa-Gec-122-77-242</v>
      </c>
      <c r="I342" s="42" t="str">
        <f>LEFT(J342,4)</f>
        <v>2020</v>
      </c>
      <c r="J342" s="46">
        <v>2020</v>
      </c>
      <c r="K342" t="s">
        <v>1</v>
      </c>
      <c r="L342" t="s">
        <v>677</v>
      </c>
      <c r="M342">
        <v>122</v>
      </c>
      <c r="N342">
        <v>77</v>
      </c>
      <c r="O342">
        <v>242</v>
      </c>
      <c r="P342" t="s">
        <v>592</v>
      </c>
      <c r="Q342" t="s">
        <v>179</v>
      </c>
      <c r="R342" t="s">
        <v>676</v>
      </c>
      <c r="S342" t="s">
        <v>199</v>
      </c>
    </row>
    <row r="343" spans="1:19" x14ac:dyDescent="0.25">
      <c r="A343" s="11" t="str">
        <f>PROPER(K343)</f>
        <v>Fanatic</v>
      </c>
      <c r="B343" s="11" t="str">
        <f>TRIM(PROPER(LEFT(L343,IFERROR(FIND(" ",L343),99))&amp;MID(L343,IFERROR(FIND(" ",L343),99),99)))</f>
        <v>Gecko Ltd</v>
      </c>
      <c r="C343" s="11">
        <f>TRUNC(O343)</f>
        <v>246</v>
      </c>
      <c r="D343" s="11">
        <f>TRUNC(N343)</f>
        <v>79</v>
      </c>
      <c r="E343" s="11">
        <f>M343</f>
        <v>135</v>
      </c>
      <c r="F343" s="38" t="str">
        <f>I343</f>
        <v>2020</v>
      </c>
      <c r="G343" s="11" t="str" cm="1">
        <f t="array" ref="G343">gssBoardClass(A343,B343,C343,D343,E343,F343)</f>
        <v>Slalom Large</v>
      </c>
      <c r="H343" s="39" t="str">
        <f>_xlfn.CONCAT(I343,"-",LEFT(K343,2),"-",LEFT(L343,3),"-",M343,"-",TRUNC(N343),"-",TRUNC(O343))</f>
        <v>2020-Fa-Gec-135-79-246</v>
      </c>
      <c r="I343" s="42" t="str">
        <f>LEFT(J343,4)</f>
        <v>2020</v>
      </c>
      <c r="J343" s="46">
        <v>2020</v>
      </c>
      <c r="K343" t="s">
        <v>1</v>
      </c>
      <c r="L343" t="s">
        <v>673</v>
      </c>
      <c r="M343">
        <v>135</v>
      </c>
      <c r="N343">
        <v>79</v>
      </c>
      <c r="O343">
        <v>246</v>
      </c>
      <c r="P343" t="s">
        <v>709</v>
      </c>
      <c r="Q343" t="s">
        <v>179</v>
      </c>
      <c r="R343" t="s">
        <v>201</v>
      </c>
      <c r="S343" t="s">
        <v>202</v>
      </c>
    </row>
    <row r="344" spans="1:19" x14ac:dyDescent="0.25">
      <c r="A344" s="11" t="str">
        <f>PROPER(K344)</f>
        <v>Fanatic</v>
      </c>
      <c r="B344" s="11" t="str">
        <f>TRIM(PROPER(LEFT(L344,IFERROR(FIND(" ",L344),99))&amp;MID(L344,IFERROR(FIND(" ",L344),99),99)))</f>
        <v>Gecko Eco</v>
      </c>
      <c r="C344" s="11">
        <f>TRUNC(O344)</f>
        <v>246</v>
      </c>
      <c r="D344" s="11">
        <f>TRUNC(N344)</f>
        <v>79</v>
      </c>
      <c r="E344" s="11">
        <f>M344</f>
        <v>135</v>
      </c>
      <c r="F344" s="38" t="str">
        <f>I344</f>
        <v>2020</v>
      </c>
      <c r="G344" s="11" t="str" cm="1">
        <f t="array" ref="G344">gssBoardClass(A344,B344,C344,D344,E344,F344)</f>
        <v>Slalom Large</v>
      </c>
      <c r="H344" s="39" t="str">
        <f>_xlfn.CONCAT(I344,"-",LEFT(K344,2),"-",LEFT(L344,3),"-",M344,"-",TRUNC(N344),"-",TRUNC(O344))</f>
        <v>2020-Fa-Gec-135-79-246</v>
      </c>
      <c r="I344" s="42" t="str">
        <f>LEFT(J344,4)</f>
        <v>2020</v>
      </c>
      <c r="J344" s="46">
        <v>2020</v>
      </c>
      <c r="K344" t="s">
        <v>1</v>
      </c>
      <c r="L344" t="s">
        <v>674</v>
      </c>
      <c r="M344">
        <v>135</v>
      </c>
      <c r="N344">
        <v>79</v>
      </c>
      <c r="O344">
        <v>246</v>
      </c>
      <c r="P344" t="s">
        <v>708</v>
      </c>
      <c r="Q344" t="s">
        <v>179</v>
      </c>
      <c r="R344" t="s">
        <v>201</v>
      </c>
      <c r="S344" t="s">
        <v>202</v>
      </c>
    </row>
    <row r="345" spans="1:19" x14ac:dyDescent="0.25">
      <c r="A345" s="11" t="str">
        <f>PROPER(K345)</f>
        <v>Fanatic</v>
      </c>
      <c r="B345" s="11" t="str">
        <f>TRIM(PROPER(LEFT(L345,IFERROR(FIND(" ",L345),99))&amp;MID(L345,IFERROR(FIND(" ",L345),99),99)))</f>
        <v>Gecko Hrs</v>
      </c>
      <c r="C345" s="11">
        <f>TRUNC(O345)</f>
        <v>246</v>
      </c>
      <c r="D345" s="11">
        <f>TRUNC(N345)</f>
        <v>79</v>
      </c>
      <c r="E345" s="11">
        <f>M345</f>
        <v>135</v>
      </c>
      <c r="F345" s="38" t="str">
        <f>I345</f>
        <v>2020</v>
      </c>
      <c r="G345" s="11" t="str" cm="1">
        <f t="array" ref="G345">gssBoardClass(A345,B345,C345,D345,E345,F345)</f>
        <v>Slalom Large</v>
      </c>
      <c r="H345" s="39" t="str">
        <f>_xlfn.CONCAT(I345,"-",LEFT(K345,2),"-",LEFT(L345,3),"-",M345,"-",TRUNC(N345),"-",TRUNC(O345))</f>
        <v>2020-Fa-Gec-135-79-246</v>
      </c>
      <c r="I345" s="42" t="str">
        <f>LEFT(J345,4)</f>
        <v>2020</v>
      </c>
      <c r="J345" s="46">
        <v>2020</v>
      </c>
      <c r="K345" t="s">
        <v>1</v>
      </c>
      <c r="L345" t="s">
        <v>677</v>
      </c>
      <c r="M345">
        <v>135</v>
      </c>
      <c r="N345">
        <v>79</v>
      </c>
      <c r="O345">
        <v>246</v>
      </c>
      <c r="P345" t="s">
        <v>592</v>
      </c>
      <c r="Q345" t="s">
        <v>179</v>
      </c>
      <c r="R345" t="s">
        <v>671</v>
      </c>
      <c r="S345" t="s">
        <v>202</v>
      </c>
    </row>
    <row r="346" spans="1:19" x14ac:dyDescent="0.25">
      <c r="A346" s="11" t="str">
        <f>PROPER(K346)</f>
        <v>Fanatic</v>
      </c>
      <c r="B346" s="11" t="str">
        <f>TRIM(PROPER(LEFT(L346,IFERROR(FIND(" ",L346),99))&amp;MID(L346,IFERROR(FIND(" ",L346),99),99)))</f>
        <v>Gecko Ltd Foil</v>
      </c>
      <c r="C346" s="11">
        <f>TRUNC(O346)</f>
        <v>246</v>
      </c>
      <c r="D346" s="11">
        <f>TRUNC(N346)</f>
        <v>79</v>
      </c>
      <c r="E346" s="11">
        <f>M346</f>
        <v>135</v>
      </c>
      <c r="F346" s="38" t="str">
        <f>I346</f>
        <v>2020</v>
      </c>
      <c r="G346" s="11" t="str" cm="1">
        <f t="array" ref="G346">gssBoardClass(A346,B346,C346,D346,E346,F346)</f>
        <v>Foilboard</v>
      </c>
      <c r="H346" s="39" t="str">
        <f>_xlfn.CONCAT(I346,"-",LEFT(K346,2),"-",LEFT(L346,3),"-",M346,"-",TRUNC(N346),"-",TRUNC(O346))</f>
        <v>2020-Fa-Gec-135-79-246</v>
      </c>
      <c r="I346" s="42" t="str">
        <f>LEFT(J346,4)</f>
        <v>2020</v>
      </c>
      <c r="J346" s="46">
        <v>2020</v>
      </c>
      <c r="K346" t="s">
        <v>1</v>
      </c>
      <c r="L346" t="s">
        <v>682</v>
      </c>
      <c r="M346">
        <v>135</v>
      </c>
      <c r="N346">
        <v>79</v>
      </c>
      <c r="O346">
        <v>246</v>
      </c>
      <c r="P346" t="s">
        <v>640</v>
      </c>
      <c r="Q346" t="s">
        <v>283</v>
      </c>
      <c r="R346" t="s">
        <v>209</v>
      </c>
      <c r="S346" t="s">
        <v>202</v>
      </c>
    </row>
    <row r="347" spans="1:19" x14ac:dyDescent="0.25">
      <c r="A347" s="11" t="str">
        <f>PROPER(K347)</f>
        <v>Fanatic</v>
      </c>
      <c r="B347" s="11" t="str">
        <f>TRIM(PROPER(LEFT(L347,IFERROR(FIND(" ",L347),99))&amp;MID(L347,IFERROR(FIND(" ",L347),99),99)))</f>
        <v>Gecko Hrs Foil</v>
      </c>
      <c r="C347" s="11">
        <f>TRUNC(O347)</f>
        <v>246</v>
      </c>
      <c r="D347" s="11">
        <f>TRUNC(N347)</f>
        <v>79</v>
      </c>
      <c r="E347" s="11">
        <f>M347</f>
        <v>135</v>
      </c>
      <c r="F347" s="38" t="str">
        <f>I347</f>
        <v>2020</v>
      </c>
      <c r="G347" s="11" t="str" cm="1">
        <f t="array" ref="G347">gssBoardClass(A347,B347,C347,D347,E347,F347)</f>
        <v>Foilboard</v>
      </c>
      <c r="H347" s="39" t="str">
        <f>_xlfn.CONCAT(I347,"-",LEFT(K347,2),"-",LEFT(L347,3),"-",M347,"-",TRUNC(N347),"-",TRUNC(O347))</f>
        <v>2020-Fa-Gec-135-79-246</v>
      </c>
      <c r="I347" s="42" t="str">
        <f>LEFT(J347,4)</f>
        <v>2020</v>
      </c>
      <c r="J347" s="46">
        <v>2020</v>
      </c>
      <c r="K347" t="s">
        <v>1</v>
      </c>
      <c r="L347" t="s">
        <v>683</v>
      </c>
      <c r="M347">
        <v>135</v>
      </c>
      <c r="N347">
        <v>79</v>
      </c>
      <c r="O347">
        <v>246</v>
      </c>
      <c r="P347" t="s">
        <v>592</v>
      </c>
      <c r="Q347" t="s">
        <v>283</v>
      </c>
      <c r="R347" t="s">
        <v>672</v>
      </c>
      <c r="S347" t="s">
        <v>202</v>
      </c>
    </row>
    <row r="348" spans="1:19" x14ac:dyDescent="0.25">
      <c r="A348" s="11" t="str">
        <f>PROPER(K348)</f>
        <v>Fanatic</v>
      </c>
      <c r="B348" s="11" t="str">
        <f>TRIM(PROPER(LEFT(L348,IFERROR(FIND(" ",L348),99))&amp;MID(L348,IFERROR(FIND(" ",L348),99),99)))</f>
        <v>Gecko Ltd</v>
      </c>
      <c r="C348" s="11">
        <f>TRUNC(O348)</f>
        <v>250</v>
      </c>
      <c r="D348" s="11">
        <f>TRUNC(N348)</f>
        <v>83</v>
      </c>
      <c r="E348" s="11">
        <f>M348</f>
        <v>148</v>
      </c>
      <c r="F348" s="38" t="str">
        <f>I348</f>
        <v>2020</v>
      </c>
      <c r="G348" s="11" t="str" cm="1">
        <f t="array" ref="G348">gssBoardClass(A348,B348,C348,D348,E348,F348)</f>
        <v>Slalom Large</v>
      </c>
      <c r="H348" s="39" t="str">
        <f>_xlfn.CONCAT(I348,"-",LEFT(K348,2),"-",LEFT(L348,3),"-",M348,"-",TRUNC(N348),"-",TRUNC(O348))</f>
        <v>2020-Fa-Gec-148-83-250</v>
      </c>
      <c r="I348" s="42" t="str">
        <f>LEFT(J348,4)</f>
        <v>2020</v>
      </c>
      <c r="J348" s="46">
        <v>2020</v>
      </c>
      <c r="K348" t="s">
        <v>1</v>
      </c>
      <c r="L348" t="s">
        <v>673</v>
      </c>
      <c r="M348">
        <v>148</v>
      </c>
      <c r="N348">
        <v>83</v>
      </c>
      <c r="O348">
        <v>250</v>
      </c>
      <c r="P348" t="s">
        <v>709</v>
      </c>
      <c r="Q348" t="s">
        <v>179</v>
      </c>
      <c r="R348" t="s">
        <v>204</v>
      </c>
      <c r="S348" t="s">
        <v>205</v>
      </c>
    </row>
    <row r="349" spans="1:19" x14ac:dyDescent="0.25">
      <c r="A349" s="11" t="str">
        <f>PROPER(K349)</f>
        <v>Fanatic</v>
      </c>
      <c r="B349" s="11" t="str">
        <f>TRIM(PROPER(LEFT(L349,IFERROR(FIND(" ",L349),99))&amp;MID(L349,IFERROR(FIND(" ",L349),99),99)))</f>
        <v>Gecko Hrs</v>
      </c>
      <c r="C349" s="11">
        <f>TRUNC(O349)</f>
        <v>250</v>
      </c>
      <c r="D349" s="11">
        <f>TRUNC(N349)</f>
        <v>83</v>
      </c>
      <c r="E349" s="11">
        <f>M349</f>
        <v>148</v>
      </c>
      <c r="F349" s="38" t="str">
        <f>I349</f>
        <v>2020</v>
      </c>
      <c r="G349" s="11" t="str" cm="1">
        <f t="array" ref="G349">gssBoardClass(A349,B349,C349,D349,E349,F349)</f>
        <v>Slalom Large</v>
      </c>
      <c r="H349" s="39" t="str">
        <f>_xlfn.CONCAT(I349,"-",LEFT(K349,2),"-",LEFT(L349,3),"-",M349,"-",TRUNC(N349),"-",TRUNC(O349))</f>
        <v>2020-Fa-Gec-148-83-250</v>
      </c>
      <c r="I349" s="42" t="str">
        <f>LEFT(J349,4)</f>
        <v>2020</v>
      </c>
      <c r="J349" s="46">
        <v>2020</v>
      </c>
      <c r="K349" t="s">
        <v>1</v>
      </c>
      <c r="L349" t="s">
        <v>677</v>
      </c>
      <c r="M349">
        <v>148</v>
      </c>
      <c r="N349">
        <v>83</v>
      </c>
      <c r="O349">
        <v>250</v>
      </c>
      <c r="P349" t="s">
        <v>592</v>
      </c>
      <c r="Q349" t="s">
        <v>179</v>
      </c>
      <c r="R349" t="s">
        <v>678</v>
      </c>
      <c r="S349" t="s">
        <v>205</v>
      </c>
    </row>
    <row r="350" spans="1:19" x14ac:dyDescent="0.25">
      <c r="A350" s="11" t="str">
        <f>PROPER(K350)</f>
        <v>Fanatic</v>
      </c>
      <c r="B350" s="11" t="str">
        <f>TRIM(PROPER(LEFT(L350,IFERROR(FIND(" ",L350),99))&amp;MID(L350,IFERROR(FIND(" ",L350),99),99)))</f>
        <v>Gecko Hrs</v>
      </c>
      <c r="C350" s="11">
        <f>TRUNC(O350)</f>
        <v>252</v>
      </c>
      <c r="D350" s="11">
        <f>TRUNC(N350)</f>
        <v>85</v>
      </c>
      <c r="E350" s="11">
        <f>M350</f>
        <v>156</v>
      </c>
      <c r="F350" s="38" t="str">
        <f>I350</f>
        <v>2020</v>
      </c>
      <c r="G350" s="11" t="str" cm="1">
        <f t="array" ref="G350">gssBoardClass(A350,B350,C350,D350,E350,F350)</f>
        <v>Slalom Large</v>
      </c>
      <c r="H350" s="39" t="str">
        <f>_xlfn.CONCAT(I350,"-",LEFT(K350,2),"-",LEFT(L350,3),"-",M350,"-",TRUNC(N350),"-",TRUNC(O350))</f>
        <v>2020-Fa-Gec-156-85-252</v>
      </c>
      <c r="I350" s="42" t="str">
        <f>LEFT(J350,4)</f>
        <v>2020</v>
      </c>
      <c r="J350" s="46">
        <v>2020</v>
      </c>
      <c r="K350" t="s">
        <v>1</v>
      </c>
      <c r="L350" t="s">
        <v>677</v>
      </c>
      <c r="M350">
        <v>156</v>
      </c>
      <c r="N350">
        <v>85</v>
      </c>
      <c r="O350">
        <v>252</v>
      </c>
      <c r="P350" t="s">
        <v>592</v>
      </c>
      <c r="Q350" t="s">
        <v>179</v>
      </c>
      <c r="R350" t="s">
        <v>679</v>
      </c>
      <c r="S350" t="s">
        <v>227</v>
      </c>
    </row>
    <row r="351" spans="1:19" x14ac:dyDescent="0.25">
      <c r="A351" s="11" t="str">
        <f>PROPER(K351)</f>
        <v>Fanatic</v>
      </c>
      <c r="B351" s="11" t="str">
        <f>TRIM(PROPER(LEFT(L351,IFERROR(FIND(" ",L351),99))&amp;MID(L351,IFERROR(FIND(" ",L351),99),99)))</f>
        <v>Gecko Hrs</v>
      </c>
      <c r="C351" s="11">
        <f>TRUNC(O351)</f>
        <v>252</v>
      </c>
      <c r="D351" s="11">
        <f>TRUNC(N351)</f>
        <v>85</v>
      </c>
      <c r="E351" s="11">
        <f>M351</f>
        <v>156</v>
      </c>
      <c r="F351" s="38" t="str">
        <f>I351</f>
        <v>2020</v>
      </c>
      <c r="G351" s="11" t="str" cm="1">
        <f t="array" ref="G351">gssBoardClass(A351,B351,C351,D351,E351,F351)</f>
        <v>Slalom Large</v>
      </c>
      <c r="H351" s="39" t="str">
        <f>_xlfn.CONCAT(I351,"-",LEFT(K351,2),"-",LEFT(L351,3),"-",M351,"-",TRUNC(N351),"-",TRUNC(O351))</f>
        <v>2020-Fa-Gec-156-85-252</v>
      </c>
      <c r="I351" s="42" t="str">
        <f>LEFT(J351,4)</f>
        <v>2020</v>
      </c>
      <c r="J351" s="46">
        <v>2020</v>
      </c>
      <c r="K351" t="s">
        <v>1</v>
      </c>
      <c r="L351" t="s">
        <v>677</v>
      </c>
      <c r="M351">
        <v>156</v>
      </c>
      <c r="N351">
        <v>85</v>
      </c>
      <c r="O351">
        <v>252</v>
      </c>
      <c r="P351" t="s">
        <v>680</v>
      </c>
      <c r="Q351" t="s">
        <v>179</v>
      </c>
      <c r="R351" t="s">
        <v>681</v>
      </c>
      <c r="S351" t="s">
        <v>227</v>
      </c>
    </row>
    <row r="352" spans="1:19" x14ac:dyDescent="0.25">
      <c r="A352" s="11" t="str">
        <f>PROPER(K352)</f>
        <v>Fanatic</v>
      </c>
      <c r="B352" s="11" t="str">
        <f>TRIM(PROPER(LEFT(L352,IFERROR(FIND(" ",L352),99))&amp;MID(L352,IFERROR(FIND(" ",L352),99),99)))</f>
        <v>Grip Te</v>
      </c>
      <c r="C352" s="11">
        <f>TRUNC(O352)</f>
        <v>228</v>
      </c>
      <c r="D352" s="11">
        <f>TRUNC(N352)</f>
        <v>61</v>
      </c>
      <c r="E352" s="11">
        <f>M352</f>
        <v>102</v>
      </c>
      <c r="F352" s="38" t="str">
        <f>I352</f>
        <v>2020</v>
      </c>
      <c r="G352" s="11" t="str" cm="1">
        <f t="array" ref="G352">gssBoardClass(A352,B352,C352,D352,E352,F352)</f>
        <v>Wave / Freestyle</v>
      </c>
      <c r="H352" s="39" t="str">
        <f>_xlfn.CONCAT(I352,"-",LEFT(K352,2),"-",LEFT(L352,3),"-",M352,"-",TRUNC(N352),"-",TRUNC(O352))</f>
        <v>2020-Fa-Gri-102-61-228</v>
      </c>
      <c r="I352" s="42" t="str">
        <f>LEFT(J352,4)</f>
        <v>2020</v>
      </c>
      <c r="J352" s="46">
        <v>2020</v>
      </c>
      <c r="K352" t="s">
        <v>1</v>
      </c>
      <c r="L352" t="s">
        <v>643</v>
      </c>
      <c r="M352">
        <v>102</v>
      </c>
      <c r="N352">
        <v>61</v>
      </c>
      <c r="O352">
        <v>228</v>
      </c>
      <c r="P352" t="s">
        <v>644</v>
      </c>
      <c r="Q352" t="s">
        <v>145</v>
      </c>
      <c r="R352" t="s">
        <v>160</v>
      </c>
      <c r="S352" t="s">
        <v>139</v>
      </c>
    </row>
    <row r="353" spans="1:19" x14ac:dyDescent="0.25">
      <c r="A353" s="11" t="str">
        <f>PROPER(K353)</f>
        <v>Fanatic</v>
      </c>
      <c r="B353" s="11" t="str">
        <f>TRIM(PROPER(LEFT(L353,IFERROR(FIND(" ",L353),99))&amp;MID(L353,IFERROR(FIND(" ",L353),99),99)))</f>
        <v>Grip Xs</v>
      </c>
      <c r="C353" s="11">
        <f>TRUNC(O353)</f>
        <v>218</v>
      </c>
      <c r="D353" s="11">
        <f>TRUNC(N353)</f>
        <v>52</v>
      </c>
      <c r="E353" s="11">
        <f>M353</f>
        <v>60</v>
      </c>
      <c r="F353" s="38" t="str">
        <f>I353</f>
        <v>2020</v>
      </c>
      <c r="G353" s="11" t="str" cm="1">
        <f t="array" ref="G353">gssBoardClass(A353,B353,C353,D353,E353,F353)</f>
        <v>Wave / Freestyle</v>
      </c>
      <c r="H353" s="39" t="str">
        <f>_xlfn.CONCAT(I353,"-",LEFT(K353,2),"-",LEFT(L353,3),"-",M353,"-",TRUNC(N353),"-",TRUNC(O353))</f>
        <v>2020-Fa-Gri-60-52-218</v>
      </c>
      <c r="I353" s="42" t="str">
        <f>LEFT(J353,4)</f>
        <v>2020</v>
      </c>
      <c r="J353" s="46">
        <v>2020</v>
      </c>
      <c r="K353" t="s">
        <v>1</v>
      </c>
      <c r="L353" t="s">
        <v>639</v>
      </c>
      <c r="M353">
        <v>60</v>
      </c>
      <c r="N353">
        <v>52</v>
      </c>
      <c r="O353">
        <v>218</v>
      </c>
      <c r="P353" t="s">
        <v>640</v>
      </c>
      <c r="Q353" t="s">
        <v>141</v>
      </c>
      <c r="R353" t="s">
        <v>641</v>
      </c>
      <c r="S353" t="s">
        <v>642</v>
      </c>
    </row>
    <row r="354" spans="1:19" x14ac:dyDescent="0.25">
      <c r="A354" s="11" t="str">
        <f>PROPER(K354)</f>
        <v>Fanatic</v>
      </c>
      <c r="B354" s="11" t="str">
        <f>TRIM(PROPER(LEFT(L354,IFERROR(FIND(" ",L354),99))&amp;MID(L354,IFERROR(FIND(" ",L354),99),99)))</f>
        <v>Grip Te</v>
      </c>
      <c r="C354" s="11">
        <f>TRUNC(O354)</f>
        <v>220</v>
      </c>
      <c r="D354" s="11">
        <f>TRUNC(N354)</f>
        <v>54</v>
      </c>
      <c r="E354" s="11">
        <f>M354</f>
        <v>68</v>
      </c>
      <c r="F354" s="38" t="str">
        <f>I354</f>
        <v>2020</v>
      </c>
      <c r="G354" s="11" t="str" cm="1">
        <f t="array" ref="G354">gssBoardClass(A354,B354,C354,D354,E354,F354)</f>
        <v>Wave / Freestyle</v>
      </c>
      <c r="H354" s="39" t="str">
        <f>_xlfn.CONCAT(I354,"-",LEFT(K354,2),"-",LEFT(L354,3),"-",M354,"-",TRUNC(N354),"-",TRUNC(O354))</f>
        <v>2020-Fa-Gri-68-54-220</v>
      </c>
      <c r="I354" s="42" t="str">
        <f>LEFT(J354,4)</f>
        <v>2020</v>
      </c>
      <c r="J354" s="46">
        <v>2020</v>
      </c>
      <c r="K354" t="s">
        <v>1</v>
      </c>
      <c r="L354" t="s">
        <v>643</v>
      </c>
      <c r="M354">
        <v>68</v>
      </c>
      <c r="N354">
        <v>54</v>
      </c>
      <c r="O354">
        <v>220</v>
      </c>
      <c r="P354" t="s">
        <v>644</v>
      </c>
      <c r="Q354" t="s">
        <v>141</v>
      </c>
      <c r="R354" t="s">
        <v>641</v>
      </c>
      <c r="S354" t="s">
        <v>143</v>
      </c>
    </row>
    <row r="355" spans="1:19" x14ac:dyDescent="0.25">
      <c r="A355" s="11" t="str">
        <f>PROPER(K355)</f>
        <v>Fanatic</v>
      </c>
      <c r="B355" s="11" t="str">
        <f>TRIM(PROPER(LEFT(L355,IFERROR(FIND(" ",L355),99))&amp;MID(L355,IFERROR(FIND(" ",L355),99),99)))</f>
        <v>Grip Te</v>
      </c>
      <c r="C355" s="11">
        <f>TRUNC(O355)</f>
        <v>222</v>
      </c>
      <c r="D355" s="11">
        <f>TRUNC(N355)</f>
        <v>56</v>
      </c>
      <c r="E355" s="11">
        <f>M355</f>
        <v>75</v>
      </c>
      <c r="F355" s="38" t="str">
        <f>I355</f>
        <v>2020</v>
      </c>
      <c r="G355" s="11" t="str" cm="1">
        <f t="array" ref="G355">gssBoardClass(A355,B355,C355,D355,E355,F355)</f>
        <v>Wave / Freestyle</v>
      </c>
      <c r="H355" s="39" t="str">
        <f>_xlfn.CONCAT(I355,"-",LEFT(K355,2),"-",LEFT(L355,3),"-",M355,"-",TRUNC(N355),"-",TRUNC(O355))</f>
        <v>2020-Fa-Gri-75-56-222</v>
      </c>
      <c r="I355" s="42" t="str">
        <f>LEFT(J355,4)</f>
        <v>2020</v>
      </c>
      <c r="J355" s="46">
        <v>2020</v>
      </c>
      <c r="K355" t="s">
        <v>1</v>
      </c>
      <c r="L355" t="s">
        <v>643</v>
      </c>
      <c r="M355">
        <v>75</v>
      </c>
      <c r="N355">
        <v>56</v>
      </c>
      <c r="O355">
        <v>222</v>
      </c>
      <c r="P355" t="s">
        <v>644</v>
      </c>
      <c r="Q355" t="s">
        <v>145</v>
      </c>
      <c r="R355" t="s">
        <v>153</v>
      </c>
      <c r="S355" t="s">
        <v>133</v>
      </c>
    </row>
    <row r="356" spans="1:19" x14ac:dyDescent="0.25">
      <c r="A356" s="11" t="str">
        <f>PROPER(K356)</f>
        <v>Fanatic</v>
      </c>
      <c r="B356" s="11" t="str">
        <f>TRIM(PROPER(LEFT(L356,IFERROR(FIND(" ",L356),99))&amp;MID(L356,IFERROR(FIND(" ",L356),99),99)))</f>
        <v>Grip Te</v>
      </c>
      <c r="C356" s="11">
        <f>TRUNC(O356)</f>
        <v>224</v>
      </c>
      <c r="D356" s="11">
        <f>TRUNC(N356)</f>
        <v>58</v>
      </c>
      <c r="E356" s="11">
        <f>M356</f>
        <v>82</v>
      </c>
      <c r="F356" s="38" t="str">
        <f>I356</f>
        <v>2020</v>
      </c>
      <c r="G356" s="11" t="str" cm="1">
        <f t="array" ref="G356">gssBoardClass(A356,B356,C356,D356,E356,F356)</f>
        <v>Wave / Freestyle</v>
      </c>
      <c r="H356" s="39" t="str">
        <f>_xlfn.CONCAT(I356,"-",LEFT(K356,2),"-",LEFT(L356,3),"-",M356,"-",TRUNC(N356),"-",TRUNC(O356))</f>
        <v>2020-Fa-Gri-82-58-224</v>
      </c>
      <c r="I356" s="42" t="str">
        <f>LEFT(J356,4)</f>
        <v>2020</v>
      </c>
      <c r="J356" s="46">
        <v>2020</v>
      </c>
      <c r="K356" t="s">
        <v>1</v>
      </c>
      <c r="L356" t="s">
        <v>643</v>
      </c>
      <c r="M356">
        <v>82</v>
      </c>
      <c r="N356">
        <v>58</v>
      </c>
      <c r="O356">
        <v>224</v>
      </c>
      <c r="P356" t="s">
        <v>644</v>
      </c>
      <c r="Q356" t="s">
        <v>145</v>
      </c>
      <c r="R356" t="s">
        <v>146</v>
      </c>
      <c r="S356" t="s">
        <v>135</v>
      </c>
    </row>
    <row r="357" spans="1:19" x14ac:dyDescent="0.25">
      <c r="A357" s="11" t="str">
        <f>PROPER(K357)</f>
        <v>Fanatic</v>
      </c>
      <c r="B357" s="11" t="str">
        <f>TRIM(PROPER(LEFT(L357,IFERROR(FIND(" ",L357),99))&amp;MID(L357,IFERROR(FIND(" ",L357),99),99)))</f>
        <v>Grip Te</v>
      </c>
      <c r="C357" s="11">
        <f>TRUNC(O357)</f>
        <v>225</v>
      </c>
      <c r="D357" s="11">
        <f>TRUNC(N357)</f>
        <v>58</v>
      </c>
      <c r="E357" s="11">
        <f>M357</f>
        <v>86</v>
      </c>
      <c r="F357" s="38" t="str">
        <f>I357</f>
        <v>2020</v>
      </c>
      <c r="G357" s="11" t="str" cm="1">
        <f t="array" ref="G357">gssBoardClass(A357,B357,C357,D357,E357,F357)</f>
        <v>Wave / Freestyle</v>
      </c>
      <c r="H357" s="39" t="str">
        <f>_xlfn.CONCAT(I357,"-",LEFT(K357,2),"-",LEFT(L357,3),"-",M357,"-",TRUNC(N357),"-",TRUNC(O357))</f>
        <v>2020-Fa-Gri-86-58-225</v>
      </c>
      <c r="I357" s="42" t="str">
        <f>LEFT(J357,4)</f>
        <v>2020</v>
      </c>
      <c r="J357" s="46">
        <v>2020</v>
      </c>
      <c r="K357" t="s">
        <v>1</v>
      </c>
      <c r="L357" t="s">
        <v>643</v>
      </c>
      <c r="M357">
        <v>86</v>
      </c>
      <c r="N357">
        <v>58.5</v>
      </c>
      <c r="O357">
        <v>225</v>
      </c>
      <c r="P357" t="s">
        <v>644</v>
      </c>
      <c r="Q357" t="s">
        <v>145</v>
      </c>
      <c r="R357" t="s">
        <v>153</v>
      </c>
      <c r="S357" t="s">
        <v>158</v>
      </c>
    </row>
    <row r="358" spans="1:19" x14ac:dyDescent="0.25">
      <c r="A358" s="11" t="str">
        <f>PROPER(K358)</f>
        <v>Fanatic</v>
      </c>
      <c r="B358" s="11" t="str">
        <f>TRIM(PROPER(LEFT(L358,IFERROR(FIND(" ",L358),99))&amp;MID(L358,IFERROR(FIND(" ",L358),99),99)))</f>
        <v>Grip Te</v>
      </c>
      <c r="C358" s="11">
        <f>TRUNC(O358)</f>
        <v>226</v>
      </c>
      <c r="D358" s="11">
        <f>TRUNC(N358)</f>
        <v>59</v>
      </c>
      <c r="E358" s="11">
        <f>M358</f>
        <v>92</v>
      </c>
      <c r="F358" s="38" t="str">
        <f>I358</f>
        <v>2020</v>
      </c>
      <c r="G358" s="11" t="str" cm="1">
        <f t="array" ref="G358">gssBoardClass(A358,B358,C358,D358,E358,F358)</f>
        <v>Wave / Freestyle</v>
      </c>
      <c r="H358" s="39" t="str">
        <f>_xlfn.CONCAT(I358,"-",LEFT(K358,2),"-",LEFT(L358,3),"-",M358,"-",TRUNC(N358),"-",TRUNC(O358))</f>
        <v>2020-Fa-Gri-92-59-226</v>
      </c>
      <c r="I358" s="42" t="str">
        <f>LEFT(J358,4)</f>
        <v>2020</v>
      </c>
      <c r="J358" s="46">
        <v>2020</v>
      </c>
      <c r="K358" t="s">
        <v>1</v>
      </c>
      <c r="L358" t="s">
        <v>643</v>
      </c>
      <c r="M358">
        <v>92</v>
      </c>
      <c r="N358">
        <v>59.5</v>
      </c>
      <c r="O358">
        <v>226</v>
      </c>
      <c r="P358" t="s">
        <v>644</v>
      </c>
      <c r="Q358" t="s">
        <v>145</v>
      </c>
      <c r="R358" t="s">
        <v>149</v>
      </c>
      <c r="S358" t="s">
        <v>138</v>
      </c>
    </row>
    <row r="359" spans="1:19" x14ac:dyDescent="0.25">
      <c r="A359" s="11" t="str">
        <f>PROPER(K359)</f>
        <v>Fanatic</v>
      </c>
      <c r="B359" s="11" t="str">
        <f>TRIM(PROPER(LEFT(L359,IFERROR(FIND(" ",L359),99))&amp;MID(L359,IFERROR(FIND(" ",L359),99),99)))</f>
        <v>Jag Ltd</v>
      </c>
      <c r="C359" s="11">
        <f>TRUNC(O359)</f>
        <v>235</v>
      </c>
      <c r="D359" s="11">
        <f>TRUNC(N359)</f>
        <v>69</v>
      </c>
      <c r="E359" s="11">
        <f>M359</f>
        <v>108</v>
      </c>
      <c r="F359" s="38" t="str">
        <f>I359</f>
        <v>2020</v>
      </c>
      <c r="G359" s="11" t="str" cm="1">
        <f t="array" ref="G359">gssBoardClass(A359,B359,C359,D359,E359,F359)</f>
        <v>Slalom Medium</v>
      </c>
      <c r="H359" s="39" t="str">
        <f>_xlfn.CONCAT(I359,"-",LEFT(K359,2),"-",LEFT(L359,3),"-",M359,"-",TRUNC(N359),"-",TRUNC(O359))</f>
        <v>2020-Fa-Jag-108-69-235</v>
      </c>
      <c r="I359" s="42" t="str">
        <f>LEFT(J359,4)</f>
        <v>2020</v>
      </c>
      <c r="J359" s="46">
        <v>2020</v>
      </c>
      <c r="K359" t="s">
        <v>1</v>
      </c>
      <c r="L359" t="s">
        <v>687</v>
      </c>
      <c r="M359">
        <v>108</v>
      </c>
      <c r="N359">
        <v>69</v>
      </c>
      <c r="O359">
        <v>235</v>
      </c>
      <c r="P359" t="s">
        <v>709</v>
      </c>
      <c r="Q359" t="s">
        <v>283</v>
      </c>
      <c r="R359" t="s">
        <v>686</v>
      </c>
      <c r="S359" t="s">
        <v>196</v>
      </c>
    </row>
    <row r="360" spans="1:19" x14ac:dyDescent="0.25">
      <c r="A360" s="11" t="str">
        <f>PROPER(K360)</f>
        <v>Fanatic</v>
      </c>
      <c r="B360" s="11" t="str">
        <f>TRIM(PROPER(LEFT(L360,IFERROR(FIND(" ",L360),99))&amp;MID(L360,IFERROR(FIND(" ",L360),99),99)))</f>
        <v>Jag Ltd</v>
      </c>
      <c r="C360" s="11">
        <f>TRUNC(O360)</f>
        <v>235</v>
      </c>
      <c r="D360" s="11">
        <f>TRUNC(N360)</f>
        <v>75</v>
      </c>
      <c r="E360" s="11">
        <f>M360</f>
        <v>125</v>
      </c>
      <c r="F360" s="38" t="str">
        <f>I360</f>
        <v>2020</v>
      </c>
      <c r="G360" s="11" t="str" cm="1">
        <f t="array" ref="G360">gssBoardClass(A360,B360,C360,D360,E360,F360)</f>
        <v>Slalom Large</v>
      </c>
      <c r="H360" s="39" t="str">
        <f>_xlfn.CONCAT(I360,"-",LEFT(K360,2),"-",LEFT(L360,3),"-",M360,"-",TRUNC(N360),"-",TRUNC(O360))</f>
        <v>2020-Fa-Jag-125-75-235</v>
      </c>
      <c r="I360" s="42" t="str">
        <f>LEFT(J360,4)</f>
        <v>2020</v>
      </c>
      <c r="J360" s="46">
        <v>2020</v>
      </c>
      <c r="K360" t="s">
        <v>1</v>
      </c>
      <c r="L360" t="s">
        <v>687</v>
      </c>
      <c r="M360">
        <v>125</v>
      </c>
      <c r="N360">
        <v>75</v>
      </c>
      <c r="O360">
        <v>235</v>
      </c>
      <c r="P360" t="s">
        <v>709</v>
      </c>
      <c r="Q360" t="s">
        <v>283</v>
      </c>
      <c r="R360" t="s">
        <v>688</v>
      </c>
      <c r="S360" t="s">
        <v>252</v>
      </c>
    </row>
    <row r="361" spans="1:19" x14ac:dyDescent="0.25">
      <c r="A361" s="11" t="str">
        <f>PROPER(K361)</f>
        <v>Fanatic</v>
      </c>
      <c r="B361" s="11" t="str">
        <f>TRIM(PROPER(LEFT(L361,IFERROR(FIND(" ",L361),99))&amp;MID(L361,IFERROR(FIND(" ",L361),99),99)))</f>
        <v>Jag Ltd</v>
      </c>
      <c r="C361" s="11">
        <f>TRUNC(O361)</f>
        <v>235</v>
      </c>
      <c r="D361" s="11">
        <f>TRUNC(N361)</f>
        <v>82</v>
      </c>
      <c r="E361" s="11">
        <f>M361</f>
        <v>135</v>
      </c>
      <c r="F361" s="38" t="str">
        <f>I361</f>
        <v>2020</v>
      </c>
      <c r="G361" s="11" t="str" cm="1">
        <f t="array" ref="G361">gssBoardClass(A361,B361,C361,D361,E361,F361)</f>
        <v>Slalom Large</v>
      </c>
      <c r="H361" s="39" t="str">
        <f>_xlfn.CONCAT(I361,"-",LEFT(K361,2),"-",LEFT(L361,3),"-",M361,"-",TRUNC(N361),"-",TRUNC(O361))</f>
        <v>2020-Fa-Jag-135-82-235</v>
      </c>
      <c r="I361" s="42" t="str">
        <f>LEFT(J361,4)</f>
        <v>2020</v>
      </c>
      <c r="J361" s="46">
        <v>2020</v>
      </c>
      <c r="K361" t="s">
        <v>1</v>
      </c>
      <c r="L361" t="s">
        <v>687</v>
      </c>
      <c r="M361">
        <v>135</v>
      </c>
      <c r="N361">
        <v>82</v>
      </c>
      <c r="O361">
        <v>235</v>
      </c>
      <c r="P361" t="s">
        <v>709</v>
      </c>
      <c r="Q361" t="s">
        <v>283</v>
      </c>
      <c r="R361" t="s">
        <v>689</v>
      </c>
      <c r="S361" t="s">
        <v>205</v>
      </c>
    </row>
    <row r="362" spans="1:19" x14ac:dyDescent="0.25">
      <c r="A362" s="11" t="str">
        <f>PROPER(K362)</f>
        <v>Fanatic</v>
      </c>
      <c r="B362" s="11" t="str">
        <f>TRIM(PROPER(LEFT(L362,IFERROR(FIND(" ",L362),99))&amp;MID(L362,IFERROR(FIND(" ",L362),99),99)))</f>
        <v>Jag Ltd</v>
      </c>
      <c r="C362" s="11">
        <f>TRUNC(O362)</f>
        <v>235</v>
      </c>
      <c r="D362" s="11">
        <f>TRUNC(N362)</f>
        <v>61</v>
      </c>
      <c r="E362" s="11">
        <f>M362</f>
        <v>94</v>
      </c>
      <c r="F362" s="38" t="str">
        <f>I362</f>
        <v>2020</v>
      </c>
      <c r="G362" s="11" t="str" cm="1">
        <f t="array" ref="G362">gssBoardClass(A362,B362,C362,D362,E362,F362)</f>
        <v>Speed/Slalom Small</v>
      </c>
      <c r="H362" s="39" t="str">
        <f>_xlfn.CONCAT(I362,"-",LEFT(K362,2),"-",LEFT(L362,3),"-",M362,"-",TRUNC(N362),"-",TRUNC(O362))</f>
        <v>2020-Fa-Jag-94-61-235</v>
      </c>
      <c r="I362" s="42" t="str">
        <f>LEFT(J362,4)</f>
        <v>2020</v>
      </c>
      <c r="J362" s="46">
        <v>2020</v>
      </c>
      <c r="K362" t="s">
        <v>1</v>
      </c>
      <c r="L362" t="s">
        <v>687</v>
      </c>
      <c r="M362">
        <v>94</v>
      </c>
      <c r="N362">
        <v>61</v>
      </c>
      <c r="O362">
        <v>235</v>
      </c>
      <c r="P362" t="s">
        <v>709</v>
      </c>
      <c r="Q362" t="s">
        <v>684</v>
      </c>
      <c r="R362" t="s">
        <v>685</v>
      </c>
      <c r="S362" t="s">
        <v>247</v>
      </c>
    </row>
    <row r="363" spans="1:19" x14ac:dyDescent="0.25">
      <c r="A363" s="11" t="str">
        <f>PROPER(K363)</f>
        <v>Fanatic</v>
      </c>
      <c r="B363" s="11" t="str">
        <f>TRIM(PROPER(LEFT(L363,IFERROR(FIND(" ",L363),99))&amp;MID(L363,IFERROR(FIND(" ",L363),99),99)))</f>
        <v>Ripper</v>
      </c>
      <c r="C363" s="11">
        <f>TRUNC(O363)</f>
        <v>239</v>
      </c>
      <c r="D363" s="11">
        <f>TRUNC(N363)</f>
        <v>73</v>
      </c>
      <c r="E363" s="11">
        <f>M363</f>
        <v>112</v>
      </c>
      <c r="F363" s="38" t="str">
        <f>I363</f>
        <v>2020</v>
      </c>
      <c r="G363" s="11" t="str" cm="1">
        <f t="array" ref="G363">gssBoardClass(A363,B363,C363,D363,E363,F363)</f>
        <v>Slalom Medium</v>
      </c>
      <c r="H363" s="39" t="str">
        <f>_xlfn.CONCAT(I363,"-",LEFT(K363,2),"-",LEFT(L363,3),"-",M363,"-",TRUNC(N363),"-",TRUNC(O363))</f>
        <v>2020-Fa-Rip-112-73-239</v>
      </c>
      <c r="I363" s="42" t="str">
        <f>LEFT(J363,4)</f>
        <v>2020</v>
      </c>
      <c r="J363" s="46">
        <v>2020</v>
      </c>
      <c r="K363" t="s">
        <v>1</v>
      </c>
      <c r="L363" t="s">
        <v>700</v>
      </c>
      <c r="M363">
        <v>112</v>
      </c>
      <c r="N363">
        <v>73</v>
      </c>
      <c r="O363">
        <v>239</v>
      </c>
      <c r="P363" t="s">
        <v>699</v>
      </c>
      <c r="Q363" t="s">
        <v>179</v>
      </c>
      <c r="R363" t="s">
        <v>701</v>
      </c>
      <c r="S363" t="s">
        <v>193</v>
      </c>
    </row>
    <row r="364" spans="1:19" x14ac:dyDescent="0.25">
      <c r="A364" s="11" t="str">
        <f>PROPER(K364)</f>
        <v>Fanatic</v>
      </c>
      <c r="B364" s="11" t="str">
        <f>TRIM(PROPER(LEFT(L364,IFERROR(FIND(" ",L364),99))&amp;MID(L364,IFERROR(FIND(" ",L364),99),99)))</f>
        <v>Ripper Air Ws</v>
      </c>
      <c r="C364" s="11">
        <f>TRUNC(O364)</f>
        <v>274</v>
      </c>
      <c r="D364" s="11">
        <f>TRUNC(N364)</f>
        <v>73</v>
      </c>
      <c r="E364" s="11">
        <f>M364</f>
        <v>187</v>
      </c>
      <c r="F364" s="38" t="str">
        <f>I364</f>
        <v>2020</v>
      </c>
      <c r="G364" s="11" t="str" cm="1">
        <f t="array" ref="G364">gssBoardClass(A364,B364,C364,D364,E364,F364)</f>
        <v>Slalom Medium</v>
      </c>
      <c r="H364" s="39" t="str">
        <f>_xlfn.CONCAT(I364,"-",LEFT(K364,2),"-",LEFT(L364,3),"-",M364,"-",TRUNC(N364),"-",TRUNC(O364))</f>
        <v>2020-Fa-Rip-187-73-274</v>
      </c>
      <c r="I364" s="42" t="str">
        <f>LEFT(J364,4)</f>
        <v>2020</v>
      </c>
      <c r="J364" s="46">
        <v>2020</v>
      </c>
      <c r="K364" t="s">
        <v>1</v>
      </c>
      <c r="L364" t="s">
        <v>707</v>
      </c>
      <c r="M364">
        <v>187</v>
      </c>
      <c r="N364">
        <v>73.7</v>
      </c>
      <c r="O364">
        <v>274.3</v>
      </c>
      <c r="P364" t="s">
        <v>706</v>
      </c>
      <c r="Q364" t="s">
        <v>269</v>
      </c>
      <c r="R364" t="s">
        <v>703</v>
      </c>
      <c r="S364" t="s">
        <v>704</v>
      </c>
    </row>
    <row r="365" spans="1:19" x14ac:dyDescent="0.25">
      <c r="A365" s="11" t="str">
        <f>PROPER(K365)</f>
        <v>Fanatic</v>
      </c>
      <c r="B365" s="11" t="str">
        <f>TRIM(PROPER(LEFT(L365,IFERROR(FIND(" ",L365),99))&amp;MID(L365,IFERROR(FIND(" ",L365),99),99)))</f>
        <v>Skate Te</v>
      </c>
      <c r="C365" s="11">
        <f>TRUNC(O365)</f>
        <v>226</v>
      </c>
      <c r="D365" s="11">
        <f>TRUNC(N365)</f>
        <v>66</v>
      </c>
      <c r="E365" s="11">
        <f>M365</f>
        <v>108</v>
      </c>
      <c r="F365" s="38" t="str">
        <f>I365</f>
        <v>2020</v>
      </c>
      <c r="G365" s="11" t="str" cm="1">
        <f t="array" ref="G365">gssBoardClass(A365,B365,C365,D365,E365,F365)</f>
        <v>Wave / Freestyle</v>
      </c>
      <c r="H365" s="39" t="str">
        <f>_xlfn.CONCAT(I365,"-",LEFT(K365,2),"-",LEFT(L365,3),"-",M365,"-",TRUNC(N365),"-",TRUNC(O365))</f>
        <v>2020-Fa-Ska-108-66-226</v>
      </c>
      <c r="I365" s="42" t="str">
        <f>LEFT(J365,4)</f>
        <v>2020</v>
      </c>
      <c r="J365" s="46">
        <v>2020</v>
      </c>
      <c r="K365" t="s">
        <v>1</v>
      </c>
      <c r="L365" t="s">
        <v>664</v>
      </c>
      <c r="M365">
        <v>108</v>
      </c>
      <c r="N365">
        <v>66.5</v>
      </c>
      <c r="O365">
        <v>226</v>
      </c>
      <c r="P365" t="s">
        <v>644</v>
      </c>
      <c r="Q365" t="s">
        <v>179</v>
      </c>
      <c r="R365" t="s">
        <v>666</v>
      </c>
      <c r="S365" t="s">
        <v>188</v>
      </c>
    </row>
    <row r="366" spans="1:19" x14ac:dyDescent="0.25">
      <c r="A366" s="11" t="str">
        <f>PROPER(K366)</f>
        <v>Fanatic</v>
      </c>
      <c r="B366" s="11" t="str">
        <f>TRIM(PROPER(LEFT(L366,IFERROR(FIND(" ",L366),99))&amp;MID(L366,IFERROR(FIND(" ",L366),99),99)))</f>
        <v>Skate Te</v>
      </c>
      <c r="C366" s="11">
        <f>TRUNC(O366)</f>
        <v>225</v>
      </c>
      <c r="D366" s="11">
        <f>TRUNC(N366)</f>
        <v>60</v>
      </c>
      <c r="E366" s="11">
        <f>M366</f>
        <v>85</v>
      </c>
      <c r="F366" s="38" t="str">
        <f>I366</f>
        <v>2020</v>
      </c>
      <c r="G366" s="11" t="str" cm="1">
        <f t="array" ref="G366">gssBoardClass(A366,B366,C366,D366,E366,F366)</f>
        <v>Wave / Freestyle</v>
      </c>
      <c r="H366" s="39" t="str">
        <f>_xlfn.CONCAT(I366,"-",LEFT(K366,2),"-",LEFT(L366,3),"-",M366,"-",TRUNC(N366),"-",TRUNC(O366))</f>
        <v>2020-Fa-Ska-85-60-225</v>
      </c>
      <c r="I366" s="42" t="str">
        <f>LEFT(J366,4)</f>
        <v>2020</v>
      </c>
      <c r="J366" s="46">
        <v>2020</v>
      </c>
      <c r="K366" t="s">
        <v>1</v>
      </c>
      <c r="L366" t="s">
        <v>664</v>
      </c>
      <c r="M366">
        <v>85</v>
      </c>
      <c r="N366">
        <v>60</v>
      </c>
      <c r="O366">
        <v>225</v>
      </c>
      <c r="P366" t="s">
        <v>644</v>
      </c>
      <c r="Q366" t="s">
        <v>179</v>
      </c>
      <c r="R366" t="s">
        <v>662</v>
      </c>
      <c r="S366" t="s">
        <v>133</v>
      </c>
    </row>
    <row r="367" spans="1:19" x14ac:dyDescent="0.25">
      <c r="A367" s="11" t="str">
        <f>PROPER(K367)</f>
        <v>Fanatic</v>
      </c>
      <c r="B367" s="11" t="str">
        <f>TRIM(PROPER(LEFT(L367,IFERROR(FIND(" ",L367),99))&amp;MID(L367,IFERROR(FIND(" ",L367),99),99)))</f>
        <v>Skate Te</v>
      </c>
      <c r="C367" s="11">
        <f>TRUNC(O367)</f>
        <v>220</v>
      </c>
      <c r="D367" s="11">
        <f>TRUNC(N367)</f>
        <v>62</v>
      </c>
      <c r="E367" s="11">
        <f>M367</f>
        <v>92</v>
      </c>
      <c r="F367" s="38" t="str">
        <f>I367</f>
        <v>2020</v>
      </c>
      <c r="G367" s="11" t="str" cm="1">
        <f t="array" ref="G367">gssBoardClass(A367,B367,C367,D367,E367,F367)</f>
        <v>Wave / Freestyle</v>
      </c>
      <c r="H367" s="39" t="str">
        <f>_xlfn.CONCAT(I367,"-",LEFT(K367,2),"-",LEFT(L367,3),"-",M367,"-",TRUNC(N367),"-",TRUNC(O367))</f>
        <v>2020-Fa-Ska-92-62-220</v>
      </c>
      <c r="I367" s="42" t="str">
        <f>LEFT(J367,4)</f>
        <v>2020</v>
      </c>
      <c r="J367" s="46">
        <v>2020</v>
      </c>
      <c r="K367" t="s">
        <v>1</v>
      </c>
      <c r="L367" t="s">
        <v>664</v>
      </c>
      <c r="M367">
        <v>92</v>
      </c>
      <c r="N367">
        <v>62</v>
      </c>
      <c r="O367">
        <v>220</v>
      </c>
      <c r="P367" t="s">
        <v>644</v>
      </c>
      <c r="Q367" t="s">
        <v>179</v>
      </c>
      <c r="R367" t="s">
        <v>663</v>
      </c>
      <c r="S367" t="s">
        <v>183</v>
      </c>
    </row>
    <row r="368" spans="1:19" x14ac:dyDescent="0.25">
      <c r="A368" s="11" t="str">
        <f>PROPER(K368)</f>
        <v>Fanatic</v>
      </c>
      <c r="B368" s="11" t="str">
        <f>TRIM(PROPER(LEFT(L368,IFERROR(FIND(" ",L368),99))&amp;MID(L368,IFERROR(FIND(" ",L368),99),99)))</f>
        <v>Skate Te</v>
      </c>
      <c r="C368" s="11">
        <f>TRUNC(O368)</f>
        <v>225</v>
      </c>
      <c r="D368" s="11">
        <f>TRUNC(N368)</f>
        <v>65</v>
      </c>
      <c r="E368" s="11">
        <f>M368</f>
        <v>99</v>
      </c>
      <c r="F368" s="38" t="str">
        <f>I368</f>
        <v>2020</v>
      </c>
      <c r="G368" s="11" t="str" cm="1">
        <f t="array" ref="G368">gssBoardClass(A368,B368,C368,D368,E368,F368)</f>
        <v>Wave / Freestyle</v>
      </c>
      <c r="H368" s="39" t="str">
        <f>_xlfn.CONCAT(I368,"-",LEFT(K368,2),"-",LEFT(L368,3),"-",M368,"-",TRUNC(N368),"-",TRUNC(O368))</f>
        <v>2020-Fa-Ska-99-65-225</v>
      </c>
      <c r="I368" s="42" t="str">
        <f>LEFT(J368,4)</f>
        <v>2020</v>
      </c>
      <c r="J368" s="46">
        <v>2020</v>
      </c>
      <c r="K368" t="s">
        <v>1</v>
      </c>
      <c r="L368" t="s">
        <v>664</v>
      </c>
      <c r="M368">
        <v>99</v>
      </c>
      <c r="N368">
        <v>65</v>
      </c>
      <c r="O368">
        <v>225</v>
      </c>
      <c r="P368" t="s">
        <v>644</v>
      </c>
      <c r="Q368" t="s">
        <v>179</v>
      </c>
      <c r="R368" t="s">
        <v>665</v>
      </c>
      <c r="S368" t="s">
        <v>138</v>
      </c>
    </row>
    <row r="369" spans="1:19" x14ac:dyDescent="0.25">
      <c r="A369" s="11" t="str">
        <f>PROPER(K369)</f>
        <v>Fanatic</v>
      </c>
      <c r="B369" s="11" t="str">
        <f>TRIM(PROPER(LEFT(L369,IFERROR(FIND(" ",L369),99))&amp;MID(L369,IFERROR(FIND(" ",L369),99),99)))</f>
        <v>Stingray Ltd</v>
      </c>
      <c r="C369" s="11">
        <f>TRUNC(O369)</f>
        <v>215</v>
      </c>
      <c r="D369" s="11">
        <f>TRUNC(N369)</f>
        <v>65</v>
      </c>
      <c r="E369" s="11">
        <f>M369</f>
        <v>110</v>
      </c>
      <c r="F369" s="38" t="str">
        <f>I369</f>
        <v>2020</v>
      </c>
      <c r="G369" s="11" t="str" cm="1">
        <f t="array" ref="G369">gssBoardClass(A369,B369,C369,D369,E369,F369)</f>
        <v>Speed/Slalom Small</v>
      </c>
      <c r="H369" s="39" t="str">
        <f>_xlfn.CONCAT(I369,"-",LEFT(K369,2),"-",LEFT(L369,3),"-",M369,"-",TRUNC(N369),"-",TRUNC(O369))</f>
        <v>2020-Fa-Sti-110-65-215</v>
      </c>
      <c r="I369" s="42" t="str">
        <f>LEFT(J369,4)</f>
        <v>2020</v>
      </c>
      <c r="J369" s="46">
        <v>2020</v>
      </c>
      <c r="K369" t="s">
        <v>1</v>
      </c>
      <c r="L369" t="s">
        <v>695</v>
      </c>
      <c r="M369">
        <v>110</v>
      </c>
      <c r="N369">
        <v>65</v>
      </c>
      <c r="O369">
        <v>215</v>
      </c>
      <c r="P369" t="s">
        <v>657</v>
      </c>
      <c r="Q369" t="s">
        <v>696</v>
      </c>
      <c r="R369" t="s">
        <v>246</v>
      </c>
      <c r="S369" t="s">
        <v>193</v>
      </c>
    </row>
    <row r="370" spans="1:19" x14ac:dyDescent="0.25">
      <c r="A370" s="11" t="str">
        <f>PROPER(K370)</f>
        <v>Fanatic</v>
      </c>
      <c r="B370" s="11" t="str">
        <f>TRIM(PROPER(LEFT(L370,IFERROR(FIND(" ",L370),99))&amp;MID(L370,IFERROR(FIND(" ",L370),99),99)))</f>
        <v>Stingray Ltd</v>
      </c>
      <c r="C370" s="11">
        <f>TRUNC(O370)</f>
        <v>228</v>
      </c>
      <c r="D370" s="11">
        <f>TRUNC(N370)</f>
        <v>75</v>
      </c>
      <c r="E370" s="11">
        <f>M370</f>
        <v>125</v>
      </c>
      <c r="F370" s="38" t="str">
        <f>I370</f>
        <v>2020</v>
      </c>
      <c r="G370" s="11" t="str" cm="1">
        <f t="array" ref="G370">gssBoardClass(A370,B370,C370,D370,E370,F370)</f>
        <v>Slalom Large</v>
      </c>
      <c r="H370" s="39" t="str">
        <f>_xlfn.CONCAT(I370,"-",LEFT(K370,2),"-",LEFT(L370,3),"-",M370,"-",TRUNC(N370),"-",TRUNC(O370))</f>
        <v>2020-Fa-Sti-125-75-228</v>
      </c>
      <c r="I370" s="42" t="str">
        <f>LEFT(J370,4)</f>
        <v>2020</v>
      </c>
      <c r="J370" s="46">
        <v>2020</v>
      </c>
      <c r="K370" t="s">
        <v>1</v>
      </c>
      <c r="L370" t="s">
        <v>695</v>
      </c>
      <c r="M370">
        <v>125</v>
      </c>
      <c r="N370">
        <v>75</v>
      </c>
      <c r="O370">
        <v>228</v>
      </c>
      <c r="P370" t="s">
        <v>659</v>
      </c>
      <c r="Q370" t="s">
        <v>696</v>
      </c>
      <c r="R370" t="s">
        <v>246</v>
      </c>
      <c r="S370" t="s">
        <v>199</v>
      </c>
    </row>
    <row r="371" spans="1:19" x14ac:dyDescent="0.25">
      <c r="A371" s="11" t="str">
        <f>PROPER(K371)</f>
        <v>Fanatic</v>
      </c>
      <c r="B371" s="11" t="str">
        <f>TRIM(PROPER(LEFT(L371,IFERROR(FIND(" ",L371),99))&amp;MID(L371,IFERROR(FIND(" ",L371),99),99)))</f>
        <v>Stingray Hrs</v>
      </c>
      <c r="C371" s="11">
        <f>TRUNC(O371)</f>
        <v>228</v>
      </c>
      <c r="D371" s="11">
        <f>TRUNC(N371)</f>
        <v>75</v>
      </c>
      <c r="E371" s="11">
        <f>M371</f>
        <v>125</v>
      </c>
      <c r="F371" s="38" t="str">
        <f>I371</f>
        <v>2020</v>
      </c>
      <c r="G371" s="11" t="str" cm="1">
        <f t="array" ref="G371">gssBoardClass(A371,B371,C371,D371,E371,F371)</f>
        <v>Slalom Large</v>
      </c>
      <c r="H371" s="39" t="str">
        <f>_xlfn.CONCAT(I371,"-",LEFT(K371,2),"-",LEFT(L371,3),"-",M371,"-",TRUNC(N371),"-",TRUNC(O371))</f>
        <v>2020-Fa-Sti-125-75-228</v>
      </c>
      <c r="I371" s="42" t="str">
        <f>LEFT(J371,4)</f>
        <v>2020</v>
      </c>
      <c r="J371" s="46">
        <v>2020</v>
      </c>
      <c r="K371" t="s">
        <v>1</v>
      </c>
      <c r="L371" t="s">
        <v>697</v>
      </c>
      <c r="M371">
        <v>125</v>
      </c>
      <c r="N371">
        <v>75</v>
      </c>
      <c r="O371">
        <v>228</v>
      </c>
      <c r="P371" t="s">
        <v>592</v>
      </c>
      <c r="Q371" t="s">
        <v>696</v>
      </c>
      <c r="R371" t="s">
        <v>246</v>
      </c>
      <c r="S371" t="s">
        <v>199</v>
      </c>
    </row>
    <row r="372" spans="1:19" x14ac:dyDescent="0.25">
      <c r="A372" s="11" t="str">
        <f>PROPER(K372)</f>
        <v>Fanatic</v>
      </c>
      <c r="B372" s="11" t="str">
        <f>TRIM(PROPER(LEFT(L372,IFERROR(FIND(" ",L372),99))&amp;MID(L372,IFERROR(FIND(" ",L372),99),99)))</f>
        <v>Stingray Ltd</v>
      </c>
      <c r="C372" s="11">
        <f>TRUNC(O372)</f>
        <v>228</v>
      </c>
      <c r="D372" s="11">
        <f>TRUNC(N372)</f>
        <v>85</v>
      </c>
      <c r="E372" s="11">
        <f>M372</f>
        <v>140</v>
      </c>
      <c r="F372" s="38" t="str">
        <f>I372</f>
        <v>2020</v>
      </c>
      <c r="G372" s="11" t="str" cm="1">
        <f t="array" ref="G372">gssBoardClass(A372,B372,C372,D372,E372,F372)</f>
        <v>Slalom Large</v>
      </c>
      <c r="H372" s="39" t="str">
        <f>_xlfn.CONCAT(I372,"-",LEFT(K372,2),"-",LEFT(L372,3),"-",M372,"-",TRUNC(N372),"-",TRUNC(O372))</f>
        <v>2020-Fa-Sti-140-85-228</v>
      </c>
      <c r="I372" s="42" t="str">
        <f>LEFT(J372,4)</f>
        <v>2020</v>
      </c>
      <c r="J372" s="46">
        <v>2020</v>
      </c>
      <c r="K372" t="s">
        <v>1</v>
      </c>
      <c r="L372" t="s">
        <v>695</v>
      </c>
      <c r="M372">
        <v>140</v>
      </c>
      <c r="N372">
        <v>85</v>
      </c>
      <c r="O372">
        <v>228</v>
      </c>
      <c r="P372" t="s">
        <v>659</v>
      </c>
      <c r="Q372" t="s">
        <v>696</v>
      </c>
      <c r="R372" t="s">
        <v>246</v>
      </c>
      <c r="S372" t="s">
        <v>238</v>
      </c>
    </row>
    <row r="373" spans="1:19" x14ac:dyDescent="0.25">
      <c r="A373" s="11" t="str">
        <f>PROPER(K373)</f>
        <v>Fanatic</v>
      </c>
      <c r="B373" s="11" t="str">
        <f>TRIM(PROPER(LEFT(L373,IFERROR(FIND(" ",L373),99))&amp;MID(L373,IFERROR(FIND(" ",L373),99),99)))</f>
        <v>Stingray Hrs</v>
      </c>
      <c r="C373" s="11">
        <f>TRUNC(O373)</f>
        <v>228</v>
      </c>
      <c r="D373" s="11">
        <f>TRUNC(N373)</f>
        <v>85</v>
      </c>
      <c r="E373" s="11">
        <f>M373</f>
        <v>140</v>
      </c>
      <c r="F373" s="38" t="str">
        <f>I373</f>
        <v>2020</v>
      </c>
      <c r="G373" s="11" t="str" cm="1">
        <f t="array" ref="G373">gssBoardClass(A373,B373,C373,D373,E373,F373)</f>
        <v>Slalom Large</v>
      </c>
      <c r="H373" s="39" t="str">
        <f>_xlfn.CONCAT(I373,"-",LEFT(K373,2),"-",LEFT(L373,3),"-",M373,"-",TRUNC(N373),"-",TRUNC(O373))</f>
        <v>2020-Fa-Sti-140-85-228</v>
      </c>
      <c r="I373" s="42" t="str">
        <f>LEFT(J373,4)</f>
        <v>2020</v>
      </c>
      <c r="J373" s="46">
        <v>2020</v>
      </c>
      <c r="K373" t="s">
        <v>1</v>
      </c>
      <c r="L373" t="s">
        <v>697</v>
      </c>
      <c r="M373">
        <v>140</v>
      </c>
      <c r="N373">
        <v>85</v>
      </c>
      <c r="O373">
        <v>228</v>
      </c>
      <c r="P373" t="s">
        <v>592</v>
      </c>
      <c r="Q373" t="s">
        <v>696</v>
      </c>
      <c r="R373" t="s">
        <v>246</v>
      </c>
      <c r="S373" t="s">
        <v>238</v>
      </c>
    </row>
    <row r="374" spans="1:19" x14ac:dyDescent="0.25">
      <c r="A374" s="11" t="str">
        <f>PROPER(K374)</f>
        <v>Fanatic</v>
      </c>
      <c r="B374" s="11" t="str">
        <f>TRIM(PROPER(LEFT(L374,IFERROR(FIND(" ",L374),99))&amp;MID(L374,IFERROR(FIND(" ",L374),99),99)))</f>
        <v>Stubby Te</v>
      </c>
      <c r="C374" s="11">
        <f>TRUNC(O374)</f>
        <v>212</v>
      </c>
      <c r="D374" s="11">
        <f>TRUNC(N374)</f>
        <v>55</v>
      </c>
      <c r="E374" s="11">
        <f>M374</f>
        <v>76</v>
      </c>
      <c r="F374" s="38" t="str">
        <f>I374</f>
        <v>2020</v>
      </c>
      <c r="G374" s="11" t="str" cm="1">
        <f t="array" ref="G374">gssBoardClass(A374,B374,C374,D374,E374,F374)</f>
        <v>Wave / Freestyle</v>
      </c>
      <c r="H374" s="39" t="str">
        <f>_xlfn.CONCAT(I374,"-",LEFT(K374,2),"-",LEFT(L374,3),"-",M374,"-",TRUNC(N374),"-",TRUNC(O374))</f>
        <v>2020-Fa-Stu-76-55-212</v>
      </c>
      <c r="I374" s="42" t="str">
        <f>LEFT(J374,4)</f>
        <v>2020</v>
      </c>
      <c r="J374" s="46">
        <v>2020</v>
      </c>
      <c r="K374" t="s">
        <v>1</v>
      </c>
      <c r="L374" t="s">
        <v>646</v>
      </c>
      <c r="M374">
        <v>76</v>
      </c>
      <c r="N374">
        <v>55</v>
      </c>
      <c r="O374">
        <v>212</v>
      </c>
      <c r="P374" t="s">
        <v>644</v>
      </c>
      <c r="Q374" t="s">
        <v>647</v>
      </c>
      <c r="R374" t="s">
        <v>645</v>
      </c>
      <c r="S374" t="s">
        <v>133</v>
      </c>
    </row>
    <row r="375" spans="1:19" x14ac:dyDescent="0.25">
      <c r="A375" s="11" t="str">
        <f>PROPER(K375)</f>
        <v>Fanatic</v>
      </c>
      <c r="B375" s="11" t="str">
        <f>TRIM(PROPER(LEFT(L375,IFERROR(FIND(" ",L375),99))&amp;MID(L375,IFERROR(FIND(" ",L375),99),99)))</f>
        <v>Stubby Te</v>
      </c>
      <c r="C375" s="11">
        <f>TRUNC(O375)</f>
        <v>214</v>
      </c>
      <c r="D375" s="11">
        <f>TRUNC(N375)</f>
        <v>56</v>
      </c>
      <c r="E375" s="11">
        <f>M375</f>
        <v>82</v>
      </c>
      <c r="F375" s="38" t="str">
        <f>I375</f>
        <v>2020</v>
      </c>
      <c r="G375" s="11" t="str" cm="1">
        <f t="array" ref="G375">gssBoardClass(A375,B375,C375,D375,E375,F375)</f>
        <v>Wave / Freestyle</v>
      </c>
      <c r="H375" s="39" t="str">
        <f>_xlfn.CONCAT(I375,"-",LEFT(K375,2),"-",LEFT(L375,3),"-",M375,"-",TRUNC(N375),"-",TRUNC(O375))</f>
        <v>2020-Fa-Stu-82-56-214</v>
      </c>
      <c r="I375" s="42" t="str">
        <f>LEFT(J375,4)</f>
        <v>2020</v>
      </c>
      <c r="J375" s="46">
        <v>2020</v>
      </c>
      <c r="K375" t="s">
        <v>1</v>
      </c>
      <c r="L375" t="s">
        <v>646</v>
      </c>
      <c r="M375">
        <v>82</v>
      </c>
      <c r="N375">
        <v>56</v>
      </c>
      <c r="O375">
        <v>214</v>
      </c>
      <c r="P375" t="s">
        <v>644</v>
      </c>
      <c r="Q375" t="s">
        <v>647</v>
      </c>
      <c r="R375" t="s">
        <v>645</v>
      </c>
      <c r="S375" t="s">
        <v>135</v>
      </c>
    </row>
    <row r="376" spans="1:19" x14ac:dyDescent="0.25">
      <c r="A376" s="11" t="str">
        <f>PROPER(K376)</f>
        <v>Fanatic</v>
      </c>
      <c r="B376" s="11" t="str">
        <f>TRIM(PROPER(LEFT(L376,IFERROR(FIND(" ",L376),99))&amp;MID(L376,IFERROR(FIND(" ",L376),99),99)))</f>
        <v>Stubby Te</v>
      </c>
      <c r="C376" s="11">
        <f>TRUNC(O376)</f>
        <v>215</v>
      </c>
      <c r="D376" s="11">
        <f>TRUNC(N376)</f>
        <v>57</v>
      </c>
      <c r="E376" s="11">
        <f>M376</f>
        <v>89</v>
      </c>
      <c r="F376" s="38" t="str">
        <f>I376</f>
        <v>2020</v>
      </c>
      <c r="G376" s="11" t="str" cm="1">
        <f t="array" ref="G376">gssBoardClass(A376,B376,C376,D376,E376,F376)</f>
        <v>Wave / Freestyle</v>
      </c>
      <c r="H376" s="39" t="str">
        <f>_xlfn.CONCAT(I376,"-",LEFT(K376,2),"-",LEFT(L376,3),"-",M376,"-",TRUNC(N376),"-",TRUNC(O376))</f>
        <v>2020-Fa-Stu-89-57-215</v>
      </c>
      <c r="I376" s="42" t="str">
        <f>LEFT(J376,4)</f>
        <v>2020</v>
      </c>
      <c r="J376" s="46">
        <v>2020</v>
      </c>
      <c r="K376" t="s">
        <v>1</v>
      </c>
      <c r="L376" t="s">
        <v>646</v>
      </c>
      <c r="M376">
        <v>89</v>
      </c>
      <c r="N376">
        <v>57.5</v>
      </c>
      <c r="O376">
        <v>215</v>
      </c>
      <c r="P376" t="s">
        <v>644</v>
      </c>
      <c r="Q376" t="s">
        <v>647</v>
      </c>
      <c r="R376" t="s">
        <v>648</v>
      </c>
      <c r="S376" t="s">
        <v>138</v>
      </c>
    </row>
    <row r="377" spans="1:19" x14ac:dyDescent="0.25">
      <c r="A377" s="11" t="str">
        <f>PROPER(K377)</f>
        <v>Fanatic</v>
      </c>
      <c r="B377" s="11" t="str">
        <f>TRIM(PROPER(LEFT(L377,IFERROR(FIND(" ",L377),99))&amp;MID(L377,IFERROR(FIND(" ",L377),99),99)))</f>
        <v>Stubby Te</v>
      </c>
      <c r="C377" s="11">
        <f>TRUNC(O377)</f>
        <v>218</v>
      </c>
      <c r="D377" s="11">
        <f>TRUNC(N377)</f>
        <v>60</v>
      </c>
      <c r="E377" s="11">
        <f>M377</f>
        <v>99</v>
      </c>
      <c r="F377" s="38" t="str">
        <f>I377</f>
        <v>2020</v>
      </c>
      <c r="G377" s="11" t="str" cm="1">
        <f t="array" ref="G377">gssBoardClass(A377,B377,C377,D377,E377,F377)</f>
        <v>Wave / Freestyle</v>
      </c>
      <c r="H377" s="39" t="str">
        <f>_xlfn.CONCAT(I377,"-",LEFT(K377,2),"-",LEFT(L377,3),"-",M377,"-",TRUNC(N377),"-",TRUNC(O377))</f>
        <v>2020-Fa-Stu-99-60-218</v>
      </c>
      <c r="I377" s="42" t="str">
        <f>LEFT(J377,4)</f>
        <v>2020</v>
      </c>
      <c r="J377" s="46">
        <v>2020</v>
      </c>
      <c r="K377" t="s">
        <v>1</v>
      </c>
      <c r="L377" t="s">
        <v>646</v>
      </c>
      <c r="M377">
        <v>99</v>
      </c>
      <c r="N377">
        <v>60</v>
      </c>
      <c r="O377">
        <v>218</v>
      </c>
      <c r="P377" t="s">
        <v>644</v>
      </c>
      <c r="Q377" t="s">
        <v>647</v>
      </c>
      <c r="R377" t="s">
        <v>648</v>
      </c>
      <c r="S377" t="s">
        <v>139</v>
      </c>
    </row>
    <row r="378" spans="1:19" x14ac:dyDescent="0.25">
      <c r="A378" s="11" t="str">
        <f>PROPER(K378)</f>
        <v>Fanatic</v>
      </c>
      <c r="B378" s="11" t="str">
        <f>TRIM(PROPER(LEFT(L378,IFERROR(FIND(" ",L378),99))&amp;MID(L378,IFERROR(FIND(" ",L378),99),99)))</f>
        <v>Tandem Air Premium</v>
      </c>
      <c r="C378" s="11">
        <f>TRUNC(O378)</f>
        <v>487</v>
      </c>
      <c r="D378" s="11">
        <f>TRUNC(N378)</f>
        <v>86</v>
      </c>
      <c r="E378" s="11">
        <f>M378</f>
        <v>505</v>
      </c>
      <c r="F378" s="38" t="str">
        <f>I378</f>
        <v>2020</v>
      </c>
      <c r="G378" s="11" t="str" cm="1">
        <f t="array" ref="G378">gssBoardClass(A378,B378,C378,D378,E378,F378)</f>
        <v>Special / Longboard</v>
      </c>
      <c r="H378" s="39" t="str">
        <f>_xlfn.CONCAT(I378,"-",LEFT(K378,2),"-",LEFT(L378,3),"-",M378,"-",TRUNC(N378),"-",TRUNC(O378))</f>
        <v>2020-Fa-Tan-505-86-487</v>
      </c>
      <c r="I378" s="42" t="str">
        <f>LEFT(J378,4)</f>
        <v>2020</v>
      </c>
      <c r="J378" s="46">
        <v>2020</v>
      </c>
      <c r="K378" t="s">
        <v>1</v>
      </c>
      <c r="L378" t="s">
        <v>277</v>
      </c>
      <c r="M378">
        <v>505</v>
      </c>
      <c r="N378">
        <v>86.4</v>
      </c>
      <c r="O378">
        <v>487.6</v>
      </c>
      <c r="P378" t="s">
        <v>426</v>
      </c>
      <c r="Q378" t="s">
        <v>269</v>
      </c>
      <c r="R378" t="s">
        <v>703</v>
      </c>
      <c r="S378" t="s">
        <v>704</v>
      </c>
    </row>
    <row r="379" spans="1:19" x14ac:dyDescent="0.25">
      <c r="A379" s="11" t="str">
        <f>PROPER(K379)</f>
        <v>Fanatic</v>
      </c>
      <c r="B379" s="11" t="str">
        <f>TRIM(PROPER(LEFT(L379,IFERROR(FIND(" ",L379),99))&amp;MID(L379,IFERROR(FIND(" ",L379),99),99)))</f>
        <v>Viper</v>
      </c>
      <c r="C379" s="11">
        <f>TRUNC(O379)</f>
        <v>275</v>
      </c>
      <c r="D379" s="11">
        <f>TRUNC(N379)</f>
        <v>75</v>
      </c>
      <c r="E379" s="11">
        <f>M379</f>
        <v>160</v>
      </c>
      <c r="F379" s="38" t="str">
        <f>I379</f>
        <v>2020</v>
      </c>
      <c r="G379" s="11" t="str" cm="1">
        <f t="array" ref="G379">gssBoardClass(A379,B379,C379,D379,E379,F379)</f>
        <v>Slalom Large</v>
      </c>
      <c r="H379" s="39" t="str">
        <f>_xlfn.CONCAT(I379,"-",LEFT(K379,2),"-",LEFT(L379,3),"-",M379,"-",TRUNC(N379),"-",TRUNC(O379))</f>
        <v>2020-Fa-Vip-160-75-275</v>
      </c>
      <c r="I379" s="42" t="str">
        <f>LEFT(J379,4)</f>
        <v>2020</v>
      </c>
      <c r="J379" s="46">
        <v>2020</v>
      </c>
      <c r="K379" t="s">
        <v>1</v>
      </c>
      <c r="L379" t="s">
        <v>113</v>
      </c>
      <c r="M379">
        <v>160</v>
      </c>
      <c r="N379">
        <v>75</v>
      </c>
      <c r="O379">
        <v>275</v>
      </c>
      <c r="P379" t="s">
        <v>699</v>
      </c>
      <c r="Q379" t="s">
        <v>179</v>
      </c>
      <c r="R379" t="s">
        <v>681</v>
      </c>
      <c r="S379" t="s">
        <v>205</v>
      </c>
    </row>
    <row r="380" spans="1:19" x14ac:dyDescent="0.25">
      <c r="A380" s="11" t="str">
        <f>PROPER(K380)</f>
        <v>Fanatic</v>
      </c>
      <c r="B380" s="11" t="str">
        <f>TRIM(PROPER(LEFT(L380,IFERROR(FIND(" ",L380),99))&amp;MID(L380,IFERROR(FIND(" ",L380),99),99)))</f>
        <v>Viper</v>
      </c>
      <c r="C380" s="11">
        <f>TRUNC(O380)</f>
        <v>280</v>
      </c>
      <c r="D380" s="11">
        <f>TRUNC(N380)</f>
        <v>80</v>
      </c>
      <c r="E380" s="11">
        <f>M380</f>
        <v>190</v>
      </c>
      <c r="F380" s="38" t="str">
        <f>I380</f>
        <v>2020</v>
      </c>
      <c r="G380" s="11" t="str" cm="1">
        <f t="array" ref="G380">gssBoardClass(A380,B380,C380,D380,E380,F380)</f>
        <v>Special / Longboard</v>
      </c>
      <c r="H380" s="39" t="str">
        <f>_xlfn.CONCAT(I380,"-",LEFT(K380,2),"-",LEFT(L380,3),"-",M380,"-",TRUNC(N380),"-",TRUNC(O380))</f>
        <v>2020-Fa-Vip-190-80-280</v>
      </c>
      <c r="I380" s="42" t="str">
        <f>LEFT(J380,4)</f>
        <v>2020</v>
      </c>
      <c r="J380" s="46">
        <v>2020</v>
      </c>
      <c r="K380" t="s">
        <v>1</v>
      </c>
      <c r="L380" t="s">
        <v>113</v>
      </c>
      <c r="M380">
        <v>190</v>
      </c>
      <c r="N380">
        <v>80</v>
      </c>
      <c r="O380">
        <v>280</v>
      </c>
      <c r="P380" t="s">
        <v>699</v>
      </c>
      <c r="Q380" t="s">
        <v>179</v>
      </c>
      <c r="R380" t="s">
        <v>681</v>
      </c>
      <c r="S380" t="s">
        <v>205</v>
      </c>
    </row>
    <row r="381" spans="1:19" x14ac:dyDescent="0.25">
      <c r="A381" s="11" t="str">
        <f>PROPER(K381)</f>
        <v>Fanatic</v>
      </c>
      <c r="B381" s="11" t="str">
        <f>TRIM(PROPER(LEFT(L381,IFERROR(FIND(" ",L381),99))&amp;MID(L381,IFERROR(FIND(" ",L381),99),99)))</f>
        <v>Viper</v>
      </c>
      <c r="C381" s="11">
        <f>TRUNC(O381)</f>
        <v>285</v>
      </c>
      <c r="D381" s="11">
        <f>TRUNC(N381)</f>
        <v>85</v>
      </c>
      <c r="E381" s="11">
        <f>M381</f>
        <v>220</v>
      </c>
      <c r="F381" s="38" t="str">
        <f>I381</f>
        <v>2020</v>
      </c>
      <c r="G381" s="11" t="str" cm="1">
        <f t="array" ref="G381">gssBoardClass(A381,B381,C381,D381,E381,F381)</f>
        <v>Special / Longboard</v>
      </c>
      <c r="H381" s="39" t="str">
        <f>_xlfn.CONCAT(I381,"-",LEFT(K381,2),"-",LEFT(L381,3),"-",M381,"-",TRUNC(N381),"-",TRUNC(O381))</f>
        <v>2020-Fa-Vip-220-85-285</v>
      </c>
      <c r="I381" s="42" t="str">
        <f>LEFT(J381,4)</f>
        <v>2020</v>
      </c>
      <c r="J381" s="46">
        <v>2020</v>
      </c>
      <c r="K381" t="s">
        <v>1</v>
      </c>
      <c r="L381" t="s">
        <v>113</v>
      </c>
      <c r="M381">
        <v>220</v>
      </c>
      <c r="N381">
        <v>85</v>
      </c>
      <c r="O381">
        <v>285</v>
      </c>
      <c r="P381" t="s">
        <v>699</v>
      </c>
      <c r="Q381" t="s">
        <v>179</v>
      </c>
      <c r="R381" t="s">
        <v>681</v>
      </c>
      <c r="S381" t="s">
        <v>205</v>
      </c>
    </row>
    <row r="382" spans="1:19" x14ac:dyDescent="0.25">
      <c r="A382" s="11" t="str">
        <f>PROPER(K382)</f>
        <v>Fanatic</v>
      </c>
      <c r="B382" s="11" t="str">
        <f>TRIM(PROPER(LEFT(L382,IFERROR(FIND(" ",L382),99))&amp;MID(L382,IFERROR(FIND(" ",L382),99),99)))</f>
        <v>Viper</v>
      </c>
      <c r="C382" s="11">
        <f>TRUNC(O382)</f>
        <v>290</v>
      </c>
      <c r="D382" s="11">
        <f>TRUNC(N382)</f>
        <v>91</v>
      </c>
      <c r="E382" s="11">
        <f>M382</f>
        <v>240</v>
      </c>
      <c r="F382" s="38" t="str">
        <f>I382</f>
        <v>2020</v>
      </c>
      <c r="G382" s="11" t="str" cm="1">
        <f t="array" ref="G382">gssBoardClass(A382,B382,C382,D382,E382,F382)</f>
        <v>Special / Longboard</v>
      </c>
      <c r="H382" s="39" t="str">
        <f>_xlfn.CONCAT(I382,"-",LEFT(K382,2),"-",LEFT(L382,3),"-",M382,"-",TRUNC(N382),"-",TRUNC(O382))</f>
        <v>2020-Fa-Vip-240-91-290</v>
      </c>
      <c r="I382" s="42" t="str">
        <f>LEFT(J382,4)</f>
        <v>2020</v>
      </c>
      <c r="J382" s="46">
        <v>2020</v>
      </c>
      <c r="K382" t="s">
        <v>1</v>
      </c>
      <c r="L382" t="s">
        <v>113</v>
      </c>
      <c r="M382">
        <v>240</v>
      </c>
      <c r="N382">
        <v>91</v>
      </c>
      <c r="O382">
        <v>290</v>
      </c>
      <c r="P382" t="s">
        <v>699</v>
      </c>
      <c r="Q382" t="s">
        <v>179</v>
      </c>
      <c r="R382" t="s">
        <v>681</v>
      </c>
      <c r="S382" t="s">
        <v>205</v>
      </c>
    </row>
    <row r="383" spans="1:19" x14ac:dyDescent="0.25">
      <c r="A383" s="11" t="str">
        <f>PROPER(K383)</f>
        <v>Fanatic</v>
      </c>
      <c r="B383" s="11" t="str">
        <f>TRIM(PROPER(LEFT(L383,IFERROR(FIND(" ",L383),99))&amp;MID(L383,IFERROR(FIND(" ",L383),99),99)))</f>
        <v>Viper Air Premium</v>
      </c>
      <c r="C383" s="11">
        <f>TRUNC(O383)</f>
        <v>335</v>
      </c>
      <c r="D383" s="11">
        <f>TRUNC(N383)</f>
        <v>85</v>
      </c>
      <c r="E383" s="11">
        <f>M383</f>
        <v>355</v>
      </c>
      <c r="F383" s="38" t="str">
        <f>I383</f>
        <v>2020</v>
      </c>
      <c r="G383" s="11" t="str" cm="1">
        <f t="array" ref="G383">gssBoardClass(A383,B383,C383,D383,E383,F383)</f>
        <v>Special / Longboard</v>
      </c>
      <c r="H383" s="39" t="str">
        <f>_xlfn.CONCAT(I383,"-",LEFT(K383,2),"-",LEFT(L383,3),"-",M383,"-",TRUNC(N383),"-",TRUNC(O383))</f>
        <v>2020-Fa-Vip-355-85-335</v>
      </c>
      <c r="I383" s="42" t="str">
        <f>LEFT(J383,4)</f>
        <v>2020</v>
      </c>
      <c r="J383" s="46">
        <v>2020</v>
      </c>
      <c r="K383" t="s">
        <v>1</v>
      </c>
      <c r="L383" t="s">
        <v>702</v>
      </c>
      <c r="M383">
        <v>355</v>
      </c>
      <c r="N383">
        <v>85.1</v>
      </c>
      <c r="O383">
        <v>335.3</v>
      </c>
      <c r="P383" t="s">
        <v>426</v>
      </c>
      <c r="Q383" t="s">
        <v>269</v>
      </c>
      <c r="R383" t="s">
        <v>703</v>
      </c>
      <c r="S383" t="s">
        <v>704</v>
      </c>
    </row>
    <row r="384" spans="1:19" x14ac:dyDescent="0.25">
      <c r="A384" s="11" t="str">
        <f>PROPER(K384)</f>
        <v>Fanatic</v>
      </c>
      <c r="B384" s="11" t="str">
        <f>TRIM(PROPER(LEFT(L384,IFERROR(FIND(" ",L384),99))&amp;MID(L384,IFERROR(FIND(" ",L384),99),99)))</f>
        <v>Viper Air Pure</v>
      </c>
      <c r="C384" s="11">
        <f>TRUNC(O384)</f>
        <v>335</v>
      </c>
      <c r="D384" s="11">
        <f>TRUNC(N384)</f>
        <v>85</v>
      </c>
      <c r="E384" s="11">
        <f>M384</f>
        <v>355</v>
      </c>
      <c r="F384" s="38" t="str">
        <f>I384</f>
        <v>2020</v>
      </c>
      <c r="G384" s="11" t="str" cm="1">
        <f t="array" ref="G384">gssBoardClass(A384,B384,C384,D384,E384,F384)</f>
        <v>Special / Longboard</v>
      </c>
      <c r="H384" s="39" t="str">
        <f>_xlfn.CONCAT(I384,"-",LEFT(K384,2),"-",LEFT(L384,3),"-",M384,"-",TRUNC(N384),"-",TRUNC(O384))</f>
        <v>2020-Fa-Vip-355-85-335</v>
      </c>
      <c r="I384" s="42" t="str">
        <f>LEFT(J384,4)</f>
        <v>2020</v>
      </c>
      <c r="J384" s="46">
        <v>2020</v>
      </c>
      <c r="K384" t="s">
        <v>1</v>
      </c>
      <c r="L384" t="s">
        <v>705</v>
      </c>
      <c r="M384">
        <v>355</v>
      </c>
      <c r="N384">
        <v>85.1</v>
      </c>
      <c r="O384">
        <v>335.3</v>
      </c>
      <c r="P384" t="s">
        <v>706</v>
      </c>
      <c r="Q384" t="s">
        <v>269</v>
      </c>
      <c r="R384" t="s">
        <v>703</v>
      </c>
      <c r="S384" t="s">
        <v>704</v>
      </c>
    </row>
    <row r="385" spans="1:17" x14ac:dyDescent="0.25">
      <c r="A385" s="11" t="str">
        <f>PROPER(K385)</f>
        <v>Fmx</v>
      </c>
      <c r="B385" s="11" t="str">
        <f>TRIM(PROPER(LEFT(L385,IFERROR(FIND(" ",L385),99))&amp;MID(L385,IFERROR(FIND(" ",L385),99),99)))</f>
        <v>Invictus 74</v>
      </c>
      <c r="C385" s="11">
        <f>TRUNC(O385)</f>
        <v>225</v>
      </c>
      <c r="D385" s="11">
        <f>TRUNC(N385)</f>
        <v>52</v>
      </c>
      <c r="E385" s="11">
        <f>M385</f>
        <v>74</v>
      </c>
      <c r="F385" s="38" t="str">
        <f>I385</f>
        <v>2020</v>
      </c>
      <c r="G385" s="11" t="str" cm="1">
        <f t="array" ref="G385">gssBoardClass(A385,B385,C385,D385,E385,F385)</f>
        <v>Speed/Slalom Xtra Small</v>
      </c>
      <c r="H385" s="39" t="str">
        <f>_xlfn.CONCAT(I385,"-",LEFT(K385,2),"-",LEFT(L385,3),"-",M385,"-",TRUNC(N385),"-",TRUNC(O385))</f>
        <v>2020-FM-Inv-74-52-225</v>
      </c>
      <c r="I385" s="42" t="str">
        <f>LEFT(J385,4)</f>
        <v>2020</v>
      </c>
      <c r="J385" s="46">
        <v>2020</v>
      </c>
      <c r="K385" t="s">
        <v>710</v>
      </c>
      <c r="L385" t="s">
        <v>711</v>
      </c>
      <c r="M385">
        <v>74</v>
      </c>
      <c r="N385">
        <v>52</v>
      </c>
      <c r="O385">
        <v>225</v>
      </c>
      <c r="Q385" t="s">
        <v>684</v>
      </c>
    </row>
    <row r="386" spans="1:17" x14ac:dyDescent="0.25">
      <c r="A386" s="11" t="str">
        <f>PROPER(K386)</f>
        <v>Fanatic</v>
      </c>
      <c r="B386" s="11" t="str">
        <f>TRIM(PROPER(LEFT(L386,IFERROR(FIND(" ",L386),99))&amp;MID(L386,IFERROR(FIND(" ",L386),99),99)))</f>
        <v>Blast Ltd/Hrs 100</v>
      </c>
      <c r="C386" s="11">
        <f>TRUNC(O386)</f>
        <v>231</v>
      </c>
      <c r="D386" s="11">
        <f>TRUNC(N386)</f>
        <v>62</v>
      </c>
      <c r="E386" s="11">
        <f>M386</f>
        <v>100</v>
      </c>
      <c r="F386" s="38" t="str">
        <f>I386</f>
        <v>2023</v>
      </c>
      <c r="G386" s="11" t="str" cm="1">
        <f t="array" ref="G386">gssBoardClass(A386,B386,C386,D386,E386,F386)</f>
        <v>Speed/Slalom Small</v>
      </c>
      <c r="H386" s="39" t="str">
        <f>_xlfn.CONCAT(I386,"-",LEFT(K386,2),"-",LEFT(L386,3),"-",M386,"-",TRUNC(N386),"-",TRUNC(O386))</f>
        <v>2023-Fa-Bla-100-62-231</v>
      </c>
      <c r="I386" s="42" t="str">
        <f>LEFT(J386,4)</f>
        <v>2023</v>
      </c>
      <c r="J386" s="46">
        <v>2023</v>
      </c>
      <c r="K386" t="s">
        <v>1</v>
      </c>
      <c r="L386" t="s">
        <v>303</v>
      </c>
      <c r="M386">
        <v>100</v>
      </c>
      <c r="N386">
        <v>62</v>
      </c>
      <c r="O386">
        <v>231</v>
      </c>
      <c r="Q386" t="s">
        <v>283</v>
      </c>
    </row>
    <row r="387" spans="1:17" x14ac:dyDescent="0.25">
      <c r="A387" s="11" t="str">
        <f>PROPER(K387)</f>
        <v>Fanatic</v>
      </c>
      <c r="B387" s="11" t="str">
        <f>TRIM(PROPER(LEFT(L387,IFERROR(FIND(" ",L387),99))&amp;MID(L387,IFERROR(FIND(" ",L387),99),99)))</f>
        <v>Blast Ltd/Hrs 117</v>
      </c>
      <c r="C387" s="11">
        <f>TRUNC(O387)</f>
        <v>232</v>
      </c>
      <c r="D387" s="11">
        <f>TRUNC(N387)</f>
        <v>66</v>
      </c>
      <c r="E387" s="11">
        <f>M387</f>
        <v>117</v>
      </c>
      <c r="F387" s="38" t="str">
        <f>I387</f>
        <v>2023</v>
      </c>
      <c r="G387" s="11" t="str" cm="1">
        <f t="array" ref="G387">gssBoardClass(A387,B387,C387,D387,E387,F387)</f>
        <v>Slalom Medium</v>
      </c>
      <c r="H387" s="39" t="str">
        <f>_xlfn.CONCAT(I387,"-",LEFT(K387,2),"-",LEFT(L387,3),"-",M387,"-",TRUNC(N387),"-",TRUNC(O387))</f>
        <v>2023-Fa-Bla-117-66-232</v>
      </c>
      <c r="I387" s="42" t="str">
        <f>LEFT(J387,4)</f>
        <v>2023</v>
      </c>
      <c r="J387" s="46">
        <v>2023</v>
      </c>
      <c r="K387" t="s">
        <v>1</v>
      </c>
      <c r="L387" t="s">
        <v>304</v>
      </c>
      <c r="M387">
        <v>117</v>
      </c>
      <c r="N387">
        <v>66</v>
      </c>
      <c r="O387">
        <v>232</v>
      </c>
      <c r="Q387" t="s">
        <v>283</v>
      </c>
    </row>
    <row r="388" spans="1:17" x14ac:dyDescent="0.25">
      <c r="A388" s="11" t="str">
        <f>PROPER(K388)</f>
        <v>Fanatic</v>
      </c>
      <c r="B388" s="11" t="str">
        <f>TRIM(PROPER(LEFT(L388,IFERROR(FIND(" ",L388),99))&amp;MID(L388,IFERROR(FIND(" ",L388),99),99)))</f>
        <v>Blast Ltd/Hrs 132</v>
      </c>
      <c r="C388" s="11">
        <f>TRUNC(O388)</f>
        <v>234</v>
      </c>
      <c r="D388" s="11">
        <f>TRUNC(N388)</f>
        <v>70</v>
      </c>
      <c r="E388" s="11">
        <f>M388</f>
        <v>132</v>
      </c>
      <c r="F388" s="38" t="str">
        <f>I388</f>
        <v>2023</v>
      </c>
      <c r="G388" s="11" t="str" cm="1">
        <f t="array" ref="G388">gssBoardClass(A388,B388,C388,D388,E388,F388)</f>
        <v>Slalom Medium</v>
      </c>
      <c r="H388" s="39" t="str">
        <f>_xlfn.CONCAT(I388,"-",LEFT(K388,2),"-",LEFT(L388,3),"-",M388,"-",TRUNC(N388),"-",TRUNC(O388))</f>
        <v>2023-Fa-Bla-132-70-234</v>
      </c>
      <c r="I388" s="42" t="str">
        <f>LEFT(J388,4)</f>
        <v>2023</v>
      </c>
      <c r="J388" s="46">
        <v>2023</v>
      </c>
      <c r="K388" t="s">
        <v>1</v>
      </c>
      <c r="L388" t="s">
        <v>305</v>
      </c>
      <c r="M388">
        <v>132</v>
      </c>
      <c r="N388">
        <v>70</v>
      </c>
      <c r="O388">
        <v>234</v>
      </c>
      <c r="Q388" t="s">
        <v>283</v>
      </c>
    </row>
    <row r="389" spans="1:17" x14ac:dyDescent="0.25">
      <c r="A389" s="11" t="str">
        <f>PROPER(K389)</f>
        <v>Fanatic</v>
      </c>
      <c r="B389" s="11" t="str">
        <f>TRIM(PROPER(LEFT(L389,IFERROR(FIND(" ",L389),99))&amp;MID(L389,IFERROR(FIND(" ",L389),99),99)))</f>
        <v>Blast Ltd/Hrs 147</v>
      </c>
      <c r="C389" s="11">
        <f>TRUNC(O389)</f>
        <v>236</v>
      </c>
      <c r="D389" s="11">
        <f>TRUNC(N389)</f>
        <v>77</v>
      </c>
      <c r="E389" s="11">
        <f>M389</f>
        <v>147</v>
      </c>
      <c r="F389" s="38" t="str">
        <f>I389</f>
        <v>2023</v>
      </c>
      <c r="G389" s="11" t="str" cm="1">
        <f t="array" ref="G389">gssBoardClass(A389,B389,C389,D389,E389,F389)</f>
        <v>Slalom Large</v>
      </c>
      <c r="H389" s="39" t="str">
        <f>_xlfn.CONCAT(I389,"-",LEFT(K389,2),"-",LEFT(L389,3),"-",M389,"-",TRUNC(N389),"-",TRUNC(O389))</f>
        <v>2023-Fa-Bla-147-77-236</v>
      </c>
      <c r="I389" s="42" t="str">
        <f>LEFT(J389,4)</f>
        <v>2023</v>
      </c>
      <c r="J389" s="46">
        <v>2023</v>
      </c>
      <c r="K389" t="s">
        <v>1</v>
      </c>
      <c r="L389" t="s">
        <v>306</v>
      </c>
      <c r="M389">
        <v>147</v>
      </c>
      <c r="N389">
        <v>77</v>
      </c>
      <c r="O389">
        <v>236</v>
      </c>
      <c r="Q389" t="s">
        <v>283</v>
      </c>
    </row>
    <row r="390" spans="1:17" x14ac:dyDescent="0.25">
      <c r="A390" s="11" t="str">
        <f>PROPER(K390)</f>
        <v>Fanatic</v>
      </c>
      <c r="B390" s="11" t="str">
        <f>TRIM(PROPER(LEFT(L390,IFERROR(FIND(" ",L390),99))&amp;MID(L390,IFERROR(FIND(" ",L390),99),99)))</f>
        <v>Eagle Ltd/Hrs 130</v>
      </c>
      <c r="C390" s="11">
        <f>TRUNC(O390)</f>
        <v>248</v>
      </c>
      <c r="D390" s="11">
        <f>TRUNC(N390)</f>
        <v>70</v>
      </c>
      <c r="E390" s="11">
        <f>M390</f>
        <v>130</v>
      </c>
      <c r="F390" s="38" t="str">
        <f>I390</f>
        <v>2023</v>
      </c>
      <c r="G390" s="11" t="str" cm="1">
        <f t="array" ref="G390">gssBoardClass(A390,B390,C390,D390,E390,F390)</f>
        <v>Slalom Medium</v>
      </c>
      <c r="H390" s="39" t="str">
        <f>_xlfn.CONCAT(I390,"-",LEFT(K390,2),"-",LEFT(L390,3),"-",M390,"-",TRUNC(N390),"-",TRUNC(O390))</f>
        <v>2023-Fa-Eag-130-70-248</v>
      </c>
      <c r="I390" s="42" t="str">
        <f>LEFT(J390,4)</f>
        <v>2023</v>
      </c>
      <c r="J390" s="46">
        <v>2023</v>
      </c>
      <c r="K390" t="s">
        <v>1</v>
      </c>
      <c r="L390" t="s">
        <v>313</v>
      </c>
      <c r="M390">
        <v>130</v>
      </c>
      <c r="N390">
        <v>70</v>
      </c>
      <c r="O390">
        <v>248</v>
      </c>
      <c r="Q390" t="s">
        <v>179</v>
      </c>
    </row>
    <row r="391" spans="1:17" x14ac:dyDescent="0.25">
      <c r="A391" s="11" t="str">
        <f>PROPER(K391)</f>
        <v>Fanatic</v>
      </c>
      <c r="B391" s="11" t="str">
        <f>TRIM(PROPER(LEFT(L391,IFERROR(FIND(" ",L391),99))&amp;MID(L391,IFERROR(FIND(" ",L391),99),99)))</f>
        <v>Eagle Ltd/Hrs 150</v>
      </c>
      <c r="C391" s="11">
        <f>TRUNC(O391)</f>
        <v>250</v>
      </c>
      <c r="D391" s="11">
        <f>TRUNC(N391)</f>
        <v>75</v>
      </c>
      <c r="E391" s="11">
        <f>M391</f>
        <v>150</v>
      </c>
      <c r="F391" s="38" t="str">
        <f>I391</f>
        <v>2023</v>
      </c>
      <c r="G391" s="11" t="str" cm="1">
        <f t="array" ref="G391">gssBoardClass(A391,B391,C391,D391,E391,F391)</f>
        <v>Slalom Large</v>
      </c>
      <c r="H391" s="39" t="str">
        <f>_xlfn.CONCAT(I391,"-",LEFT(K391,2),"-",LEFT(L391,3),"-",M391,"-",TRUNC(N391),"-",TRUNC(O391))</f>
        <v>2023-Fa-Eag-150-75-250</v>
      </c>
      <c r="I391" s="42" t="str">
        <f>LEFT(J391,4)</f>
        <v>2023</v>
      </c>
      <c r="J391" s="46">
        <v>2023</v>
      </c>
      <c r="K391" t="s">
        <v>1</v>
      </c>
      <c r="L391" t="s">
        <v>314</v>
      </c>
      <c r="M391">
        <v>150</v>
      </c>
      <c r="N391">
        <v>75</v>
      </c>
      <c r="O391">
        <v>250</v>
      </c>
      <c r="Q391" t="s">
        <v>179</v>
      </c>
    </row>
    <row r="392" spans="1:17" x14ac:dyDescent="0.25">
      <c r="A392" s="11" t="str">
        <f>PROPER(K392)</f>
        <v>Fanatic</v>
      </c>
      <c r="B392" s="11" t="str">
        <f>TRIM(PROPER(LEFT(L392,IFERROR(FIND(" ",L392),99))&amp;MID(L392,IFERROR(FIND(" ",L392),99),99)))</f>
        <v>Falcon Te 107</v>
      </c>
      <c r="C392" s="11">
        <f>TRUNC(O392)</f>
        <v>230</v>
      </c>
      <c r="D392" s="11">
        <f>TRUNC(N392)</f>
        <v>69</v>
      </c>
      <c r="E392" s="11">
        <f>M392</f>
        <v>107</v>
      </c>
      <c r="F392" s="38" t="str">
        <f>I392</f>
        <v>2023</v>
      </c>
      <c r="G392" s="11" t="str" cm="1">
        <f t="array" ref="G392">gssBoardClass(A392,B392,C392,D392,E392,F392)</f>
        <v>Slalom Medium</v>
      </c>
      <c r="H392" s="39" t="str">
        <f>_xlfn.CONCAT(I392,"-",LEFT(K392,2),"-",LEFT(L392,3),"-",M392,"-",TRUNC(N392),"-",TRUNC(O392))</f>
        <v>2023-Fa-Fal-107-69-230</v>
      </c>
      <c r="I392" s="42" t="str">
        <f>LEFT(J392,4)</f>
        <v>2023</v>
      </c>
      <c r="J392" s="46">
        <v>2023</v>
      </c>
      <c r="K392" t="s">
        <v>1</v>
      </c>
      <c r="L392" t="s">
        <v>323</v>
      </c>
      <c r="M392">
        <v>107</v>
      </c>
      <c r="N392">
        <v>69</v>
      </c>
      <c r="O392">
        <v>230</v>
      </c>
      <c r="Q392" t="s">
        <v>283</v>
      </c>
    </row>
    <row r="393" spans="1:17" x14ac:dyDescent="0.25">
      <c r="A393" s="11" t="str">
        <f>PROPER(K393)</f>
        <v>Fanatic</v>
      </c>
      <c r="B393" s="11" t="str">
        <f>TRIM(PROPER(LEFT(L393,IFERROR(FIND(" ",L393),99))&amp;MID(L393,IFERROR(FIND(" ",L393),99),99)))</f>
        <v>Falcon Te 116</v>
      </c>
      <c r="C393" s="11">
        <f>TRUNC(O393)</f>
        <v>230</v>
      </c>
      <c r="D393" s="11">
        <f>TRUNC(N393)</f>
        <v>71</v>
      </c>
      <c r="E393" s="11">
        <f>M393</f>
        <v>116</v>
      </c>
      <c r="F393" s="38" t="str">
        <f>I393</f>
        <v>2023</v>
      </c>
      <c r="G393" s="11" t="str" cm="1">
        <f t="array" ref="G393">gssBoardClass(A393,B393,C393,D393,E393,F393)</f>
        <v>Slalom Medium</v>
      </c>
      <c r="H393" s="39" t="str">
        <f>_xlfn.CONCAT(I393,"-",LEFT(K393,2),"-",LEFT(L393,3),"-",M393,"-",TRUNC(N393),"-",TRUNC(O393))</f>
        <v>2023-Fa-Fal-116-71-230</v>
      </c>
      <c r="I393" s="42" t="str">
        <f>LEFT(J393,4)</f>
        <v>2023</v>
      </c>
      <c r="J393" s="46">
        <v>2023</v>
      </c>
      <c r="K393" t="s">
        <v>1</v>
      </c>
      <c r="L393" t="s">
        <v>324</v>
      </c>
      <c r="M393">
        <v>116</v>
      </c>
      <c r="N393">
        <v>71</v>
      </c>
      <c r="O393">
        <v>230</v>
      </c>
      <c r="Q393" t="s">
        <v>283</v>
      </c>
    </row>
    <row r="394" spans="1:17" x14ac:dyDescent="0.25">
      <c r="A394" s="11" t="str">
        <f>PROPER(K394)</f>
        <v>Fanatic</v>
      </c>
      <c r="B394" s="11" t="str">
        <f>TRIM(PROPER(LEFT(L394,IFERROR(FIND(" ",L394),99))&amp;MID(L394,IFERROR(FIND(" ",L394),99),99)))</f>
        <v>Falcon Te 121</v>
      </c>
      <c r="C394" s="11">
        <f>TRUNC(O394)</f>
        <v>230</v>
      </c>
      <c r="D394" s="11">
        <f>TRUNC(N394)</f>
        <v>77</v>
      </c>
      <c r="E394" s="11">
        <f>M394</f>
        <v>121</v>
      </c>
      <c r="F394" s="38" t="str">
        <f>I394</f>
        <v>2023</v>
      </c>
      <c r="G394" s="11" t="str" cm="1">
        <f t="array" ref="G394">gssBoardClass(A394,B394,C394,D394,E394,F394)</f>
        <v>Slalom Large</v>
      </c>
      <c r="H394" s="39" t="str">
        <f>_xlfn.CONCAT(I394,"-",LEFT(K394,2),"-",LEFT(L394,3),"-",M394,"-",TRUNC(N394),"-",TRUNC(O394))</f>
        <v>2023-Fa-Fal-121-77-230</v>
      </c>
      <c r="I394" s="42" t="str">
        <f>LEFT(J394,4)</f>
        <v>2023</v>
      </c>
      <c r="J394" s="46">
        <v>2023</v>
      </c>
      <c r="K394" t="s">
        <v>1</v>
      </c>
      <c r="L394" t="s">
        <v>57</v>
      </c>
      <c r="M394">
        <v>121</v>
      </c>
      <c r="N394">
        <v>77</v>
      </c>
      <c r="O394">
        <v>230</v>
      </c>
      <c r="Q394" t="s">
        <v>283</v>
      </c>
    </row>
    <row r="395" spans="1:17" x14ac:dyDescent="0.25">
      <c r="A395" s="11" t="str">
        <f>PROPER(K395)</f>
        <v>Fanatic</v>
      </c>
      <c r="B395" s="11" t="str">
        <f>TRIM(PROPER(LEFT(L395,IFERROR(FIND(" ",L395),99))&amp;MID(L395,IFERROR(FIND(" ",L395),99),99)))</f>
        <v>Falcon Te 130</v>
      </c>
      <c r="C395" s="11">
        <f>TRUNC(O395)</f>
        <v>228</v>
      </c>
      <c r="D395" s="11">
        <f>TRUNC(N395)</f>
        <v>80</v>
      </c>
      <c r="E395" s="11">
        <f>M395</f>
        <v>130</v>
      </c>
      <c r="F395" s="38" t="str">
        <f>I395</f>
        <v>2023</v>
      </c>
      <c r="G395" s="11" t="str" cm="1">
        <f t="array" ref="G395">gssBoardClass(A395,B395,C395,D395,E395,F395)</f>
        <v>Slalom Large</v>
      </c>
      <c r="H395" s="39" t="str">
        <f>_xlfn.CONCAT(I395,"-",LEFT(K395,2),"-",LEFT(L395,3),"-",M395,"-",TRUNC(N395),"-",TRUNC(O395))</f>
        <v>2023-Fa-Fal-130-80-228</v>
      </c>
      <c r="I395" s="42" t="str">
        <f>LEFT(J395,4)</f>
        <v>2023</v>
      </c>
      <c r="J395" s="46">
        <v>2023</v>
      </c>
      <c r="K395" t="s">
        <v>1</v>
      </c>
      <c r="L395" t="s">
        <v>325</v>
      </c>
      <c r="M395">
        <v>130</v>
      </c>
      <c r="N395">
        <v>80</v>
      </c>
      <c r="O395">
        <v>228</v>
      </c>
      <c r="Q395" t="s">
        <v>283</v>
      </c>
    </row>
    <row r="396" spans="1:17" x14ac:dyDescent="0.25">
      <c r="A396" s="11" t="str">
        <f>PROPER(K396)</f>
        <v>Fanatic</v>
      </c>
      <c r="B396" s="11" t="str">
        <f>TRIM(PROPER(LEFT(L396,IFERROR(FIND(" ",L396),99))&amp;MID(L396,IFERROR(FIND(" ",L396),99),99)))</f>
        <v>Falcon Foil 140</v>
      </c>
      <c r="C396" s="11">
        <f>TRUNC(O396)</f>
        <v>215</v>
      </c>
      <c r="D396" s="11">
        <f>TRUNC(N396)</f>
        <v>80</v>
      </c>
      <c r="E396" s="11">
        <f>M396</f>
        <v>140</v>
      </c>
      <c r="F396" s="38" t="str">
        <f>I396</f>
        <v>2023</v>
      </c>
      <c r="G396" s="11" t="str" cm="1">
        <f t="array" ref="G396">gssBoardClass(A396,B396,C396,D396,E396,F396)</f>
        <v>Foilboard</v>
      </c>
      <c r="H396" s="39" t="str">
        <f>_xlfn.CONCAT(I396,"-",LEFT(K396,2),"-",LEFT(L396,3),"-",M396,"-",TRUNC(N396),"-",TRUNC(O396))</f>
        <v>2023-Fa-Fal-140-80-215</v>
      </c>
      <c r="I396" s="42" t="str">
        <f>LEFT(J396,4)</f>
        <v>2023</v>
      </c>
      <c r="J396" s="46">
        <v>2023</v>
      </c>
      <c r="K396" t="s">
        <v>1</v>
      </c>
      <c r="L396" t="s">
        <v>329</v>
      </c>
      <c r="M396">
        <v>140</v>
      </c>
      <c r="N396">
        <v>80</v>
      </c>
      <c r="O396">
        <v>215</v>
      </c>
      <c r="Q396" t="s">
        <v>283</v>
      </c>
    </row>
    <row r="397" spans="1:17" x14ac:dyDescent="0.25">
      <c r="A397" s="11" t="str">
        <f>PROPER(K397)</f>
        <v>Fanatic</v>
      </c>
      <c r="B397" s="11" t="str">
        <f>TRIM(PROPER(LEFT(L397,IFERROR(FIND(" ",L397),99))&amp;MID(L397,IFERROR(FIND(" ",L397),99),99)))</f>
        <v>Falcon Te 140</v>
      </c>
      <c r="C397" s="11">
        <f>TRUNC(O397)</f>
        <v>228</v>
      </c>
      <c r="D397" s="11">
        <f>TRUNC(N397)</f>
        <v>85</v>
      </c>
      <c r="E397" s="11">
        <f>M397</f>
        <v>140</v>
      </c>
      <c r="F397" s="38" t="str">
        <f>I397</f>
        <v>2023</v>
      </c>
      <c r="G397" s="11" t="str" cm="1">
        <f t="array" ref="G397">gssBoardClass(A397,B397,C397,D397,E397,F397)</f>
        <v>Slalom Large</v>
      </c>
      <c r="H397" s="39" t="str">
        <f>_xlfn.CONCAT(I397,"-",LEFT(K397,2),"-",LEFT(L397,3),"-",M397,"-",TRUNC(N397),"-",TRUNC(O397))</f>
        <v>2023-Fa-Fal-140-85-228</v>
      </c>
      <c r="I397" s="42" t="str">
        <f>LEFT(J397,4)</f>
        <v>2023</v>
      </c>
      <c r="J397" s="46">
        <v>2023</v>
      </c>
      <c r="K397" t="s">
        <v>1</v>
      </c>
      <c r="L397" t="s">
        <v>326</v>
      </c>
      <c r="M397">
        <v>140</v>
      </c>
      <c r="N397">
        <v>85</v>
      </c>
      <c r="O397">
        <v>228</v>
      </c>
      <c r="Q397" t="s">
        <v>283</v>
      </c>
    </row>
    <row r="398" spans="1:17" x14ac:dyDescent="0.25">
      <c r="A398" s="11" t="str">
        <f>PROPER(K398)</f>
        <v>Fanatic</v>
      </c>
      <c r="B398" s="11" t="str">
        <f>TRIM(PROPER(LEFT(L398,IFERROR(FIND(" ",L398),99))&amp;MID(L398,IFERROR(FIND(" ",L398),99),99)))</f>
        <v>Falcon Foil 170</v>
      </c>
      <c r="C398" s="11">
        <f>TRUNC(O398)</f>
        <v>220</v>
      </c>
      <c r="D398" s="11">
        <f>TRUNC(N398)</f>
        <v>85</v>
      </c>
      <c r="E398" s="11">
        <f>M398</f>
        <v>170</v>
      </c>
      <c r="F398" s="38" t="str">
        <f>I398</f>
        <v>2023</v>
      </c>
      <c r="G398" s="11" t="str" cm="1">
        <f t="array" ref="G398">gssBoardClass(A398,B398,C398,D398,E398,F398)</f>
        <v>Foilboard</v>
      </c>
      <c r="H398" s="39" t="str">
        <f>_xlfn.CONCAT(I398,"-",LEFT(K398,2),"-",LEFT(L398,3),"-",M398,"-",TRUNC(N398),"-",TRUNC(O398))</f>
        <v>2023-Fa-Fal-170-85-220</v>
      </c>
      <c r="I398" s="42" t="str">
        <f>LEFT(J398,4)</f>
        <v>2023</v>
      </c>
      <c r="J398" s="46">
        <v>2023</v>
      </c>
      <c r="K398" t="s">
        <v>1</v>
      </c>
      <c r="L398" t="s">
        <v>330</v>
      </c>
      <c r="M398">
        <v>170</v>
      </c>
      <c r="N398">
        <v>85</v>
      </c>
      <c r="O398">
        <v>220</v>
      </c>
      <c r="Q398" t="s">
        <v>283</v>
      </c>
    </row>
    <row r="399" spans="1:17" x14ac:dyDescent="0.25">
      <c r="A399" s="11" t="str">
        <f>PROPER(K399)</f>
        <v>Fanatic</v>
      </c>
      <c r="B399" s="11" t="str">
        <f>TRIM(PROPER(LEFT(L399,IFERROR(FIND(" ",L399),99))&amp;MID(L399,IFERROR(FIND(" ",L399),99),99)))</f>
        <v>Falcon Foil 180</v>
      </c>
      <c r="C399" s="11">
        <f>TRUNC(O399)</f>
        <v>220</v>
      </c>
      <c r="D399" s="11">
        <f>TRUNC(N399)</f>
        <v>91</v>
      </c>
      <c r="E399" s="11">
        <f>M399</f>
        <v>180</v>
      </c>
      <c r="F399" s="38" t="str">
        <f>I399</f>
        <v>2023</v>
      </c>
      <c r="G399" s="11" t="str" cm="1">
        <f t="array" ref="G399">gssBoardClass(A399,B399,C399,D399,E399,F399)</f>
        <v>Foilboard</v>
      </c>
      <c r="H399" s="39" t="str">
        <f>_xlfn.CONCAT(I399,"-",LEFT(K399,2),"-",LEFT(L399,3),"-",M399,"-",TRUNC(N399),"-",TRUNC(O399))</f>
        <v>2023-Fa-Fal-180-91-220</v>
      </c>
      <c r="I399" s="42" t="str">
        <f>LEFT(J399,4)</f>
        <v>2023</v>
      </c>
      <c r="J399" s="46">
        <v>2023</v>
      </c>
      <c r="K399" t="s">
        <v>1</v>
      </c>
      <c r="L399" t="s">
        <v>331</v>
      </c>
      <c r="M399">
        <v>180</v>
      </c>
      <c r="N399">
        <v>91</v>
      </c>
      <c r="O399">
        <v>220</v>
      </c>
      <c r="Q399" t="s">
        <v>283</v>
      </c>
    </row>
    <row r="400" spans="1:17" x14ac:dyDescent="0.25">
      <c r="A400" s="11" t="str">
        <f>PROPER(K400)</f>
        <v>Fanatic</v>
      </c>
      <c r="B400" s="11" t="str">
        <f>TRIM(PROPER(LEFT(L400,IFERROR(FIND(" ",L400),99))&amp;MID(L400,IFERROR(FIND(" ",L400),99),99)))</f>
        <v>Falcon Te 80</v>
      </c>
      <c r="C400" s="11">
        <f>TRUNC(O400)</f>
        <v>235</v>
      </c>
      <c r="D400" s="11">
        <f>TRUNC(N400)</f>
        <v>58</v>
      </c>
      <c r="E400" s="11">
        <f>M400</f>
        <v>80</v>
      </c>
      <c r="F400" s="38" t="str">
        <f>I400</f>
        <v>2023</v>
      </c>
      <c r="G400" s="11" t="str" cm="1">
        <f t="array" ref="G400">gssBoardClass(A400,B400,C400,D400,E400,F400)</f>
        <v>Speed/Slalom Xtra Small</v>
      </c>
      <c r="H400" s="39" t="str">
        <f>_xlfn.CONCAT(I400,"-",LEFT(K400,2),"-",LEFT(L400,3),"-",M400,"-",TRUNC(N400),"-",TRUNC(O400))</f>
        <v>2023-Fa-Fal-80-58-235</v>
      </c>
      <c r="I400" s="42" t="str">
        <f>LEFT(J400,4)</f>
        <v>2023</v>
      </c>
      <c r="J400" s="46">
        <v>2023</v>
      </c>
      <c r="K400" t="s">
        <v>1</v>
      </c>
      <c r="L400" t="s">
        <v>320</v>
      </c>
      <c r="M400">
        <v>80</v>
      </c>
      <c r="N400">
        <v>58</v>
      </c>
      <c r="O400">
        <v>235</v>
      </c>
      <c r="Q400" t="s">
        <v>232</v>
      </c>
    </row>
    <row r="401" spans="1:17" x14ac:dyDescent="0.25">
      <c r="A401" s="11" t="str">
        <f>PROPER(K401)</f>
        <v>Fanatic</v>
      </c>
      <c r="B401" s="11" t="str">
        <f>TRIM(PROPER(LEFT(L401,IFERROR(FIND(" ",L401),99))&amp;MID(L401,IFERROR(FIND(" ",L401),99),99)))</f>
        <v>Falcon Te 90</v>
      </c>
      <c r="C401" s="11">
        <f>TRUNC(O401)</f>
        <v>235</v>
      </c>
      <c r="D401" s="11">
        <f>TRUNC(N401)</f>
        <v>62</v>
      </c>
      <c r="E401" s="11">
        <f>M401</f>
        <v>90</v>
      </c>
      <c r="F401" s="38" t="str">
        <f>I401</f>
        <v>2023</v>
      </c>
      <c r="G401" s="11" t="str" cm="1">
        <f t="array" ref="G401">gssBoardClass(A401,B401,C401,D401,E401,F401)</f>
        <v>Speed/Slalom Small</v>
      </c>
      <c r="H401" s="39" t="str">
        <f>_xlfn.CONCAT(I401,"-",LEFT(K401,2),"-",LEFT(L401,3),"-",M401,"-",TRUNC(N401),"-",TRUNC(O401))</f>
        <v>2023-Fa-Fal-90-62-235</v>
      </c>
      <c r="I401" s="42" t="str">
        <f>LEFT(J401,4)</f>
        <v>2023</v>
      </c>
      <c r="J401" s="46">
        <v>2023</v>
      </c>
      <c r="K401" t="s">
        <v>1</v>
      </c>
      <c r="L401" t="s">
        <v>321</v>
      </c>
      <c r="M401">
        <v>90</v>
      </c>
      <c r="N401">
        <v>62</v>
      </c>
      <c r="O401">
        <v>235</v>
      </c>
      <c r="Q401" t="s">
        <v>232</v>
      </c>
    </row>
    <row r="402" spans="1:17" x14ac:dyDescent="0.25">
      <c r="A402" s="11" t="str">
        <f>PROPER(K402)</f>
        <v>Fanatic</v>
      </c>
      <c r="B402" s="11" t="str">
        <f>TRIM(PROPER(LEFT(L402,IFERROR(FIND(" ",L402),99))&amp;MID(L402,IFERROR(FIND(" ",L402),99),99)))</f>
        <v>Falcon Te 97</v>
      </c>
      <c r="C402" s="11">
        <f>TRUNC(O402)</f>
        <v>235</v>
      </c>
      <c r="D402" s="11">
        <f>TRUNC(N402)</f>
        <v>63</v>
      </c>
      <c r="E402" s="11">
        <f>M402</f>
        <v>97</v>
      </c>
      <c r="F402" s="38" t="str">
        <f>I402</f>
        <v>2023</v>
      </c>
      <c r="G402" s="11" t="str" cm="1">
        <f t="array" ref="G402">gssBoardClass(A402,B402,C402,D402,E402,F402)</f>
        <v>Speed/Slalom Small</v>
      </c>
      <c r="H402" s="39" t="str">
        <f>_xlfn.CONCAT(I402,"-",LEFT(K402,2),"-",LEFT(L402,3),"-",M402,"-",TRUNC(N402),"-",TRUNC(O402))</f>
        <v>2023-Fa-Fal-97-63-235</v>
      </c>
      <c r="I402" s="42" t="str">
        <f>LEFT(J402,4)</f>
        <v>2023</v>
      </c>
      <c r="J402" s="46">
        <v>2023</v>
      </c>
      <c r="K402" t="s">
        <v>1</v>
      </c>
      <c r="L402" t="s">
        <v>322</v>
      </c>
      <c r="M402">
        <v>97</v>
      </c>
      <c r="N402">
        <v>63</v>
      </c>
      <c r="O402">
        <v>235</v>
      </c>
      <c r="Q402" t="s">
        <v>232</v>
      </c>
    </row>
    <row r="403" spans="1:17" x14ac:dyDescent="0.25">
      <c r="A403" s="11" t="str">
        <f>PROPER(K403)</f>
        <v>Fanatic</v>
      </c>
      <c r="B403" s="11" t="str">
        <f>TRIM(PROPER(LEFT(L403,IFERROR(FIND(" ",L403),99))&amp;MID(L403,IFERROR(FIND(" ",L403),99),99)))</f>
        <v>Freewave Te/Ltd 105</v>
      </c>
      <c r="C403" s="11">
        <f>TRUNC(O403)</f>
        <v>231</v>
      </c>
      <c r="D403" s="11">
        <f>TRUNC(N403)</f>
        <v>63</v>
      </c>
      <c r="E403" s="11">
        <f>M403</f>
        <v>105</v>
      </c>
      <c r="F403" s="38" t="str">
        <f>I403</f>
        <v>2023</v>
      </c>
      <c r="G403" s="11" t="str" cm="1">
        <f t="array" ref="G403">gssBoardClass(A403,B403,C403,D403,E403,F403)</f>
        <v>Wave / Freestyle</v>
      </c>
      <c r="H403" s="39" t="str">
        <f>_xlfn.CONCAT(I403,"-",LEFT(K403,2),"-",LEFT(L403,3),"-",M403,"-",TRUNC(N403),"-",TRUNC(O403))</f>
        <v>2023-Fa-Fre-105-63-231</v>
      </c>
      <c r="I403" s="42" t="str">
        <f>LEFT(J403,4)</f>
        <v>2023</v>
      </c>
      <c r="J403" s="46">
        <v>2023</v>
      </c>
      <c r="K403" t="s">
        <v>1</v>
      </c>
      <c r="L403" t="s">
        <v>300</v>
      </c>
      <c r="M403">
        <v>105</v>
      </c>
      <c r="N403">
        <v>63</v>
      </c>
      <c r="O403">
        <v>231</v>
      </c>
      <c r="Q403" t="s">
        <v>282</v>
      </c>
    </row>
    <row r="404" spans="1:17" x14ac:dyDescent="0.25">
      <c r="A404" s="11" t="str">
        <f>PROPER(K404)</f>
        <v>Fanatic</v>
      </c>
      <c r="B404" s="11" t="str">
        <f>TRIM(PROPER(LEFT(L404,IFERROR(FIND(" ",L404),99))&amp;MID(L404,IFERROR(FIND(" ",L404),99),99)))</f>
        <v>Freewave Te/Ltd 115</v>
      </c>
      <c r="C404" s="11">
        <f>TRUNC(O404)</f>
        <v>232</v>
      </c>
      <c r="D404" s="11">
        <f>TRUNC(N404)</f>
        <v>65</v>
      </c>
      <c r="E404" s="11">
        <f>M404</f>
        <v>115</v>
      </c>
      <c r="F404" s="38" t="str">
        <f>I404</f>
        <v>2023</v>
      </c>
      <c r="G404" s="11" t="str" cm="1">
        <f t="array" ref="G404">gssBoardClass(A404,B404,C404,D404,E404,F404)</f>
        <v>Wave / Freestyle</v>
      </c>
      <c r="H404" s="39" t="str">
        <f>_xlfn.CONCAT(I404,"-",LEFT(K404,2),"-",LEFT(L404,3),"-",M404,"-",TRUNC(N404),"-",TRUNC(O404))</f>
        <v>2023-Fa-Fre-115-65-232</v>
      </c>
      <c r="I404" s="42" t="str">
        <f>LEFT(J404,4)</f>
        <v>2023</v>
      </c>
      <c r="J404" s="46">
        <v>2023</v>
      </c>
      <c r="K404" t="s">
        <v>1</v>
      </c>
      <c r="L404" t="s">
        <v>301</v>
      </c>
      <c r="M404">
        <v>115</v>
      </c>
      <c r="N404">
        <v>65.5</v>
      </c>
      <c r="O404">
        <v>232</v>
      </c>
      <c r="Q404" t="s">
        <v>282</v>
      </c>
    </row>
    <row r="405" spans="1:17" x14ac:dyDescent="0.25">
      <c r="A405" s="11" t="str">
        <f>PROPER(K405)</f>
        <v>Fanatic</v>
      </c>
      <c r="B405" s="11" t="str">
        <f>TRIM(PROPER(LEFT(L405,IFERROR(FIND(" ",L405),99))&amp;MID(L405,IFERROR(FIND(" ",L405),99),99)))</f>
        <v>Freewave Te/Ltd 125</v>
      </c>
      <c r="C405" s="11">
        <f>TRUNC(O405)</f>
        <v>234</v>
      </c>
      <c r="D405" s="11">
        <f>TRUNC(N405)</f>
        <v>68</v>
      </c>
      <c r="E405" s="11">
        <f>M405</f>
        <v>125</v>
      </c>
      <c r="F405" s="38" t="str">
        <f>I405</f>
        <v>2023</v>
      </c>
      <c r="G405" s="11" t="str" cm="1">
        <f t="array" ref="G405">gssBoardClass(A405,B405,C405,D405,E405,F405)</f>
        <v>Wave / Freestyle</v>
      </c>
      <c r="H405" s="39" t="str">
        <f>_xlfn.CONCAT(I405,"-",LEFT(K405,2),"-",LEFT(L405,3),"-",M405,"-",TRUNC(N405),"-",TRUNC(O405))</f>
        <v>2023-Fa-Fre-125-68-234</v>
      </c>
      <c r="I405" s="42" t="str">
        <f>LEFT(J405,4)</f>
        <v>2023</v>
      </c>
      <c r="J405" s="46">
        <v>2023</v>
      </c>
      <c r="K405" t="s">
        <v>1</v>
      </c>
      <c r="L405" t="s">
        <v>302</v>
      </c>
      <c r="M405">
        <v>125</v>
      </c>
      <c r="N405">
        <v>68</v>
      </c>
      <c r="O405">
        <v>234</v>
      </c>
      <c r="Q405" t="s">
        <v>282</v>
      </c>
    </row>
    <row r="406" spans="1:17" x14ac:dyDescent="0.25">
      <c r="A406" s="11" t="str">
        <f>PROPER(K406)</f>
        <v>Fanatic</v>
      </c>
      <c r="B406" s="11" t="str">
        <f>TRIM(PROPER(LEFT(L406,IFERROR(FIND(" ",L406),99))&amp;MID(L406,IFERROR(FIND(" ",L406),99),99)))</f>
        <v>Freewave Te/Ltd 75</v>
      </c>
      <c r="C406" s="11">
        <f>TRUNC(O406)</f>
        <v>228</v>
      </c>
      <c r="D406" s="11">
        <f>TRUNC(N406)</f>
        <v>56</v>
      </c>
      <c r="E406" s="11">
        <f>M406</f>
        <v>75</v>
      </c>
      <c r="F406" s="38" t="str">
        <f>I406</f>
        <v>2023</v>
      </c>
      <c r="G406" s="11" t="str" cm="1">
        <f t="array" ref="G406">gssBoardClass(A406,B406,C406,D406,E406,F406)</f>
        <v>Wave / Freestyle</v>
      </c>
      <c r="H406" s="39" t="str">
        <f>_xlfn.CONCAT(I406,"-",LEFT(K406,2),"-",LEFT(L406,3),"-",M406,"-",TRUNC(N406),"-",TRUNC(O406))</f>
        <v>2023-Fa-Fre-75-56-228</v>
      </c>
      <c r="I406" s="42" t="str">
        <f>LEFT(J406,4)</f>
        <v>2023</v>
      </c>
      <c r="J406" s="46">
        <v>2023</v>
      </c>
      <c r="K406" t="s">
        <v>1</v>
      </c>
      <c r="L406" t="s">
        <v>297</v>
      </c>
      <c r="M406">
        <v>75</v>
      </c>
      <c r="N406">
        <v>56</v>
      </c>
      <c r="O406">
        <v>228</v>
      </c>
      <c r="Q406" t="s">
        <v>282</v>
      </c>
    </row>
    <row r="407" spans="1:17" x14ac:dyDescent="0.25">
      <c r="A407" s="11" t="str">
        <f>PROPER(K407)</f>
        <v>Fanatic</v>
      </c>
      <c r="B407" s="11" t="str">
        <f>TRIM(PROPER(LEFT(L407,IFERROR(FIND(" ",L407),99))&amp;MID(L407,IFERROR(FIND(" ",L407),99),99)))</f>
        <v>Freewave Te/Ltd 85</v>
      </c>
      <c r="C407" s="11">
        <f>TRUNC(O407)</f>
        <v>229</v>
      </c>
      <c r="D407" s="11">
        <f>TRUNC(N407)</f>
        <v>58</v>
      </c>
      <c r="E407" s="11">
        <f>M407</f>
        <v>85</v>
      </c>
      <c r="F407" s="38" t="str">
        <f>I407</f>
        <v>2023</v>
      </c>
      <c r="G407" s="11" t="str" cm="1">
        <f t="array" ref="G407">gssBoardClass(A407,B407,C407,D407,E407,F407)</f>
        <v>Wave / Freestyle</v>
      </c>
      <c r="H407" s="39" t="str">
        <f>_xlfn.CONCAT(I407,"-",LEFT(K407,2),"-",LEFT(L407,3),"-",M407,"-",TRUNC(N407),"-",TRUNC(O407))</f>
        <v>2023-Fa-Fre-85-58-229</v>
      </c>
      <c r="I407" s="42" t="str">
        <f>LEFT(J407,4)</f>
        <v>2023</v>
      </c>
      <c r="J407" s="46">
        <v>2023</v>
      </c>
      <c r="K407" t="s">
        <v>1</v>
      </c>
      <c r="L407" t="s">
        <v>298</v>
      </c>
      <c r="M407">
        <v>85</v>
      </c>
      <c r="N407">
        <v>58.5</v>
      </c>
      <c r="O407">
        <v>229</v>
      </c>
      <c r="Q407" t="s">
        <v>282</v>
      </c>
    </row>
    <row r="408" spans="1:17" x14ac:dyDescent="0.25">
      <c r="A408" s="11" t="str">
        <f>PROPER(K408)</f>
        <v>Fanatic</v>
      </c>
      <c r="B408" s="11" t="str">
        <f>TRIM(PROPER(LEFT(L408,IFERROR(FIND(" ",L408),99))&amp;MID(L408,IFERROR(FIND(" ",L408),99),99)))</f>
        <v>Freewave Te/Ltd 95</v>
      </c>
      <c r="C408" s="11">
        <f>TRUNC(O408)</f>
        <v>230</v>
      </c>
      <c r="D408" s="11">
        <f>TRUNC(N408)</f>
        <v>61</v>
      </c>
      <c r="E408" s="11">
        <f>M408</f>
        <v>95</v>
      </c>
      <c r="F408" s="38" t="str">
        <f>I408</f>
        <v>2023</v>
      </c>
      <c r="G408" s="11" t="str" cm="1">
        <f t="array" ref="G408">gssBoardClass(A408,B408,C408,D408,E408,F408)</f>
        <v>Wave / Freestyle</v>
      </c>
      <c r="H408" s="39" t="str">
        <f>_xlfn.CONCAT(I408,"-",LEFT(K408,2),"-",LEFT(L408,3),"-",M408,"-",TRUNC(N408),"-",TRUNC(O408))</f>
        <v>2023-Fa-Fre-95-61-230</v>
      </c>
      <c r="I408" s="42" t="str">
        <f>LEFT(J408,4)</f>
        <v>2023</v>
      </c>
      <c r="J408" s="46">
        <v>2023</v>
      </c>
      <c r="K408" t="s">
        <v>1</v>
      </c>
      <c r="L408" t="s">
        <v>299</v>
      </c>
      <c r="M408">
        <v>95</v>
      </c>
      <c r="N408">
        <v>61</v>
      </c>
      <c r="O408">
        <v>230</v>
      </c>
      <c r="Q408" t="s">
        <v>282</v>
      </c>
    </row>
    <row r="409" spans="1:17" x14ac:dyDescent="0.25">
      <c r="A409" s="11" t="str">
        <f>PROPER(K409)</f>
        <v>Fanatic</v>
      </c>
      <c r="B409" s="11" t="str">
        <f>TRIM(PROPER(LEFT(L409,IFERROR(FIND(" ",L409),99))&amp;MID(L409,IFERROR(FIND(" ",L409),99),99)))</f>
        <v>Gecko Ltd/Hrs 100</v>
      </c>
      <c r="C409" s="11">
        <f>TRUNC(O409)</f>
        <v>239</v>
      </c>
      <c r="D409" s="11">
        <f>TRUNC(N409)</f>
        <v>66</v>
      </c>
      <c r="E409" s="11">
        <f>M409</f>
        <v>100</v>
      </c>
      <c r="F409" s="38" t="str">
        <f>I409</f>
        <v>2023</v>
      </c>
      <c r="G409" s="11" t="str" cm="1">
        <f t="array" ref="G409">gssBoardClass(A409,B409,C409,D409,E409,F409)</f>
        <v>Slalom Medium</v>
      </c>
      <c r="H409" s="39" t="str">
        <f>_xlfn.CONCAT(I409,"-",LEFT(K409,2),"-",LEFT(L409,3),"-",M409,"-",TRUNC(N409),"-",TRUNC(O409))</f>
        <v>2023-Fa-Gec-100-66-239</v>
      </c>
      <c r="I409" s="42" t="str">
        <f>LEFT(J409,4)</f>
        <v>2023</v>
      </c>
      <c r="J409" s="46">
        <v>2023</v>
      </c>
      <c r="K409" t="s">
        <v>1</v>
      </c>
      <c r="L409" t="s">
        <v>307</v>
      </c>
      <c r="M409">
        <v>100</v>
      </c>
      <c r="N409">
        <v>66</v>
      </c>
      <c r="O409">
        <v>239</v>
      </c>
      <c r="Q409" t="s">
        <v>179</v>
      </c>
    </row>
    <row r="410" spans="1:17" x14ac:dyDescent="0.25">
      <c r="A410" s="11" t="str">
        <f>PROPER(K410)</f>
        <v>Fanatic</v>
      </c>
      <c r="B410" s="11" t="str">
        <f>TRIM(PROPER(LEFT(L410,IFERROR(FIND(" ",L410),99))&amp;MID(L410,IFERROR(FIND(" ",L410),99),99)))</f>
        <v>Gecko Ltd/Hrs 110</v>
      </c>
      <c r="C410" s="11">
        <f>TRUNC(O410)</f>
        <v>239</v>
      </c>
      <c r="D410" s="11">
        <f>TRUNC(N410)</f>
        <v>69</v>
      </c>
      <c r="E410" s="11">
        <f>M410</f>
        <v>110</v>
      </c>
      <c r="F410" s="38" t="str">
        <f>I410</f>
        <v>2023</v>
      </c>
      <c r="G410" s="11" t="str" cm="1">
        <f t="array" ref="G410">gssBoardClass(A410,B410,C410,D410,E410,F410)</f>
        <v>Slalom Medium</v>
      </c>
      <c r="H410" s="39" t="str">
        <f>_xlfn.CONCAT(I410,"-",LEFT(K410,2),"-",LEFT(L410,3),"-",M410,"-",TRUNC(N410),"-",TRUNC(O410))</f>
        <v>2023-Fa-Gec-110-69-239</v>
      </c>
      <c r="I410" s="42" t="str">
        <f>LEFT(J410,4)</f>
        <v>2023</v>
      </c>
      <c r="J410" s="46">
        <v>2023</v>
      </c>
      <c r="K410" t="s">
        <v>1</v>
      </c>
      <c r="L410" t="s">
        <v>308</v>
      </c>
      <c r="M410">
        <v>110</v>
      </c>
      <c r="N410">
        <v>69</v>
      </c>
      <c r="O410">
        <v>239</v>
      </c>
      <c r="Q410" t="s">
        <v>179</v>
      </c>
    </row>
    <row r="411" spans="1:17" x14ac:dyDescent="0.25">
      <c r="A411" s="11" t="str">
        <f>PROPER(K411)</f>
        <v>Fanatic</v>
      </c>
      <c r="B411" s="11" t="str">
        <f>TRIM(PROPER(LEFT(L411,IFERROR(FIND(" ",L411),99))&amp;MID(L411,IFERROR(FIND(" ",L411),99),99)))</f>
        <v>Gecko Ltd/Hrs 122</v>
      </c>
      <c r="C411" s="11">
        <f>TRUNC(O411)</f>
        <v>242</v>
      </c>
      <c r="D411" s="11">
        <f>TRUNC(N411)</f>
        <v>76</v>
      </c>
      <c r="E411" s="11">
        <f>M411</f>
        <v>122</v>
      </c>
      <c r="F411" s="38" t="str">
        <f>I411</f>
        <v>2023</v>
      </c>
      <c r="G411" s="11" t="str" cm="1">
        <f t="array" ref="G411">gssBoardClass(A411,B411,C411,D411,E411,F411)</f>
        <v>Slalom Large</v>
      </c>
      <c r="H411" s="39" t="str">
        <f>_xlfn.CONCAT(I411,"-",LEFT(K411,2),"-",LEFT(L411,3),"-",M411,"-",TRUNC(N411),"-",TRUNC(O411))</f>
        <v>2023-Fa-Gec-122-76-242</v>
      </c>
      <c r="I411" s="42" t="str">
        <f>LEFT(J411,4)</f>
        <v>2023</v>
      </c>
      <c r="J411" s="46">
        <v>2023</v>
      </c>
      <c r="K411" t="s">
        <v>1</v>
      </c>
      <c r="L411" t="s">
        <v>309</v>
      </c>
      <c r="M411">
        <v>122</v>
      </c>
      <c r="N411">
        <v>76</v>
      </c>
      <c r="O411">
        <v>242</v>
      </c>
      <c r="Q411" t="s">
        <v>179</v>
      </c>
    </row>
    <row r="412" spans="1:17" x14ac:dyDescent="0.25">
      <c r="A412" s="11" t="str">
        <f>PROPER(K412)</f>
        <v>Fanatic</v>
      </c>
      <c r="B412" s="11" t="str">
        <f>TRIM(PROPER(LEFT(L412,IFERROR(FIND(" ",L412),99))&amp;MID(L412,IFERROR(FIND(" ",L412),99),99)))</f>
        <v>Gecko Ltd/Hrs 135</v>
      </c>
      <c r="C412" s="11">
        <f>TRUNC(O412)</f>
        <v>246</v>
      </c>
      <c r="D412" s="11">
        <f>TRUNC(N412)</f>
        <v>79</v>
      </c>
      <c r="E412" s="11">
        <f>M412</f>
        <v>135</v>
      </c>
      <c r="F412" s="38" t="str">
        <f>I412</f>
        <v>2023</v>
      </c>
      <c r="G412" s="11" t="str" cm="1">
        <f t="array" ref="G412">gssBoardClass(A412,B412,C412,D412,E412,F412)</f>
        <v>Slalom Large</v>
      </c>
      <c r="H412" s="39" t="str">
        <f>_xlfn.CONCAT(I412,"-",LEFT(K412,2),"-",LEFT(L412,3),"-",M412,"-",TRUNC(N412),"-",TRUNC(O412))</f>
        <v>2023-Fa-Gec-135-79-246</v>
      </c>
      <c r="I412" s="42" t="str">
        <f>LEFT(J412,4)</f>
        <v>2023</v>
      </c>
      <c r="J412" s="46">
        <v>2023</v>
      </c>
      <c r="K412" t="s">
        <v>1</v>
      </c>
      <c r="L412" t="s">
        <v>310</v>
      </c>
      <c r="M412">
        <v>135</v>
      </c>
      <c r="N412">
        <v>79</v>
      </c>
      <c r="O412">
        <v>246</v>
      </c>
      <c r="Q412" t="s">
        <v>179</v>
      </c>
    </row>
    <row r="413" spans="1:17" x14ac:dyDescent="0.25">
      <c r="A413" s="11" t="str">
        <f>PROPER(K413)</f>
        <v>Fanatic</v>
      </c>
      <c r="B413" s="11" t="str">
        <f>TRIM(PROPER(LEFT(L413,IFERROR(FIND(" ",L413),99))&amp;MID(L413,IFERROR(FIND(" ",L413),99),99)))</f>
        <v>Gecko Ltd/Hrs 148</v>
      </c>
      <c r="C413" s="11">
        <f>TRUNC(O413)</f>
        <v>250</v>
      </c>
      <c r="D413" s="11">
        <f>TRUNC(N413)</f>
        <v>83</v>
      </c>
      <c r="E413" s="11">
        <f>M413</f>
        <v>148</v>
      </c>
      <c r="F413" s="38" t="str">
        <f>I413</f>
        <v>2023</v>
      </c>
      <c r="G413" s="11" t="str" cm="1">
        <f t="array" ref="G413">gssBoardClass(A413,B413,C413,D413,E413,F413)</f>
        <v>Slalom Large</v>
      </c>
      <c r="H413" s="39" t="str">
        <f>_xlfn.CONCAT(I413,"-",LEFT(K413,2),"-",LEFT(L413,3),"-",M413,"-",TRUNC(N413),"-",TRUNC(O413))</f>
        <v>2023-Fa-Gec-148-83-250</v>
      </c>
      <c r="I413" s="42" t="str">
        <f>LEFT(J413,4)</f>
        <v>2023</v>
      </c>
      <c r="J413" s="46">
        <v>2023</v>
      </c>
      <c r="K413" t="s">
        <v>1</v>
      </c>
      <c r="L413" t="s">
        <v>311</v>
      </c>
      <c r="M413">
        <v>148</v>
      </c>
      <c r="N413">
        <v>83</v>
      </c>
      <c r="O413">
        <v>250</v>
      </c>
      <c r="Q413" t="s">
        <v>179</v>
      </c>
    </row>
    <row r="414" spans="1:17" x14ac:dyDescent="0.25">
      <c r="A414" s="11" t="str">
        <f>PROPER(K414)</f>
        <v>Fanatic</v>
      </c>
      <c r="B414" s="11" t="str">
        <f>TRIM(PROPER(LEFT(L414,IFERROR(FIND(" ",L414),99))&amp;MID(L414,IFERROR(FIND(" ",L414),99),99)))</f>
        <v>Gecko Ltd/Hrs 156</v>
      </c>
      <c r="C414" s="11">
        <f>TRUNC(O414)</f>
        <v>252</v>
      </c>
      <c r="D414" s="11">
        <f>TRUNC(N414)</f>
        <v>85</v>
      </c>
      <c r="E414" s="11">
        <f>M414</f>
        <v>156</v>
      </c>
      <c r="F414" s="38" t="str">
        <f>I414</f>
        <v>2023</v>
      </c>
      <c r="G414" s="11" t="str" cm="1">
        <f t="array" ref="G414">gssBoardClass(A414,B414,C414,D414,E414,F414)</f>
        <v>Slalom Large</v>
      </c>
      <c r="H414" s="39" t="str">
        <f>_xlfn.CONCAT(I414,"-",LEFT(K414,2),"-",LEFT(L414,3),"-",M414,"-",TRUNC(N414),"-",TRUNC(O414))</f>
        <v>2023-Fa-Gec-156-85-252</v>
      </c>
      <c r="I414" s="42" t="str">
        <f>LEFT(J414,4)</f>
        <v>2023</v>
      </c>
      <c r="J414" s="46">
        <v>2023</v>
      </c>
      <c r="K414" t="s">
        <v>1</v>
      </c>
      <c r="L414" t="s">
        <v>312</v>
      </c>
      <c r="M414">
        <v>156</v>
      </c>
      <c r="N414">
        <v>85</v>
      </c>
      <c r="O414">
        <v>252</v>
      </c>
      <c r="Q414" t="s">
        <v>179</v>
      </c>
    </row>
    <row r="415" spans="1:17" x14ac:dyDescent="0.25">
      <c r="A415" s="11" t="str">
        <f>PROPER(K415)</f>
        <v>Fanatic</v>
      </c>
      <c r="B415" s="11" t="str">
        <f>TRIM(PROPER(LEFT(L415,IFERROR(FIND(" ",L415),99))&amp;MID(L415,IFERROR(FIND(" ",L415),99),99)))</f>
        <v>Grip Te 107</v>
      </c>
      <c r="C415" s="11">
        <f>TRUNC(O415)</f>
        <v>230</v>
      </c>
      <c r="D415" s="11">
        <f>TRUNC(N415)</f>
        <v>64</v>
      </c>
      <c r="E415" s="11">
        <f>M415</f>
        <v>107</v>
      </c>
      <c r="F415" s="38" t="str">
        <f>I415</f>
        <v>2023</v>
      </c>
      <c r="G415" s="11" t="str" cm="1">
        <f t="array" ref="G415">gssBoardClass(A415,B415,C415,D415,E415,F415)</f>
        <v>Wave / Freestyle</v>
      </c>
      <c r="H415" s="39" t="str">
        <f>_xlfn.CONCAT(I415,"-",LEFT(K415,2),"-",LEFT(L415,3),"-",M415,"-",TRUNC(N415),"-",TRUNC(O415))</f>
        <v>2023-Fa-Gri-107-64-230</v>
      </c>
      <c r="I415" s="42" t="str">
        <f>LEFT(J415,4)</f>
        <v>2023</v>
      </c>
      <c r="J415" s="46">
        <v>2023</v>
      </c>
      <c r="K415" t="s">
        <v>1</v>
      </c>
      <c r="L415" t="s">
        <v>289</v>
      </c>
      <c r="M415">
        <v>107</v>
      </c>
      <c r="N415">
        <v>64</v>
      </c>
      <c r="O415">
        <v>230</v>
      </c>
      <c r="Q415" t="s">
        <v>280</v>
      </c>
    </row>
    <row r="416" spans="1:17" x14ac:dyDescent="0.25">
      <c r="A416" s="11" t="str">
        <f>PROPER(K416)</f>
        <v>Fanatic</v>
      </c>
      <c r="B416" s="11" t="str">
        <f>TRIM(PROPER(LEFT(L416,IFERROR(FIND(" ",L416),99))&amp;MID(L416,IFERROR(FIND(" ",L416),99),99)))</f>
        <v>Grip Te 69</v>
      </c>
      <c r="C416" s="11">
        <f>TRUNC(O416)</f>
        <v>220</v>
      </c>
      <c r="D416" s="11">
        <f>TRUNC(N416)</f>
        <v>54</v>
      </c>
      <c r="E416" s="11">
        <f>M416</f>
        <v>69</v>
      </c>
      <c r="F416" s="38" t="str">
        <f>I416</f>
        <v>2023</v>
      </c>
      <c r="G416" s="11" t="str" cm="1">
        <f t="array" ref="G416">gssBoardClass(A416,B416,C416,D416,E416,F416)</f>
        <v>Wave / Freestyle</v>
      </c>
      <c r="H416" s="39" t="str">
        <f>_xlfn.CONCAT(I416,"-",LEFT(K416,2),"-",LEFT(L416,3),"-",M416,"-",TRUNC(N416),"-",TRUNC(O416))</f>
        <v>2023-Fa-Gri-69-54-220</v>
      </c>
      <c r="I416" s="42" t="str">
        <f>LEFT(J416,4)</f>
        <v>2023</v>
      </c>
      <c r="J416" s="46">
        <v>2023</v>
      </c>
      <c r="K416" t="s">
        <v>1</v>
      </c>
      <c r="L416" t="s">
        <v>285</v>
      </c>
      <c r="M416">
        <v>69</v>
      </c>
      <c r="N416">
        <v>54</v>
      </c>
      <c r="O416">
        <v>220</v>
      </c>
      <c r="Q416" t="s">
        <v>280</v>
      </c>
    </row>
    <row r="417" spans="1:17" x14ac:dyDescent="0.25">
      <c r="A417" s="11" t="str">
        <f>PROPER(K417)</f>
        <v>Fanatic</v>
      </c>
      <c r="B417" s="11" t="str">
        <f>TRIM(PROPER(LEFT(L417,IFERROR(FIND(" ",L417),99))&amp;MID(L417,IFERROR(FIND(" ",L417),99),99)))</f>
        <v>Grip Te 76</v>
      </c>
      <c r="C417" s="11">
        <f>TRUNC(O417)</f>
        <v>223</v>
      </c>
      <c r="D417" s="11">
        <f>TRUNC(N417)</f>
        <v>56</v>
      </c>
      <c r="E417" s="11">
        <f>M417</f>
        <v>76</v>
      </c>
      <c r="F417" s="38" t="str">
        <f>I417</f>
        <v>2023</v>
      </c>
      <c r="G417" s="11" t="str" cm="1">
        <f t="array" ref="G417">gssBoardClass(A417,B417,C417,D417,E417,F417)</f>
        <v>Wave / Freestyle</v>
      </c>
      <c r="H417" s="39" t="str">
        <f>_xlfn.CONCAT(I417,"-",LEFT(K417,2),"-",LEFT(L417,3),"-",M417,"-",TRUNC(N417),"-",TRUNC(O417))</f>
        <v>2023-Fa-Gri-76-56-223</v>
      </c>
      <c r="I417" s="42" t="str">
        <f>LEFT(J417,4)</f>
        <v>2023</v>
      </c>
      <c r="J417" s="46">
        <v>2023</v>
      </c>
      <c r="K417" t="s">
        <v>1</v>
      </c>
      <c r="L417" t="s">
        <v>144</v>
      </c>
      <c r="M417">
        <v>76</v>
      </c>
      <c r="N417">
        <v>56</v>
      </c>
      <c r="O417">
        <v>223</v>
      </c>
      <c r="Q417" t="s">
        <v>280</v>
      </c>
    </row>
    <row r="418" spans="1:17" x14ac:dyDescent="0.25">
      <c r="A418" s="11" t="str">
        <f>PROPER(K418)</f>
        <v>Fanatic</v>
      </c>
      <c r="B418" s="11" t="str">
        <f>TRIM(PROPER(LEFT(L418,IFERROR(FIND(" ",L418),99))&amp;MID(L418,IFERROR(FIND(" ",L418),99),99)))</f>
        <v>Grip Te 81</v>
      </c>
      <c r="C418" s="11">
        <f>TRUNC(O418)</f>
        <v>224</v>
      </c>
      <c r="D418" s="11">
        <f>TRUNC(N418)</f>
        <v>57</v>
      </c>
      <c r="E418" s="11">
        <f>M418</f>
        <v>81</v>
      </c>
      <c r="F418" s="38" t="str">
        <f>I418</f>
        <v>2023</v>
      </c>
      <c r="G418" s="11" t="str" cm="1">
        <f t="array" ref="G418">gssBoardClass(A418,B418,C418,D418,E418,F418)</f>
        <v>Wave / Freestyle</v>
      </c>
      <c r="H418" s="39" t="str">
        <f>_xlfn.CONCAT(I418,"-",LEFT(K418,2),"-",LEFT(L418,3),"-",M418,"-",TRUNC(N418),"-",TRUNC(O418))</f>
        <v>2023-Fa-Gri-81-57-224</v>
      </c>
      <c r="I418" s="42" t="str">
        <f>LEFT(J418,4)</f>
        <v>2023</v>
      </c>
      <c r="J418" s="46">
        <v>2023</v>
      </c>
      <c r="K418" t="s">
        <v>1</v>
      </c>
      <c r="L418" t="s">
        <v>286</v>
      </c>
      <c r="M418">
        <v>81</v>
      </c>
      <c r="N418">
        <v>57.5</v>
      </c>
      <c r="O418">
        <v>224</v>
      </c>
      <c r="Q418" t="s">
        <v>280</v>
      </c>
    </row>
    <row r="419" spans="1:17" x14ac:dyDescent="0.25">
      <c r="A419" s="11" t="str">
        <f>PROPER(K419)</f>
        <v>Fanatic</v>
      </c>
      <c r="B419" s="11" t="str">
        <f>TRIM(PROPER(LEFT(L419,IFERROR(FIND(" ",L419),99))&amp;MID(L419,IFERROR(FIND(" ",L419),99),99)))</f>
        <v>Grip Te 87</v>
      </c>
      <c r="C419" s="11">
        <f>TRUNC(O419)</f>
        <v>225</v>
      </c>
      <c r="D419" s="11">
        <f>TRUNC(N419)</f>
        <v>59</v>
      </c>
      <c r="E419" s="11">
        <f>M419</f>
        <v>87</v>
      </c>
      <c r="F419" s="38" t="str">
        <f>I419</f>
        <v>2023</v>
      </c>
      <c r="G419" s="11" t="str" cm="1">
        <f t="array" ref="G419">gssBoardClass(A419,B419,C419,D419,E419,F419)</f>
        <v>Wave / Freestyle</v>
      </c>
      <c r="H419" s="39" t="str">
        <f>_xlfn.CONCAT(I419,"-",LEFT(K419,2),"-",LEFT(L419,3),"-",M419,"-",TRUNC(N419),"-",TRUNC(O419))</f>
        <v>2023-Fa-Gri-87-59-225</v>
      </c>
      <c r="I419" s="42" t="str">
        <f>LEFT(J419,4)</f>
        <v>2023</v>
      </c>
      <c r="J419" s="46">
        <v>2023</v>
      </c>
      <c r="K419" t="s">
        <v>1</v>
      </c>
      <c r="L419" t="s">
        <v>287</v>
      </c>
      <c r="M419">
        <v>87</v>
      </c>
      <c r="N419">
        <v>59</v>
      </c>
      <c r="O419">
        <v>225</v>
      </c>
      <c r="Q419" t="s">
        <v>280</v>
      </c>
    </row>
    <row r="420" spans="1:17" x14ac:dyDescent="0.25">
      <c r="A420" s="11" t="str">
        <f>PROPER(K420)</f>
        <v>Fanatic</v>
      </c>
      <c r="B420" s="11" t="str">
        <f>TRIM(PROPER(LEFT(L420,IFERROR(FIND(" ",L420),99))&amp;MID(L420,IFERROR(FIND(" ",L420),99),99)))</f>
        <v>Grip Te 93</v>
      </c>
      <c r="C420" s="11">
        <f>TRUNC(O420)</f>
        <v>226</v>
      </c>
      <c r="D420" s="11">
        <f>TRUNC(N420)</f>
        <v>60</v>
      </c>
      <c r="E420" s="11">
        <f>M420</f>
        <v>93</v>
      </c>
      <c r="F420" s="38" t="str">
        <f>I420</f>
        <v>2023</v>
      </c>
      <c r="G420" s="11" t="str" cm="1">
        <f t="array" ref="G420">gssBoardClass(A420,B420,C420,D420,E420,F420)</f>
        <v>Wave / Freestyle</v>
      </c>
      <c r="H420" s="39" t="str">
        <f>_xlfn.CONCAT(I420,"-",LEFT(K420,2),"-",LEFT(L420,3),"-",M420,"-",TRUNC(N420),"-",TRUNC(O420))</f>
        <v>2023-Fa-Gri-93-60-226</v>
      </c>
      <c r="I420" s="42" t="str">
        <f>LEFT(J420,4)</f>
        <v>2023</v>
      </c>
      <c r="J420" s="46">
        <v>2023</v>
      </c>
      <c r="K420" t="s">
        <v>1</v>
      </c>
      <c r="L420" t="s">
        <v>288</v>
      </c>
      <c r="M420">
        <v>93</v>
      </c>
      <c r="N420">
        <v>60</v>
      </c>
      <c r="O420">
        <v>226</v>
      </c>
      <c r="Q420" t="s">
        <v>280</v>
      </c>
    </row>
    <row r="421" spans="1:17" x14ac:dyDescent="0.25">
      <c r="A421" s="11" t="str">
        <f>PROPER(K421)</f>
        <v>Fanatic</v>
      </c>
      <c r="B421" s="11" t="str">
        <f>TRIM(PROPER(LEFT(L421,IFERROR(FIND(" ",L421),99))&amp;MID(L421,IFERROR(FIND(" ",L421),99),99)))</f>
        <v>Grip Te 99</v>
      </c>
      <c r="C421" s="11">
        <f>TRUNC(O421)</f>
        <v>227</v>
      </c>
      <c r="D421" s="11">
        <f>TRUNC(N421)</f>
        <v>62</v>
      </c>
      <c r="E421" s="11">
        <f>M421</f>
        <v>99</v>
      </c>
      <c r="F421" s="38" t="str">
        <f>I421</f>
        <v>2023</v>
      </c>
      <c r="G421" s="11" t="str" cm="1">
        <f t="array" ref="G421">gssBoardClass(A421,B421,C421,D421,E421,F421)</f>
        <v>Wave / Freestyle</v>
      </c>
      <c r="H421" s="39" t="str">
        <f>_xlfn.CONCAT(I421,"-",LEFT(K421,2),"-",LEFT(L421,3),"-",M421,"-",TRUNC(N421),"-",TRUNC(O421))</f>
        <v>2023-Fa-Gri-99-62-227</v>
      </c>
      <c r="I421" s="42" t="str">
        <f>LEFT(J421,4)</f>
        <v>2023</v>
      </c>
      <c r="J421" s="46">
        <v>2023</v>
      </c>
      <c r="K421" t="s">
        <v>1</v>
      </c>
      <c r="L421" t="s">
        <v>150</v>
      </c>
      <c r="M421">
        <v>99</v>
      </c>
      <c r="N421">
        <v>62</v>
      </c>
      <c r="O421">
        <v>227</v>
      </c>
      <c r="Q421" t="s">
        <v>280</v>
      </c>
    </row>
    <row r="422" spans="1:17" x14ac:dyDescent="0.25">
      <c r="A422" s="11" t="str">
        <f>PROPER(K422)</f>
        <v>Fanatic</v>
      </c>
      <c r="B422" s="11" t="str">
        <f>TRIM(PROPER(LEFT(L422,IFERROR(FIND(" ",L422),99))&amp;MID(L422,IFERROR(FIND(" ",L422),99),99)))</f>
        <v>Jag Ltd 110</v>
      </c>
      <c r="C422" s="11">
        <f>TRUNC(O422)</f>
        <v>230</v>
      </c>
      <c r="D422" s="11">
        <f>TRUNC(N422)</f>
        <v>70</v>
      </c>
      <c r="E422" s="11">
        <f>M422</f>
        <v>110</v>
      </c>
      <c r="F422" s="38" t="str">
        <f>I422</f>
        <v>2023</v>
      </c>
      <c r="G422" s="11" t="str" cm="1">
        <f t="array" ref="G422">gssBoardClass(A422,B422,C422,D422,E422,F422)</f>
        <v>Slalom Medium</v>
      </c>
      <c r="H422" s="39" t="str">
        <f>_xlfn.CONCAT(I422,"-",LEFT(K422,2),"-",LEFT(L422,3),"-",M422,"-",TRUNC(N422),"-",TRUNC(O422))</f>
        <v>2023-Fa-Jag-110-70-230</v>
      </c>
      <c r="I422" s="42" t="str">
        <f>LEFT(J422,4)</f>
        <v>2023</v>
      </c>
      <c r="J422" s="46">
        <v>2023</v>
      </c>
      <c r="K422" t="s">
        <v>1</v>
      </c>
      <c r="L422" t="s">
        <v>316</v>
      </c>
      <c r="M422">
        <v>110</v>
      </c>
      <c r="N422">
        <v>70</v>
      </c>
      <c r="O422">
        <v>230</v>
      </c>
      <c r="Q422" t="s">
        <v>283</v>
      </c>
    </row>
    <row r="423" spans="1:17" x14ac:dyDescent="0.25">
      <c r="A423" s="11" t="str">
        <f>PROPER(K423)</f>
        <v>Fanatic</v>
      </c>
      <c r="B423" s="11" t="str">
        <f>TRIM(PROPER(LEFT(L423,IFERROR(FIND(" ",L423),99))&amp;MID(L423,IFERROR(FIND(" ",L423),99),99)))</f>
        <v>Jag Ltd 128</v>
      </c>
      <c r="C423" s="11">
        <f>TRUNC(O423)</f>
        <v>232</v>
      </c>
      <c r="D423" s="11">
        <f>TRUNC(N423)</f>
        <v>80</v>
      </c>
      <c r="E423" s="11">
        <f>M423</f>
        <v>128</v>
      </c>
      <c r="F423" s="38" t="str">
        <f>I423</f>
        <v>2023</v>
      </c>
      <c r="G423" s="11" t="str" cm="1">
        <f t="array" ref="G423">gssBoardClass(A423,B423,C423,D423,E423,F423)</f>
        <v>Slalom Large</v>
      </c>
      <c r="H423" s="39" t="str">
        <f>_xlfn.CONCAT(I423,"-",LEFT(K423,2),"-",LEFT(L423,3),"-",M423,"-",TRUNC(N423),"-",TRUNC(O423))</f>
        <v>2023-Fa-Jag-128-80-232</v>
      </c>
      <c r="I423" s="42" t="str">
        <f>LEFT(J423,4)</f>
        <v>2023</v>
      </c>
      <c r="J423" s="46">
        <v>2023</v>
      </c>
      <c r="K423" t="s">
        <v>1</v>
      </c>
      <c r="L423" t="s">
        <v>317</v>
      </c>
      <c r="M423">
        <v>128</v>
      </c>
      <c r="N423">
        <v>80</v>
      </c>
      <c r="O423">
        <v>232</v>
      </c>
      <c r="Q423" t="s">
        <v>283</v>
      </c>
    </row>
    <row r="424" spans="1:17" x14ac:dyDescent="0.25">
      <c r="A424" s="11" t="str">
        <f>PROPER(K424)</f>
        <v>Fanatic</v>
      </c>
      <c r="B424" s="11" t="str">
        <f>TRIM(PROPER(LEFT(L424,IFERROR(FIND(" ",L424),99))&amp;MID(L424,IFERROR(FIND(" ",L424),99),99)))</f>
        <v>Jag Ltd 138</v>
      </c>
      <c r="C424" s="11">
        <f>TRUNC(O424)</f>
        <v>232</v>
      </c>
      <c r="D424" s="11">
        <f>TRUNC(N424)</f>
        <v>85</v>
      </c>
      <c r="E424" s="11">
        <f>M424</f>
        <v>138</v>
      </c>
      <c r="F424" s="38" t="str">
        <f>I424</f>
        <v>2023</v>
      </c>
      <c r="G424" s="11" t="str" cm="1">
        <f t="array" ref="G424">gssBoardClass(A424,B424,C424,D424,E424,F424)</f>
        <v>Slalom Large</v>
      </c>
      <c r="H424" s="39" t="str">
        <f>_xlfn.CONCAT(I424,"-",LEFT(K424,2),"-",LEFT(L424,3),"-",M424,"-",TRUNC(N424),"-",TRUNC(O424))</f>
        <v>2023-Fa-Jag-138-85-232</v>
      </c>
      <c r="I424" s="42" t="str">
        <f>LEFT(J424,4)</f>
        <v>2023</v>
      </c>
      <c r="J424" s="46">
        <v>2023</v>
      </c>
      <c r="K424" t="s">
        <v>1</v>
      </c>
      <c r="L424" t="s">
        <v>318</v>
      </c>
      <c r="M424">
        <v>138</v>
      </c>
      <c r="N424">
        <v>85</v>
      </c>
      <c r="O424">
        <v>232</v>
      </c>
      <c r="Q424" t="s">
        <v>283</v>
      </c>
    </row>
    <row r="425" spans="1:17" x14ac:dyDescent="0.25">
      <c r="A425" s="11" t="str">
        <f>PROPER(K425)</f>
        <v>Fanatic</v>
      </c>
      <c r="B425" s="11" t="str">
        <f>TRIM(PROPER(LEFT(L425,IFERROR(FIND(" ",L425),99))&amp;MID(L425,IFERROR(FIND(" ",L425),99),99)))</f>
        <v>Jag Ltd 158</v>
      </c>
      <c r="C425" s="11">
        <f>TRUNC(O425)</f>
        <v>235</v>
      </c>
      <c r="D425" s="11">
        <f>TRUNC(N425)</f>
        <v>90</v>
      </c>
      <c r="E425" s="11">
        <f>M425</f>
        <v>158</v>
      </c>
      <c r="F425" s="38" t="str">
        <f>I425</f>
        <v>2023</v>
      </c>
      <c r="G425" s="11" t="str" cm="1">
        <f t="array" ref="G425">gssBoardClass(A425,B425,C425,D425,E425,F425)</f>
        <v>Slalom Xtra Large</v>
      </c>
      <c r="H425" s="39" t="str">
        <f>_xlfn.CONCAT(I425,"-",LEFT(K425,2),"-",LEFT(L425,3),"-",M425,"-",TRUNC(N425),"-",TRUNC(O425))</f>
        <v>2023-Fa-Jag-158-90-235</v>
      </c>
      <c r="I425" s="42" t="str">
        <f>LEFT(J425,4)</f>
        <v>2023</v>
      </c>
      <c r="J425" s="46">
        <v>2023</v>
      </c>
      <c r="K425" t="s">
        <v>1</v>
      </c>
      <c r="L425" t="s">
        <v>319</v>
      </c>
      <c r="M425">
        <v>158</v>
      </c>
      <c r="N425">
        <v>90</v>
      </c>
      <c r="O425">
        <v>235</v>
      </c>
      <c r="Q425" t="s">
        <v>283</v>
      </c>
    </row>
    <row r="426" spans="1:17" x14ac:dyDescent="0.25">
      <c r="A426" s="11" t="str">
        <f>PROPER(K426)</f>
        <v>Fanatic</v>
      </c>
      <c r="B426" s="11" t="str">
        <f>TRIM(PROPER(LEFT(L426,IFERROR(FIND(" ",L426),99))&amp;MID(L426,IFERROR(FIND(" ",L426),99),99)))</f>
        <v>Jag Ltd 94</v>
      </c>
      <c r="C426" s="11">
        <f>TRUNC(O426)</f>
        <v>230</v>
      </c>
      <c r="D426" s="11">
        <f>TRUNC(N426)</f>
        <v>61</v>
      </c>
      <c r="E426" s="11">
        <f>M426</f>
        <v>94</v>
      </c>
      <c r="F426" s="38" t="str">
        <f>I426</f>
        <v>2023</v>
      </c>
      <c r="G426" s="11" t="str" cm="1">
        <f t="array" ref="G426">gssBoardClass(A426,B426,C426,D426,E426,F426)</f>
        <v>Speed/Slalom Small</v>
      </c>
      <c r="H426" s="39" t="str">
        <f>_xlfn.CONCAT(I426,"-",LEFT(K426,2),"-",LEFT(L426,3),"-",M426,"-",TRUNC(N426),"-",TRUNC(O426))</f>
        <v>2023-Fa-Jag-94-61-230</v>
      </c>
      <c r="I426" s="42" t="str">
        <f>LEFT(J426,4)</f>
        <v>2023</v>
      </c>
      <c r="J426" s="46">
        <v>2023</v>
      </c>
      <c r="K426" t="s">
        <v>1</v>
      </c>
      <c r="L426" t="s">
        <v>315</v>
      </c>
      <c r="M426">
        <v>94</v>
      </c>
      <c r="N426">
        <v>61</v>
      </c>
      <c r="O426">
        <v>230</v>
      </c>
      <c r="Q426" t="s">
        <v>232</v>
      </c>
    </row>
    <row r="427" spans="1:17" x14ac:dyDescent="0.25">
      <c r="A427" s="11" t="str">
        <f>PROPER(K427)</f>
        <v>Fanatic</v>
      </c>
      <c r="B427" s="11" t="str">
        <f>TRIM(PROPER(LEFT(L427,IFERROR(FIND(" ",L427),99))&amp;MID(L427,IFERROR(FIND(" ",L427),99),99)))</f>
        <v>Mamba Te 104</v>
      </c>
      <c r="C427" s="11">
        <f>TRUNC(O427)</f>
        <v>224</v>
      </c>
      <c r="D427" s="11">
        <f>TRUNC(N427)</f>
        <v>62</v>
      </c>
      <c r="E427" s="11">
        <f>M427</f>
        <v>104</v>
      </c>
      <c r="F427" s="38" t="str">
        <f>I427</f>
        <v>2023</v>
      </c>
      <c r="G427" s="11" t="str" cm="1">
        <f t="array" ref="G427">gssBoardClass(A427,B427,C427,D427,E427,F427)</f>
        <v>Wave / Freestyle</v>
      </c>
      <c r="H427" s="39" t="str">
        <f>_xlfn.CONCAT(I427,"-",LEFT(K427,2),"-",LEFT(L427,3),"-",M427,"-",TRUNC(N427),"-",TRUNC(O427))</f>
        <v>2023-Fa-Mam-104-62-224</v>
      </c>
      <c r="I427" s="42" t="str">
        <f>LEFT(J427,4)</f>
        <v>2023</v>
      </c>
      <c r="J427" s="46">
        <v>2023</v>
      </c>
      <c r="K427" t="s">
        <v>1</v>
      </c>
      <c r="L427" t="s">
        <v>293</v>
      </c>
      <c r="M427">
        <v>104</v>
      </c>
      <c r="N427">
        <v>62</v>
      </c>
      <c r="O427">
        <v>224</v>
      </c>
      <c r="Q427" t="s">
        <v>281</v>
      </c>
    </row>
    <row r="428" spans="1:17" x14ac:dyDescent="0.25">
      <c r="A428" s="11" t="str">
        <f>PROPER(K428)</f>
        <v>Fanatic</v>
      </c>
      <c r="B428" s="11" t="str">
        <f>TRIM(PROPER(LEFT(L428,IFERROR(FIND(" ",L428),99))&amp;MID(L428,IFERROR(FIND(" ",L428),99),99)))</f>
        <v>Mamba Te 78</v>
      </c>
      <c r="C428" s="11">
        <f>TRUNC(O428)</f>
        <v>218</v>
      </c>
      <c r="D428" s="11">
        <f>TRUNC(N428)</f>
        <v>56</v>
      </c>
      <c r="E428" s="11">
        <f>M428</f>
        <v>78</v>
      </c>
      <c r="F428" s="38" t="str">
        <f>I428</f>
        <v>2023</v>
      </c>
      <c r="G428" s="11" t="str" cm="1">
        <f t="array" ref="G428">gssBoardClass(A428,B428,C428,D428,E428,F428)</f>
        <v>Wave / Freestyle</v>
      </c>
      <c r="H428" s="39" t="str">
        <f>_xlfn.CONCAT(I428,"-",LEFT(K428,2),"-",LEFT(L428,3),"-",M428,"-",TRUNC(N428),"-",TRUNC(O428))</f>
        <v>2023-Fa-Mam-78-56-218</v>
      </c>
      <c r="I428" s="42" t="str">
        <f>LEFT(J428,4)</f>
        <v>2023</v>
      </c>
      <c r="J428" s="46">
        <v>2023</v>
      </c>
      <c r="K428" t="s">
        <v>1</v>
      </c>
      <c r="L428" t="s">
        <v>290</v>
      </c>
      <c r="M428">
        <v>78</v>
      </c>
      <c r="N428">
        <v>56</v>
      </c>
      <c r="O428">
        <v>218</v>
      </c>
      <c r="Q428" t="s">
        <v>281</v>
      </c>
    </row>
    <row r="429" spans="1:17" x14ac:dyDescent="0.25">
      <c r="A429" s="11" t="str">
        <f>PROPER(K429)</f>
        <v>Fanatic</v>
      </c>
      <c r="B429" s="11" t="str">
        <f>TRIM(PROPER(LEFT(L429,IFERROR(FIND(" ",L429),99))&amp;MID(L429,IFERROR(FIND(" ",L429),99),99)))</f>
        <v>Mamba Te 84</v>
      </c>
      <c r="C429" s="11">
        <f>TRUNC(O429)</f>
        <v>220</v>
      </c>
      <c r="D429" s="11">
        <f>TRUNC(N429)</f>
        <v>57</v>
      </c>
      <c r="E429" s="11">
        <f>M429</f>
        <v>84</v>
      </c>
      <c r="F429" s="38" t="str">
        <f>I429</f>
        <v>2023</v>
      </c>
      <c r="G429" s="11" t="str" cm="1">
        <f t="array" ref="G429">gssBoardClass(A429,B429,C429,D429,E429,F429)</f>
        <v>Wave / Freestyle</v>
      </c>
      <c r="H429" s="39" t="str">
        <f>_xlfn.CONCAT(I429,"-",LEFT(K429,2),"-",LEFT(L429,3),"-",M429,"-",TRUNC(N429),"-",TRUNC(O429))</f>
        <v>2023-Fa-Mam-84-57-220</v>
      </c>
      <c r="I429" s="42" t="str">
        <f>LEFT(J429,4)</f>
        <v>2023</v>
      </c>
      <c r="J429" s="46">
        <v>2023</v>
      </c>
      <c r="K429" t="s">
        <v>1</v>
      </c>
      <c r="L429" t="s">
        <v>291</v>
      </c>
      <c r="M429">
        <v>84</v>
      </c>
      <c r="N429">
        <v>57.5</v>
      </c>
      <c r="O429">
        <v>220</v>
      </c>
      <c r="Q429" t="s">
        <v>281</v>
      </c>
    </row>
    <row r="430" spans="1:17" x14ac:dyDescent="0.25">
      <c r="A430" s="11" t="str">
        <f>PROPER(K430)</f>
        <v>Fanatic</v>
      </c>
      <c r="B430" s="11" t="str">
        <f>TRIM(PROPER(LEFT(L430,IFERROR(FIND(" ",L430),99))&amp;MID(L430,IFERROR(FIND(" ",L430),99),99)))</f>
        <v>Mamba Te 94</v>
      </c>
      <c r="C430" s="11">
        <f>TRUNC(O430)</f>
        <v>222</v>
      </c>
      <c r="D430" s="11">
        <f>TRUNC(N430)</f>
        <v>60</v>
      </c>
      <c r="E430" s="11">
        <f>M430</f>
        <v>94</v>
      </c>
      <c r="F430" s="38" t="str">
        <f>I430</f>
        <v>2023</v>
      </c>
      <c r="G430" s="11" t="str" cm="1">
        <f t="array" ref="G430">gssBoardClass(A430,B430,C430,D430,E430,F430)</f>
        <v>Wave / Freestyle</v>
      </c>
      <c r="H430" s="39" t="str">
        <f>_xlfn.CONCAT(I430,"-",LEFT(K430,2),"-",LEFT(L430,3),"-",M430,"-",TRUNC(N430),"-",TRUNC(O430))</f>
        <v>2023-Fa-Mam-94-60-222</v>
      </c>
      <c r="I430" s="42" t="str">
        <f>LEFT(J430,4)</f>
        <v>2023</v>
      </c>
      <c r="J430" s="46">
        <v>2023</v>
      </c>
      <c r="K430" t="s">
        <v>1</v>
      </c>
      <c r="L430" t="s">
        <v>292</v>
      </c>
      <c r="M430">
        <v>94</v>
      </c>
      <c r="N430">
        <v>60</v>
      </c>
      <c r="O430">
        <v>222</v>
      </c>
      <c r="Q430" t="s">
        <v>281</v>
      </c>
    </row>
    <row r="431" spans="1:17" x14ac:dyDescent="0.25">
      <c r="A431" s="11" t="str">
        <f>PROPER(K431)</f>
        <v>Fanatic</v>
      </c>
      <c r="B431" s="11" t="str">
        <f>TRIM(PROPER(LEFT(L431,IFERROR(FIND(" ",L431),99))&amp;MID(L431,IFERROR(FIND(" ",L431),99),99)))</f>
        <v>Skate Te 108</v>
      </c>
      <c r="C431" s="11">
        <f>TRUNC(O431)</f>
        <v>226</v>
      </c>
      <c r="D431" s="11">
        <f>TRUNC(N431)</f>
        <v>67</v>
      </c>
      <c r="E431" s="11">
        <f>M431</f>
        <v>108</v>
      </c>
      <c r="F431" s="38" t="str">
        <f>I431</f>
        <v>2023</v>
      </c>
      <c r="G431" s="11" t="str" cm="1">
        <f t="array" ref="G431">gssBoardClass(A431,B431,C431,D431,E431,F431)</f>
        <v>Wave / Freestyle</v>
      </c>
      <c r="H431" s="39" t="str">
        <f>_xlfn.CONCAT(I431,"-",LEFT(K431,2),"-",LEFT(L431,3),"-",M431,"-",TRUNC(N431),"-",TRUNC(O431))</f>
        <v>2023-Fa-Ska-108-67-226</v>
      </c>
      <c r="I431" s="42" t="str">
        <f>LEFT(J431,4)</f>
        <v>2023</v>
      </c>
      <c r="J431" s="46">
        <v>2023</v>
      </c>
      <c r="K431" t="s">
        <v>1</v>
      </c>
      <c r="L431" t="s">
        <v>186</v>
      </c>
      <c r="M431">
        <v>108</v>
      </c>
      <c r="N431">
        <v>67</v>
      </c>
      <c r="O431">
        <v>226</v>
      </c>
      <c r="Q431" t="s">
        <v>179</v>
      </c>
    </row>
    <row r="432" spans="1:17" x14ac:dyDescent="0.25">
      <c r="A432" s="11" t="str">
        <f>PROPER(K432)</f>
        <v>Fanatic</v>
      </c>
      <c r="B432" s="11" t="str">
        <f>TRIM(PROPER(LEFT(L432,IFERROR(FIND(" ",L432),99))&amp;MID(L432,IFERROR(FIND(" ",L432),99),99)))</f>
        <v>Skate Te 85</v>
      </c>
      <c r="C432" s="11">
        <f>TRUNC(O432)</f>
        <v>220</v>
      </c>
      <c r="D432" s="11">
        <f>TRUNC(N432)</f>
        <v>60</v>
      </c>
      <c r="E432" s="11">
        <f>M432</f>
        <v>85</v>
      </c>
      <c r="F432" s="38" t="str">
        <f>I432</f>
        <v>2023</v>
      </c>
      <c r="G432" s="11" t="str" cm="1">
        <f t="array" ref="G432">gssBoardClass(A432,B432,C432,D432,E432,F432)</f>
        <v>Wave / Freestyle</v>
      </c>
      <c r="H432" s="39" t="str">
        <f>_xlfn.CONCAT(I432,"-",LEFT(K432,2),"-",LEFT(L432,3),"-",M432,"-",TRUNC(N432),"-",TRUNC(O432))</f>
        <v>2023-Fa-Ska-85-60-220</v>
      </c>
      <c r="I432" s="42" t="str">
        <f>LEFT(J432,4)</f>
        <v>2023</v>
      </c>
      <c r="J432" s="46">
        <v>2023</v>
      </c>
      <c r="K432" t="s">
        <v>1</v>
      </c>
      <c r="L432" t="s">
        <v>294</v>
      </c>
      <c r="M432">
        <v>85</v>
      </c>
      <c r="N432">
        <v>60</v>
      </c>
      <c r="O432">
        <v>220</v>
      </c>
      <c r="Q432" t="s">
        <v>179</v>
      </c>
    </row>
    <row r="433" spans="1:20" x14ac:dyDescent="0.25">
      <c r="A433" s="11" t="str">
        <f>PROPER(K433)</f>
        <v>Fanatic</v>
      </c>
      <c r="B433" s="11" t="str">
        <f>TRIM(PROPER(LEFT(L433,IFERROR(FIND(" ",L433),99))&amp;MID(L433,IFERROR(FIND(" ",L433),99),99)))</f>
        <v>Skate Te 91</v>
      </c>
      <c r="C433" s="11">
        <f>TRUNC(O433)</f>
        <v>216</v>
      </c>
      <c r="D433" s="11">
        <f>TRUNC(N433)</f>
        <v>62</v>
      </c>
      <c r="E433" s="11">
        <f>M433</f>
        <v>91</v>
      </c>
      <c r="F433" s="38" t="str">
        <f>I433</f>
        <v>2023</v>
      </c>
      <c r="G433" s="11" t="str" cm="1">
        <f t="array" ref="G433">gssBoardClass(A433,B433,C433,D433,E433,F433)</f>
        <v>Wave / Freestyle</v>
      </c>
      <c r="H433" s="39" t="str">
        <f>_xlfn.CONCAT(I433,"-",LEFT(K433,2),"-",LEFT(L433,3),"-",M433,"-",TRUNC(N433),"-",TRUNC(O433))</f>
        <v>2023-Fa-Ska-91-62-216</v>
      </c>
      <c r="I433" s="42" t="str">
        <f>LEFT(J433,4)</f>
        <v>2023</v>
      </c>
      <c r="J433" s="46">
        <v>2023</v>
      </c>
      <c r="K433" t="s">
        <v>1</v>
      </c>
      <c r="L433" t="s">
        <v>295</v>
      </c>
      <c r="M433">
        <v>91</v>
      </c>
      <c r="N433">
        <v>62</v>
      </c>
      <c r="O433">
        <v>216</v>
      </c>
      <c r="Q433" t="s">
        <v>179</v>
      </c>
    </row>
    <row r="434" spans="1:20" x14ac:dyDescent="0.25">
      <c r="A434" s="11" t="str">
        <f>PROPER(K434)</f>
        <v>Fanatic</v>
      </c>
      <c r="B434" s="11" t="str">
        <f>TRIM(PROPER(LEFT(L434,IFERROR(FIND(" ",L434),99))&amp;MID(L434,IFERROR(FIND(" ",L434),99),99)))</f>
        <v>Skate Te 99</v>
      </c>
      <c r="C434" s="11">
        <f>TRUNC(O434)</f>
        <v>225</v>
      </c>
      <c r="D434" s="11">
        <f>TRUNC(N434)</f>
        <v>65</v>
      </c>
      <c r="E434" s="11">
        <f>M434</f>
        <v>99</v>
      </c>
      <c r="F434" s="38" t="str">
        <f>I434</f>
        <v>2023</v>
      </c>
      <c r="G434" s="11" t="str" cm="1">
        <f t="array" ref="G434">gssBoardClass(A434,B434,C434,D434,E434,F434)</f>
        <v>Wave / Freestyle</v>
      </c>
      <c r="H434" s="39" t="str">
        <f>_xlfn.CONCAT(I434,"-",LEFT(K434,2),"-",LEFT(L434,3),"-",M434,"-",TRUNC(N434),"-",TRUNC(O434))</f>
        <v>2023-Fa-Ska-99-65-225</v>
      </c>
      <c r="I434" s="42" t="str">
        <f>LEFT(J434,4)</f>
        <v>2023</v>
      </c>
      <c r="J434" s="46">
        <v>2023</v>
      </c>
      <c r="K434" t="s">
        <v>1</v>
      </c>
      <c r="L434" t="s">
        <v>296</v>
      </c>
      <c r="M434">
        <v>99</v>
      </c>
      <c r="N434">
        <v>65</v>
      </c>
      <c r="O434">
        <v>225</v>
      </c>
      <c r="Q434" t="s">
        <v>179</v>
      </c>
    </row>
    <row r="435" spans="1:20" x14ac:dyDescent="0.25">
      <c r="A435" s="11" t="str">
        <f>PROPER(K435)</f>
        <v>Fanatic</v>
      </c>
      <c r="B435" s="11" t="str">
        <f>TRIM(PROPER(LEFT(L435,IFERROR(FIND(" ",L435),99))&amp;MID(L435,IFERROR(FIND(" ",L435),99),99)))</f>
        <v>Stingray Ltd 115</v>
      </c>
      <c r="C435" s="11">
        <f>TRUNC(O435)</f>
        <v>204</v>
      </c>
      <c r="D435" s="11">
        <f>TRUNC(N435)</f>
        <v>70</v>
      </c>
      <c r="E435" s="11">
        <f>M435</f>
        <v>115</v>
      </c>
      <c r="F435" s="38" t="str">
        <f>I435</f>
        <v>2023</v>
      </c>
      <c r="G435" s="11" t="str" cm="1">
        <f t="array" ref="G435">gssBoardClass(A435,B435,C435,D435,E435,F435)</f>
        <v>Slalom Medium</v>
      </c>
      <c r="H435" s="39" t="str">
        <f>_xlfn.CONCAT(I435,"-",LEFT(K435,2),"-",LEFT(L435,3),"-",M435,"-",TRUNC(N435),"-",TRUNC(O435))</f>
        <v>2023-Fa-Sti-115-70-204</v>
      </c>
      <c r="I435" s="42" t="str">
        <f>LEFT(J435,4)</f>
        <v>2023</v>
      </c>
      <c r="J435" s="46">
        <v>2023</v>
      </c>
      <c r="K435" t="s">
        <v>1</v>
      </c>
      <c r="L435" t="s">
        <v>327</v>
      </c>
      <c r="M435">
        <v>115</v>
      </c>
      <c r="N435">
        <v>70</v>
      </c>
      <c r="O435">
        <v>204</v>
      </c>
      <c r="Q435" t="s">
        <v>284</v>
      </c>
    </row>
    <row r="436" spans="1:20" x14ac:dyDescent="0.25">
      <c r="A436" s="11" t="str">
        <f>PROPER(K436)</f>
        <v>Fanatic</v>
      </c>
      <c r="B436" s="11" t="str">
        <f>TRIM(PROPER(LEFT(L436,IFERROR(FIND(" ",L436),99))&amp;MID(L436,IFERROR(FIND(" ",L436),99),99)))</f>
        <v>Stingray Ltd 130</v>
      </c>
      <c r="C436" s="11">
        <f>TRUNC(O436)</f>
        <v>211</v>
      </c>
      <c r="D436" s="11">
        <f>TRUNC(N436)</f>
        <v>75</v>
      </c>
      <c r="E436" s="11">
        <f>M436</f>
        <v>130</v>
      </c>
      <c r="F436" s="38" t="str">
        <f>I436</f>
        <v>2023</v>
      </c>
      <c r="G436" s="11" t="str" cm="1">
        <f t="array" ref="G436">gssBoardClass(A436,B436,C436,D436,E436,F436)</f>
        <v>Slalom Large</v>
      </c>
      <c r="H436" s="39" t="str">
        <f>_xlfn.CONCAT(I436,"-",LEFT(K436,2),"-",LEFT(L436,3),"-",M436,"-",TRUNC(N436),"-",TRUNC(O436))</f>
        <v>2023-Fa-Sti-130-75-211</v>
      </c>
      <c r="I436" s="42" t="str">
        <f>LEFT(J436,4)</f>
        <v>2023</v>
      </c>
      <c r="J436" s="46">
        <v>2023</v>
      </c>
      <c r="K436" t="s">
        <v>1</v>
      </c>
      <c r="L436" t="s">
        <v>328</v>
      </c>
      <c r="M436">
        <v>130</v>
      </c>
      <c r="N436">
        <v>75</v>
      </c>
      <c r="O436">
        <v>211</v>
      </c>
      <c r="Q436" t="s">
        <v>284</v>
      </c>
    </row>
    <row r="437" spans="1:20" x14ac:dyDescent="0.25">
      <c r="A437" s="11" t="str">
        <f>PROPER(K437)</f>
        <v>Starboard</v>
      </c>
      <c r="B437" s="11" t="str">
        <f>TRIM(PROPER(LEFT(L437,IFERROR(FIND(" ",L437),99))&amp;MID(L437,IFERROR(FIND(" ",L437),99),99)))</f>
        <v>Isonic 67</v>
      </c>
      <c r="C437" s="11">
        <f>TRUNC(O437)</f>
        <v>228</v>
      </c>
      <c r="D437" s="11">
        <f>TRUNC(N437)</f>
        <v>67</v>
      </c>
      <c r="E437" s="11">
        <f>M437</f>
        <v>113</v>
      </c>
      <c r="F437" s="38" t="str">
        <f>I437</f>
        <v>2023</v>
      </c>
      <c r="G437" s="11" t="str" cm="1">
        <f t="array" ref="G437">gssBoardClass(A437,B437,C437,D437,E437,F437)</f>
        <v>Slalom Medium</v>
      </c>
      <c r="H437" s="39" t="str">
        <f>_xlfn.CONCAT(I437,"-",LEFT(K437,2),"-",LEFT(L437,3),"-",M437,"-",TRUNC(N437),"-",TRUNC(O437))</f>
        <v>2023-St-iSo-113-67-228</v>
      </c>
      <c r="I437" s="42" t="str">
        <f>LEFT(J437,4)</f>
        <v>2023</v>
      </c>
      <c r="J437" s="18">
        <v>2023</v>
      </c>
      <c r="K437" t="s">
        <v>2305</v>
      </c>
      <c r="L437" t="s">
        <v>1907</v>
      </c>
      <c r="M437">
        <v>113</v>
      </c>
      <c r="N437">
        <v>67</v>
      </c>
      <c r="O437">
        <v>228</v>
      </c>
      <c r="P437" t="s">
        <v>2346</v>
      </c>
      <c r="R437" t="s">
        <v>2337</v>
      </c>
      <c r="S437" t="s">
        <v>2342</v>
      </c>
      <c r="T437">
        <v>6.06</v>
      </c>
    </row>
    <row r="438" spans="1:20" x14ac:dyDescent="0.25">
      <c r="A438" s="11" t="str">
        <f>PROPER(K438)</f>
        <v>Starboard</v>
      </c>
      <c r="B438" s="11" t="str">
        <f>TRIM(PROPER(LEFT(L438,IFERROR(FIND(" ",L438),99))&amp;MID(L438,IFERROR(FIND(" ",L438),99),99)))</f>
        <v>Isonic 67</v>
      </c>
      <c r="C438" s="11">
        <f>TRUNC(O438)</f>
        <v>228</v>
      </c>
      <c r="D438" s="11">
        <f>TRUNC(N438)</f>
        <v>67</v>
      </c>
      <c r="E438" s="11">
        <f>M438</f>
        <v>113</v>
      </c>
      <c r="F438" s="38" t="str">
        <f>I438</f>
        <v>2023</v>
      </c>
      <c r="G438" s="11" t="str" cm="1">
        <f t="array" ref="G438">gssBoardClass(A438,B438,C438,D438,E438,F438)</f>
        <v>Slalom Medium</v>
      </c>
      <c r="H438" s="39" t="str">
        <f>_xlfn.CONCAT(I438,"-",LEFT(K438,2),"-",LEFT(L438,3),"-",M438,"-",TRUNC(N438),"-",TRUNC(O438))</f>
        <v>2023-St-iSo-113-67-228</v>
      </c>
      <c r="I438" s="42" t="str">
        <f>LEFT(J438,4)</f>
        <v>2023</v>
      </c>
      <c r="J438" s="18">
        <v>2023</v>
      </c>
      <c r="K438" t="s">
        <v>2305</v>
      </c>
      <c r="L438" t="s">
        <v>1907</v>
      </c>
      <c r="M438">
        <v>113</v>
      </c>
      <c r="N438">
        <v>67</v>
      </c>
      <c r="O438">
        <v>228</v>
      </c>
      <c r="P438" t="s">
        <v>2351</v>
      </c>
      <c r="R438" t="s">
        <v>2337</v>
      </c>
      <c r="S438" t="s">
        <v>2342</v>
      </c>
      <c r="T438">
        <v>7.71</v>
      </c>
    </row>
    <row r="439" spans="1:20" x14ac:dyDescent="0.25">
      <c r="A439" s="11" t="str">
        <f>PROPER(K439)</f>
        <v>Starboard</v>
      </c>
      <c r="B439" s="11" t="str">
        <f>TRIM(PROPER(LEFT(L439,IFERROR(FIND(" ",L439),99))&amp;MID(L439,IFERROR(FIND(" ",L439),99),99)))</f>
        <v>Isonic 73</v>
      </c>
      <c r="C439" s="11">
        <f>TRUNC(O439)</f>
        <v>228</v>
      </c>
      <c r="D439" s="11">
        <f>TRUNC(N439)</f>
        <v>73</v>
      </c>
      <c r="E439" s="11">
        <f>M439</f>
        <v>124</v>
      </c>
      <c r="F439" s="38" t="str">
        <f>I439</f>
        <v>2023</v>
      </c>
      <c r="G439" s="11" t="str" cm="1">
        <f t="array" ref="G439">gssBoardClass(A439,B439,C439,D439,E439,F439)</f>
        <v>Slalom Medium</v>
      </c>
      <c r="H439" s="39" t="str">
        <f>_xlfn.CONCAT(I439,"-",LEFT(K439,2),"-",LEFT(L439,3),"-",M439,"-",TRUNC(N439),"-",TRUNC(O439))</f>
        <v>2023-St-iSo-124-73-228</v>
      </c>
      <c r="I439" s="42" t="str">
        <f>LEFT(J439,4)</f>
        <v>2023</v>
      </c>
      <c r="J439" s="18">
        <v>2023</v>
      </c>
      <c r="K439" t="s">
        <v>2305</v>
      </c>
      <c r="L439" t="s">
        <v>1908</v>
      </c>
      <c r="M439">
        <v>124</v>
      </c>
      <c r="N439">
        <v>73</v>
      </c>
      <c r="O439">
        <v>228</v>
      </c>
      <c r="P439" t="s">
        <v>2346</v>
      </c>
      <c r="R439" t="s">
        <v>2337</v>
      </c>
      <c r="S439" t="s">
        <v>2349</v>
      </c>
      <c r="T439">
        <v>6.52</v>
      </c>
    </row>
    <row r="440" spans="1:20" x14ac:dyDescent="0.25">
      <c r="A440" s="11" t="str">
        <f>PROPER(K440)</f>
        <v>Starboard</v>
      </c>
      <c r="B440" s="11" t="str">
        <f>TRIM(PROPER(LEFT(L440,IFERROR(FIND(" ",L440),99))&amp;MID(L440,IFERROR(FIND(" ",L440),99),99)))</f>
        <v>Isonic 73</v>
      </c>
      <c r="C440" s="11">
        <f>TRUNC(O440)</f>
        <v>228</v>
      </c>
      <c r="D440" s="11">
        <f>TRUNC(N440)</f>
        <v>73</v>
      </c>
      <c r="E440" s="11">
        <f>M440</f>
        <v>124</v>
      </c>
      <c r="F440" s="38" t="str">
        <f>I440</f>
        <v>2023</v>
      </c>
      <c r="G440" s="11" t="str" cm="1">
        <f t="array" ref="G440">gssBoardClass(A440,B440,C440,D440,E440,F440)</f>
        <v>Slalom Medium</v>
      </c>
      <c r="H440" s="39" t="str">
        <f>_xlfn.CONCAT(I440,"-",LEFT(K440,2),"-",LEFT(L440,3),"-",M440,"-",TRUNC(N440),"-",TRUNC(O440))</f>
        <v>2023-St-iSo-124-73-228</v>
      </c>
      <c r="I440" s="42" t="str">
        <f>LEFT(J440,4)</f>
        <v>2023</v>
      </c>
      <c r="J440" s="18">
        <v>2023</v>
      </c>
      <c r="K440" t="s">
        <v>2305</v>
      </c>
      <c r="L440" t="s">
        <v>1908</v>
      </c>
      <c r="M440">
        <v>124</v>
      </c>
      <c r="N440">
        <v>73</v>
      </c>
      <c r="O440">
        <v>228</v>
      </c>
      <c r="P440" t="s">
        <v>2351</v>
      </c>
      <c r="R440" t="s">
        <v>2337</v>
      </c>
      <c r="S440" t="s">
        <v>2349</v>
      </c>
      <c r="T440">
        <v>7.13</v>
      </c>
    </row>
    <row r="441" spans="1:20" x14ac:dyDescent="0.25">
      <c r="A441" s="11" t="str">
        <f>PROPER(K441)</f>
        <v>Starboard</v>
      </c>
      <c r="B441" s="11" t="str">
        <f>TRIM(PROPER(LEFT(L441,IFERROR(FIND(" ",L441),99))&amp;MID(L441,IFERROR(FIND(" ",L441),99),99)))</f>
        <v>Isonic 77</v>
      </c>
      <c r="C441" s="11">
        <f>TRUNC(O441)</f>
        <v>228</v>
      </c>
      <c r="D441" s="11">
        <f>TRUNC(N441)</f>
        <v>77</v>
      </c>
      <c r="E441" s="11">
        <f>M441</f>
        <v>129</v>
      </c>
      <c r="F441" s="38" t="str">
        <f>I441</f>
        <v>2023</v>
      </c>
      <c r="G441" s="11" t="str" cm="1">
        <f t="array" ref="G441">gssBoardClass(A441,B441,C441,D441,E441,F441)</f>
        <v>Slalom Large</v>
      </c>
      <c r="H441" s="39" t="str">
        <f>_xlfn.CONCAT(I441,"-",LEFT(K441,2),"-",LEFT(L441,3),"-",M441,"-",TRUNC(N441),"-",TRUNC(O441))</f>
        <v>2023-St-iSo-129-77-228</v>
      </c>
      <c r="I441" s="42" t="str">
        <f>LEFT(J441,4)</f>
        <v>2023</v>
      </c>
      <c r="J441" s="18">
        <v>2023</v>
      </c>
      <c r="K441" t="s">
        <v>2305</v>
      </c>
      <c r="L441" t="s">
        <v>1909</v>
      </c>
      <c r="M441">
        <v>129</v>
      </c>
      <c r="N441">
        <v>77</v>
      </c>
      <c r="O441">
        <v>228</v>
      </c>
      <c r="P441" t="s">
        <v>2346</v>
      </c>
      <c r="R441" t="s">
        <v>2337</v>
      </c>
      <c r="S441" t="s">
        <v>2344</v>
      </c>
      <c r="T441">
        <v>6.63</v>
      </c>
    </row>
    <row r="442" spans="1:20" x14ac:dyDescent="0.25">
      <c r="A442" s="11" t="str">
        <f>PROPER(K442)</f>
        <v>Starboard</v>
      </c>
      <c r="B442" s="11" t="str">
        <f>TRIM(PROPER(LEFT(L442,IFERROR(FIND(" ",L442),99))&amp;MID(L442,IFERROR(FIND(" ",L442),99),99)))</f>
        <v>Isonic 77</v>
      </c>
      <c r="C442" s="11">
        <f>TRUNC(O442)</f>
        <v>228</v>
      </c>
      <c r="D442" s="11">
        <f>TRUNC(N442)</f>
        <v>77</v>
      </c>
      <c r="E442" s="11">
        <f>M442</f>
        <v>129</v>
      </c>
      <c r="F442" s="38" t="str">
        <f>I442</f>
        <v>2023</v>
      </c>
      <c r="G442" s="11" t="str" cm="1">
        <f t="array" ref="G442">gssBoardClass(A442,B442,C442,D442,E442,F442)</f>
        <v>Slalom Large</v>
      </c>
      <c r="H442" s="39" t="str">
        <f>_xlfn.CONCAT(I442,"-",LEFT(K442,2),"-",LEFT(L442,3),"-",M442,"-",TRUNC(N442),"-",TRUNC(O442))</f>
        <v>2023-St-iSo-129-77-228</v>
      </c>
      <c r="I442" s="42" t="str">
        <f>LEFT(J442,4)</f>
        <v>2023</v>
      </c>
      <c r="J442" s="18">
        <v>2023</v>
      </c>
      <c r="K442" t="s">
        <v>2305</v>
      </c>
      <c r="L442" t="s">
        <v>1909</v>
      </c>
      <c r="M442">
        <v>129</v>
      </c>
      <c r="N442">
        <v>77</v>
      </c>
      <c r="O442">
        <v>228</v>
      </c>
      <c r="P442" t="s">
        <v>2351</v>
      </c>
      <c r="R442" t="s">
        <v>2337</v>
      </c>
      <c r="S442" t="s">
        <v>2344</v>
      </c>
      <c r="T442">
        <v>7.47</v>
      </c>
    </row>
    <row r="443" spans="1:20" x14ac:dyDescent="0.25">
      <c r="A443" s="11" t="str">
        <f>PROPER(K443)</f>
        <v>Starboard</v>
      </c>
      <c r="B443" s="11" t="str">
        <f>TRIM(PROPER(LEFT(L443,IFERROR(FIND(" ",L443),99))&amp;MID(L443,IFERROR(FIND(" ",L443),99),99)))</f>
        <v>Isonic 83</v>
      </c>
      <c r="C443" s="11">
        <f>TRUNC(O443)</f>
        <v>228</v>
      </c>
      <c r="D443" s="11">
        <f>TRUNC(N443)</f>
        <v>83</v>
      </c>
      <c r="E443" s="11">
        <f>M443</f>
        <v>134</v>
      </c>
      <c r="F443" s="38" t="str">
        <f>I443</f>
        <v>2023</v>
      </c>
      <c r="G443" s="11" t="str" cm="1">
        <f t="array" ref="G443">gssBoardClass(A443,B443,C443,D443,E443,F443)</f>
        <v>Slalom Large</v>
      </c>
      <c r="H443" s="39" t="str">
        <f>_xlfn.CONCAT(I443,"-",LEFT(K443,2),"-",LEFT(L443,3),"-",M443,"-",TRUNC(N443),"-",TRUNC(O443))</f>
        <v>2023-St-iSo-134-83-228</v>
      </c>
      <c r="I443" s="42" t="str">
        <f>LEFT(J443,4)</f>
        <v>2023</v>
      </c>
      <c r="J443" s="18">
        <v>2023</v>
      </c>
      <c r="K443" t="s">
        <v>2305</v>
      </c>
      <c r="L443" t="s">
        <v>1910</v>
      </c>
      <c r="M443">
        <v>134</v>
      </c>
      <c r="N443">
        <v>83</v>
      </c>
      <c r="O443">
        <v>228</v>
      </c>
      <c r="P443" t="s">
        <v>2346</v>
      </c>
      <c r="R443" t="s">
        <v>2337</v>
      </c>
      <c r="S443" t="s">
        <v>2350</v>
      </c>
      <c r="T443">
        <v>6.9</v>
      </c>
    </row>
    <row r="444" spans="1:20" x14ac:dyDescent="0.25">
      <c r="A444" s="11" t="str">
        <f>PROPER(K444)</f>
        <v>Starboard</v>
      </c>
      <c r="B444" s="11" t="str">
        <f>TRIM(PROPER(LEFT(L444,IFERROR(FIND(" ",L444),99))&amp;MID(L444,IFERROR(FIND(" ",L444),99),99)))</f>
        <v>Isonic 83</v>
      </c>
      <c r="C444" s="11">
        <f>TRUNC(O444)</f>
        <v>228</v>
      </c>
      <c r="D444" s="11">
        <f>TRUNC(N444)</f>
        <v>83</v>
      </c>
      <c r="E444" s="11">
        <f>M444</f>
        <v>134</v>
      </c>
      <c r="F444" s="38" t="str">
        <f>I444</f>
        <v>2023</v>
      </c>
      <c r="G444" s="11" t="str" cm="1">
        <f t="array" ref="G444">gssBoardClass(A444,B444,C444,D444,E444,F444)</f>
        <v>Slalom Large</v>
      </c>
      <c r="H444" s="39" t="str">
        <f>_xlfn.CONCAT(I444,"-",LEFT(K444,2),"-",LEFT(L444,3),"-",M444,"-",TRUNC(N444),"-",TRUNC(O444))</f>
        <v>2023-St-iSo-134-83-228</v>
      </c>
      <c r="I444" s="42" t="str">
        <f>LEFT(J444,4)</f>
        <v>2023</v>
      </c>
      <c r="J444" s="18">
        <v>2023</v>
      </c>
      <c r="K444" t="s">
        <v>2305</v>
      </c>
      <c r="L444" t="s">
        <v>1910</v>
      </c>
      <c r="M444">
        <v>134</v>
      </c>
      <c r="N444">
        <v>83</v>
      </c>
      <c r="O444">
        <v>228</v>
      </c>
      <c r="P444" t="s">
        <v>2351</v>
      </c>
      <c r="R444" t="s">
        <v>2337</v>
      </c>
      <c r="S444" t="s">
        <v>2350</v>
      </c>
      <c r="T444">
        <v>7.79</v>
      </c>
    </row>
    <row r="445" spans="1:20" x14ac:dyDescent="0.25">
      <c r="A445" s="11" t="str">
        <f>PROPER(K445)</f>
        <v>Starboard</v>
      </c>
      <c r="B445" s="11" t="str">
        <f>TRIM(PROPER(LEFT(L445,IFERROR(FIND(" ",L445),99))&amp;MID(L445,IFERROR(FIND(" ",L445),99),99)))</f>
        <v>Isonic 85</v>
      </c>
      <c r="C445" s="11">
        <f>TRUNC(O445)</f>
        <v>228</v>
      </c>
      <c r="D445" s="11">
        <f>TRUNC(N445)</f>
        <v>85</v>
      </c>
      <c r="E445" s="11">
        <f>M445</f>
        <v>140</v>
      </c>
      <c r="F445" s="38" t="str">
        <f>I445</f>
        <v>2023</v>
      </c>
      <c r="G445" s="11" t="str" cm="1">
        <f t="array" ref="G445">gssBoardClass(A445,B445,C445,D445,E445,F445)</f>
        <v>Slalom Large</v>
      </c>
      <c r="H445" s="39" t="str">
        <f>_xlfn.CONCAT(I445,"-",LEFT(K445,2),"-",LEFT(L445,3),"-",M445,"-",TRUNC(N445),"-",TRUNC(O445))</f>
        <v>2023-St-iSo-140-85-228</v>
      </c>
      <c r="I445" s="42" t="str">
        <f>LEFT(J445,4)</f>
        <v>2023</v>
      </c>
      <c r="J445" s="18">
        <v>2023</v>
      </c>
      <c r="K445" t="s">
        <v>2305</v>
      </c>
      <c r="L445" t="s">
        <v>1911</v>
      </c>
      <c r="M445">
        <v>140</v>
      </c>
      <c r="N445">
        <v>85</v>
      </c>
      <c r="O445">
        <v>228</v>
      </c>
      <c r="P445" t="s">
        <v>2346</v>
      </c>
      <c r="R445" t="s">
        <v>2337</v>
      </c>
      <c r="S445" t="s">
        <v>2345</v>
      </c>
      <c r="T445">
        <v>7.2</v>
      </c>
    </row>
    <row r="446" spans="1:20" x14ac:dyDescent="0.25">
      <c r="A446" s="11" t="str">
        <f>PROPER(K446)</f>
        <v>Starboard</v>
      </c>
      <c r="B446" s="11" t="str">
        <f>TRIM(PROPER(LEFT(L446,IFERROR(FIND(" ",L446),99))&amp;MID(L446,IFERROR(FIND(" ",L446),99),99)))</f>
        <v>Isonic 85</v>
      </c>
      <c r="C446" s="11">
        <f>TRUNC(O446)</f>
        <v>228</v>
      </c>
      <c r="D446" s="11">
        <f>TRUNC(N446)</f>
        <v>85</v>
      </c>
      <c r="E446" s="11">
        <f>M446</f>
        <v>140</v>
      </c>
      <c r="F446" s="38" t="str">
        <f>I446</f>
        <v>2023</v>
      </c>
      <c r="G446" s="11" t="str" cm="1">
        <f t="array" ref="G446">gssBoardClass(A446,B446,C446,D446,E446,F446)</f>
        <v>Slalom Large</v>
      </c>
      <c r="H446" s="39" t="str">
        <f>_xlfn.CONCAT(I446,"-",LEFT(K446,2),"-",LEFT(L446,3),"-",M446,"-",TRUNC(N446),"-",TRUNC(O446))</f>
        <v>2023-St-iSo-140-85-228</v>
      </c>
      <c r="I446" s="42" t="str">
        <f>LEFT(J446,4)</f>
        <v>2023</v>
      </c>
      <c r="J446" s="18">
        <v>2023</v>
      </c>
      <c r="K446" t="s">
        <v>2305</v>
      </c>
      <c r="L446" t="s">
        <v>1911</v>
      </c>
      <c r="M446">
        <v>140</v>
      </c>
      <c r="N446">
        <v>85</v>
      </c>
      <c r="O446">
        <v>228</v>
      </c>
      <c r="P446" t="s">
        <v>2351</v>
      </c>
      <c r="R446" t="s">
        <v>2337</v>
      </c>
      <c r="S446" t="s">
        <v>2345</v>
      </c>
      <c r="T446">
        <v>8.1999999999999993</v>
      </c>
    </row>
    <row r="447" spans="1:20" x14ac:dyDescent="0.25">
      <c r="A447" s="11" t="str">
        <f>PROPER(K447)</f>
        <v>Starboard</v>
      </c>
      <c r="B447" s="11" t="str">
        <f>TRIM(PROPER(LEFT(L447,IFERROR(FIND(" ",L447),99))&amp;MID(L447,IFERROR(FIND(" ",L447),99),99)))</f>
        <v>Isonic 55</v>
      </c>
      <c r="C447" s="11">
        <f>TRUNC(O447)</f>
        <v>225</v>
      </c>
      <c r="D447" s="11">
        <f>TRUNC(N447)</f>
        <v>55</v>
      </c>
      <c r="E447" s="11">
        <f>M447</f>
        <v>76</v>
      </c>
      <c r="F447" s="38" t="str">
        <f>I447</f>
        <v>2023</v>
      </c>
      <c r="G447" s="11" t="str" cm="1">
        <f t="array" ref="G447">gssBoardClass(A447,B447,C447,D447,E447,F447)</f>
        <v>Speed/Slalom Xtra Small</v>
      </c>
      <c r="H447" s="39" t="str">
        <f>_xlfn.CONCAT(I447,"-",LEFT(K447,2),"-",LEFT(L447,3),"-",M447,"-",TRUNC(N447),"-",TRUNC(O447))</f>
        <v>2023-St-iSo-76-55-225</v>
      </c>
      <c r="I447" s="42" t="str">
        <f>LEFT(J447,4)</f>
        <v>2023</v>
      </c>
      <c r="J447" s="18">
        <v>2023</v>
      </c>
      <c r="K447" t="s">
        <v>2305</v>
      </c>
      <c r="L447" t="s">
        <v>2352</v>
      </c>
      <c r="M447">
        <v>76</v>
      </c>
      <c r="N447">
        <v>55</v>
      </c>
      <c r="O447">
        <v>225</v>
      </c>
      <c r="P447" t="s">
        <v>2346</v>
      </c>
      <c r="R447" t="s">
        <v>2337</v>
      </c>
      <c r="S447" t="s">
        <v>2348</v>
      </c>
      <c r="T447">
        <v>5</v>
      </c>
    </row>
    <row r="448" spans="1:20" x14ac:dyDescent="0.25">
      <c r="A448" s="11" t="str">
        <f>PROPER(K448)</f>
        <v>Starboard</v>
      </c>
      <c r="B448" s="11" t="str">
        <f>TRIM(PROPER(LEFT(L448,IFERROR(FIND(" ",L448),99))&amp;MID(L448,IFERROR(FIND(" ",L448),99),99)))</f>
        <v>Isonic 55</v>
      </c>
      <c r="C448" s="11">
        <f>TRUNC(O448)</f>
        <v>225</v>
      </c>
      <c r="D448" s="11">
        <f>TRUNC(N448)</f>
        <v>55</v>
      </c>
      <c r="E448" s="11">
        <f>M448</f>
        <v>76</v>
      </c>
      <c r="F448" s="38" t="str">
        <f>I448</f>
        <v>2023</v>
      </c>
      <c r="G448" s="11" t="str" cm="1">
        <f t="array" ref="G448">gssBoardClass(A448,B448,C448,D448,E448,F448)</f>
        <v>Speed/Slalom Xtra Small</v>
      </c>
      <c r="H448" s="39" t="str">
        <f>_xlfn.CONCAT(I448,"-",LEFT(K448,2),"-",LEFT(L448,3),"-",M448,"-",TRUNC(N448),"-",TRUNC(O448))</f>
        <v>2023-St-iSo-76-55-225</v>
      </c>
      <c r="I448" s="42" t="str">
        <f>LEFT(J448,4)</f>
        <v>2023</v>
      </c>
      <c r="J448" s="18">
        <v>2023</v>
      </c>
      <c r="K448" t="s">
        <v>2305</v>
      </c>
      <c r="L448" t="s">
        <v>2352</v>
      </c>
      <c r="M448">
        <v>76</v>
      </c>
      <c r="N448">
        <v>55</v>
      </c>
      <c r="O448">
        <v>225</v>
      </c>
      <c r="P448" t="s">
        <v>2351</v>
      </c>
      <c r="R448" t="s">
        <v>2337</v>
      </c>
      <c r="S448" t="s">
        <v>2348</v>
      </c>
      <c r="T448">
        <v>5.5</v>
      </c>
    </row>
    <row r="449" spans="1:20" x14ac:dyDescent="0.25">
      <c r="A449" s="11" t="str">
        <f>PROPER(K449)</f>
        <v>Starboard</v>
      </c>
      <c r="B449" s="11" t="str">
        <f>TRIM(PROPER(LEFT(L449,IFERROR(FIND(" ",L449),99))&amp;MID(L449,IFERROR(FIND(" ",L449),99),99)))</f>
        <v>Isonic 60</v>
      </c>
      <c r="C449" s="11">
        <f>TRUNC(O449)</f>
        <v>225</v>
      </c>
      <c r="D449" s="11">
        <f>TRUNC(N449)</f>
        <v>60</v>
      </c>
      <c r="E449" s="11">
        <f>M449</f>
        <v>87</v>
      </c>
      <c r="F449" s="38" t="str">
        <f>I449</f>
        <v>2023</v>
      </c>
      <c r="G449" s="11" t="str" cm="1">
        <f t="array" ref="G449">gssBoardClass(A449,B449,C449,D449,E449,F449)</f>
        <v>Speed/Slalom Xtra Small</v>
      </c>
      <c r="H449" s="39" t="str">
        <f>_xlfn.CONCAT(I449,"-",LEFT(K449,2),"-",LEFT(L449,3),"-",M449,"-",TRUNC(N449),"-",TRUNC(O449))</f>
        <v>2023-St-iSo-87-60-225</v>
      </c>
      <c r="I449" s="42" t="str">
        <f>LEFT(J449,4)</f>
        <v>2023</v>
      </c>
      <c r="J449" s="18">
        <v>2023</v>
      </c>
      <c r="K449" t="s">
        <v>2305</v>
      </c>
      <c r="L449" t="s">
        <v>1905</v>
      </c>
      <c r="M449">
        <v>87</v>
      </c>
      <c r="N449">
        <v>60</v>
      </c>
      <c r="O449">
        <v>225</v>
      </c>
      <c r="P449" t="s">
        <v>2346</v>
      </c>
      <c r="R449" t="s">
        <v>2337</v>
      </c>
      <c r="S449" t="s">
        <v>2340</v>
      </c>
      <c r="T449">
        <v>5.5</v>
      </c>
    </row>
    <row r="450" spans="1:20" x14ac:dyDescent="0.25">
      <c r="A450" s="11" t="str">
        <f>PROPER(K450)</f>
        <v>Starboard</v>
      </c>
      <c r="B450" s="11" t="str">
        <f>TRIM(PROPER(LEFT(L450,IFERROR(FIND(" ",L450),99))&amp;MID(L450,IFERROR(FIND(" ",L450),99),99)))</f>
        <v>Isonic 60</v>
      </c>
      <c r="C450" s="11">
        <f>TRUNC(O450)</f>
        <v>225</v>
      </c>
      <c r="D450" s="11">
        <f>TRUNC(N450)</f>
        <v>60</v>
      </c>
      <c r="E450" s="11">
        <f>M450</f>
        <v>87</v>
      </c>
      <c r="F450" s="38" t="str">
        <f>I450</f>
        <v>2023</v>
      </c>
      <c r="G450" s="11" t="str" cm="1">
        <f t="array" ref="G450">gssBoardClass(A450,B450,C450,D450,E450,F450)</f>
        <v>Speed/Slalom Xtra Small</v>
      </c>
      <c r="H450" s="39" t="str">
        <f>_xlfn.CONCAT(I450,"-",LEFT(K450,2),"-",LEFT(L450,3),"-",M450,"-",TRUNC(N450),"-",TRUNC(O450))</f>
        <v>2023-St-iSo-87-60-225</v>
      </c>
      <c r="I450" s="42" t="str">
        <f>LEFT(J450,4)</f>
        <v>2023</v>
      </c>
      <c r="J450" s="18">
        <v>2023</v>
      </c>
      <c r="K450" t="s">
        <v>2305</v>
      </c>
      <c r="L450" t="s">
        <v>1905</v>
      </c>
      <c r="M450">
        <v>87</v>
      </c>
      <c r="N450">
        <v>60</v>
      </c>
      <c r="O450">
        <v>225</v>
      </c>
      <c r="P450" t="s">
        <v>2351</v>
      </c>
      <c r="R450" t="s">
        <v>2337</v>
      </c>
      <c r="S450" t="s">
        <v>2340</v>
      </c>
      <c r="T450">
        <v>6.1</v>
      </c>
    </row>
    <row r="451" spans="1:20" x14ac:dyDescent="0.25">
      <c r="A451" s="11" t="str">
        <f>PROPER(K451)</f>
        <v>Starboard</v>
      </c>
      <c r="B451" s="11" t="str">
        <f>TRIM(PROPER(LEFT(L451,IFERROR(FIND(" ",L451),99))&amp;MID(L451,IFERROR(FIND(" ",L451),99),99)))</f>
        <v>Isonic 63</v>
      </c>
      <c r="C451" s="11">
        <f>TRUNC(O451)</f>
        <v>225</v>
      </c>
      <c r="D451" s="11">
        <f>TRUNC(N451)</f>
        <v>63</v>
      </c>
      <c r="E451" s="11">
        <f>M451</f>
        <v>97</v>
      </c>
      <c r="F451" s="38" t="str">
        <f>I451</f>
        <v>2023</v>
      </c>
      <c r="G451" s="11" t="str" cm="1">
        <f t="array" ref="G451">gssBoardClass(A451,B451,C451,D451,E451,F451)</f>
        <v>Speed/Slalom Small</v>
      </c>
      <c r="H451" s="39" t="str">
        <f>_xlfn.CONCAT(I451,"-",LEFT(K451,2),"-",LEFT(L451,3),"-",M451,"-",TRUNC(N451),"-",TRUNC(O451))</f>
        <v>2023-St-iSo-97-63-225</v>
      </c>
      <c r="I451" s="42" t="str">
        <f>LEFT(J451,4)</f>
        <v>2023</v>
      </c>
      <c r="J451" s="18">
        <v>2023</v>
      </c>
      <c r="K451" t="s">
        <v>2305</v>
      </c>
      <c r="L451" t="s">
        <v>1906</v>
      </c>
      <c r="M451">
        <v>97</v>
      </c>
      <c r="N451">
        <v>63</v>
      </c>
      <c r="O451">
        <v>225</v>
      </c>
      <c r="P451" t="s">
        <v>2346</v>
      </c>
      <c r="R451" t="s">
        <v>2337</v>
      </c>
      <c r="S451" t="s">
        <v>2341</v>
      </c>
      <c r="T451">
        <v>5.89</v>
      </c>
    </row>
    <row r="452" spans="1:20" x14ac:dyDescent="0.25">
      <c r="A452" s="11" t="str">
        <f>PROPER(K452)</f>
        <v>Starboard</v>
      </c>
      <c r="B452" s="11" t="str">
        <f>TRIM(PROPER(LEFT(L452,IFERROR(FIND(" ",L452),99))&amp;MID(L452,IFERROR(FIND(" ",L452),99),99)))</f>
        <v>Isonic 63</v>
      </c>
      <c r="C452" s="11">
        <f>TRUNC(O452)</f>
        <v>225</v>
      </c>
      <c r="D452" s="11">
        <f>TRUNC(N452)</f>
        <v>63</v>
      </c>
      <c r="E452" s="11">
        <f>M452</f>
        <v>97</v>
      </c>
      <c r="F452" s="38" t="str">
        <f>I452</f>
        <v>2023</v>
      </c>
      <c r="G452" s="11" t="str" cm="1">
        <f t="array" ref="G452">gssBoardClass(A452,B452,C452,D452,E452,F452)</f>
        <v>Speed/Slalom Small</v>
      </c>
      <c r="H452" s="39" t="str">
        <f>_xlfn.CONCAT(I452,"-",LEFT(K452,2),"-",LEFT(L452,3),"-",M452,"-",TRUNC(N452),"-",TRUNC(O452))</f>
        <v>2023-St-iSo-97-63-225</v>
      </c>
      <c r="I452" s="42" t="str">
        <f>LEFT(J452,4)</f>
        <v>2023</v>
      </c>
      <c r="J452" s="18">
        <v>2023</v>
      </c>
      <c r="K452" t="s">
        <v>2305</v>
      </c>
      <c r="L452" t="s">
        <v>1906</v>
      </c>
      <c r="M452">
        <v>97</v>
      </c>
      <c r="N452">
        <v>63</v>
      </c>
      <c r="O452">
        <v>225</v>
      </c>
      <c r="P452" t="s">
        <v>2351</v>
      </c>
      <c r="R452" t="s">
        <v>2337</v>
      </c>
      <c r="S452" t="s">
        <v>2341</v>
      </c>
      <c r="T452">
        <v>6.22</v>
      </c>
    </row>
    <row r="453" spans="1:20" x14ac:dyDescent="0.25">
      <c r="A453" s="11" t="str">
        <f>PROPER(K453)</f>
        <v>Starboard</v>
      </c>
      <c r="B453" s="11" t="str">
        <f>TRIM(PROPER(LEFT(L453,IFERROR(FIND(" ",L453),99))&amp;MID(L453,IFERROR(FIND(" ",L453),99),99)))</f>
        <v>Luderitz 44</v>
      </c>
      <c r="C453" s="11">
        <f>TRUNC(O453)</f>
        <v>225</v>
      </c>
      <c r="D453" s="11">
        <f>TRUNC(N453)</f>
        <v>44</v>
      </c>
      <c r="E453" s="11">
        <f>M453</f>
        <v>53</v>
      </c>
      <c r="F453" s="38" t="str">
        <f>I453</f>
        <v>2023</v>
      </c>
      <c r="G453" s="11" t="str" cm="1">
        <f t="array" ref="G453">gssBoardClass(A453,B453,C453,D453,E453,F453)</f>
        <v>Speedboard</v>
      </c>
      <c r="H453" s="39" t="str">
        <f>_xlfn.CONCAT(I453,"-",LEFT(K453,2),"-",LEFT(L453,3),"-",M453,"-",TRUNC(N453),"-",TRUNC(O453))</f>
        <v>2023-St-Lud-53-44-225</v>
      </c>
      <c r="I453" s="42" t="str">
        <f>LEFT(J453,4)</f>
        <v>2023</v>
      </c>
      <c r="J453" s="18">
        <v>2023</v>
      </c>
      <c r="K453" t="s">
        <v>2305</v>
      </c>
      <c r="L453" t="s">
        <v>2353</v>
      </c>
      <c r="M453">
        <v>53</v>
      </c>
      <c r="N453">
        <v>44</v>
      </c>
      <c r="O453">
        <v>225</v>
      </c>
      <c r="P453" t="s">
        <v>2346</v>
      </c>
      <c r="R453" t="s">
        <v>2337</v>
      </c>
      <c r="S453" t="s">
        <v>2347</v>
      </c>
      <c r="T453">
        <v>4.2</v>
      </c>
    </row>
    <row r="454" spans="1:20" x14ac:dyDescent="0.25">
      <c r="A454" s="11" t="str">
        <f>PROPER(K454)</f>
        <v>Jp</v>
      </c>
      <c r="B454" s="11" t="str">
        <f>TRIM(PROPER(LEFT(L454,IFERROR(FIND(" ",L454),99))&amp;MID(L454,IFERROR(FIND(" ",L454),99),99)))</f>
        <v>Slalom 72</v>
      </c>
      <c r="C454" s="11">
        <f>TRUNC(O454)</f>
        <v>228</v>
      </c>
      <c r="D454" s="11">
        <f>TRUNC(N454)</f>
        <v>72</v>
      </c>
      <c r="E454" s="11">
        <f>M454</f>
        <v>117</v>
      </c>
      <c r="F454" s="38" t="str">
        <f>I454</f>
        <v>2024</v>
      </c>
      <c r="G454" s="11" t="str" cm="1">
        <f t="array" ref="G454">gssBoardClass(A454,B454,C454,D454,E454,F454)</f>
        <v>Slalom Medium</v>
      </c>
      <c r="H454" s="39" t="str">
        <f>_xlfn.CONCAT(I454,"-",LEFT(K454,2),"-",LEFT(L454,3),"-",M454,"-",TRUNC(N454),"-",TRUNC(O454))</f>
        <v>2024-JP-Sla-117-72-228</v>
      </c>
      <c r="I454" s="42" t="str">
        <f>LEFT(J454,4)</f>
        <v>2024</v>
      </c>
      <c r="J454" s="46">
        <v>2024</v>
      </c>
      <c r="K454" t="s">
        <v>345</v>
      </c>
      <c r="L454" t="s">
        <v>343</v>
      </c>
      <c r="M454">
        <v>117</v>
      </c>
      <c r="N454">
        <v>72</v>
      </c>
      <c r="O454">
        <v>228</v>
      </c>
      <c r="Q454" t="s">
        <v>336</v>
      </c>
      <c r="S454" t="s">
        <v>337</v>
      </c>
    </row>
    <row r="455" spans="1:20" x14ac:dyDescent="0.25">
      <c r="A455" s="11" t="str">
        <f>PROPER(K455)</f>
        <v>Jp</v>
      </c>
      <c r="B455" s="11" t="str">
        <f>TRIM(PROPER(LEFT(L455,IFERROR(FIND(" ",L455),99))&amp;MID(L455,IFERROR(FIND(" ",L455),99),99)))</f>
        <v>Slalom 85</v>
      </c>
      <c r="C455" s="11">
        <f>TRUNC(O455)</f>
        <v>228</v>
      </c>
      <c r="D455" s="11">
        <f>TRUNC(N455)</f>
        <v>85</v>
      </c>
      <c r="E455" s="11">
        <f>M455</f>
        <v>139</v>
      </c>
      <c r="F455" s="38" t="str">
        <f>I455</f>
        <v>2024</v>
      </c>
      <c r="G455" s="11" t="str" cm="1">
        <f t="array" ref="G455">gssBoardClass(A455,B455,C455,D455,E455,F455)</f>
        <v>Slalom Large</v>
      </c>
      <c r="H455" s="39" t="str">
        <f>_xlfn.CONCAT(I455,"-",LEFT(K455,2),"-",LEFT(L455,3),"-",M455,"-",TRUNC(N455),"-",TRUNC(O455))</f>
        <v>2024-JP-Sla-139-85-228</v>
      </c>
      <c r="I455" s="42" t="str">
        <f>LEFT(J455,4)</f>
        <v>2024</v>
      </c>
      <c r="J455" s="46">
        <v>2024</v>
      </c>
      <c r="K455" t="s">
        <v>345</v>
      </c>
      <c r="L455" t="s">
        <v>344</v>
      </c>
      <c r="M455">
        <v>139</v>
      </c>
      <c r="N455">
        <v>85</v>
      </c>
      <c r="O455">
        <v>228</v>
      </c>
      <c r="Q455" t="s">
        <v>336</v>
      </c>
      <c r="S455" t="s">
        <v>338</v>
      </c>
    </row>
    <row r="456" spans="1:20" x14ac:dyDescent="0.25">
      <c r="A456" s="11" t="str">
        <f>PROPER(K456)</f>
        <v>Jp</v>
      </c>
      <c r="B456" s="11" t="str">
        <f>TRIM(PROPER(LEFT(L456,IFERROR(FIND(" ",L456),99))&amp;MID(L456,IFERROR(FIND(" ",L456),99),99)))</f>
        <v>Slalom 55</v>
      </c>
      <c r="C456" s="11">
        <f>TRUNC(O456)</f>
        <v>233</v>
      </c>
      <c r="D456" s="11">
        <f>TRUNC(N456)</f>
        <v>55</v>
      </c>
      <c r="E456" s="11">
        <f>M456</f>
        <v>78</v>
      </c>
      <c r="F456" s="38" t="str">
        <f>I456</f>
        <v>2024</v>
      </c>
      <c r="G456" s="11" t="str" cm="1">
        <f t="array" ref="G456">gssBoardClass(A456,B456,C456,D456,E456,F456)</f>
        <v>Speed/Slalom Xtra Small</v>
      </c>
      <c r="H456" s="39" t="str">
        <f>_xlfn.CONCAT(I456,"-",LEFT(K456,2),"-",LEFT(L456,3),"-",M456,"-",TRUNC(N456),"-",TRUNC(O456))</f>
        <v>2024-JP-Sla-78-55-233</v>
      </c>
      <c r="I456" s="42" t="str">
        <f>LEFT(J456,4)</f>
        <v>2024</v>
      </c>
      <c r="J456" s="46">
        <v>2024</v>
      </c>
      <c r="K456" t="s">
        <v>345</v>
      </c>
      <c r="L456" t="s">
        <v>341</v>
      </c>
      <c r="M456">
        <v>78</v>
      </c>
      <c r="N456">
        <v>55</v>
      </c>
      <c r="O456">
        <v>233</v>
      </c>
      <c r="Q456" t="s">
        <v>333</v>
      </c>
      <c r="S456" t="s">
        <v>334</v>
      </c>
    </row>
    <row r="457" spans="1:20" x14ac:dyDescent="0.25">
      <c r="A457" s="11" t="str">
        <f>PROPER(K457)</f>
        <v>Jp</v>
      </c>
      <c r="B457" s="11" t="str">
        <f>TRIM(PROPER(LEFT(L457,IFERROR(FIND(" ",L457),99))&amp;MID(L457,IFERROR(FIND(" ",L457),99),99)))</f>
        <v>Slalom 62.5</v>
      </c>
      <c r="C457" s="11">
        <f>TRUNC(O457)</f>
        <v>233</v>
      </c>
      <c r="D457" s="11">
        <f>TRUNC(N457)</f>
        <v>62</v>
      </c>
      <c r="E457" s="11">
        <f>M457</f>
        <v>97</v>
      </c>
      <c r="F457" s="38" t="str">
        <f>I457</f>
        <v>2024</v>
      </c>
      <c r="G457" s="11" t="str" cm="1">
        <f t="array" ref="G457">gssBoardClass(A457,B457,C457,D457,E457,F457)</f>
        <v>Speed/Slalom Small</v>
      </c>
      <c r="H457" s="39" t="str">
        <f>_xlfn.CONCAT(I457,"-",LEFT(K457,2),"-",LEFT(L457,3),"-",M457,"-",TRUNC(N457),"-",TRUNC(O457))</f>
        <v>2024-JP-Sla-97-62-233</v>
      </c>
      <c r="I457" s="42" t="str">
        <f>LEFT(J457,4)</f>
        <v>2024</v>
      </c>
      <c r="J457" s="46">
        <v>2024</v>
      </c>
      <c r="K457" t="s">
        <v>345</v>
      </c>
      <c r="L457" t="s">
        <v>342</v>
      </c>
      <c r="M457">
        <v>97</v>
      </c>
      <c r="N457">
        <v>62.5</v>
      </c>
      <c r="O457">
        <v>233</v>
      </c>
      <c r="Q457" t="s">
        <v>333</v>
      </c>
      <c r="S457" t="s">
        <v>335</v>
      </c>
    </row>
    <row r="458" spans="1:20" x14ac:dyDescent="0.25">
      <c r="A458" s="11" t="str">
        <f>PROPER(K458)</f>
        <v>Starboard</v>
      </c>
      <c r="B458" s="11" t="str">
        <f>TRIM(PROPER(LEFT(L458,IFERROR(FIND(" ",L458),99))&amp;MID(L458,IFERROR(FIND(" ",L458),99),99)))</f>
        <v>Isonic 67</v>
      </c>
      <c r="C458" s="11">
        <f>TRUNC(O458)</f>
        <v>228</v>
      </c>
      <c r="D458" s="11">
        <f>TRUNC(N458)</f>
        <v>67</v>
      </c>
      <c r="E458" s="11">
        <f>M458</f>
        <v>110</v>
      </c>
      <c r="F458" s="38" t="str">
        <f>I458</f>
        <v>2024</v>
      </c>
      <c r="G458" s="11" t="str" cm="1">
        <f t="array" ref="G458">gssBoardClass(A458,B458,C458,D458,E458,F458)</f>
        <v>Slalom Medium</v>
      </c>
      <c r="H458" s="39" t="str">
        <f>_xlfn.CONCAT(I458,"-",LEFT(K458,2),"-",LEFT(L458,3),"-",M458,"-",TRUNC(N458),"-",TRUNC(O458))</f>
        <v>2024-St-iSo-110-67-228</v>
      </c>
      <c r="I458" s="42" t="str">
        <f>LEFT(J458,4)</f>
        <v>2024</v>
      </c>
      <c r="J458" s="18">
        <v>2024</v>
      </c>
      <c r="K458" t="s">
        <v>2305</v>
      </c>
      <c r="L458" t="s">
        <v>1907</v>
      </c>
      <c r="M458">
        <v>110</v>
      </c>
      <c r="N458">
        <v>67</v>
      </c>
      <c r="O458">
        <v>228</v>
      </c>
      <c r="P458" t="s">
        <v>2346</v>
      </c>
      <c r="Q458" t="s">
        <v>2338</v>
      </c>
      <c r="R458" t="s">
        <v>2337</v>
      </c>
      <c r="S458" t="s">
        <v>2342</v>
      </c>
      <c r="T458">
        <v>6.21</v>
      </c>
    </row>
    <row r="459" spans="1:20" x14ac:dyDescent="0.25">
      <c r="A459" s="11" t="str">
        <f>PROPER(K459)</f>
        <v>Starboard</v>
      </c>
      <c r="B459" s="11" t="str">
        <f>TRIM(PROPER(LEFT(L459,IFERROR(FIND(" ",L459),99))&amp;MID(L459,IFERROR(FIND(" ",L459),99),99)))</f>
        <v>Isonic 73</v>
      </c>
      <c r="C459" s="11">
        <f>TRUNC(O459)</f>
        <v>228</v>
      </c>
      <c r="D459" s="11">
        <f>TRUNC(N459)</f>
        <v>73</v>
      </c>
      <c r="E459" s="11">
        <f>M459</f>
        <v>123</v>
      </c>
      <c r="F459" s="38" t="str">
        <f>I459</f>
        <v>2024</v>
      </c>
      <c r="G459" s="11" t="str" cm="1">
        <f t="array" ref="G459">gssBoardClass(A459,B459,C459,D459,E459,F459)</f>
        <v>Slalom Medium</v>
      </c>
      <c r="H459" s="39" t="str">
        <f>_xlfn.CONCAT(I459,"-",LEFT(K459,2),"-",LEFT(L459,3),"-",M459,"-",TRUNC(N459),"-",TRUNC(O459))</f>
        <v>2024-St-iSo-123-73-228</v>
      </c>
      <c r="I459" s="42" t="str">
        <f>LEFT(J459,4)</f>
        <v>2024</v>
      </c>
      <c r="J459" s="18">
        <v>2024</v>
      </c>
      <c r="K459" t="s">
        <v>2305</v>
      </c>
      <c r="L459" t="s">
        <v>1908</v>
      </c>
      <c r="M459">
        <v>123</v>
      </c>
      <c r="N459">
        <v>73</v>
      </c>
      <c r="O459">
        <v>228</v>
      </c>
      <c r="P459" t="s">
        <v>2346</v>
      </c>
      <c r="Q459" t="s">
        <v>2339</v>
      </c>
      <c r="R459" t="s">
        <v>2337</v>
      </c>
      <c r="S459" t="s">
        <v>2343</v>
      </c>
      <c r="T459">
        <v>6.52</v>
      </c>
    </row>
    <row r="460" spans="1:20" x14ac:dyDescent="0.25">
      <c r="A460" s="11" t="str">
        <f>PROPER(K460)</f>
        <v>Starboard</v>
      </c>
      <c r="B460" s="11" t="str">
        <f>TRIM(PROPER(LEFT(L460,IFERROR(FIND(" ",L460),99))&amp;MID(L460,IFERROR(FIND(" ",L460),99),99)))</f>
        <v>Isonic 77</v>
      </c>
      <c r="C460" s="11">
        <f>TRUNC(O460)</f>
        <v>228</v>
      </c>
      <c r="D460" s="11">
        <f>TRUNC(N460)</f>
        <v>77</v>
      </c>
      <c r="E460" s="11">
        <f>M460</f>
        <v>129</v>
      </c>
      <c r="F460" s="38" t="str">
        <f>I460</f>
        <v>2024</v>
      </c>
      <c r="G460" s="11" t="str" cm="1">
        <f t="array" ref="G460">gssBoardClass(A460,B460,C460,D460,E460,F460)</f>
        <v>Slalom Large</v>
      </c>
      <c r="H460" s="39" t="str">
        <f>_xlfn.CONCAT(I460,"-",LEFT(K460,2),"-",LEFT(L460,3),"-",M460,"-",TRUNC(N460),"-",TRUNC(O460))</f>
        <v>2024-St-iSo-129-77-228</v>
      </c>
      <c r="I460" s="42" t="str">
        <f>LEFT(J460,4)</f>
        <v>2024</v>
      </c>
      <c r="J460" s="18">
        <v>2024</v>
      </c>
      <c r="K460" t="s">
        <v>2305</v>
      </c>
      <c r="L460" t="s">
        <v>1909</v>
      </c>
      <c r="M460">
        <v>129</v>
      </c>
      <c r="N460">
        <v>77</v>
      </c>
      <c r="O460">
        <v>228</v>
      </c>
      <c r="P460" t="s">
        <v>2346</v>
      </c>
      <c r="Q460" t="s">
        <v>2339</v>
      </c>
      <c r="R460" t="s">
        <v>2337</v>
      </c>
      <c r="S460" t="s">
        <v>2344</v>
      </c>
      <c r="T460">
        <v>6.81</v>
      </c>
    </row>
    <row r="461" spans="1:20" x14ac:dyDescent="0.25">
      <c r="A461" s="11" t="str">
        <f>PROPER(K461)</f>
        <v>Starboard</v>
      </c>
      <c r="B461" s="11" t="str">
        <f>TRIM(PROPER(LEFT(L461,IFERROR(FIND(" ",L461),99))&amp;MID(L461,IFERROR(FIND(" ",L461),99),99)))</f>
        <v>Isonic 85</v>
      </c>
      <c r="C461" s="11">
        <f>TRUNC(O461)</f>
        <v>228</v>
      </c>
      <c r="D461" s="11">
        <f>TRUNC(N461)</f>
        <v>85</v>
      </c>
      <c r="E461" s="11">
        <f>M461</f>
        <v>140</v>
      </c>
      <c r="F461" s="38" t="str">
        <f>I461</f>
        <v>2024</v>
      </c>
      <c r="G461" s="11" t="str" cm="1">
        <f t="array" ref="G461">gssBoardClass(A461,B461,C461,D461,E461,F461)</f>
        <v>Slalom Large</v>
      </c>
      <c r="H461" s="39" t="str">
        <f>_xlfn.CONCAT(I461,"-",LEFT(K461,2),"-",LEFT(L461,3),"-",M461,"-",TRUNC(N461),"-",TRUNC(O461))</f>
        <v>2024-St-iSo-140-85-228</v>
      </c>
      <c r="I461" s="42" t="str">
        <f>LEFT(J461,4)</f>
        <v>2024</v>
      </c>
      <c r="J461" s="18">
        <v>2024</v>
      </c>
      <c r="K461" t="s">
        <v>2305</v>
      </c>
      <c r="L461" t="s">
        <v>1911</v>
      </c>
      <c r="M461">
        <v>140</v>
      </c>
      <c r="N461">
        <v>85</v>
      </c>
      <c r="O461">
        <v>228</v>
      </c>
      <c r="P461" t="s">
        <v>2346</v>
      </c>
      <c r="Q461" t="s">
        <v>2322</v>
      </c>
      <c r="R461" t="s">
        <v>2337</v>
      </c>
      <c r="S461" t="s">
        <v>2345</v>
      </c>
      <c r="T461">
        <v>7.2</v>
      </c>
    </row>
    <row r="462" spans="1:20" x14ac:dyDescent="0.25">
      <c r="A462" s="11" t="str">
        <f>PROPER(K462)</f>
        <v>Starboard</v>
      </c>
      <c r="B462" s="11" t="str">
        <f>TRIM(PROPER(LEFT(L462,IFERROR(FIND(" ",L462),99))&amp;MID(L462,IFERROR(FIND(" ",L462),99),99)))</f>
        <v>Isonic Speed 40</v>
      </c>
      <c r="C462" s="11">
        <f>TRUNC(O462)</f>
        <v>227</v>
      </c>
      <c r="D462" s="11">
        <f>TRUNC(N462)</f>
        <v>40</v>
      </c>
      <c r="E462" s="11">
        <f>M462</f>
        <v>55</v>
      </c>
      <c r="F462" s="38" t="str">
        <f>I462</f>
        <v>2024</v>
      </c>
      <c r="G462" s="11" t="str" cm="1">
        <f t="array" ref="G462">gssBoardClass(A462,B462,C462,D462,E462,F462)</f>
        <v>Speedboard</v>
      </c>
      <c r="H462" s="39" t="str">
        <f>_xlfn.CONCAT(I462,"-",LEFT(K462,2),"-",LEFT(L462,3),"-",M462,"-",TRUNC(N462),"-",TRUNC(O462))</f>
        <v>2024-St-iSo-55-40-227</v>
      </c>
      <c r="I462" s="42" t="str">
        <f>LEFT(J462,4)</f>
        <v>2024</v>
      </c>
      <c r="J462" s="18">
        <v>2024</v>
      </c>
      <c r="K462" t="s">
        <v>2305</v>
      </c>
      <c r="L462" t="s">
        <v>2326</v>
      </c>
      <c r="M462">
        <v>55</v>
      </c>
      <c r="N462">
        <v>40</v>
      </c>
      <c r="O462">
        <v>227</v>
      </c>
      <c r="P462" t="s">
        <v>2306</v>
      </c>
      <c r="Q462" t="s">
        <v>232</v>
      </c>
      <c r="S462" t="s">
        <v>2327</v>
      </c>
      <c r="T462" t="s">
        <v>2328</v>
      </c>
    </row>
    <row r="463" spans="1:20" x14ac:dyDescent="0.25">
      <c r="A463" s="11" t="str">
        <f>PROPER(K463)</f>
        <v>Starboard</v>
      </c>
      <c r="B463" s="11" t="str">
        <f>TRIM(PROPER(LEFT(L463,IFERROR(FIND(" ",L463),99))&amp;MID(L463,IFERROR(FIND(" ",L463),99),99)))</f>
        <v>Isonic Speed 45</v>
      </c>
      <c r="C463" s="11">
        <f>TRUNC(O463)</f>
        <v>227</v>
      </c>
      <c r="D463" s="11">
        <f>TRUNC(N463)</f>
        <v>45</v>
      </c>
      <c r="E463" s="11">
        <f>M463</f>
        <v>65</v>
      </c>
      <c r="F463" s="38" t="str">
        <f>I463</f>
        <v>2024</v>
      </c>
      <c r="G463" s="11" t="str" cm="1">
        <f t="array" ref="G463">gssBoardClass(A463,B463,C463,D463,E463,F463)</f>
        <v>Speedboard</v>
      </c>
      <c r="H463" s="39" t="str">
        <f>_xlfn.CONCAT(I463,"-",LEFT(K463,2),"-",LEFT(L463,3),"-",M463,"-",TRUNC(N463),"-",TRUNC(O463))</f>
        <v>2024-St-iSo-65-45-227</v>
      </c>
      <c r="I463" s="42" t="str">
        <f>LEFT(J463,4)</f>
        <v>2024</v>
      </c>
      <c r="J463" s="18">
        <v>2024</v>
      </c>
      <c r="K463" t="s">
        <v>2305</v>
      </c>
      <c r="L463" t="s">
        <v>2329</v>
      </c>
      <c r="M463">
        <v>65</v>
      </c>
      <c r="N463">
        <v>45</v>
      </c>
      <c r="O463">
        <v>227</v>
      </c>
      <c r="P463" t="s">
        <v>2306</v>
      </c>
      <c r="Q463" t="s">
        <v>232</v>
      </c>
      <c r="S463" t="s">
        <v>2330</v>
      </c>
      <c r="T463" t="s">
        <v>2331</v>
      </c>
    </row>
    <row r="464" spans="1:20" x14ac:dyDescent="0.25">
      <c r="A464" s="11" t="str">
        <f>PROPER(K464)</f>
        <v>Starboard</v>
      </c>
      <c r="B464" s="11" t="str">
        <f>TRIM(PROPER(LEFT(L464,IFERROR(FIND(" ",L464),99))&amp;MID(L464,IFERROR(FIND(" ",L464),99),99)))</f>
        <v>Isonic Speed 52</v>
      </c>
      <c r="C464" s="11">
        <f>TRUNC(O464)</f>
        <v>227</v>
      </c>
      <c r="D464" s="11">
        <f>TRUNC(N464)</f>
        <v>52</v>
      </c>
      <c r="E464" s="11">
        <f>M464</f>
        <v>74</v>
      </c>
      <c r="F464" s="38" t="str">
        <f>I464</f>
        <v>2024</v>
      </c>
      <c r="G464" s="11" t="str" cm="1">
        <f t="array" ref="G464">gssBoardClass(A464,B464,C464,D464,E464,F464)</f>
        <v>Speed/Slalom Xtra Small</v>
      </c>
      <c r="H464" s="39" t="str">
        <f>_xlfn.CONCAT(I464,"-",LEFT(K464,2),"-",LEFT(L464,3),"-",M464,"-",TRUNC(N464),"-",TRUNC(O464))</f>
        <v>2024-St-iSo-74-52-227</v>
      </c>
      <c r="I464" s="42" t="str">
        <f>LEFT(J464,4)</f>
        <v>2024</v>
      </c>
      <c r="J464" s="18">
        <v>2024</v>
      </c>
      <c r="K464" t="s">
        <v>2305</v>
      </c>
      <c r="L464" t="s">
        <v>2332</v>
      </c>
      <c r="M464">
        <v>74</v>
      </c>
      <c r="N464">
        <v>52</v>
      </c>
      <c r="O464">
        <v>227</v>
      </c>
      <c r="P464" t="s">
        <v>2306</v>
      </c>
      <c r="Q464" t="s">
        <v>232</v>
      </c>
      <c r="S464" t="s">
        <v>2308</v>
      </c>
      <c r="T464" t="s">
        <v>2333</v>
      </c>
    </row>
    <row r="465" spans="1:20" x14ac:dyDescent="0.25">
      <c r="A465" s="11" t="str">
        <f>PROPER(K465)</f>
        <v>Starboard</v>
      </c>
      <c r="B465" s="11" t="str">
        <f>TRIM(PROPER(LEFT(L465,IFERROR(FIND(" ",L465),99))&amp;MID(L465,IFERROR(FIND(" ",L465),99),99)))</f>
        <v>Isonic 60</v>
      </c>
      <c r="C465" s="11">
        <f>TRUNC(O465)</f>
        <v>225</v>
      </c>
      <c r="D465" s="11">
        <f>TRUNC(N465)</f>
        <v>60</v>
      </c>
      <c r="E465" s="11">
        <f>M465</f>
        <v>87</v>
      </c>
      <c r="F465" s="38" t="str">
        <f>I465</f>
        <v>2024</v>
      </c>
      <c r="G465" s="11" t="str" cm="1">
        <f t="array" ref="G465">gssBoardClass(A465,B465,C465,D465,E465,F465)</f>
        <v>Speed/Slalom Xtra Small</v>
      </c>
      <c r="H465" s="39" t="str">
        <f>_xlfn.CONCAT(I465,"-",LEFT(K465,2),"-",LEFT(L465,3),"-",M465,"-",TRUNC(N465),"-",TRUNC(O465))</f>
        <v>2024-St-iSo-87-60-225</v>
      </c>
      <c r="I465" s="42" t="str">
        <f>LEFT(J465,4)</f>
        <v>2024</v>
      </c>
      <c r="J465" s="18">
        <v>2024</v>
      </c>
      <c r="K465" t="s">
        <v>2305</v>
      </c>
      <c r="L465" t="s">
        <v>1905</v>
      </c>
      <c r="M465">
        <v>87</v>
      </c>
      <c r="N465">
        <v>60</v>
      </c>
      <c r="O465">
        <v>225</v>
      </c>
      <c r="P465" t="s">
        <v>2346</v>
      </c>
      <c r="Q465" t="s">
        <v>2338</v>
      </c>
      <c r="R465" t="s">
        <v>2337</v>
      </c>
      <c r="S465" t="s">
        <v>2340</v>
      </c>
      <c r="T465">
        <v>5.57</v>
      </c>
    </row>
    <row r="466" spans="1:20" x14ac:dyDescent="0.25">
      <c r="A466" s="11" t="str">
        <f>PROPER(K466)</f>
        <v>Starboard</v>
      </c>
      <c r="B466" s="11" t="str">
        <f>TRIM(PROPER(LEFT(L466,IFERROR(FIND(" ",L466),99))&amp;MID(L466,IFERROR(FIND(" ",L466),99),99)))</f>
        <v>Isonic 63</v>
      </c>
      <c r="C466" s="11">
        <f>TRUNC(O466)</f>
        <v>226</v>
      </c>
      <c r="D466" s="11">
        <f>TRUNC(N466)</f>
        <v>63</v>
      </c>
      <c r="E466" s="11">
        <f>M466</f>
        <v>98</v>
      </c>
      <c r="F466" s="38" t="str">
        <f>I466</f>
        <v>2024</v>
      </c>
      <c r="G466" s="11" t="str" cm="1">
        <f t="array" ref="G466">gssBoardClass(A466,B466,C466,D466,E466,F466)</f>
        <v>Speed/Slalom Small</v>
      </c>
      <c r="H466" s="39" t="str">
        <f>_xlfn.CONCAT(I466,"-",LEFT(K466,2),"-",LEFT(L466,3),"-",M466,"-",TRUNC(N466),"-",TRUNC(O466))</f>
        <v>2024-St-iSo-98-63-226</v>
      </c>
      <c r="I466" s="42" t="str">
        <f>LEFT(J466,4)</f>
        <v>2024</v>
      </c>
      <c r="J466" s="18">
        <v>2024</v>
      </c>
      <c r="K466" t="s">
        <v>2305</v>
      </c>
      <c r="L466" t="s">
        <v>1906</v>
      </c>
      <c r="M466">
        <v>98</v>
      </c>
      <c r="N466">
        <v>63</v>
      </c>
      <c r="O466">
        <v>226</v>
      </c>
      <c r="P466" t="s">
        <v>2346</v>
      </c>
      <c r="Q466" t="s">
        <v>2338</v>
      </c>
      <c r="R466" t="s">
        <v>2337</v>
      </c>
      <c r="S466" t="s">
        <v>2341</v>
      </c>
      <c r="T466">
        <v>5.97</v>
      </c>
    </row>
    <row r="467" spans="1:20" x14ac:dyDescent="0.25">
      <c r="A467" s="11" t="str">
        <f>PROPER(K467)</f>
        <v>Starboard</v>
      </c>
      <c r="B467" s="11" t="str">
        <f>TRIM(PROPER(LEFT(L467,IFERROR(FIND(" ",L467),99))&amp;MID(L467,IFERROR(FIND(" ",L467),99),99)))</f>
        <v>Isonic 67</v>
      </c>
      <c r="C467" s="11">
        <f>TRUNC(O467)</f>
        <v>228</v>
      </c>
      <c r="D467" s="11">
        <f>TRUNC(N467)</f>
        <v>67</v>
      </c>
      <c r="E467" s="11">
        <f>M467</f>
        <v>110</v>
      </c>
      <c r="F467" s="38" t="str">
        <f>I467</f>
        <v>2025</v>
      </c>
      <c r="G467" s="11" t="str" cm="1">
        <f t="array" ref="G467">gssBoardClass(A467,B467,C467,D467,E467,F467)</f>
        <v>Slalom Medium</v>
      </c>
      <c r="H467" s="39" t="str">
        <f>_xlfn.CONCAT(I467,"-",LEFT(K467,2),"-",LEFT(L467,3),"-",M467,"-",TRUNC(N467),"-",TRUNC(O467))</f>
        <v>2025-St-iSo-110-67-228</v>
      </c>
      <c r="I467" s="42" t="str">
        <f>LEFT(J467,4)</f>
        <v>2025</v>
      </c>
      <c r="J467" s="18" t="s">
        <v>872</v>
      </c>
      <c r="K467" t="s">
        <v>2305</v>
      </c>
      <c r="L467" t="s">
        <v>1907</v>
      </c>
      <c r="M467">
        <v>110</v>
      </c>
      <c r="N467">
        <v>67</v>
      </c>
      <c r="O467">
        <v>228</v>
      </c>
      <c r="P467" t="s">
        <v>2306</v>
      </c>
      <c r="Q467" t="s">
        <v>2338</v>
      </c>
      <c r="R467" t="s">
        <v>2337</v>
      </c>
      <c r="S467" t="s">
        <v>2342</v>
      </c>
      <c r="T467">
        <v>6.21</v>
      </c>
    </row>
    <row r="468" spans="1:20" x14ac:dyDescent="0.25">
      <c r="A468" s="11" t="str">
        <f>PROPER(K468)</f>
        <v>Starboard</v>
      </c>
      <c r="B468" s="11" t="str">
        <f>TRIM(PROPER(LEFT(L468,IFERROR(FIND(" ",L468),99))&amp;MID(L468,IFERROR(FIND(" ",L468),99),99)))</f>
        <v>Isonic 73</v>
      </c>
      <c r="C468" s="11">
        <f>TRUNC(O468)</f>
        <v>228</v>
      </c>
      <c r="D468" s="11">
        <f>TRUNC(N468)</f>
        <v>73</v>
      </c>
      <c r="E468" s="11">
        <f>M468</f>
        <v>123</v>
      </c>
      <c r="F468" s="38" t="str">
        <f>I468</f>
        <v>2025</v>
      </c>
      <c r="G468" s="11" t="str" cm="1">
        <f t="array" ref="G468">gssBoardClass(A468,B468,C468,D468,E468,F468)</f>
        <v>Slalom Medium</v>
      </c>
      <c r="H468" s="39" t="str">
        <f>_xlfn.CONCAT(I468,"-",LEFT(K468,2),"-",LEFT(L468,3),"-",M468,"-",TRUNC(N468),"-",TRUNC(O468))</f>
        <v>2025-St-iSo-123-73-228</v>
      </c>
      <c r="I468" s="42" t="str">
        <f>LEFT(J468,4)</f>
        <v>2025</v>
      </c>
      <c r="J468" s="18" t="s">
        <v>872</v>
      </c>
      <c r="K468" t="s">
        <v>2305</v>
      </c>
      <c r="L468" t="s">
        <v>1908</v>
      </c>
      <c r="M468">
        <v>123</v>
      </c>
      <c r="N468">
        <v>73</v>
      </c>
      <c r="O468">
        <v>228</v>
      </c>
      <c r="P468" t="s">
        <v>2306</v>
      </c>
      <c r="Q468" t="s">
        <v>2339</v>
      </c>
      <c r="R468" t="s">
        <v>2337</v>
      </c>
      <c r="S468" t="s">
        <v>2343</v>
      </c>
      <c r="T468">
        <v>6.52</v>
      </c>
    </row>
    <row r="469" spans="1:20" x14ac:dyDescent="0.25">
      <c r="A469" s="11" t="str">
        <f>PROPER(K469)</f>
        <v>Starboard</v>
      </c>
      <c r="B469" s="11" t="str">
        <f>TRIM(PROPER(LEFT(L469,IFERROR(FIND(" ",L469),99))&amp;MID(L469,IFERROR(FIND(" ",L469),99),99)))</f>
        <v>Isonic 77</v>
      </c>
      <c r="C469" s="11">
        <f>TRUNC(O469)</f>
        <v>228</v>
      </c>
      <c r="D469" s="11">
        <f>TRUNC(N469)</f>
        <v>77</v>
      </c>
      <c r="E469" s="11">
        <f>M469</f>
        <v>129</v>
      </c>
      <c r="F469" s="38" t="str">
        <f>I469</f>
        <v>2025</v>
      </c>
      <c r="G469" s="11" t="str" cm="1">
        <f t="array" ref="G469">gssBoardClass(A469,B469,C469,D469,E469,F469)</f>
        <v>Slalom Large</v>
      </c>
      <c r="H469" s="39" t="str">
        <f>_xlfn.CONCAT(I469,"-",LEFT(K469,2),"-",LEFT(L469,3),"-",M469,"-",TRUNC(N469),"-",TRUNC(O469))</f>
        <v>2025-St-iSo-129-77-228</v>
      </c>
      <c r="I469" s="42" t="str">
        <f>LEFT(J469,4)</f>
        <v>2025</v>
      </c>
      <c r="J469" s="18" t="s">
        <v>872</v>
      </c>
      <c r="K469" t="s">
        <v>2305</v>
      </c>
      <c r="L469" t="s">
        <v>1909</v>
      </c>
      <c r="M469">
        <v>129</v>
      </c>
      <c r="N469">
        <v>77</v>
      </c>
      <c r="O469">
        <v>228</v>
      </c>
      <c r="P469" t="s">
        <v>2306</v>
      </c>
      <c r="Q469" t="s">
        <v>2339</v>
      </c>
      <c r="R469" t="s">
        <v>2337</v>
      </c>
      <c r="S469" t="s">
        <v>2344</v>
      </c>
      <c r="T469">
        <v>6.81</v>
      </c>
    </row>
    <row r="470" spans="1:20" x14ac:dyDescent="0.25">
      <c r="A470" s="11" t="str">
        <f>PROPER(K470)</f>
        <v>Starboard</v>
      </c>
      <c r="B470" s="11" t="str">
        <f>TRIM(PROPER(LEFT(L470,IFERROR(FIND(" ",L470),99))&amp;MID(L470,IFERROR(FIND(" ",L470),99),99)))</f>
        <v>Isonic 85</v>
      </c>
      <c r="C470" s="11">
        <f>TRUNC(O470)</f>
        <v>228</v>
      </c>
      <c r="D470" s="11">
        <f>TRUNC(N470)</f>
        <v>85</v>
      </c>
      <c r="E470" s="11">
        <f>M470</f>
        <v>140</v>
      </c>
      <c r="F470" s="38" t="str">
        <f>I470</f>
        <v>2025</v>
      </c>
      <c r="G470" s="11" t="str" cm="1">
        <f t="array" ref="G470">gssBoardClass(A470,B470,C470,D470,E470,F470)</f>
        <v>Slalom Large</v>
      </c>
      <c r="H470" s="39" t="str">
        <f>_xlfn.CONCAT(I470,"-",LEFT(K470,2),"-",LEFT(L470,3),"-",M470,"-",TRUNC(N470),"-",TRUNC(O470))</f>
        <v>2025-St-iSo-140-85-228</v>
      </c>
      <c r="I470" s="42" t="str">
        <f>LEFT(J470,4)</f>
        <v>2025</v>
      </c>
      <c r="J470" s="18" t="s">
        <v>872</v>
      </c>
      <c r="K470" t="s">
        <v>2305</v>
      </c>
      <c r="L470" t="s">
        <v>1911</v>
      </c>
      <c r="M470">
        <v>140</v>
      </c>
      <c r="N470">
        <v>85</v>
      </c>
      <c r="O470">
        <v>228</v>
      </c>
      <c r="P470" t="s">
        <v>2306</v>
      </c>
      <c r="Q470" t="s">
        <v>2322</v>
      </c>
      <c r="R470" t="s">
        <v>2337</v>
      </c>
      <c r="S470" t="s">
        <v>2345</v>
      </c>
      <c r="T470">
        <v>7.2</v>
      </c>
    </row>
    <row r="471" spans="1:20" x14ac:dyDescent="0.25">
      <c r="A471" s="11" t="str">
        <f>PROPER(K471)</f>
        <v>Starboard</v>
      </c>
      <c r="B471" s="11" t="str">
        <f>TRIM(PROPER(LEFT(L471,IFERROR(FIND(" ",L471),99))&amp;MID(L471,IFERROR(FIND(" ",L471),99),99)))</f>
        <v>Isonic 60</v>
      </c>
      <c r="C471" s="11">
        <f>TRUNC(O471)</f>
        <v>225</v>
      </c>
      <c r="D471" s="11">
        <f>TRUNC(N471)</f>
        <v>60</v>
      </c>
      <c r="E471" s="11">
        <f>M471</f>
        <v>87</v>
      </c>
      <c r="F471" s="38" t="str">
        <f>I471</f>
        <v>2025</v>
      </c>
      <c r="G471" s="11" t="str" cm="1">
        <f t="array" ref="G471">gssBoardClass(A471,B471,C471,D471,E471,F471)</f>
        <v>Speed/Slalom Xtra Small</v>
      </c>
      <c r="H471" s="39" t="str">
        <f>_xlfn.CONCAT(I471,"-",LEFT(K471,2),"-",LEFT(L471,3),"-",M471,"-",TRUNC(N471),"-",TRUNC(O471))</f>
        <v>2025-St-iSo-87-60-225</v>
      </c>
      <c r="I471" s="42" t="str">
        <f>LEFT(J471,4)</f>
        <v>2025</v>
      </c>
      <c r="J471" s="18" t="s">
        <v>872</v>
      </c>
      <c r="K471" t="s">
        <v>2305</v>
      </c>
      <c r="L471" t="s">
        <v>1905</v>
      </c>
      <c r="M471">
        <v>87</v>
      </c>
      <c r="N471">
        <v>60</v>
      </c>
      <c r="O471">
        <v>225</v>
      </c>
      <c r="P471" t="s">
        <v>2306</v>
      </c>
      <c r="Q471" t="s">
        <v>2338</v>
      </c>
      <c r="R471" t="s">
        <v>2337</v>
      </c>
      <c r="S471" t="s">
        <v>2340</v>
      </c>
      <c r="T471">
        <v>5.57</v>
      </c>
    </row>
    <row r="472" spans="1:20" x14ac:dyDescent="0.25">
      <c r="A472" s="11" t="str">
        <f>PROPER(K472)</f>
        <v>Starboard</v>
      </c>
      <c r="B472" s="11" t="str">
        <f>TRIM(PROPER(LEFT(L472,IFERROR(FIND(" ",L472),99))&amp;MID(L472,IFERROR(FIND(" ",L472),99),99)))</f>
        <v>Isonic 63</v>
      </c>
      <c r="C472" s="11">
        <f>TRUNC(O472)</f>
        <v>226</v>
      </c>
      <c r="D472" s="11">
        <f>TRUNC(N472)</f>
        <v>63</v>
      </c>
      <c r="E472" s="11">
        <f>M472</f>
        <v>98</v>
      </c>
      <c r="F472" s="38" t="str">
        <f>I472</f>
        <v>2025</v>
      </c>
      <c r="G472" s="11" t="str" cm="1">
        <f t="array" ref="G472">gssBoardClass(A472,B472,C472,D472,E472,F472)</f>
        <v>Speed/Slalom Small</v>
      </c>
      <c r="H472" s="39" t="str">
        <f>_xlfn.CONCAT(I472,"-",LEFT(K472,2),"-",LEFT(L472,3),"-",M472,"-",TRUNC(N472),"-",TRUNC(O472))</f>
        <v>2025-St-iSo-98-63-226</v>
      </c>
      <c r="I472" s="42" t="str">
        <f>LEFT(J472,4)</f>
        <v>2025</v>
      </c>
      <c r="J472" s="18" t="s">
        <v>872</v>
      </c>
      <c r="K472" t="s">
        <v>2305</v>
      </c>
      <c r="L472" t="s">
        <v>1906</v>
      </c>
      <c r="M472">
        <v>98</v>
      </c>
      <c r="N472">
        <v>63</v>
      </c>
      <c r="O472">
        <v>226</v>
      </c>
      <c r="P472" t="s">
        <v>2306</v>
      </c>
      <c r="Q472" t="s">
        <v>2338</v>
      </c>
      <c r="R472" t="s">
        <v>2337</v>
      </c>
      <c r="S472" t="s">
        <v>2341</v>
      </c>
      <c r="T472">
        <v>5.97</v>
      </c>
    </row>
    <row r="473" spans="1:20" x14ac:dyDescent="0.25">
      <c r="A473" s="11" t="str">
        <f>PROPER(K473)</f>
        <v>We One</v>
      </c>
      <c r="B473" s="11" t="str">
        <f>TRIM(PROPER(LEFT(L473,IFERROR(FIND(" ",L473),99))&amp;MID(L473,IFERROR(FIND(" ",L473),99),99)))</f>
        <v>Free Race 107</v>
      </c>
      <c r="C473" s="11">
        <f>TRUNC(O473)</f>
        <v>229</v>
      </c>
      <c r="D473" s="11">
        <f>TRUNC(N473)</f>
        <v>66</v>
      </c>
      <c r="E473" s="11">
        <f>M473</f>
        <v>107</v>
      </c>
      <c r="F473" s="38" t="str">
        <f>I473</f>
        <v>2025</v>
      </c>
      <c r="G473" s="11" t="str" cm="1">
        <f t="array" ref="G473">gssBoardClass(A473,B473,C473,D473,E473,F473)</f>
        <v>Slalom Medium</v>
      </c>
      <c r="H473" s="39" t="str">
        <f>_xlfn.CONCAT(I473,"-",LEFT(K473,2),"-",LEFT(L473,3),"-",M473,"-",TRUNC(N473),"-",TRUNC(O473))</f>
        <v>2025-We-Fre-107-66-229</v>
      </c>
      <c r="I473" s="42" t="str">
        <f>LEFT(J473,4)</f>
        <v>2025</v>
      </c>
      <c r="J473" s="18">
        <v>2025</v>
      </c>
      <c r="K473" t="s">
        <v>2257</v>
      </c>
      <c r="L473" t="s">
        <v>2293</v>
      </c>
      <c r="M473">
        <v>107</v>
      </c>
      <c r="N473">
        <v>66</v>
      </c>
      <c r="O473">
        <v>229</v>
      </c>
      <c r="P473" t="s">
        <v>2294</v>
      </c>
      <c r="Q473" t="s">
        <v>232</v>
      </c>
      <c r="S473" t="s">
        <v>2295</v>
      </c>
    </row>
    <row r="474" spans="1:20" x14ac:dyDescent="0.25">
      <c r="A474" s="11" t="str">
        <f>PROPER(K474)</f>
        <v>We One</v>
      </c>
      <c r="B474" s="11" t="str">
        <f>TRIM(PROPER(LEFT(L474,IFERROR(FIND(" ",L474),99))&amp;MID(L474,IFERROR(FIND(" ",L474),99),99)))</f>
        <v>Free Race 120</v>
      </c>
      <c r="C474" s="11">
        <f>TRUNC(O474)</f>
        <v>230</v>
      </c>
      <c r="D474" s="11">
        <f>TRUNC(N474)</f>
        <v>72</v>
      </c>
      <c r="E474" s="11">
        <f>M474</f>
        <v>120</v>
      </c>
      <c r="F474" s="38" t="str">
        <f>I474</f>
        <v>2025</v>
      </c>
      <c r="G474" s="11" t="str" cm="1">
        <f t="array" ref="G474">gssBoardClass(A474,B474,C474,D474,E474,F474)</f>
        <v>Slalom Medium</v>
      </c>
      <c r="H474" s="39" t="str">
        <f>_xlfn.CONCAT(I474,"-",LEFT(K474,2),"-",LEFT(L474,3),"-",M474,"-",TRUNC(N474),"-",TRUNC(O474))</f>
        <v>2025-We-Fre-120-72-230</v>
      </c>
      <c r="I474" s="42" t="str">
        <f>LEFT(J474,4)</f>
        <v>2025</v>
      </c>
      <c r="J474" s="18">
        <v>2025</v>
      </c>
      <c r="K474" t="s">
        <v>2257</v>
      </c>
      <c r="L474" t="s">
        <v>2296</v>
      </c>
      <c r="M474">
        <v>120</v>
      </c>
      <c r="N474">
        <v>72</v>
      </c>
      <c r="O474">
        <v>230</v>
      </c>
      <c r="P474" t="s">
        <v>2294</v>
      </c>
      <c r="Q474" t="s">
        <v>2297</v>
      </c>
      <c r="S474" t="s">
        <v>2298</v>
      </c>
    </row>
    <row r="475" spans="1:20" x14ac:dyDescent="0.25">
      <c r="A475" s="11" t="str">
        <f>PROPER(K475)</f>
        <v>We One</v>
      </c>
      <c r="B475" s="11" t="str">
        <f>TRIM(PROPER(LEFT(L475,IFERROR(FIND(" ",L475),99))&amp;MID(L475,IFERROR(FIND(" ",L475),99),99)))</f>
        <v>Free Race 130</v>
      </c>
      <c r="C475" s="11">
        <f>TRUNC(O475)</f>
        <v>230</v>
      </c>
      <c r="D475" s="11">
        <f>TRUNC(N475)</f>
        <v>78</v>
      </c>
      <c r="E475" s="11">
        <f>M475</f>
        <v>130</v>
      </c>
      <c r="F475" s="38" t="str">
        <f>I475</f>
        <v>2025</v>
      </c>
      <c r="G475" s="11" t="str" cm="1">
        <f t="array" ref="G475">gssBoardClass(A475,B475,C475,D475,E475,F475)</f>
        <v>Slalom Large</v>
      </c>
      <c r="H475" s="39" t="str">
        <f>_xlfn.CONCAT(I475,"-",LEFT(K475,2),"-",LEFT(L475,3),"-",M475,"-",TRUNC(N475),"-",TRUNC(O475))</f>
        <v>2025-We-Fre-130-78-230</v>
      </c>
      <c r="I475" s="42" t="str">
        <f>LEFT(J475,4)</f>
        <v>2025</v>
      </c>
      <c r="J475" s="18">
        <v>2025</v>
      </c>
      <c r="K475" t="s">
        <v>2257</v>
      </c>
      <c r="L475" t="s">
        <v>2299</v>
      </c>
      <c r="M475">
        <v>130</v>
      </c>
      <c r="N475">
        <v>78</v>
      </c>
      <c r="O475">
        <v>230</v>
      </c>
      <c r="P475" t="s">
        <v>2294</v>
      </c>
      <c r="Q475" t="s">
        <v>2297</v>
      </c>
      <c r="S475" t="s">
        <v>2300</v>
      </c>
    </row>
    <row r="476" spans="1:20" x14ac:dyDescent="0.25">
      <c r="A476" s="11" t="str">
        <f>PROPER(K476)</f>
        <v>We One</v>
      </c>
      <c r="B476" s="11" t="str">
        <f>TRIM(PROPER(LEFT(L476,IFERROR(FIND(" ",L476),99))&amp;MID(L476,IFERROR(FIND(" ",L476),99),99)))</f>
        <v>Free Race 140</v>
      </c>
      <c r="C476" s="11">
        <f>TRUNC(O476)</f>
        <v>230</v>
      </c>
      <c r="D476" s="11">
        <f>TRUNC(N476)</f>
        <v>79</v>
      </c>
      <c r="E476" s="11">
        <f>M476</f>
        <v>140</v>
      </c>
      <c r="F476" s="38" t="str">
        <f>I476</f>
        <v>2025</v>
      </c>
      <c r="G476" s="11" t="str" cm="1">
        <f t="array" ref="G476">gssBoardClass(A476,B476,C476,D476,E476,F476)</f>
        <v>Slalom Large</v>
      </c>
      <c r="H476" s="39" t="str">
        <f>_xlfn.CONCAT(I476,"-",LEFT(K476,2),"-",LEFT(L476,3),"-",M476,"-",TRUNC(N476),"-",TRUNC(O476))</f>
        <v>2025-We-Fre-140-79-230</v>
      </c>
      <c r="I476" s="42" t="str">
        <f>LEFT(J476,4)</f>
        <v>2025</v>
      </c>
      <c r="J476" s="18">
        <v>2025</v>
      </c>
      <c r="K476" t="s">
        <v>2257</v>
      </c>
      <c r="L476" t="s">
        <v>2301</v>
      </c>
      <c r="M476">
        <v>140</v>
      </c>
      <c r="N476">
        <v>79</v>
      </c>
      <c r="O476">
        <v>230</v>
      </c>
      <c r="P476" t="s">
        <v>2294</v>
      </c>
      <c r="Q476" t="s">
        <v>2297</v>
      </c>
      <c r="S476" t="s">
        <v>2302</v>
      </c>
    </row>
    <row r="477" spans="1:20" x14ac:dyDescent="0.25">
      <c r="A477" s="11" t="str">
        <f>PROPER(K477)</f>
        <v>We One</v>
      </c>
      <c r="B477" s="11" t="str">
        <f>TRIM(PROPER(LEFT(L477,IFERROR(FIND(" ",L477),99))&amp;MID(L477,IFERROR(FIND(" ",L477),99),99)))</f>
        <v>Free Race 150</v>
      </c>
      <c r="C477" s="11">
        <f>TRUNC(O477)</f>
        <v>235</v>
      </c>
      <c r="D477" s="11">
        <f>TRUNC(N477)</f>
        <v>84</v>
      </c>
      <c r="E477" s="11">
        <f>M477</f>
        <v>150</v>
      </c>
      <c r="F477" s="38" t="str">
        <f>I477</f>
        <v>2025</v>
      </c>
      <c r="G477" s="11" t="str" cm="1">
        <f t="array" ref="G477">gssBoardClass(A477,B477,C477,D477,E477,F477)</f>
        <v>Slalom Large</v>
      </c>
      <c r="H477" s="39" t="str">
        <f>_xlfn.CONCAT(I477,"-",LEFT(K477,2),"-",LEFT(L477,3),"-",M477,"-",TRUNC(N477),"-",TRUNC(O477))</f>
        <v>2025-We-Fre-150-84-235</v>
      </c>
      <c r="I477" s="42" t="str">
        <f>LEFT(J477,4)</f>
        <v>2025</v>
      </c>
      <c r="J477" s="18">
        <v>2025</v>
      </c>
      <c r="K477" t="s">
        <v>2257</v>
      </c>
      <c r="L477" t="s">
        <v>2303</v>
      </c>
      <c r="M477">
        <v>150</v>
      </c>
      <c r="N477">
        <v>84</v>
      </c>
      <c r="O477">
        <v>235</v>
      </c>
      <c r="P477" t="s">
        <v>2294</v>
      </c>
      <c r="Q477" t="s">
        <v>2297</v>
      </c>
      <c r="S477" t="s">
        <v>2304</v>
      </c>
    </row>
    <row r="478" spans="1:20" x14ac:dyDescent="0.25">
      <c r="A478" s="11" t="str">
        <f>PROPER(K478)</f>
        <v>We One</v>
      </c>
      <c r="B478" s="11" t="str">
        <f>TRIM(PROPER(LEFT(L478,IFERROR(FIND(" ",L478),99))&amp;MID(L478,IFERROR(FIND(" ",L478),99),99)))</f>
        <v>Race 69</v>
      </c>
      <c r="C478" s="11">
        <f>TRUNC(O478)</f>
        <v>229</v>
      </c>
      <c r="D478" s="11">
        <f>TRUNC(N478)</f>
        <v>69</v>
      </c>
      <c r="E478" s="11">
        <f>M478</f>
        <v>111</v>
      </c>
      <c r="F478" s="38" t="str">
        <f>I478</f>
        <v>2025</v>
      </c>
      <c r="G478" s="11" t="str" cm="1">
        <f t="array" ref="G478">gssBoardClass(A478,B478,C478,D478,E478,F478)</f>
        <v>Slalom Medium</v>
      </c>
      <c r="H478" s="39" t="str">
        <f>_xlfn.CONCAT(I478,"-",LEFT(K478,2),"-",LEFT(L478,3),"-",M478,"-",TRUNC(N478),"-",TRUNC(O478))</f>
        <v>2025-We-Rac-111-69-229</v>
      </c>
      <c r="I478" s="42" t="str">
        <f>LEFT(J478,4)</f>
        <v>2025</v>
      </c>
      <c r="J478" s="46">
        <v>2025</v>
      </c>
      <c r="K478" t="s">
        <v>2257</v>
      </c>
      <c r="L478" t="s">
        <v>2276</v>
      </c>
      <c r="M478">
        <v>111</v>
      </c>
      <c r="N478">
        <v>69</v>
      </c>
      <c r="O478">
        <v>229</v>
      </c>
      <c r="Q478" t="s">
        <v>232</v>
      </c>
    </row>
    <row r="479" spans="1:20" x14ac:dyDescent="0.25">
      <c r="A479" s="11" t="str">
        <f>PROPER(K479)</f>
        <v>We One</v>
      </c>
      <c r="B479" s="11" t="str">
        <f>TRIM(PROPER(LEFT(L479,IFERROR(FIND(" ",L479),99))&amp;MID(L479,IFERROR(FIND(" ",L479),99),99)))</f>
        <v>Race 74</v>
      </c>
      <c r="C479" s="11">
        <f>TRUNC(O479)</f>
        <v>229</v>
      </c>
      <c r="D479" s="11">
        <f>TRUNC(N479)</f>
        <v>73</v>
      </c>
      <c r="E479" s="11">
        <f>M479</f>
        <v>119</v>
      </c>
      <c r="F479" s="38" t="str">
        <f>I479</f>
        <v>2025</v>
      </c>
      <c r="G479" s="11" t="str" cm="1">
        <f t="array" ref="G479">gssBoardClass(A479,B479,C479,D479,E479,F479)</f>
        <v>Slalom Medium</v>
      </c>
      <c r="H479" s="39" t="str">
        <f>_xlfn.CONCAT(I479,"-",LEFT(K479,2),"-",LEFT(L479,3),"-",M479,"-",TRUNC(N479),"-",TRUNC(O479))</f>
        <v>2025-We-RAC-119-73-229</v>
      </c>
      <c r="I479" s="42" t="str">
        <f>LEFT(J479,4)</f>
        <v>2025</v>
      </c>
      <c r="J479" s="46">
        <v>2025</v>
      </c>
      <c r="K479" t="s">
        <v>2257</v>
      </c>
      <c r="L479" t="s">
        <v>2277</v>
      </c>
      <c r="M479">
        <v>119</v>
      </c>
      <c r="N479">
        <v>73</v>
      </c>
      <c r="O479">
        <v>229</v>
      </c>
      <c r="Q479" t="s">
        <v>232</v>
      </c>
    </row>
    <row r="480" spans="1:20" x14ac:dyDescent="0.25">
      <c r="A480" s="11" t="str">
        <f>PROPER(K480)</f>
        <v>We One</v>
      </c>
      <c r="B480" s="11" t="str">
        <f>TRIM(PROPER(LEFT(L480,IFERROR(FIND(" ",L480),99))&amp;MID(L480,IFERROR(FIND(" ",L480),99),99)))</f>
        <v>Race 84</v>
      </c>
      <c r="C480" s="11">
        <f>TRUNC(O480)</f>
        <v>229</v>
      </c>
      <c r="D480" s="11">
        <f>TRUNC(N480)</f>
        <v>84</v>
      </c>
      <c r="E480" s="11">
        <f>M480</f>
        <v>133</v>
      </c>
      <c r="F480" s="38" t="str">
        <f>I480</f>
        <v>2025</v>
      </c>
      <c r="G480" s="11" t="str" cm="1">
        <f t="array" ref="G480">gssBoardClass(A480,B480,C480,D480,E480,F480)</f>
        <v>Slalom Large</v>
      </c>
      <c r="H480" s="39" t="str">
        <f>_xlfn.CONCAT(I480,"-",LEFT(K480,2),"-",LEFT(L480,3),"-",M480,"-",TRUNC(N480),"-",TRUNC(O480))</f>
        <v>2025-We-RAC-133-84-229</v>
      </c>
      <c r="I480" s="42" t="str">
        <f>LEFT(J480,4)</f>
        <v>2025</v>
      </c>
      <c r="J480" s="46">
        <v>2025</v>
      </c>
      <c r="K480" t="s">
        <v>2257</v>
      </c>
      <c r="L480" t="s">
        <v>2278</v>
      </c>
      <c r="M480">
        <v>133</v>
      </c>
      <c r="N480">
        <v>84</v>
      </c>
      <c r="O480">
        <v>229</v>
      </c>
      <c r="Q480" t="s">
        <v>260</v>
      </c>
    </row>
    <row r="481" spans="1:20" x14ac:dyDescent="0.25">
      <c r="A481" s="11" t="str">
        <f>PROPER(K481)</f>
        <v>We One</v>
      </c>
      <c r="B481" s="11" t="str">
        <f>TRIM(PROPER(LEFT(L481,IFERROR(FIND(" ",L481),99))&amp;MID(L481,IFERROR(FIND(" ",L481),99),99)))</f>
        <v>Race 87</v>
      </c>
      <c r="C481" s="11">
        <f>TRUNC(O481)</f>
        <v>229</v>
      </c>
      <c r="D481" s="11">
        <f>TRUNC(N481)</f>
        <v>87</v>
      </c>
      <c r="E481" s="11">
        <f>M481</f>
        <v>139</v>
      </c>
      <c r="F481" s="38" t="str">
        <f>I481</f>
        <v>2025</v>
      </c>
      <c r="G481" s="11" t="str" cm="1">
        <f t="array" ref="G481">gssBoardClass(A481,B481,C481,D481,E481,F481)</f>
        <v>Slalom Xtra Large</v>
      </c>
      <c r="H481" s="39" t="str">
        <f>_xlfn.CONCAT(I481,"-",LEFT(K481,2),"-",LEFT(L481,3),"-",M481,"-",TRUNC(N481),"-",TRUNC(O481))</f>
        <v>2025-We-RAC-139-87-229</v>
      </c>
      <c r="I481" s="42" t="str">
        <f>LEFT(J481,4)</f>
        <v>2025</v>
      </c>
      <c r="J481" s="46">
        <v>2025</v>
      </c>
      <c r="K481" t="s">
        <v>2257</v>
      </c>
      <c r="L481" t="s">
        <v>2279</v>
      </c>
      <c r="M481">
        <v>139</v>
      </c>
      <c r="N481">
        <v>87</v>
      </c>
      <c r="O481">
        <v>229</v>
      </c>
      <c r="Q481" t="s">
        <v>260</v>
      </c>
    </row>
    <row r="482" spans="1:20" x14ac:dyDescent="0.25">
      <c r="A482" s="11" t="str">
        <f>PROPER(K482)</f>
        <v>We One</v>
      </c>
      <c r="B482" s="11" t="str">
        <f>TRIM(PROPER(LEFT(L482,IFERROR(FIND(" ",L482),99))&amp;MID(L482,IFERROR(FIND(" ",L482),99),99)))</f>
        <v>Race 58</v>
      </c>
      <c r="C482" s="11">
        <f>TRUNC(O482)</f>
        <v>230</v>
      </c>
      <c r="D482" s="11">
        <f>TRUNC(N482)</f>
        <v>58</v>
      </c>
      <c r="E482" s="11">
        <f>M482</f>
        <v>94</v>
      </c>
      <c r="F482" s="38" t="str">
        <f>I482</f>
        <v>2025</v>
      </c>
      <c r="G482" s="11" t="str" cm="1">
        <f t="array" ref="G482">gssBoardClass(A482,B482,C482,D482,E482,F482)</f>
        <v>Speed/Slalom Xtra Small</v>
      </c>
      <c r="H482" s="39" t="str">
        <f>_xlfn.CONCAT(I482,"-",LEFT(K482,2),"-",LEFT(L482,3),"-",M482,"-",TRUNC(N482),"-",TRUNC(O482))</f>
        <v>2025-We-RAC-94-58-230</v>
      </c>
      <c r="I482" s="42" t="str">
        <f>LEFT(J482,4)</f>
        <v>2025</v>
      </c>
      <c r="J482" s="46">
        <v>2025</v>
      </c>
      <c r="K482" t="s">
        <v>2257</v>
      </c>
      <c r="L482" t="s">
        <v>2280</v>
      </c>
      <c r="M482">
        <v>94</v>
      </c>
      <c r="N482">
        <v>58</v>
      </c>
      <c r="O482">
        <v>230</v>
      </c>
      <c r="Q482" t="s">
        <v>232</v>
      </c>
    </row>
    <row r="483" spans="1:20" x14ac:dyDescent="0.25">
      <c r="A483" s="11" t="str">
        <f>PROPER(K483)</f>
        <v>We One</v>
      </c>
      <c r="B483" s="11" t="str">
        <f>TRIM(PROPER(LEFT(L483,IFERROR(FIND(" ",L483),99))&amp;MID(L483,IFERROR(FIND(" ",L483),99),99)))</f>
        <v>Race 63</v>
      </c>
      <c r="C483" s="11">
        <f>TRUNC(O483)</f>
        <v>230</v>
      </c>
      <c r="D483" s="11">
        <f>TRUNC(N483)</f>
        <v>63</v>
      </c>
      <c r="E483" s="11">
        <f>M483</f>
        <v>99</v>
      </c>
      <c r="F483" s="38" t="str">
        <f>I483</f>
        <v>2025</v>
      </c>
      <c r="G483" s="11" t="str" cm="1">
        <f t="array" ref="G483">gssBoardClass(A483,B483,C483,D483,E483,F483)</f>
        <v>Speed/Slalom Small</v>
      </c>
      <c r="H483" s="39" t="str">
        <f>_xlfn.CONCAT(I483,"-",LEFT(K483,2),"-",LEFT(L483,3),"-",M483,"-",TRUNC(N483),"-",TRUNC(O483))</f>
        <v>2025-We-RAC-99-63-230</v>
      </c>
      <c r="I483" s="42" t="str">
        <f>LEFT(J483,4)</f>
        <v>2025</v>
      </c>
      <c r="J483" s="46">
        <v>2025</v>
      </c>
      <c r="K483" t="s">
        <v>2257</v>
      </c>
      <c r="L483" t="s">
        <v>2281</v>
      </c>
      <c r="M483">
        <v>99</v>
      </c>
      <c r="N483">
        <v>63</v>
      </c>
      <c r="O483">
        <v>230</v>
      </c>
      <c r="Q483" t="s">
        <v>232</v>
      </c>
    </row>
    <row r="484" spans="1:20" x14ac:dyDescent="0.25">
      <c r="A484" s="11" t="str">
        <f>PROPER(K484)</f>
        <v>Jp</v>
      </c>
      <c r="B484" s="11" t="str">
        <f>TRIM(PROPER(LEFT(L484,IFERROR(FIND(" ",L484),99))&amp;MID(L484,IFERROR(FIND(" ",L484),99),99)))</f>
        <v>Slalom 66</v>
      </c>
      <c r="C484" s="11">
        <f>TRUNC(O484)</f>
        <v>230</v>
      </c>
      <c r="D484" s="11">
        <f>TRUNC(N484)</f>
        <v>66</v>
      </c>
      <c r="E484" s="11">
        <f>M484</f>
        <v>105</v>
      </c>
      <c r="F484" s="38" t="str">
        <f>I484</f>
        <v>2026</v>
      </c>
      <c r="G484" s="11" t="str" cm="1">
        <f t="array" ref="G484">gssBoardClass(A484,B484,C484,D484,E484,F484)</f>
        <v>Slalom Medium</v>
      </c>
      <c r="H484" s="39" t="str">
        <f>_xlfn.CONCAT(I484,"-",LEFT(K484,2),"-",LEFT(L484,3),"-",M484,"-",TRUNC(N484),"-",TRUNC(O484))</f>
        <v>2026-JP-Sla-105-66-230</v>
      </c>
      <c r="I484" s="42" t="str">
        <f>LEFT(J484,4)</f>
        <v>2026</v>
      </c>
      <c r="J484" s="46">
        <v>2026</v>
      </c>
      <c r="K484" t="s">
        <v>345</v>
      </c>
      <c r="L484" t="s">
        <v>352</v>
      </c>
      <c r="M484">
        <v>105</v>
      </c>
      <c r="N484">
        <v>66</v>
      </c>
      <c r="O484">
        <v>230</v>
      </c>
      <c r="P484" t="s">
        <v>346</v>
      </c>
      <c r="Q484" t="s">
        <v>333</v>
      </c>
      <c r="R484" t="s">
        <v>271</v>
      </c>
      <c r="S484" t="s">
        <v>348</v>
      </c>
    </row>
    <row r="485" spans="1:20" x14ac:dyDescent="0.25">
      <c r="A485" s="11" t="str">
        <f>PROPER(K485)</f>
        <v>Jp</v>
      </c>
      <c r="B485" s="11" t="str">
        <f>TRIM(PROPER(LEFT(L485,IFERROR(FIND(" ",L485),99))&amp;MID(L485,IFERROR(FIND(" ",L485),99),99)))</f>
        <v>Slalom 72</v>
      </c>
      <c r="C485" s="11">
        <f>TRUNC(O485)</f>
        <v>228</v>
      </c>
      <c r="D485" s="11">
        <f>TRUNC(N485)</f>
        <v>72</v>
      </c>
      <c r="E485" s="11">
        <f>M485</f>
        <v>117</v>
      </c>
      <c r="F485" s="38" t="str">
        <f>I485</f>
        <v>2026</v>
      </c>
      <c r="G485" s="11" t="str" cm="1">
        <f t="array" ref="G485">gssBoardClass(A485,B485,C485,D485,E485,F485)</f>
        <v>Slalom Medium</v>
      </c>
      <c r="H485" s="39" t="str">
        <f>_xlfn.CONCAT(I485,"-",LEFT(K485,2),"-",LEFT(L485,3),"-",M485,"-",TRUNC(N485),"-",TRUNC(O485))</f>
        <v>2026-JP-Sla-117-72-228</v>
      </c>
      <c r="I485" s="42" t="str">
        <f>LEFT(J485,4)</f>
        <v>2026</v>
      </c>
      <c r="J485" s="46">
        <v>2026</v>
      </c>
      <c r="K485" t="s">
        <v>345</v>
      </c>
      <c r="L485" t="s">
        <v>343</v>
      </c>
      <c r="M485">
        <v>117</v>
      </c>
      <c r="N485">
        <v>72</v>
      </c>
      <c r="O485">
        <v>228</v>
      </c>
      <c r="P485" t="s">
        <v>346</v>
      </c>
      <c r="Q485" t="s">
        <v>333</v>
      </c>
      <c r="R485" t="s">
        <v>271</v>
      </c>
      <c r="S485" t="s">
        <v>349</v>
      </c>
    </row>
    <row r="486" spans="1:20" x14ac:dyDescent="0.25">
      <c r="A486" s="11" t="str">
        <f>PROPER(K486)</f>
        <v>Jp</v>
      </c>
      <c r="B486" s="11" t="str">
        <f>TRIM(PROPER(LEFT(L486,IFERROR(FIND(" ",L486),99))&amp;MID(L486,IFERROR(FIND(" ",L486),99),99)))</f>
        <v>Slalom 76</v>
      </c>
      <c r="C486" s="11">
        <f>TRUNC(O486)</f>
        <v>228</v>
      </c>
      <c r="D486" s="11">
        <f>TRUNC(N486)</f>
        <v>76</v>
      </c>
      <c r="E486" s="11">
        <f>M486</f>
        <v>125</v>
      </c>
      <c r="F486" s="38" t="str">
        <f>I486</f>
        <v>2026</v>
      </c>
      <c r="G486" s="11" t="str" cm="1">
        <f t="array" ref="G486">gssBoardClass(A486,B486,C486,D486,E486,F486)</f>
        <v>Slalom Large</v>
      </c>
      <c r="H486" s="39" t="str">
        <f>_xlfn.CONCAT(I486,"-",LEFT(K486,2),"-",LEFT(L486,3),"-",M486,"-",TRUNC(N486),"-",TRUNC(O486))</f>
        <v>2026-JP-Sla-125-76-228</v>
      </c>
      <c r="I486" s="42" t="str">
        <f>LEFT(J486,4)</f>
        <v>2026</v>
      </c>
      <c r="J486" s="46">
        <v>2026</v>
      </c>
      <c r="K486" t="s">
        <v>345</v>
      </c>
      <c r="L486" t="s">
        <v>353</v>
      </c>
      <c r="M486">
        <v>125</v>
      </c>
      <c r="N486">
        <v>76</v>
      </c>
      <c r="O486">
        <v>228</v>
      </c>
      <c r="P486" t="s">
        <v>346</v>
      </c>
      <c r="Q486" t="s">
        <v>333</v>
      </c>
      <c r="R486" t="s">
        <v>271</v>
      </c>
      <c r="S486" t="s">
        <v>350</v>
      </c>
    </row>
    <row r="487" spans="1:20" x14ac:dyDescent="0.25">
      <c r="A487" s="11" t="str">
        <f>PROPER(K487)</f>
        <v>Jp</v>
      </c>
      <c r="B487" s="11" t="str">
        <f>TRIM(PROPER(LEFT(L487,IFERROR(FIND(" ",L487),99))&amp;MID(L487,IFERROR(FIND(" ",L487),99),99)))</f>
        <v>Slalom 85</v>
      </c>
      <c r="C487" s="11">
        <f>TRUNC(O487)</f>
        <v>228</v>
      </c>
      <c r="D487" s="11">
        <f>TRUNC(N487)</f>
        <v>85</v>
      </c>
      <c r="E487" s="11">
        <f>M487</f>
        <v>139</v>
      </c>
      <c r="F487" s="38" t="str">
        <f>I487</f>
        <v>2026</v>
      </c>
      <c r="G487" s="11" t="str" cm="1">
        <f t="array" ref="G487">gssBoardClass(A487,B487,C487,D487,E487,F487)</f>
        <v>Slalom Large</v>
      </c>
      <c r="H487" s="39" t="str">
        <f>_xlfn.CONCAT(I487,"-",LEFT(K487,2),"-",LEFT(L487,3),"-",M487,"-",TRUNC(N487),"-",TRUNC(O487))</f>
        <v>2026-JP-Sla-139-85-228</v>
      </c>
      <c r="I487" s="42" t="str">
        <f>LEFT(J487,4)</f>
        <v>2026</v>
      </c>
      <c r="J487" s="46">
        <v>2026</v>
      </c>
      <c r="K487" t="s">
        <v>345</v>
      </c>
      <c r="L487" t="s">
        <v>344</v>
      </c>
      <c r="M487">
        <v>139</v>
      </c>
      <c r="N487">
        <v>85</v>
      </c>
      <c r="O487">
        <v>228</v>
      </c>
      <c r="P487" t="s">
        <v>346</v>
      </c>
      <c r="Q487" t="s">
        <v>333</v>
      </c>
      <c r="R487" t="s">
        <v>271</v>
      </c>
      <c r="S487" t="s">
        <v>351</v>
      </c>
    </row>
    <row r="488" spans="1:20" x14ac:dyDescent="0.25">
      <c r="A488" s="11" t="str">
        <f>PROPER(K488)</f>
        <v>Jp</v>
      </c>
      <c r="B488" s="11" t="str">
        <f>TRIM(PROPER(LEFT(L488,IFERROR(FIND(" ",L488),99))&amp;MID(L488,IFERROR(FIND(" ",L488),99),99)))</f>
        <v>Slalom 62.5</v>
      </c>
      <c r="C488" s="11">
        <f>TRUNC(O488)</f>
        <v>230</v>
      </c>
      <c r="D488" s="11">
        <f>TRUNC(N488)</f>
        <v>62</v>
      </c>
      <c r="E488" s="11">
        <f>M488</f>
        <v>97</v>
      </c>
      <c r="F488" s="38" t="str">
        <f>I488</f>
        <v>2026</v>
      </c>
      <c r="G488" s="11" t="str" cm="1">
        <f t="array" ref="G488">gssBoardClass(A488,B488,C488,D488,E488,F488)</f>
        <v>Speed/Slalom Small</v>
      </c>
      <c r="H488" s="39" t="str">
        <f>_xlfn.CONCAT(I488,"-",LEFT(K488,2),"-",LEFT(L488,3),"-",M488,"-",TRUNC(N488),"-",TRUNC(O488))</f>
        <v>2026-JP-Sla-97-62-230</v>
      </c>
      <c r="I488" s="42" t="str">
        <f>LEFT(J488,4)</f>
        <v>2026</v>
      </c>
      <c r="J488" s="46">
        <v>2026</v>
      </c>
      <c r="K488" t="s">
        <v>345</v>
      </c>
      <c r="L488" t="s">
        <v>342</v>
      </c>
      <c r="M488">
        <v>97</v>
      </c>
      <c r="N488">
        <v>62.5</v>
      </c>
      <c r="O488">
        <v>230</v>
      </c>
      <c r="P488" t="s">
        <v>346</v>
      </c>
      <c r="Q488" t="s">
        <v>333</v>
      </c>
      <c r="R488" t="s">
        <v>271</v>
      </c>
      <c r="S488" t="s">
        <v>347</v>
      </c>
    </row>
    <row r="489" spans="1:20" x14ac:dyDescent="0.25">
      <c r="A489" s="11" t="str">
        <f>PROPER(K489)</f>
        <v>Starboard</v>
      </c>
      <c r="B489" s="11" t="str">
        <f>TRIM(PROPER(LEFT(L489,IFERROR(FIND(" ",L489),99))&amp;MID(L489,IFERROR(FIND(" ",L489),99),99)))</f>
        <v>Isonic 67</v>
      </c>
      <c r="C489" s="11">
        <f>TRUNC(O489)</f>
        <v>228</v>
      </c>
      <c r="D489" s="11">
        <f>TRUNC(N489)</f>
        <v>67</v>
      </c>
      <c r="E489" s="11">
        <f>M489</f>
        <v>111</v>
      </c>
      <c r="F489" s="38" t="str">
        <f>I489</f>
        <v>2026</v>
      </c>
      <c r="G489" s="11" t="str" cm="1">
        <f t="array" ref="G489">gssBoardClass(A489,B489,C489,D489,E489,F489)</f>
        <v>Slalom Medium</v>
      </c>
      <c r="H489" s="39" t="str">
        <f>_xlfn.CONCAT(I489,"-",LEFT(K489,2),"-",LEFT(L489,3),"-",M489,"-",TRUNC(N489),"-",TRUNC(O489))</f>
        <v>2026-St-iSo-111-67-228</v>
      </c>
      <c r="I489" s="42" t="str">
        <f>LEFT(J489,4)</f>
        <v>2026</v>
      </c>
      <c r="J489" s="18">
        <v>2026</v>
      </c>
      <c r="K489" t="s">
        <v>2305</v>
      </c>
      <c r="L489" t="s">
        <v>1907</v>
      </c>
      <c r="M489">
        <v>111</v>
      </c>
      <c r="N489">
        <v>67</v>
      </c>
      <c r="O489">
        <v>228</v>
      </c>
      <c r="P489" t="s">
        <v>2306</v>
      </c>
      <c r="Q489" t="s">
        <v>232</v>
      </c>
      <c r="R489" t="s">
        <v>2313</v>
      </c>
      <c r="S489" t="s">
        <v>2314</v>
      </c>
      <c r="T489" t="s">
        <v>2315</v>
      </c>
    </row>
    <row r="490" spans="1:20" x14ac:dyDescent="0.25">
      <c r="A490" s="11" t="str">
        <f>PROPER(K490)</f>
        <v>Starboard</v>
      </c>
      <c r="B490" s="11" t="str">
        <f>TRIM(PROPER(LEFT(L490,IFERROR(FIND(" ",L490),99))&amp;MID(L490,IFERROR(FIND(" ",L490),99),99)))</f>
        <v>Isonic 73</v>
      </c>
      <c r="C490" s="11">
        <f>TRUNC(O490)</f>
        <v>228</v>
      </c>
      <c r="D490" s="11">
        <f>TRUNC(N490)</f>
        <v>73</v>
      </c>
      <c r="E490" s="11">
        <f>M490</f>
        <v>123</v>
      </c>
      <c r="F490" s="38" t="str">
        <f>I490</f>
        <v>2026</v>
      </c>
      <c r="G490" s="11" t="str" cm="1">
        <f t="array" ref="G490">gssBoardClass(A490,B490,C490,D490,E490,F490)</f>
        <v>Slalom Medium</v>
      </c>
      <c r="H490" s="39" t="str">
        <f>_xlfn.CONCAT(I490,"-",LEFT(K490,2),"-",LEFT(L490,3),"-",M490,"-",TRUNC(N490),"-",TRUNC(O490))</f>
        <v>2026-St-iSo-123-73-228</v>
      </c>
      <c r="I490" s="42" t="str">
        <f>LEFT(J490,4)</f>
        <v>2026</v>
      </c>
      <c r="J490" s="18">
        <v>2026</v>
      </c>
      <c r="K490" t="s">
        <v>2305</v>
      </c>
      <c r="L490" t="s">
        <v>1908</v>
      </c>
      <c r="M490">
        <v>123</v>
      </c>
      <c r="N490">
        <v>73</v>
      </c>
      <c r="O490">
        <v>228</v>
      </c>
      <c r="P490" t="s">
        <v>2306</v>
      </c>
      <c r="Q490" t="s">
        <v>260</v>
      </c>
      <c r="R490" t="s">
        <v>2316</v>
      </c>
      <c r="S490" t="s">
        <v>2317</v>
      </c>
      <c r="T490" t="s">
        <v>2318</v>
      </c>
    </row>
    <row r="491" spans="1:20" x14ac:dyDescent="0.25">
      <c r="A491" s="11" t="str">
        <f>PROPER(K491)</f>
        <v>Starboard</v>
      </c>
      <c r="B491" s="11" t="str">
        <f>TRIM(PROPER(LEFT(L491,IFERROR(FIND(" ",L491),99))&amp;MID(L491,IFERROR(FIND(" ",L491),99),99)))</f>
        <v>Isonic 77</v>
      </c>
      <c r="C491" s="11">
        <f>TRUNC(O491)</f>
        <v>229</v>
      </c>
      <c r="D491" s="11">
        <f>TRUNC(N491)</f>
        <v>77</v>
      </c>
      <c r="E491" s="11">
        <f>M491</f>
        <v>129</v>
      </c>
      <c r="F491" s="38" t="str">
        <f>I491</f>
        <v>2026</v>
      </c>
      <c r="G491" s="11" t="str" cm="1">
        <f t="array" ref="G491">gssBoardClass(A491,B491,C491,D491,E491,F491)</f>
        <v>Slalom Large</v>
      </c>
      <c r="H491" s="39" t="str">
        <f>_xlfn.CONCAT(I491,"-",LEFT(K491,2),"-",LEFT(L491,3),"-",M491,"-",TRUNC(N491),"-",TRUNC(O491))</f>
        <v>2026-St-iSo-129-77-229</v>
      </c>
      <c r="I491" s="42" t="str">
        <f>LEFT(J491,4)</f>
        <v>2026</v>
      </c>
      <c r="J491" s="18">
        <v>2026</v>
      </c>
      <c r="K491" t="s">
        <v>2305</v>
      </c>
      <c r="L491" t="s">
        <v>1909</v>
      </c>
      <c r="M491">
        <v>129</v>
      </c>
      <c r="N491">
        <v>77</v>
      </c>
      <c r="O491">
        <v>229</v>
      </c>
      <c r="P491" t="s">
        <v>2306</v>
      </c>
      <c r="Q491" t="s">
        <v>260</v>
      </c>
      <c r="R491" t="s">
        <v>2319</v>
      </c>
      <c r="S491" t="s">
        <v>2320</v>
      </c>
      <c r="T491" t="s">
        <v>2321</v>
      </c>
    </row>
    <row r="492" spans="1:20" x14ac:dyDescent="0.25">
      <c r="A492" s="11" t="str">
        <f>PROPER(K492)</f>
        <v>Starboard</v>
      </c>
      <c r="B492" s="11" t="str">
        <f>TRIM(PROPER(LEFT(L492,IFERROR(FIND(" ",L492),99))&amp;MID(L492,IFERROR(FIND(" ",L492),99),99)))</f>
        <v>Isonic 85</v>
      </c>
      <c r="C492" s="11">
        <f>TRUNC(O492)</f>
        <v>229</v>
      </c>
      <c r="D492" s="11">
        <f>TRUNC(N492)</f>
        <v>85</v>
      </c>
      <c r="E492" s="11">
        <f>M492</f>
        <v>147</v>
      </c>
      <c r="F492" s="38" t="str">
        <f>I492</f>
        <v>2026</v>
      </c>
      <c r="G492" s="11" t="str" cm="1">
        <f t="array" ref="G492">gssBoardClass(A492,B492,C492,D492,E492,F492)</f>
        <v>Slalom Large</v>
      </c>
      <c r="H492" s="39" t="str">
        <f>_xlfn.CONCAT(I492,"-",LEFT(K492,2),"-",LEFT(L492,3),"-",M492,"-",TRUNC(N492),"-",TRUNC(O492))</f>
        <v>2026-St-iSo-147-85-229</v>
      </c>
      <c r="I492" s="42" t="str">
        <f>LEFT(J492,4)</f>
        <v>2026</v>
      </c>
      <c r="J492" s="18">
        <v>2026</v>
      </c>
      <c r="K492" t="s">
        <v>2305</v>
      </c>
      <c r="L492" t="s">
        <v>1911</v>
      </c>
      <c r="M492">
        <v>147</v>
      </c>
      <c r="N492">
        <v>85</v>
      </c>
      <c r="O492">
        <v>229</v>
      </c>
      <c r="P492" t="s">
        <v>2306</v>
      </c>
      <c r="Q492" t="s">
        <v>2322</v>
      </c>
      <c r="R492" t="s">
        <v>2323</v>
      </c>
      <c r="S492" t="s">
        <v>2324</v>
      </c>
      <c r="T492" t="s">
        <v>2325</v>
      </c>
    </row>
    <row r="493" spans="1:20" x14ac:dyDescent="0.25">
      <c r="A493" s="11" t="str">
        <f>PROPER(K493)</f>
        <v>Starboard</v>
      </c>
      <c r="B493" s="11" t="str">
        <f>TRIM(PROPER(LEFT(L493,IFERROR(FIND(" ",L493),99))&amp;MID(L493,IFERROR(FIND(" ",L493),99),99)))</f>
        <v>Isonic 60</v>
      </c>
      <c r="C493" s="11">
        <f>TRUNC(O493)</f>
        <v>225</v>
      </c>
      <c r="D493" s="11">
        <f>TRUNC(N493)</f>
        <v>60</v>
      </c>
      <c r="E493" s="11">
        <f>M493</f>
        <v>91</v>
      </c>
      <c r="F493" s="38" t="str">
        <f>I493</f>
        <v>2026</v>
      </c>
      <c r="G493" s="11" t="str" cm="1">
        <f t="array" ref="G493">gssBoardClass(A493,B493,C493,D493,E493,F493)</f>
        <v>Speed/Slalom Xtra Small</v>
      </c>
      <c r="H493" s="39" t="str">
        <f>_xlfn.CONCAT(I493,"-",LEFT(K493,2),"-",LEFT(L493,3),"-",M493,"-",TRUNC(N493),"-",TRUNC(O493))</f>
        <v>2026-St-iSo-91-60-225</v>
      </c>
      <c r="I493" s="42" t="str">
        <f>LEFT(J493,4)</f>
        <v>2026</v>
      </c>
      <c r="J493" s="18">
        <v>2026</v>
      </c>
      <c r="K493" t="s">
        <v>2305</v>
      </c>
      <c r="L493" t="s">
        <v>1905</v>
      </c>
      <c r="M493">
        <v>91</v>
      </c>
      <c r="N493">
        <v>60</v>
      </c>
      <c r="O493">
        <v>225</v>
      </c>
      <c r="P493" t="s">
        <v>2306</v>
      </c>
      <c r="Q493" t="s">
        <v>232</v>
      </c>
      <c r="R493" t="s">
        <v>2307</v>
      </c>
      <c r="S493" t="s">
        <v>2308</v>
      </c>
      <c r="T493" t="s">
        <v>2309</v>
      </c>
    </row>
    <row r="494" spans="1:20" x14ac:dyDescent="0.25">
      <c r="A494" s="11" t="str">
        <f>PROPER(K494)</f>
        <v>Starboard</v>
      </c>
      <c r="B494" s="11" t="str">
        <f>TRIM(PROPER(LEFT(L494,IFERROR(FIND(" ",L494),99))&amp;MID(L494,IFERROR(FIND(" ",L494),99),99)))</f>
        <v>Isonic 63</v>
      </c>
      <c r="C494" s="11">
        <f>TRUNC(O494)</f>
        <v>226</v>
      </c>
      <c r="D494" s="11">
        <f>TRUNC(N494)</f>
        <v>63</v>
      </c>
      <c r="E494" s="11">
        <f>M494</f>
        <v>98</v>
      </c>
      <c r="F494" s="38" t="str">
        <f>I494</f>
        <v>2026</v>
      </c>
      <c r="G494" s="11" t="str" cm="1">
        <f t="array" ref="G494">gssBoardClass(A494,B494,C494,D494,E494,F494)</f>
        <v>Speed/Slalom Small</v>
      </c>
      <c r="H494" s="39" t="str">
        <f>_xlfn.CONCAT(I494,"-",LEFT(K494,2),"-",LEFT(L494,3),"-",M494,"-",TRUNC(N494),"-",TRUNC(O494))</f>
        <v>2026-St-iSo-98-63-226</v>
      </c>
      <c r="I494" s="42" t="str">
        <f>LEFT(J494,4)</f>
        <v>2026</v>
      </c>
      <c r="J494" s="18">
        <v>2026</v>
      </c>
      <c r="K494" t="s">
        <v>2305</v>
      </c>
      <c r="L494" t="s">
        <v>1906</v>
      </c>
      <c r="M494">
        <v>98</v>
      </c>
      <c r="N494">
        <v>63</v>
      </c>
      <c r="O494">
        <v>226</v>
      </c>
      <c r="P494" t="s">
        <v>2306</v>
      </c>
      <c r="Q494" t="s">
        <v>232</v>
      </c>
      <c r="R494" t="s">
        <v>2310</v>
      </c>
      <c r="S494" t="s">
        <v>2311</v>
      </c>
      <c r="T494" t="s">
        <v>2312</v>
      </c>
    </row>
    <row r="495" spans="1:20" x14ac:dyDescent="0.25">
      <c r="A495" s="11" t="str">
        <f>PROPER(K495)</f>
        <v>Tabou</v>
      </c>
      <c r="B495" s="11" t="str">
        <f>TRIM(PROPER(LEFT(L495,IFERROR(FIND(" ",L495),99))&amp;MID(L495,IFERROR(FIND(" ",L495),99),99)))</f>
        <v>Manta 64</v>
      </c>
      <c r="C495" s="11">
        <f>TRUNC(O495)</f>
        <v>233</v>
      </c>
      <c r="D495" s="11">
        <f>TRUNC(N495)</f>
        <v>64</v>
      </c>
      <c r="E495" s="11">
        <f>M495</f>
        <v>102</v>
      </c>
      <c r="F495" s="38" t="str">
        <f>I495</f>
        <v>2026</v>
      </c>
      <c r="G495" s="11" t="str" cm="1">
        <f t="array" ref="G495">gssBoardClass(A495,B495,C495,D495,E495,F495)</f>
        <v>Speed/Slalom Small</v>
      </c>
      <c r="H495" s="39" t="str">
        <f>_xlfn.CONCAT(I495,"-",LEFT(K495,2),"-",LEFT(L495,3),"-",M495,"-",TRUNC(N495),"-",TRUNC(O495))</f>
        <v>2026-Ta-Man-102-64-233</v>
      </c>
      <c r="I495" s="42" t="str">
        <f>LEFT(J495,4)</f>
        <v>2026</v>
      </c>
      <c r="J495" s="46" t="s">
        <v>876</v>
      </c>
      <c r="K495" t="s">
        <v>2244</v>
      </c>
      <c r="L495" t="s">
        <v>2247</v>
      </c>
      <c r="M495">
        <v>102</v>
      </c>
      <c r="N495">
        <v>64</v>
      </c>
      <c r="O495">
        <v>233</v>
      </c>
      <c r="Q495" t="s">
        <v>2242</v>
      </c>
    </row>
    <row r="496" spans="1:20" x14ac:dyDescent="0.25">
      <c r="A496" s="11" t="str">
        <f>PROPER(K496)</f>
        <v>Tabou</v>
      </c>
      <c r="B496" s="11" t="str">
        <f>TRIM(PROPER(LEFT(L496,IFERROR(FIND(" ",L496),99))&amp;MID(L496,IFERROR(FIND(" ",L496),99),99)))</f>
        <v>Manta 66</v>
      </c>
      <c r="C496" s="11">
        <f>TRUNC(O496)</f>
        <v>233</v>
      </c>
      <c r="D496" s="11">
        <f>TRUNC(N496)</f>
        <v>66</v>
      </c>
      <c r="E496" s="11">
        <f>M496</f>
        <v>106</v>
      </c>
      <c r="F496" s="38" t="str">
        <f>I496</f>
        <v>2026</v>
      </c>
      <c r="G496" s="11" t="str" cm="1">
        <f t="array" ref="G496">gssBoardClass(A496,B496,C496,D496,E496,F496)</f>
        <v>Slalom Medium</v>
      </c>
      <c r="H496" s="39" t="str">
        <f>_xlfn.CONCAT(I496,"-",LEFT(K496,2),"-",LEFT(L496,3),"-",M496,"-",TRUNC(N496),"-",TRUNC(O496))</f>
        <v>2026-Ta-Man-106-66-233</v>
      </c>
      <c r="I496" s="42" t="str">
        <f>LEFT(J496,4)</f>
        <v>2026</v>
      </c>
      <c r="J496" s="46" t="s">
        <v>876</v>
      </c>
      <c r="K496" t="s">
        <v>2244</v>
      </c>
      <c r="L496" t="s">
        <v>1981</v>
      </c>
      <c r="M496">
        <v>106</v>
      </c>
      <c r="N496">
        <v>66</v>
      </c>
      <c r="O496">
        <v>233</v>
      </c>
      <c r="Q496" t="s">
        <v>2242</v>
      </c>
      <c r="T496">
        <v>6.2</v>
      </c>
    </row>
    <row r="497" spans="1:20" x14ac:dyDescent="0.25">
      <c r="A497" s="11" t="str">
        <f>PROPER(K497)</f>
        <v>Tabou</v>
      </c>
      <c r="B497" s="11" t="str">
        <f>TRIM(PROPER(LEFT(L497,IFERROR(FIND(" ",L497),99))&amp;MID(L497,IFERROR(FIND(" ",L497),99),99)))</f>
        <v>Manta 71</v>
      </c>
      <c r="C497" s="11">
        <f>TRUNC(O497)</f>
        <v>233</v>
      </c>
      <c r="D497" s="11">
        <f>TRUNC(N497)</f>
        <v>71</v>
      </c>
      <c r="E497" s="11">
        <f>M497</f>
        <v>116</v>
      </c>
      <c r="F497" s="38" t="str">
        <f>I497</f>
        <v>2026</v>
      </c>
      <c r="G497" s="11" t="str" cm="1">
        <f t="array" ref="G497">gssBoardClass(A497,B497,C497,D497,E497,F497)</f>
        <v>Slalom Medium</v>
      </c>
      <c r="H497" s="39" t="str">
        <f>_xlfn.CONCAT(I497,"-",LEFT(K497,2),"-",LEFT(L497,3),"-",M497,"-",TRUNC(N497),"-",TRUNC(O497))</f>
        <v>2026-Ta-Man-116-71-233</v>
      </c>
      <c r="I497" s="42" t="str">
        <f>LEFT(J497,4)</f>
        <v>2026</v>
      </c>
      <c r="J497" s="46" t="s">
        <v>876</v>
      </c>
      <c r="K497" t="s">
        <v>2244</v>
      </c>
      <c r="L497" t="s">
        <v>1982</v>
      </c>
      <c r="M497">
        <v>116</v>
      </c>
      <c r="N497">
        <v>71</v>
      </c>
      <c r="O497">
        <v>233</v>
      </c>
      <c r="Q497" t="s">
        <v>2242</v>
      </c>
      <c r="T497">
        <v>6.8</v>
      </c>
    </row>
    <row r="498" spans="1:20" x14ac:dyDescent="0.25">
      <c r="A498" s="11" t="str">
        <f>PROPER(K498)</f>
        <v>Tabou</v>
      </c>
      <c r="B498" s="11" t="str">
        <f>TRIM(PROPER(LEFT(L498,IFERROR(FIND(" ",L498),99))&amp;MID(L498,IFERROR(FIND(" ",L498),99),99)))</f>
        <v>Manta 77</v>
      </c>
      <c r="C498" s="11">
        <f>TRUNC(O498)</f>
        <v>232</v>
      </c>
      <c r="D498" s="11">
        <f>TRUNC(N498)</f>
        <v>77</v>
      </c>
      <c r="E498" s="11">
        <f>M498</f>
        <v>122</v>
      </c>
      <c r="F498" s="38" t="str">
        <f>I498</f>
        <v>2026</v>
      </c>
      <c r="G498" s="11" t="str" cm="1">
        <f t="array" ref="G498">gssBoardClass(A498,B498,C498,D498,E498,F498)</f>
        <v>Slalom Large</v>
      </c>
      <c r="H498" s="39" t="str">
        <f>_xlfn.CONCAT(I498,"-",LEFT(K498,2),"-",LEFT(L498,3),"-",M498,"-",TRUNC(N498),"-",TRUNC(O498))</f>
        <v>2026-Ta-Man-122-77-232</v>
      </c>
      <c r="I498" s="42" t="str">
        <f>LEFT(J498,4)</f>
        <v>2026</v>
      </c>
      <c r="J498" s="46" t="s">
        <v>876</v>
      </c>
      <c r="K498" t="s">
        <v>2244</v>
      </c>
      <c r="L498" t="s">
        <v>2248</v>
      </c>
      <c r="M498">
        <v>122</v>
      </c>
      <c r="N498">
        <v>77</v>
      </c>
      <c r="O498">
        <v>232</v>
      </c>
      <c r="Q498" t="s">
        <v>2243</v>
      </c>
      <c r="T498">
        <v>7.4</v>
      </c>
    </row>
    <row r="499" spans="1:20" x14ac:dyDescent="0.25">
      <c r="A499" s="11" t="str">
        <f>PROPER(K499)</f>
        <v>Tabou</v>
      </c>
      <c r="B499" s="11" t="str">
        <f>TRIM(PROPER(LEFT(L499,IFERROR(FIND(" ",L499),99))&amp;MID(L499,IFERROR(FIND(" ",L499),99),99)))</f>
        <v>Manta 85</v>
      </c>
      <c r="C499" s="11">
        <f>TRUNC(O499)</f>
        <v>232</v>
      </c>
      <c r="D499" s="11">
        <f>TRUNC(N499)</f>
        <v>85</v>
      </c>
      <c r="E499" s="11">
        <f>M499</f>
        <v>135</v>
      </c>
      <c r="F499" s="38" t="str">
        <f>I499</f>
        <v>2026</v>
      </c>
      <c r="G499" s="11" t="str" cm="1">
        <f t="array" ref="G499">gssBoardClass(A499,B499,C499,D499,E499,F499)</f>
        <v>Slalom Large</v>
      </c>
      <c r="H499" s="39" t="str">
        <f>_xlfn.CONCAT(I499,"-",LEFT(K499,2),"-",LEFT(L499,3),"-",M499,"-",TRUNC(N499),"-",TRUNC(O499))</f>
        <v>2026-Ta-Man-135-85-232</v>
      </c>
      <c r="I499" s="42" t="str">
        <f>LEFT(J499,4)</f>
        <v>2026</v>
      </c>
      <c r="J499" s="46" t="s">
        <v>876</v>
      </c>
      <c r="K499" t="s">
        <v>2244</v>
      </c>
      <c r="L499" t="s">
        <v>2249</v>
      </c>
      <c r="M499">
        <v>135</v>
      </c>
      <c r="N499">
        <v>85</v>
      </c>
      <c r="O499">
        <v>232</v>
      </c>
      <c r="Q499" t="s">
        <v>2243</v>
      </c>
      <c r="T499">
        <v>7.8</v>
      </c>
    </row>
    <row r="500" spans="1:20" x14ac:dyDescent="0.25">
      <c r="A500" s="11" t="str">
        <f>PROPER(K500)</f>
        <v>Tabou</v>
      </c>
      <c r="B500" s="11" t="str">
        <f>TRIM(PROPER(LEFT(L500,IFERROR(FIND(" ",L500),99))&amp;MID(L500,IFERROR(FIND(" ",L500),99),99)))</f>
        <v>Manta 48 Speed Custom</v>
      </c>
      <c r="C500" s="11">
        <f>TRUNC(O500)</f>
        <v>228</v>
      </c>
      <c r="D500" s="11">
        <f>TRUNC(N500)</f>
        <v>48</v>
      </c>
      <c r="E500" s="11">
        <f>M500</f>
        <v>64</v>
      </c>
      <c r="F500" s="38" t="str">
        <f>I500</f>
        <v>2026</v>
      </c>
      <c r="G500" s="11" t="str" cm="1">
        <f t="array" ref="G500">gssBoardClass(A500,B500,C500,D500,E500,F500)</f>
        <v>Speedboard</v>
      </c>
      <c r="H500" s="39" t="str">
        <f>_xlfn.CONCAT(I500,"-",LEFT(K500,2),"-",LEFT(L500,3),"-",M500,"-",TRUNC(N500),"-",TRUNC(O500))</f>
        <v>2026-Ta-Man-64-48-228</v>
      </c>
      <c r="I500" s="42" t="str">
        <f>LEFT(J500,4)</f>
        <v>2026</v>
      </c>
      <c r="J500" s="46" t="s">
        <v>876</v>
      </c>
      <c r="K500" t="s">
        <v>2244</v>
      </c>
      <c r="L500" t="s">
        <v>2245</v>
      </c>
      <c r="M500">
        <v>64</v>
      </c>
      <c r="N500">
        <v>48</v>
      </c>
      <c r="O500">
        <v>228</v>
      </c>
      <c r="Q500" t="s">
        <v>2241</v>
      </c>
      <c r="T500">
        <v>4.7</v>
      </c>
    </row>
    <row r="501" spans="1:20" x14ac:dyDescent="0.25">
      <c r="A501" s="11" t="str">
        <f>PROPER(K501)</f>
        <v>Tabou</v>
      </c>
      <c r="B501" s="11" t="str">
        <f>TRIM(PROPER(LEFT(L501,IFERROR(FIND(" ",L501),99))&amp;MID(L501,IFERROR(FIND(" ",L501),99),99)))</f>
        <v>Manta 54 Speed Custom</v>
      </c>
      <c r="C501" s="11">
        <f>TRUNC(O501)</f>
        <v>228</v>
      </c>
      <c r="D501" s="11">
        <f>TRUNC(N501)</f>
        <v>54</v>
      </c>
      <c r="E501" s="11">
        <f>M501</f>
        <v>75</v>
      </c>
      <c r="F501" s="38" t="str">
        <f>I501</f>
        <v>2026</v>
      </c>
      <c r="G501" s="11" t="str" cm="1">
        <f t="array" ref="G501">gssBoardClass(A501,B501,C501,D501,E501,F501)</f>
        <v>Speed/Slalom Xtra Small</v>
      </c>
      <c r="H501" s="39" t="str">
        <f>_xlfn.CONCAT(I501,"-",LEFT(K501,2),"-",LEFT(L501,3),"-",M501,"-",TRUNC(N501),"-",TRUNC(O501))</f>
        <v>2026-Ta-Man-75-54-228</v>
      </c>
      <c r="I501" s="42" t="str">
        <f>LEFT(J501,4)</f>
        <v>2026</v>
      </c>
      <c r="J501" s="46" t="s">
        <v>876</v>
      </c>
      <c r="K501" t="s">
        <v>2244</v>
      </c>
      <c r="L501" t="s">
        <v>2246</v>
      </c>
      <c r="M501">
        <v>75</v>
      </c>
      <c r="N501">
        <v>54</v>
      </c>
      <c r="O501">
        <v>228</v>
      </c>
      <c r="Q501" t="s">
        <v>2241</v>
      </c>
      <c r="T501">
        <v>5.4</v>
      </c>
    </row>
    <row r="502" spans="1:20" x14ac:dyDescent="0.25">
      <c r="A502" s="11" t="str">
        <f>PROPER(K502)</f>
        <v>Tabou</v>
      </c>
      <c r="B502" s="11" t="str">
        <f>TRIM(PROPER(LEFT(L502,IFERROR(FIND(" ",L502),99))&amp;MID(L502,IFERROR(FIND(" ",L502),99),99)))</f>
        <v>Manta 61</v>
      </c>
      <c r="C502" s="11">
        <f>TRUNC(O502)</f>
        <v>233</v>
      </c>
      <c r="D502" s="11">
        <f>TRUNC(N502)</f>
        <v>61</v>
      </c>
      <c r="E502" s="11">
        <f>M502</f>
        <v>96</v>
      </c>
      <c r="F502" s="38" t="str">
        <f>I502</f>
        <v>2026</v>
      </c>
      <c r="G502" s="11" t="str" cm="1">
        <f t="array" ref="G502">gssBoardClass(A502,B502,C502,D502,E502,F502)</f>
        <v>Speed/Slalom Small</v>
      </c>
      <c r="H502" s="39" t="str">
        <f>_xlfn.CONCAT(I502,"-",LEFT(K502,2),"-",LEFT(L502,3),"-",M502,"-",TRUNC(N502),"-",TRUNC(O502))</f>
        <v>2026-Ta-Man-96-61-233</v>
      </c>
      <c r="I502" s="42" t="str">
        <f>LEFT(J502,4)</f>
        <v>2026</v>
      </c>
      <c r="J502" s="46" t="s">
        <v>876</v>
      </c>
      <c r="K502" t="s">
        <v>2244</v>
      </c>
      <c r="L502" t="s">
        <v>1980</v>
      </c>
      <c r="M502">
        <v>96</v>
      </c>
      <c r="N502">
        <v>61</v>
      </c>
      <c r="O502">
        <v>233</v>
      </c>
      <c r="Q502" t="s">
        <v>2242</v>
      </c>
      <c r="T502">
        <v>6.1</v>
      </c>
    </row>
    <row r="503" spans="1:20" x14ac:dyDescent="0.25">
      <c r="A503" s="11" t="str">
        <f>PROPER(K503)</f>
        <v>We One</v>
      </c>
      <c r="B503" s="11" t="str">
        <f>TRIM(PROPER(LEFT(L503,IFERROR(FIND(" ",L503),99))&amp;MID(L503,IFERROR(FIND(" ",L503),99),99)))</f>
        <v>Free Race 109</v>
      </c>
      <c r="C503" s="11">
        <f>TRUNC(O503)</f>
        <v>230</v>
      </c>
      <c r="D503" s="11">
        <f>TRUNC(N503)</f>
        <v>67</v>
      </c>
      <c r="E503" s="11">
        <f>M503</f>
        <v>109</v>
      </c>
      <c r="F503" s="38" t="str">
        <f>I503</f>
        <v>2026</v>
      </c>
      <c r="G503" s="11" t="str" cm="1">
        <f t="array" ref="G503">gssBoardClass(A503,B503,C503,D503,E503,F503)</f>
        <v>Slalom Medium</v>
      </c>
      <c r="H503" s="39" t="str">
        <f>_xlfn.CONCAT(I503,"-",LEFT(K503,2),"-",LEFT(L503,3),"-",M503,"-",TRUNC(N503),"-",TRUNC(O503))</f>
        <v>2026-We-FRE-109-67-230</v>
      </c>
      <c r="I503" s="42" t="str">
        <f>LEFT(J503,4)</f>
        <v>2026</v>
      </c>
      <c r="J503" s="46">
        <v>2026</v>
      </c>
      <c r="K503" t="s">
        <v>2257</v>
      </c>
      <c r="L503" t="s">
        <v>2282</v>
      </c>
      <c r="M503">
        <v>109</v>
      </c>
      <c r="N503">
        <v>67.5</v>
      </c>
      <c r="O503">
        <v>230</v>
      </c>
      <c r="Q503" t="s">
        <v>2264</v>
      </c>
      <c r="S503" t="s">
        <v>2265</v>
      </c>
    </row>
    <row r="504" spans="1:20" x14ac:dyDescent="0.25">
      <c r="A504" s="11" t="str">
        <f>PROPER(K504)</f>
        <v>We One</v>
      </c>
      <c r="B504" s="11" t="str">
        <f>TRIM(PROPER(LEFT(L504,IFERROR(FIND(" ",L504),99))&amp;MID(L504,IFERROR(FIND(" ",L504),99),99)))</f>
        <v>Free Race 119</v>
      </c>
      <c r="C504" s="11">
        <f>TRUNC(O504)</f>
        <v>230</v>
      </c>
      <c r="D504" s="11">
        <f>TRUNC(N504)</f>
        <v>71</v>
      </c>
      <c r="E504" s="11">
        <f>M504</f>
        <v>119</v>
      </c>
      <c r="F504" s="38" t="str">
        <f>I504</f>
        <v>2026</v>
      </c>
      <c r="G504" s="11" t="str" cm="1">
        <f t="array" ref="G504">gssBoardClass(A504,B504,C504,D504,E504,F504)</f>
        <v>Slalom Medium</v>
      </c>
      <c r="H504" s="39" t="str">
        <f>_xlfn.CONCAT(I504,"-",LEFT(K504,2),"-",LEFT(L504,3),"-",M504,"-",TRUNC(N504),"-",TRUNC(O504))</f>
        <v>2026-We-FRE-119-71-230</v>
      </c>
      <c r="I504" s="42" t="str">
        <f>LEFT(J504,4)</f>
        <v>2026</v>
      </c>
      <c r="J504" s="46">
        <v>2026</v>
      </c>
      <c r="K504" t="s">
        <v>2257</v>
      </c>
      <c r="L504" t="s">
        <v>2283</v>
      </c>
      <c r="M504">
        <v>119</v>
      </c>
      <c r="N504">
        <v>71.5</v>
      </c>
      <c r="O504">
        <v>230</v>
      </c>
      <c r="Q504" t="s">
        <v>2266</v>
      </c>
      <c r="S504" t="s">
        <v>2267</v>
      </c>
    </row>
    <row r="505" spans="1:20" x14ac:dyDescent="0.25">
      <c r="A505" s="11" t="str">
        <f>PROPER(K505)</f>
        <v>We One</v>
      </c>
      <c r="B505" s="11" t="str">
        <f>TRIM(PROPER(LEFT(L505,IFERROR(FIND(" ",L505),99))&amp;MID(L505,IFERROR(FIND(" ",L505),99),99)))</f>
        <v>Free Race 129</v>
      </c>
      <c r="C505" s="11">
        <f>TRUNC(O505)</f>
        <v>230</v>
      </c>
      <c r="D505" s="11">
        <f>TRUNC(N505)</f>
        <v>77</v>
      </c>
      <c r="E505" s="11">
        <f>M505</f>
        <v>129</v>
      </c>
      <c r="F505" s="38" t="str">
        <f>I505</f>
        <v>2026</v>
      </c>
      <c r="G505" s="11" t="str" cm="1">
        <f t="array" ref="G505">gssBoardClass(A505,B505,C505,D505,E505,F505)</f>
        <v>Slalom Large</v>
      </c>
      <c r="H505" s="39" t="str">
        <f>_xlfn.CONCAT(I505,"-",LEFT(K505,2),"-",LEFT(L505,3),"-",M505,"-",TRUNC(N505),"-",TRUNC(O505))</f>
        <v>2026-We-FRE-129-77-230</v>
      </c>
      <c r="I505" s="42" t="str">
        <f>LEFT(J505,4)</f>
        <v>2026</v>
      </c>
      <c r="J505" s="46">
        <v>2026</v>
      </c>
      <c r="K505" t="s">
        <v>2257</v>
      </c>
      <c r="L505" t="s">
        <v>2284</v>
      </c>
      <c r="M505">
        <v>129</v>
      </c>
      <c r="N505">
        <v>77</v>
      </c>
      <c r="O505">
        <v>230</v>
      </c>
      <c r="Q505" t="s">
        <v>2268</v>
      </c>
      <c r="S505" t="s">
        <v>2269</v>
      </c>
    </row>
    <row r="506" spans="1:20" x14ac:dyDescent="0.25">
      <c r="A506" s="11" t="str">
        <f>PROPER(K506)</f>
        <v>We One</v>
      </c>
      <c r="B506" s="11" t="str">
        <f>TRIM(PROPER(LEFT(L506,IFERROR(FIND(" ",L506),99))&amp;MID(L506,IFERROR(FIND(" ",L506),99),99)))</f>
        <v>Free Race 139</v>
      </c>
      <c r="C506" s="11">
        <f>TRUNC(O506)</f>
        <v>230</v>
      </c>
      <c r="D506" s="11">
        <f>TRUNC(N506)</f>
        <v>78</v>
      </c>
      <c r="E506" s="11">
        <f>M506</f>
        <v>139</v>
      </c>
      <c r="F506" s="38" t="str">
        <f>I506</f>
        <v>2026</v>
      </c>
      <c r="G506" s="11" t="str" cm="1">
        <f t="array" ref="G506">gssBoardClass(A506,B506,C506,D506,E506,F506)</f>
        <v>Slalom Large</v>
      </c>
      <c r="H506" s="39" t="str">
        <f>_xlfn.CONCAT(I506,"-",LEFT(K506,2),"-",LEFT(L506,3),"-",M506,"-",TRUNC(N506),"-",TRUNC(O506))</f>
        <v>2026-We-FRE-139-78-230</v>
      </c>
      <c r="I506" s="42" t="str">
        <f>LEFT(J506,4)</f>
        <v>2026</v>
      </c>
      <c r="J506" s="46">
        <v>2026</v>
      </c>
      <c r="K506" t="s">
        <v>2257</v>
      </c>
      <c r="L506" t="s">
        <v>2285</v>
      </c>
      <c r="M506">
        <v>139</v>
      </c>
      <c r="N506">
        <v>78.5</v>
      </c>
      <c r="O506">
        <v>230</v>
      </c>
      <c r="Q506" t="s">
        <v>2270</v>
      </c>
      <c r="S506" t="s">
        <v>2271</v>
      </c>
    </row>
    <row r="507" spans="1:20" x14ac:dyDescent="0.25">
      <c r="A507" s="11" t="str">
        <f>PROPER(K507)</f>
        <v>We One</v>
      </c>
      <c r="B507" s="11" t="str">
        <f>TRIM(PROPER(LEFT(L507,IFERROR(FIND(" ",L507),99))&amp;MID(L507,IFERROR(FIND(" ",L507),99),99)))</f>
        <v>Free Race 149</v>
      </c>
      <c r="C507" s="11">
        <f>TRUNC(O507)</f>
        <v>230</v>
      </c>
      <c r="D507" s="11">
        <f>TRUNC(N507)</f>
        <v>83</v>
      </c>
      <c r="E507" s="11">
        <f>M507</f>
        <v>149</v>
      </c>
      <c r="F507" s="38" t="str">
        <f>I507</f>
        <v>2026</v>
      </c>
      <c r="G507" s="11" t="str" cm="1">
        <f t="array" ref="G507">gssBoardClass(A507,B507,C507,D507,E507,F507)</f>
        <v>Slalom Large</v>
      </c>
      <c r="H507" s="39" t="str">
        <f>_xlfn.CONCAT(I507,"-",LEFT(K507,2),"-",LEFT(L507,3),"-",M507,"-",TRUNC(N507),"-",TRUNC(O507))</f>
        <v>2026-We-FRE-149-83-230</v>
      </c>
      <c r="I507" s="42" t="str">
        <f>LEFT(J507,4)</f>
        <v>2026</v>
      </c>
      <c r="J507" s="46">
        <v>2026</v>
      </c>
      <c r="K507" t="s">
        <v>2257</v>
      </c>
      <c r="L507" t="s">
        <v>2286</v>
      </c>
      <c r="M507">
        <v>149</v>
      </c>
      <c r="N507">
        <v>83.5</v>
      </c>
      <c r="O507">
        <v>230</v>
      </c>
      <c r="Q507" t="s">
        <v>2272</v>
      </c>
      <c r="S507" t="s">
        <v>2273</v>
      </c>
    </row>
    <row r="508" spans="1:20" x14ac:dyDescent="0.25">
      <c r="A508" s="11" t="str">
        <f>PROPER(K508)</f>
        <v>We One</v>
      </c>
      <c r="B508" s="11" t="str">
        <f>TRIM(PROPER(LEFT(L508,IFERROR(FIND(" ",L508),99))&amp;MID(L508,IFERROR(FIND(" ",L508),99),99)))</f>
        <v>Race 68</v>
      </c>
      <c r="C508" s="11">
        <f>TRUNC(O508)</f>
        <v>229</v>
      </c>
      <c r="D508" s="11">
        <f>TRUNC(N508)</f>
        <v>68</v>
      </c>
      <c r="E508" s="11">
        <f>M508</f>
        <v>113</v>
      </c>
      <c r="F508" s="38" t="str">
        <f>I508</f>
        <v>2026</v>
      </c>
      <c r="G508" s="11" t="str" cm="1">
        <f t="array" ref="G508">gssBoardClass(A508,B508,C508,D508,E508,F508)</f>
        <v>Slalom Medium</v>
      </c>
      <c r="H508" s="39" t="str">
        <f>_xlfn.CONCAT(I508,"-",LEFT(K508,2),"-",LEFT(L508,3),"-",M508,"-",TRUNC(N508),"-",TRUNC(O508))</f>
        <v>2026-We-Rac-113-68-229</v>
      </c>
      <c r="I508" s="42" t="str">
        <f>LEFT(J508,4)</f>
        <v>2026</v>
      </c>
      <c r="J508" s="18">
        <v>2026</v>
      </c>
      <c r="K508" t="s">
        <v>2257</v>
      </c>
      <c r="L508" t="s">
        <v>2289</v>
      </c>
      <c r="M508">
        <v>113</v>
      </c>
      <c r="N508">
        <v>68</v>
      </c>
      <c r="O508">
        <v>229</v>
      </c>
      <c r="Q508" t="s">
        <v>232</v>
      </c>
    </row>
    <row r="509" spans="1:20" x14ac:dyDescent="0.25">
      <c r="A509" s="11" t="str">
        <f>PROPER(K509)</f>
        <v>We One</v>
      </c>
      <c r="B509" s="11" t="str">
        <f>TRIM(PROPER(LEFT(L509,IFERROR(FIND(" ",L509),99))&amp;MID(L509,IFERROR(FIND(" ",L509),99),99)))</f>
        <v>Race 73</v>
      </c>
      <c r="C509" s="11">
        <f>TRUNC(O509)</f>
        <v>229</v>
      </c>
      <c r="D509" s="11">
        <f>TRUNC(N509)</f>
        <v>73</v>
      </c>
      <c r="E509" s="11">
        <f>M509</f>
        <v>120</v>
      </c>
      <c r="F509" s="38" t="str">
        <f>I509</f>
        <v>2026</v>
      </c>
      <c r="G509" s="11" t="str" cm="1">
        <f t="array" ref="G509">gssBoardClass(A509,B509,C509,D509,E509,F509)</f>
        <v>Slalom Medium</v>
      </c>
      <c r="H509" s="39" t="str">
        <f>_xlfn.CONCAT(I509,"-",LEFT(K509,2),"-",LEFT(L509,3),"-",M509,"-",TRUNC(N509),"-",TRUNC(O509))</f>
        <v>2026-We-Rac-120-73-229</v>
      </c>
      <c r="I509" s="42" t="str">
        <f>LEFT(J509,4)</f>
        <v>2026</v>
      </c>
      <c r="J509" s="18">
        <v>2026</v>
      </c>
      <c r="K509" t="s">
        <v>2257</v>
      </c>
      <c r="L509" t="s">
        <v>2290</v>
      </c>
      <c r="M509">
        <v>120</v>
      </c>
      <c r="N509">
        <v>73</v>
      </c>
      <c r="O509">
        <v>229</v>
      </c>
      <c r="Q509" t="s">
        <v>232</v>
      </c>
    </row>
    <row r="510" spans="1:20" x14ac:dyDescent="0.25">
      <c r="A510" s="11" t="str">
        <f>PROPER(K510)</f>
        <v>We One</v>
      </c>
      <c r="B510" s="11" t="str">
        <f>TRIM(PROPER(LEFT(L510,IFERROR(FIND(" ",L510),99))&amp;MID(L510,IFERROR(FIND(" ",L510),99),99)))</f>
        <v>Race 78</v>
      </c>
      <c r="C510" s="11">
        <f>TRUNC(O510)</f>
        <v>229</v>
      </c>
      <c r="D510" s="11">
        <f>TRUNC(N510)</f>
        <v>78</v>
      </c>
      <c r="E510" s="11">
        <f>M510</f>
        <v>135</v>
      </c>
      <c r="F510" s="38" t="str">
        <f>I510</f>
        <v>2026</v>
      </c>
      <c r="G510" s="11" t="str" cm="1">
        <f t="array" ref="G510">gssBoardClass(A510,B510,C510,D510,E510,F510)</f>
        <v>Slalom Large</v>
      </c>
      <c r="H510" s="39" t="str">
        <f>_xlfn.CONCAT(I510,"-",LEFT(K510,2),"-",LEFT(L510,3),"-",M510,"-",TRUNC(N510),"-",TRUNC(O510))</f>
        <v>2026-We-Rac-135-78-229</v>
      </c>
      <c r="I510" s="42" t="str">
        <f>LEFT(J510,4)</f>
        <v>2026</v>
      </c>
      <c r="J510" s="18">
        <v>2026</v>
      </c>
      <c r="K510" t="s">
        <v>2257</v>
      </c>
      <c r="L510" t="s">
        <v>2291</v>
      </c>
      <c r="M510">
        <v>135</v>
      </c>
      <c r="N510">
        <v>78</v>
      </c>
      <c r="O510">
        <v>229</v>
      </c>
      <c r="Q510" t="s">
        <v>260</v>
      </c>
    </row>
    <row r="511" spans="1:20" x14ac:dyDescent="0.25">
      <c r="A511" s="11" t="str">
        <f>PROPER(K511)</f>
        <v>We One</v>
      </c>
      <c r="B511" s="11" t="str">
        <f>TRIM(PROPER(LEFT(L511,IFERROR(FIND(" ",L511),99))&amp;MID(L511,IFERROR(FIND(" ",L511),99),99)))</f>
        <v>Race 83</v>
      </c>
      <c r="C511" s="11">
        <f>TRUNC(O511)</f>
        <v>229</v>
      </c>
      <c r="D511" s="11">
        <f>TRUNC(N511)</f>
        <v>83</v>
      </c>
      <c r="E511" s="11">
        <f>M511</f>
        <v>142</v>
      </c>
      <c r="F511" s="38" t="str">
        <f>I511</f>
        <v>2026</v>
      </c>
      <c r="G511" s="11" t="str" cm="1">
        <f t="array" ref="G511">gssBoardClass(A511,B511,C511,D511,E511,F511)</f>
        <v>Slalom Large</v>
      </c>
      <c r="H511" s="39" t="str">
        <f>_xlfn.CONCAT(I511,"-",LEFT(K511,2),"-",LEFT(L511,3),"-",M511,"-",TRUNC(N511),"-",TRUNC(O511))</f>
        <v>2026-We-Rac-142-83-229</v>
      </c>
      <c r="I511" s="42" t="str">
        <f>LEFT(J511,4)</f>
        <v>2026</v>
      </c>
      <c r="J511" s="18">
        <v>2026</v>
      </c>
      <c r="K511" t="s">
        <v>2257</v>
      </c>
      <c r="L511" t="s">
        <v>2292</v>
      </c>
      <c r="M511">
        <v>142</v>
      </c>
      <c r="N511">
        <v>83</v>
      </c>
      <c r="O511">
        <v>229</v>
      </c>
      <c r="Q511" t="s">
        <v>260</v>
      </c>
    </row>
    <row r="512" spans="1:20" x14ac:dyDescent="0.25">
      <c r="A512" s="11" t="str">
        <f>PROPER(K512)</f>
        <v>We One</v>
      </c>
      <c r="B512" s="11" t="str">
        <f>TRIM(PROPER(LEFT(L512,IFERROR(FIND(" ",L512),99))&amp;MID(L512,IFERROR(FIND(" ",L512),99),99)))</f>
        <v>Race 58</v>
      </c>
      <c r="C512" s="11">
        <f>TRUNC(O512)</f>
        <v>230</v>
      </c>
      <c r="D512" s="11">
        <f>TRUNC(N512)</f>
        <v>58</v>
      </c>
      <c r="E512" s="11">
        <f>M512</f>
        <v>91</v>
      </c>
      <c r="F512" s="38" t="str">
        <f>I512</f>
        <v>2026</v>
      </c>
      <c r="G512" s="11" t="str" cm="1">
        <f t="array" ref="G512">gssBoardClass(A512,B512,C512,D512,E512,F512)</f>
        <v>Speed/Slalom Xtra Small</v>
      </c>
      <c r="H512" s="39" t="str">
        <f>_xlfn.CONCAT(I512,"-",LEFT(K512,2),"-",LEFT(L512,3),"-",M512,"-",TRUNC(N512),"-",TRUNC(O512))</f>
        <v>2026-We-Rac-91-58-230</v>
      </c>
      <c r="I512" s="42" t="str">
        <f>LEFT(J512,4)</f>
        <v>2026</v>
      </c>
      <c r="J512" s="18">
        <v>2026</v>
      </c>
      <c r="K512" t="s">
        <v>2257</v>
      </c>
      <c r="L512" t="s">
        <v>2287</v>
      </c>
      <c r="M512">
        <v>91</v>
      </c>
      <c r="N512">
        <v>58</v>
      </c>
      <c r="O512">
        <v>230</v>
      </c>
      <c r="Q512" t="s">
        <v>232</v>
      </c>
    </row>
    <row r="513" spans="1:17" x14ac:dyDescent="0.25">
      <c r="A513" s="11" t="str">
        <f>PROPER(K513)</f>
        <v>We One</v>
      </c>
      <c r="B513" s="11" t="str">
        <f>TRIM(PROPER(LEFT(L513,IFERROR(FIND(" ",L513),99))&amp;MID(L513,IFERROR(FIND(" ",L513),99),99)))</f>
        <v>Race 63</v>
      </c>
      <c r="C513" s="11">
        <f>TRUNC(O513)</f>
        <v>230</v>
      </c>
      <c r="D513" s="11">
        <f>TRUNC(N513)</f>
        <v>63</v>
      </c>
      <c r="E513" s="11">
        <f>M513</f>
        <v>99</v>
      </c>
      <c r="F513" s="38" t="str">
        <f>I513</f>
        <v>2026</v>
      </c>
      <c r="G513" s="11" t="str" cm="1">
        <f t="array" ref="G513">gssBoardClass(A513,B513,C513,D513,E513,F513)</f>
        <v>Speed/Slalom Small</v>
      </c>
      <c r="H513" s="39" t="str">
        <f>_xlfn.CONCAT(I513,"-",LEFT(K513,2),"-",LEFT(L513,3),"-",M513,"-",TRUNC(N513),"-",TRUNC(O513))</f>
        <v>2026-We-Rac-99-63-230</v>
      </c>
      <c r="I513" s="42" t="str">
        <f>LEFT(J513,4)</f>
        <v>2026</v>
      </c>
      <c r="J513" s="18">
        <v>2026</v>
      </c>
      <c r="K513" t="s">
        <v>2257</v>
      </c>
      <c r="L513" t="s">
        <v>2288</v>
      </c>
      <c r="M513">
        <v>99</v>
      </c>
      <c r="N513">
        <v>63</v>
      </c>
      <c r="O513">
        <v>230</v>
      </c>
      <c r="Q513" t="s">
        <v>232</v>
      </c>
    </row>
  </sheetData>
  <autoFilter ref="A1:U513" xr:uid="{C43EE7DF-6394-4A61-9462-EC4D65F15DB9}">
    <sortState xmlns:xlrd2="http://schemas.microsoft.com/office/spreadsheetml/2017/richdata2" ref="A2:U513">
      <sortCondition ref="H1:H513"/>
    </sortState>
  </autoFilter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161925</xdr:colOff>
                    <xdr:row>0</xdr:row>
                    <xdr:rowOff>228600</xdr:rowOff>
                  </from>
                  <to>
                    <xdr:col>1</xdr:col>
                    <xdr:colOff>828675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971550</xdr:colOff>
                    <xdr:row>0</xdr:row>
                    <xdr:rowOff>238125</xdr:rowOff>
                  </from>
                  <to>
                    <xdr:col>1</xdr:col>
                    <xdr:colOff>2162175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465C-0E73-4CDC-9D6D-F22A8FF36161}">
  <sheetPr codeName="Sheet6"/>
  <dimension ref="B1:M15"/>
  <sheetViews>
    <sheetView workbookViewId="0">
      <selection activeCell="X29" sqref="X29"/>
    </sheetView>
  </sheetViews>
  <sheetFormatPr defaultRowHeight="15" x14ac:dyDescent="0.25"/>
  <cols>
    <col min="2" max="2" width="11.28515625" bestFit="1" customWidth="1"/>
    <col min="3" max="3" width="11" bestFit="1" customWidth="1"/>
    <col min="6" max="7" width="11.85546875" customWidth="1"/>
    <col min="8" max="8" width="19" bestFit="1" customWidth="1"/>
  </cols>
  <sheetData>
    <row r="1" spans="2:13" ht="15.75" x14ac:dyDescent="0.25">
      <c r="B1" s="29" t="s">
        <v>3</v>
      </c>
      <c r="C1" s="16" t="s">
        <v>4</v>
      </c>
      <c r="D1" s="16" t="s">
        <v>355</v>
      </c>
      <c r="E1" s="16" t="s">
        <v>356</v>
      </c>
      <c r="F1" s="16" t="s">
        <v>6</v>
      </c>
      <c r="G1" s="16" t="s">
        <v>0</v>
      </c>
      <c r="H1" s="16" t="s">
        <v>7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</row>
    <row r="4" spans="2:13" x14ac:dyDescent="0.25">
      <c r="B4" t="s">
        <v>3</v>
      </c>
      <c r="C4" t="s">
        <v>4</v>
      </c>
      <c r="D4" t="s">
        <v>355</v>
      </c>
      <c r="E4" t="s">
        <v>356</v>
      </c>
      <c r="F4" t="s">
        <v>6</v>
      </c>
      <c r="G4" t="s">
        <v>0</v>
      </c>
      <c r="H4" t="s">
        <v>7</v>
      </c>
    </row>
    <row r="5" spans="2:13" x14ac:dyDescent="0.25">
      <c r="B5" t="s">
        <v>2257</v>
      </c>
      <c r="C5" t="s">
        <v>2258</v>
      </c>
      <c r="D5">
        <v>230</v>
      </c>
      <c r="E5">
        <v>58</v>
      </c>
      <c r="F5">
        <v>91</v>
      </c>
      <c r="G5">
        <v>2026</v>
      </c>
      <c r="H5" t="s">
        <v>38</v>
      </c>
    </row>
    <row r="6" spans="2:13" x14ac:dyDescent="0.25">
      <c r="B6" t="s">
        <v>2257</v>
      </c>
      <c r="C6" t="s">
        <v>2259</v>
      </c>
      <c r="D6">
        <v>229</v>
      </c>
      <c r="E6">
        <v>68</v>
      </c>
      <c r="F6">
        <v>113</v>
      </c>
      <c r="G6">
        <v>2026</v>
      </c>
      <c r="H6" t="s">
        <v>11</v>
      </c>
    </row>
    <row r="7" spans="2:13" x14ac:dyDescent="0.25">
      <c r="B7" t="s">
        <v>2257</v>
      </c>
      <c r="C7" t="s">
        <v>2260</v>
      </c>
      <c r="D7">
        <v>229</v>
      </c>
      <c r="E7">
        <v>78</v>
      </c>
      <c r="F7">
        <v>135</v>
      </c>
      <c r="G7">
        <v>2026</v>
      </c>
      <c r="H7" t="s">
        <v>21</v>
      </c>
    </row>
    <row r="8" spans="2:13" x14ac:dyDescent="0.25">
      <c r="B8" t="s">
        <v>2257</v>
      </c>
      <c r="C8" t="s">
        <v>2261</v>
      </c>
      <c r="D8">
        <v>229</v>
      </c>
      <c r="E8">
        <v>83</v>
      </c>
      <c r="F8">
        <v>142</v>
      </c>
      <c r="G8">
        <v>2026</v>
      </c>
      <c r="H8" t="s">
        <v>21</v>
      </c>
    </row>
    <row r="10" spans="2:13" x14ac:dyDescent="0.25">
      <c r="C10" t="s">
        <v>2034</v>
      </c>
      <c r="D10">
        <v>230</v>
      </c>
      <c r="E10">
        <v>58</v>
      </c>
      <c r="F10">
        <v>91</v>
      </c>
    </row>
    <row r="11" spans="2:13" x14ac:dyDescent="0.25">
      <c r="C11" t="s">
        <v>2022</v>
      </c>
      <c r="D11">
        <v>230</v>
      </c>
      <c r="E11">
        <v>63</v>
      </c>
      <c r="F11">
        <v>99</v>
      </c>
    </row>
    <row r="12" spans="2:13" x14ac:dyDescent="0.25">
      <c r="C12" t="s">
        <v>2036</v>
      </c>
      <c r="D12">
        <v>229</v>
      </c>
      <c r="E12">
        <v>68</v>
      </c>
      <c r="F12">
        <v>113</v>
      </c>
    </row>
    <row r="13" spans="2:13" x14ac:dyDescent="0.25">
      <c r="C13" t="s">
        <v>2037</v>
      </c>
      <c r="D13">
        <v>229</v>
      </c>
      <c r="E13">
        <v>73</v>
      </c>
      <c r="F13">
        <v>120</v>
      </c>
    </row>
    <row r="14" spans="2:13" x14ac:dyDescent="0.25">
      <c r="C14" t="s">
        <v>2032</v>
      </c>
      <c r="D14">
        <v>229</v>
      </c>
      <c r="E14">
        <v>78</v>
      </c>
      <c r="F14">
        <v>135</v>
      </c>
    </row>
    <row r="15" spans="2:13" x14ac:dyDescent="0.25">
      <c r="C15" t="s">
        <v>2038</v>
      </c>
      <c r="D15">
        <v>229</v>
      </c>
      <c r="E15">
        <v>83</v>
      </c>
      <c r="F15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portTextFile">
                <anchor moveWithCells="1" sizeWithCells="1">
                  <from>
                    <xdr:col>3</xdr:col>
                    <xdr:colOff>647700</xdr:colOff>
                    <xdr:row>0</xdr:row>
                    <xdr:rowOff>142875</xdr:rowOff>
                  </from>
                  <to>
                    <xdr:col>3</xdr:col>
                    <xdr:colOff>1419225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992C2-14E7-43D1-B496-83F11A57B365}">
  <sheetPr codeName="Sheet8"/>
  <dimension ref="B4:L10"/>
  <sheetViews>
    <sheetView workbookViewId="0">
      <selection activeCell="L10" sqref="B5:L10"/>
    </sheetView>
  </sheetViews>
  <sheetFormatPr defaultRowHeight="15" x14ac:dyDescent="0.25"/>
  <cols>
    <col min="2" max="2" width="5" bestFit="1" customWidth="1"/>
    <col min="7" max="7" width="7" bestFit="1" customWidth="1"/>
    <col min="8" max="8" width="13.5703125" bestFit="1" customWidth="1"/>
    <col min="9" max="9" width="11.42578125" bestFit="1" customWidth="1"/>
    <col min="10" max="10" width="12.7109375" bestFit="1" customWidth="1"/>
    <col min="11" max="11" width="28.42578125" bestFit="1" customWidth="1"/>
  </cols>
  <sheetData>
    <row r="4" spans="2:12" x14ac:dyDescent="0.25">
      <c r="B4" t="s">
        <v>0</v>
      </c>
      <c r="C4" t="s">
        <v>3</v>
      </c>
      <c r="D4" t="s">
        <v>2334</v>
      </c>
      <c r="E4" t="s">
        <v>6</v>
      </c>
      <c r="F4" t="s">
        <v>356</v>
      </c>
      <c r="G4" t="s">
        <v>355</v>
      </c>
      <c r="H4" t="s">
        <v>2263</v>
      </c>
      <c r="I4" t="s">
        <v>2274</v>
      </c>
      <c r="J4" t="s">
        <v>2275</v>
      </c>
      <c r="K4" t="s">
        <v>2336</v>
      </c>
      <c r="L4" t="s">
        <v>2040</v>
      </c>
    </row>
    <row r="5" spans="2:12" x14ac:dyDescent="0.25">
      <c r="B5">
        <v>2024</v>
      </c>
      <c r="C5" t="s">
        <v>2305</v>
      </c>
      <c r="D5" t="s">
        <v>1905</v>
      </c>
      <c r="E5">
        <v>87</v>
      </c>
      <c r="F5">
        <v>60</v>
      </c>
      <c r="G5">
        <v>225</v>
      </c>
      <c r="H5" t="s">
        <v>2346</v>
      </c>
      <c r="I5" t="s">
        <v>2338</v>
      </c>
      <c r="J5" t="s">
        <v>2337</v>
      </c>
      <c r="K5" t="s">
        <v>2340</v>
      </c>
      <c r="L5">
        <v>5.57</v>
      </c>
    </row>
    <row r="6" spans="2:12" x14ac:dyDescent="0.25">
      <c r="B6">
        <v>2024</v>
      </c>
      <c r="C6" t="s">
        <v>2305</v>
      </c>
      <c r="D6" t="s">
        <v>1906</v>
      </c>
      <c r="E6">
        <v>98</v>
      </c>
      <c r="F6">
        <v>63</v>
      </c>
      <c r="G6">
        <v>226</v>
      </c>
      <c r="H6" t="s">
        <v>2346</v>
      </c>
      <c r="I6" t="s">
        <v>2338</v>
      </c>
      <c r="J6" t="s">
        <v>2337</v>
      </c>
      <c r="K6" t="s">
        <v>2341</v>
      </c>
      <c r="L6">
        <v>5.97</v>
      </c>
    </row>
    <row r="7" spans="2:12" x14ac:dyDescent="0.25">
      <c r="B7">
        <v>2024</v>
      </c>
      <c r="C7" t="s">
        <v>2305</v>
      </c>
      <c r="D7" t="s">
        <v>1907</v>
      </c>
      <c r="E7">
        <v>110</v>
      </c>
      <c r="F7">
        <v>67</v>
      </c>
      <c r="G7">
        <v>228</v>
      </c>
      <c r="H7" t="s">
        <v>2346</v>
      </c>
      <c r="I7" t="s">
        <v>2338</v>
      </c>
      <c r="J7" t="s">
        <v>2337</v>
      </c>
      <c r="K7" t="s">
        <v>2342</v>
      </c>
      <c r="L7">
        <v>6.21</v>
      </c>
    </row>
    <row r="8" spans="2:12" x14ac:dyDescent="0.25">
      <c r="B8">
        <v>2024</v>
      </c>
      <c r="C8" t="s">
        <v>2305</v>
      </c>
      <c r="D8" t="s">
        <v>1908</v>
      </c>
      <c r="E8">
        <v>123</v>
      </c>
      <c r="F8">
        <v>73</v>
      </c>
      <c r="G8">
        <v>228</v>
      </c>
      <c r="H8" t="s">
        <v>2346</v>
      </c>
      <c r="I8" t="s">
        <v>2339</v>
      </c>
      <c r="J8" t="s">
        <v>2337</v>
      </c>
      <c r="K8" t="s">
        <v>2343</v>
      </c>
      <c r="L8">
        <v>6.52</v>
      </c>
    </row>
    <row r="9" spans="2:12" x14ac:dyDescent="0.25">
      <c r="B9">
        <v>2024</v>
      </c>
      <c r="C9" t="s">
        <v>2305</v>
      </c>
      <c r="D9" t="s">
        <v>1909</v>
      </c>
      <c r="E9">
        <v>129</v>
      </c>
      <c r="F9">
        <v>77</v>
      </c>
      <c r="G9">
        <v>228</v>
      </c>
      <c r="H9" t="s">
        <v>2346</v>
      </c>
      <c r="I9" t="s">
        <v>2339</v>
      </c>
      <c r="J9" t="s">
        <v>2337</v>
      </c>
      <c r="K9" t="s">
        <v>2344</v>
      </c>
      <c r="L9">
        <v>6.81</v>
      </c>
    </row>
    <row r="10" spans="2:12" x14ac:dyDescent="0.25">
      <c r="B10">
        <v>2024</v>
      </c>
      <c r="C10" t="s">
        <v>2305</v>
      </c>
      <c r="D10" t="s">
        <v>1911</v>
      </c>
      <c r="E10">
        <v>140</v>
      </c>
      <c r="F10">
        <v>85</v>
      </c>
      <c r="G10">
        <v>228</v>
      </c>
      <c r="H10" t="s">
        <v>2346</v>
      </c>
      <c r="I10" t="s">
        <v>2322</v>
      </c>
      <c r="J10" t="s">
        <v>2337</v>
      </c>
      <c r="K10" t="s">
        <v>2345</v>
      </c>
      <c r="L10">
        <v>7.2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C05A-D0CF-4438-9953-B3D97F620B78}">
  <sheetPr codeName="Sheet7"/>
  <dimension ref="G1:U9"/>
  <sheetViews>
    <sheetView workbookViewId="0">
      <selection activeCell="G45" sqref="G45"/>
    </sheetView>
  </sheetViews>
  <sheetFormatPr defaultRowHeight="15" x14ac:dyDescent="0.25"/>
  <cols>
    <col min="7" max="7" width="19" bestFit="1" customWidth="1"/>
    <col min="8" max="9" width="23.140625" bestFit="1" customWidth="1"/>
    <col min="10" max="10" width="16.140625" bestFit="1" customWidth="1"/>
    <col min="15" max="15" width="8.140625" bestFit="1" customWidth="1"/>
    <col min="16" max="16" width="11" bestFit="1" customWidth="1"/>
    <col min="17" max="17" width="7" bestFit="1" customWidth="1"/>
    <col min="20" max="20" width="15" bestFit="1" customWidth="1"/>
    <col min="21" max="21" width="19" bestFit="1" customWidth="1"/>
  </cols>
  <sheetData>
    <row r="1" spans="7:21" x14ac:dyDescent="0.25">
      <c r="H1" s="36" t="s">
        <v>7</v>
      </c>
      <c r="I1" s="36" t="s">
        <v>7</v>
      </c>
      <c r="J1" s="36" t="s">
        <v>7</v>
      </c>
    </row>
    <row r="2" spans="7:21" x14ac:dyDescent="0.25">
      <c r="H2" t="s">
        <v>48</v>
      </c>
      <c r="I2" t="s">
        <v>2253</v>
      </c>
      <c r="J2" t="s">
        <v>75</v>
      </c>
    </row>
    <row r="3" spans="7:21" x14ac:dyDescent="0.25">
      <c r="H3" t="s">
        <v>2254</v>
      </c>
      <c r="O3" t="s">
        <v>3</v>
      </c>
      <c r="P3" t="s">
        <v>4</v>
      </c>
      <c r="Q3" t="s">
        <v>355</v>
      </c>
      <c r="R3" t="s">
        <v>356</v>
      </c>
      <c r="S3" t="s">
        <v>6</v>
      </c>
      <c r="T3" t="s">
        <v>0</v>
      </c>
      <c r="U3" t="s">
        <v>7</v>
      </c>
    </row>
    <row r="4" spans="7:21" x14ac:dyDescent="0.25">
      <c r="G4" t="s">
        <v>38</v>
      </c>
      <c r="H4" t="s">
        <v>38</v>
      </c>
      <c r="O4" t="s">
        <v>2257</v>
      </c>
      <c r="P4" t="s">
        <v>2258</v>
      </c>
      <c r="Q4">
        <v>230</v>
      </c>
      <c r="R4">
        <v>58</v>
      </c>
      <c r="S4">
        <v>91</v>
      </c>
      <c r="T4">
        <v>2026</v>
      </c>
      <c r="U4" t="s">
        <v>38</v>
      </c>
    </row>
    <row r="5" spans="7:21" x14ac:dyDescent="0.25">
      <c r="G5" t="s">
        <v>11</v>
      </c>
      <c r="H5" t="s">
        <v>11</v>
      </c>
      <c r="O5" t="s">
        <v>2257</v>
      </c>
      <c r="P5" t="s">
        <v>2259</v>
      </c>
      <c r="Q5">
        <v>229</v>
      </c>
      <c r="R5">
        <v>68</v>
      </c>
      <c r="S5">
        <v>113</v>
      </c>
      <c r="T5">
        <v>2026</v>
      </c>
      <c r="U5" t="s">
        <v>11</v>
      </c>
    </row>
    <row r="6" spans="7:21" x14ac:dyDescent="0.25">
      <c r="G6" t="s">
        <v>21</v>
      </c>
      <c r="H6" t="s">
        <v>21</v>
      </c>
      <c r="O6" t="s">
        <v>2257</v>
      </c>
      <c r="P6" t="s">
        <v>2260</v>
      </c>
      <c r="Q6">
        <v>229</v>
      </c>
      <c r="R6">
        <v>78</v>
      </c>
      <c r="S6">
        <v>135</v>
      </c>
      <c r="T6">
        <v>2026</v>
      </c>
      <c r="U6" t="s">
        <v>21</v>
      </c>
    </row>
    <row r="7" spans="7:21" x14ac:dyDescent="0.25">
      <c r="H7" t="s">
        <v>43</v>
      </c>
      <c r="O7" t="s">
        <v>2257</v>
      </c>
      <c r="P7" t="s">
        <v>2261</v>
      </c>
      <c r="Q7">
        <v>229</v>
      </c>
      <c r="R7">
        <v>83</v>
      </c>
      <c r="S7">
        <v>142</v>
      </c>
      <c r="T7">
        <v>2026</v>
      </c>
      <c r="U7" t="s">
        <v>21</v>
      </c>
    </row>
    <row r="8" spans="7:21" x14ac:dyDescent="0.25">
      <c r="H8" t="s">
        <v>2255</v>
      </c>
    </row>
    <row r="9" spans="7:21" x14ac:dyDescent="0.25">
      <c r="H9" t="s">
        <v>2256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/>
  <dimension ref="A1:L1487"/>
  <sheetViews>
    <sheetView workbookViewId="0">
      <pane ySplit="1" topLeftCell="A1425" activePane="bottomLeft" state="frozen"/>
      <selection pane="bottomLeft" activeCell="D1438" sqref="D1438"/>
    </sheetView>
  </sheetViews>
  <sheetFormatPr defaultRowHeight="15" outlineLevelCol="1" x14ac:dyDescent="0.25"/>
  <cols>
    <col min="1" max="1" width="26.7109375" bestFit="1" customWidth="1"/>
    <col min="2" max="2" width="7.28515625" bestFit="1" customWidth="1"/>
    <col min="3" max="3" width="16.140625" bestFit="1" customWidth="1"/>
    <col min="4" max="4" width="17.7109375" customWidth="1"/>
    <col min="5" max="5" width="25.28515625" bestFit="1" customWidth="1"/>
    <col min="6" max="6" width="11.28515625" bestFit="1" customWidth="1"/>
    <col min="7" max="7" width="14.5703125" bestFit="1" customWidth="1"/>
    <col min="8" max="8" width="11.28515625" customWidth="1"/>
    <col min="9" max="9" width="13.7109375" customWidth="1" outlineLevel="1"/>
    <col min="10" max="10" width="21.7109375" customWidth="1" outlineLevel="1"/>
    <col min="11" max="11" width="19.28515625" style="18" customWidth="1" outlineLevel="1"/>
    <col min="12" max="12" width="13.28515625" bestFit="1" customWidth="1"/>
  </cols>
  <sheetData>
    <row r="1" spans="1:12" ht="29.25" customHeight="1" x14ac:dyDescent="0.25">
      <c r="A1" s="33" t="s">
        <v>2</v>
      </c>
      <c r="B1" s="28" t="s">
        <v>0</v>
      </c>
      <c r="C1" s="29" t="s">
        <v>727</v>
      </c>
      <c r="D1" s="16" t="s">
        <v>725</v>
      </c>
      <c r="E1" s="16" t="s">
        <v>726</v>
      </c>
      <c r="F1" s="16" t="s">
        <v>724</v>
      </c>
      <c r="G1" s="16" t="s">
        <v>356</v>
      </c>
      <c r="H1" s="16" t="s">
        <v>355</v>
      </c>
      <c r="I1" s="34" t="s">
        <v>790</v>
      </c>
      <c r="J1" s="34" t="s">
        <v>789</v>
      </c>
      <c r="K1" s="20" t="s">
        <v>728</v>
      </c>
      <c r="L1" s="19" t="s">
        <v>788</v>
      </c>
    </row>
    <row r="2" spans="1:12" x14ac:dyDescent="0.25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8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21">
        <v>6.5</v>
      </c>
    </row>
    <row r="3" spans="1:12" x14ac:dyDescent="0.25">
      <c r="A3" t="str">
        <f t="shared" si="0"/>
        <v>2014-99-SL -89-578-2434</v>
      </c>
      <c r="B3" t="str">
        <f t="shared" si="1"/>
        <v>2014</v>
      </c>
      <c r="C3" s="18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21">
        <v>5.9</v>
      </c>
    </row>
    <row r="4" spans="1:12" x14ac:dyDescent="0.25">
      <c r="A4" t="str">
        <f t="shared" si="0"/>
        <v>2014-99-SL -109-689-2352</v>
      </c>
      <c r="B4" t="str">
        <f t="shared" si="1"/>
        <v>2014</v>
      </c>
      <c r="C4" s="18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21">
        <v>6.9</v>
      </c>
    </row>
    <row r="5" spans="1:12" x14ac:dyDescent="0.25">
      <c r="A5" t="str">
        <f t="shared" si="0"/>
        <v>2014-99-SL -109-689-2352</v>
      </c>
      <c r="B5" t="str">
        <f t="shared" si="1"/>
        <v>2014</v>
      </c>
      <c r="C5" s="18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21">
        <v>6.4</v>
      </c>
    </row>
    <row r="6" spans="1:12" x14ac:dyDescent="0.25">
      <c r="A6" t="str">
        <f t="shared" si="0"/>
        <v>2014-99-SL -119-765-2320</v>
      </c>
      <c r="B6" t="str">
        <f t="shared" si="1"/>
        <v>2014</v>
      </c>
      <c r="C6" s="18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21">
        <v>6.8</v>
      </c>
    </row>
    <row r="7" spans="1:12" x14ac:dyDescent="0.25">
      <c r="A7" t="str">
        <f t="shared" si="0"/>
        <v>2014-99-SL -129-850-2283</v>
      </c>
      <c r="B7" t="str">
        <f t="shared" si="1"/>
        <v>2014</v>
      </c>
      <c r="C7" s="18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21">
        <v>7.5</v>
      </c>
    </row>
    <row r="8" spans="1:12" x14ac:dyDescent="0.25">
      <c r="A8" t="str">
        <f t="shared" si="0"/>
        <v>2014-99-SL -129-850-2283</v>
      </c>
      <c r="B8" t="str">
        <f t="shared" si="1"/>
        <v>2014</v>
      </c>
      <c r="C8" s="18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21">
        <v>7.3</v>
      </c>
    </row>
    <row r="9" spans="1:12" x14ac:dyDescent="0.25">
      <c r="A9" t="str">
        <f t="shared" si="0"/>
        <v>2015-99-WC -100-619-2332</v>
      </c>
      <c r="B9" t="str">
        <f t="shared" si="1"/>
        <v>2015</v>
      </c>
      <c r="C9" s="18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21">
        <v>5.9</v>
      </c>
    </row>
    <row r="10" spans="1:12" x14ac:dyDescent="0.25">
      <c r="A10" t="str">
        <f t="shared" si="0"/>
        <v>2015-99-WC -123.5-714-2330</v>
      </c>
      <c r="B10" t="str">
        <f t="shared" si="1"/>
        <v>2015</v>
      </c>
      <c r="C10" s="18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21">
        <v>6.3</v>
      </c>
    </row>
    <row r="11" spans="1:12" x14ac:dyDescent="0.25">
      <c r="A11" t="str">
        <f t="shared" si="0"/>
        <v>2015-99-WC -134.7-794-2265</v>
      </c>
      <c r="B11" t="str">
        <f t="shared" si="1"/>
        <v>2015</v>
      </c>
      <c r="C11" s="18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21">
        <v>6.3</v>
      </c>
    </row>
    <row r="12" spans="1:12" x14ac:dyDescent="0.25">
      <c r="A12" t="str">
        <f t="shared" si="0"/>
        <v>2015-99-WC -146.8-847-2265</v>
      </c>
      <c r="B12" t="str">
        <f t="shared" si="1"/>
        <v>2015</v>
      </c>
      <c r="C12" s="18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21">
        <v>7.3</v>
      </c>
    </row>
    <row r="13" spans="1:12" x14ac:dyDescent="0.25">
      <c r="A13" t="str">
        <f t="shared" si="0"/>
        <v>2016-99-WCS-90.7-579-2348</v>
      </c>
      <c r="B13" t="str">
        <f t="shared" si="1"/>
        <v>2016</v>
      </c>
      <c r="C13" s="18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21">
        <v>5.8</v>
      </c>
    </row>
    <row r="14" spans="1:12" x14ac:dyDescent="0.25">
      <c r="A14" t="str">
        <f t="shared" si="0"/>
        <v>2016-99-WCS-101.8-631-2347</v>
      </c>
      <c r="B14" t="str">
        <f t="shared" si="1"/>
        <v>2016</v>
      </c>
      <c r="C14" s="18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21">
        <v>6</v>
      </c>
    </row>
    <row r="15" spans="1:12" x14ac:dyDescent="0.25">
      <c r="A15" t="str">
        <f t="shared" si="0"/>
        <v>2016-99-WCS-124.1-720-2347</v>
      </c>
      <c r="B15" t="str">
        <f t="shared" si="1"/>
        <v>2016</v>
      </c>
      <c r="C15" s="18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21">
        <v>6.3</v>
      </c>
    </row>
    <row r="16" spans="1:12" x14ac:dyDescent="0.25">
      <c r="A16" t="str">
        <f t="shared" si="0"/>
        <v>2016-99-WCS-136-802-2282</v>
      </c>
      <c r="B16" t="str">
        <f t="shared" si="1"/>
        <v>2016</v>
      </c>
      <c r="C16" s="18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21">
        <v>6.7</v>
      </c>
    </row>
    <row r="17" spans="1:12" x14ac:dyDescent="0.25">
      <c r="A17" t="str">
        <f t="shared" si="0"/>
        <v>2016-99-WCS-149.1-852-2281</v>
      </c>
      <c r="B17" t="str">
        <f t="shared" si="1"/>
        <v>2016</v>
      </c>
      <c r="C17" s="18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21">
        <v>7.1</v>
      </c>
    </row>
    <row r="18" spans="1:12" x14ac:dyDescent="0.25">
      <c r="A18" t="str">
        <f t="shared" si="0"/>
        <v>2017-99-WCS-90.7-579-2348</v>
      </c>
      <c r="B18" t="str">
        <f t="shared" si="1"/>
        <v>2017</v>
      </c>
      <c r="C18" s="18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21">
        <v>5.8</v>
      </c>
    </row>
    <row r="19" spans="1:12" x14ac:dyDescent="0.25">
      <c r="A19" t="str">
        <f t="shared" si="0"/>
        <v>2017-99-WCS-101.8-631-2347</v>
      </c>
      <c r="B19" t="str">
        <f t="shared" si="1"/>
        <v>2017</v>
      </c>
      <c r="C19" s="18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21">
        <v>6</v>
      </c>
    </row>
    <row r="20" spans="1:12" x14ac:dyDescent="0.25">
      <c r="A20" t="str">
        <f t="shared" si="0"/>
        <v>2017-99-WCS-114.8-692-2348</v>
      </c>
      <c r="B20" t="str">
        <f t="shared" si="1"/>
        <v>2017</v>
      </c>
      <c r="C20" s="18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21">
        <v>6.2</v>
      </c>
    </row>
    <row r="21" spans="1:12" x14ac:dyDescent="0.25">
      <c r="A21" t="str">
        <f t="shared" si="0"/>
        <v>2017-99-WCS-124.1-720-2347</v>
      </c>
      <c r="B21" t="str">
        <f t="shared" si="1"/>
        <v>2017</v>
      </c>
      <c r="C21" s="18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21">
        <v>6.4</v>
      </c>
    </row>
    <row r="22" spans="1:12" x14ac:dyDescent="0.25">
      <c r="A22" t="str">
        <f t="shared" si="0"/>
        <v>2017-99-WCS-131.5-825-2283</v>
      </c>
      <c r="B22" t="str">
        <f t="shared" si="1"/>
        <v>2017</v>
      </c>
      <c r="C22" s="18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21">
        <v>7</v>
      </c>
    </row>
    <row r="23" spans="1:12" x14ac:dyDescent="0.25">
      <c r="A23" t="str">
        <f t="shared" si="0"/>
        <v>2017-99-WCS-149.4-852-2281</v>
      </c>
      <c r="B23" t="str">
        <f t="shared" si="1"/>
        <v>2017</v>
      </c>
      <c r="C23" s="18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21">
        <v>7.2</v>
      </c>
    </row>
    <row r="24" spans="1:12" x14ac:dyDescent="0.25">
      <c r="A24" t="str">
        <f t="shared" si="0"/>
        <v>2018-99-WCS-98.7-609-2348</v>
      </c>
      <c r="B24" t="str">
        <f t="shared" si="1"/>
        <v>2018</v>
      </c>
      <c r="C24" s="18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21">
        <v>6</v>
      </c>
    </row>
    <row r="25" spans="1:12" x14ac:dyDescent="0.25">
      <c r="A25" t="str">
        <f t="shared" si="0"/>
        <v>2018-99-WCS-99.7-631-2347</v>
      </c>
      <c r="B25" t="str">
        <f t="shared" si="1"/>
        <v>2018</v>
      </c>
      <c r="C25" s="18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21">
        <v>6.1</v>
      </c>
    </row>
    <row r="26" spans="1:12" x14ac:dyDescent="0.25">
      <c r="A26" t="str">
        <f t="shared" si="0"/>
        <v>2018-99-WCS-118.6-700-2349</v>
      </c>
      <c r="B26" t="str">
        <f t="shared" si="1"/>
        <v>2018</v>
      </c>
      <c r="C26" s="18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21">
        <v>6.4</v>
      </c>
    </row>
    <row r="27" spans="1:12" x14ac:dyDescent="0.25">
      <c r="A27" t="str">
        <f t="shared" si="0"/>
        <v>2018-99-WCS-121-720-2347</v>
      </c>
      <c r="B27" t="str">
        <f t="shared" si="1"/>
        <v>2018</v>
      </c>
      <c r="C27" s="18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21">
        <v>6.6</v>
      </c>
    </row>
    <row r="28" spans="1:12" x14ac:dyDescent="0.25">
      <c r="A28" t="str">
        <f t="shared" si="0"/>
        <v>2018-99-WCS-139.5-830-2280</v>
      </c>
      <c r="B28" t="str">
        <f t="shared" si="1"/>
        <v>2018</v>
      </c>
      <c r="C28" s="18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21">
        <v>7.2</v>
      </c>
    </row>
    <row r="29" spans="1:12" x14ac:dyDescent="0.25">
      <c r="A29" t="str">
        <f t="shared" si="0"/>
        <v>2018-99-WCS-148.9-847-2285</v>
      </c>
      <c r="B29" t="str">
        <f t="shared" si="1"/>
        <v>2018</v>
      </c>
      <c r="C29" s="18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21">
        <v>7.5</v>
      </c>
    </row>
    <row r="30" spans="1:12" x14ac:dyDescent="0.25">
      <c r="A30" t="str">
        <f t="shared" si="0"/>
        <v>2009-AB-Spe-63-470-2240</v>
      </c>
      <c r="B30" t="str">
        <f t="shared" si="1"/>
        <v>2009</v>
      </c>
      <c r="C30" s="18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8" t="s">
        <v>823</v>
      </c>
      <c r="L30" s="21">
        <v>4.5999999999999996</v>
      </c>
    </row>
    <row r="31" spans="1:12" x14ac:dyDescent="0.25">
      <c r="A31" t="str">
        <f t="shared" si="0"/>
        <v>2009-AB-Sla-78-540-2360</v>
      </c>
      <c r="B31" t="str">
        <f t="shared" si="1"/>
        <v>2009</v>
      </c>
      <c r="C31" s="18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8" t="s">
        <v>823</v>
      </c>
      <c r="L31" s="21">
        <v>5.4</v>
      </c>
    </row>
    <row r="32" spans="1:12" x14ac:dyDescent="0.25">
      <c r="A32" t="str">
        <f t="shared" si="0"/>
        <v>2009-AB-Sla-95-592-2370</v>
      </c>
      <c r="B32" t="str">
        <f t="shared" si="1"/>
        <v>2009</v>
      </c>
      <c r="C32" s="18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8" t="s">
        <v>823</v>
      </c>
      <c r="L32" s="21">
        <v>5.8</v>
      </c>
    </row>
    <row r="33" spans="1:12" x14ac:dyDescent="0.25">
      <c r="A33" t="str">
        <f t="shared" si="0"/>
        <v>2009-AB-Sla-110-666-2350</v>
      </c>
      <c r="B33" t="str">
        <f t="shared" si="1"/>
        <v>2009</v>
      </c>
      <c r="C33" s="18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8" t="s">
        <v>823</v>
      </c>
      <c r="L33" s="21">
        <v>6.4</v>
      </c>
    </row>
    <row r="34" spans="1:12" x14ac:dyDescent="0.25">
      <c r="A34" t="str">
        <f t="shared" si="0"/>
        <v>2009-AB-Sla-123-746-2350</v>
      </c>
      <c r="B34" t="str">
        <f t="shared" si="1"/>
        <v>2009</v>
      </c>
      <c r="C34" s="18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8" t="s">
        <v>823</v>
      </c>
      <c r="L34" s="21">
        <v>6.8</v>
      </c>
    </row>
    <row r="35" spans="1:12" x14ac:dyDescent="0.25">
      <c r="A35" t="str">
        <f t="shared" si="0"/>
        <v>1999-AH-DIA-168-720-2730</v>
      </c>
      <c r="B35" t="str">
        <f t="shared" si="1"/>
        <v>1999</v>
      </c>
      <c r="C35" s="18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8" t="s">
        <v>793</v>
      </c>
      <c r="L35" s="21">
        <v>7.6</v>
      </c>
    </row>
    <row r="36" spans="1:12" x14ac:dyDescent="0.25">
      <c r="A36" t="str">
        <f t="shared" si="0"/>
        <v>2000-AH-DIA-169-790-2660</v>
      </c>
      <c r="B36" t="str">
        <f t="shared" si="1"/>
        <v>2000</v>
      </c>
      <c r="C36" s="18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8" t="s">
        <v>796</v>
      </c>
      <c r="L36" s="21">
        <v>8.1</v>
      </c>
    </row>
    <row r="37" spans="1:12" x14ac:dyDescent="0.25">
      <c r="A37" t="str">
        <f t="shared" si="0"/>
        <v>2003-AH-GT -88-590-2470</v>
      </c>
      <c r="B37" t="str">
        <f t="shared" si="1"/>
        <v>2003</v>
      </c>
      <c r="C37" s="18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8" t="s">
        <v>799</v>
      </c>
      <c r="L37" s="21">
        <v>6.1</v>
      </c>
    </row>
    <row r="38" spans="1:12" x14ac:dyDescent="0.25">
      <c r="A38" t="str">
        <f t="shared" si="0"/>
        <v>2004-AH-GT -78-538-2423</v>
      </c>
      <c r="B38" t="str">
        <f t="shared" si="1"/>
        <v>2004</v>
      </c>
      <c r="C38" s="18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8" t="s">
        <v>802</v>
      </c>
      <c r="L38" s="21">
        <v>5.6</v>
      </c>
    </row>
    <row r="39" spans="1:12" x14ac:dyDescent="0.25">
      <c r="A39" t="str">
        <f t="shared" si="0"/>
        <v>2004-AH-GT -120-735-2578</v>
      </c>
      <c r="B39" t="str">
        <f t="shared" si="1"/>
        <v>2004</v>
      </c>
      <c r="C39" s="18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8" t="s">
        <v>802</v>
      </c>
      <c r="L39" s="21">
        <v>7.3</v>
      </c>
    </row>
    <row r="40" spans="1:12" x14ac:dyDescent="0.25">
      <c r="A40" t="str">
        <f t="shared" si="0"/>
        <v>2002-AH-DIA-124-744-2598</v>
      </c>
      <c r="B40" t="str">
        <f t="shared" si="1"/>
        <v>2002</v>
      </c>
      <c r="C40" s="18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8" t="s">
        <v>806</v>
      </c>
      <c r="L40" s="21">
        <v>7.3</v>
      </c>
    </row>
    <row r="41" spans="1:12" x14ac:dyDescent="0.25">
      <c r="A41" t="str">
        <f t="shared" si="0"/>
        <v>2002-AH-DIA-144-841-2600</v>
      </c>
      <c r="B41" t="str">
        <f t="shared" si="1"/>
        <v>2002</v>
      </c>
      <c r="C41" s="18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8" t="s">
        <v>806</v>
      </c>
      <c r="L41" s="21">
        <v>8.1</v>
      </c>
    </row>
    <row r="42" spans="1:12" x14ac:dyDescent="0.25">
      <c r="A42" t="str">
        <f t="shared" si="0"/>
        <v>2005-AH-GT -110-655-2480</v>
      </c>
      <c r="B42" t="str">
        <f t="shared" si="1"/>
        <v>2005</v>
      </c>
      <c r="C42" s="18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8" t="s">
        <v>802</v>
      </c>
      <c r="L42" s="21">
        <v>6.3</v>
      </c>
    </row>
    <row r="43" spans="1:12" x14ac:dyDescent="0.25">
      <c r="A43" t="str">
        <f t="shared" si="0"/>
        <v>2006-AH-TRA-67-500-2339</v>
      </c>
      <c r="B43" t="str">
        <f t="shared" si="1"/>
        <v>2006</v>
      </c>
      <c r="C43" s="18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8" t="s">
        <v>812</v>
      </c>
      <c r="L43" s="21">
        <v>5.4</v>
      </c>
    </row>
    <row r="44" spans="1:12" x14ac:dyDescent="0.25">
      <c r="A44" t="str">
        <f t="shared" si="0"/>
        <v>2006-AH-TRA-76-548-2336</v>
      </c>
      <c r="B44" t="str">
        <f t="shared" si="1"/>
        <v>2006</v>
      </c>
      <c r="C44" s="18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8" t="s">
        <v>812</v>
      </c>
      <c r="L44" s="21">
        <v>5.7</v>
      </c>
    </row>
    <row r="45" spans="1:12" x14ac:dyDescent="0.25">
      <c r="A45" t="str">
        <f t="shared" si="0"/>
        <v>2006-AH-TRA-82-601-2362</v>
      </c>
      <c r="B45" t="str">
        <f t="shared" si="1"/>
        <v>2006</v>
      </c>
      <c r="C45" s="18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8" t="s">
        <v>812</v>
      </c>
      <c r="L45" s="21">
        <v>6</v>
      </c>
    </row>
    <row r="46" spans="1:12" x14ac:dyDescent="0.25">
      <c r="A46" t="str">
        <f t="shared" si="0"/>
        <v>2006-AH-TRA-113-709-2493</v>
      </c>
      <c r="B46" t="str">
        <f t="shared" si="1"/>
        <v>2006</v>
      </c>
      <c r="C46" s="18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8" t="s">
        <v>812</v>
      </c>
      <c r="L46" s="21">
        <v>7</v>
      </c>
    </row>
    <row r="47" spans="1:12" x14ac:dyDescent="0.25">
      <c r="A47" t="str">
        <f t="shared" si="0"/>
        <v>2006-AH-TRA-120-758-2499</v>
      </c>
      <c r="B47" t="str">
        <f t="shared" si="1"/>
        <v>2006</v>
      </c>
      <c r="C47" s="18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8" t="s">
        <v>812</v>
      </c>
      <c r="L47" s="21">
        <v>7.4</v>
      </c>
    </row>
    <row r="48" spans="1:12" x14ac:dyDescent="0.25">
      <c r="A48" t="str">
        <f t="shared" si="0"/>
        <v>2007-AH-TRA-103-655-2407</v>
      </c>
      <c r="B48" t="str">
        <f t="shared" si="1"/>
        <v>2007</v>
      </c>
      <c r="C48" s="18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8" t="s">
        <v>819</v>
      </c>
      <c r="L48" s="21">
        <v>6.4</v>
      </c>
    </row>
    <row r="49" spans="1:12" x14ac:dyDescent="0.25">
      <c r="A49" t="str">
        <f t="shared" si="0"/>
        <v>2007-AH-TRA-104-655-2395</v>
      </c>
      <c r="B49" t="str">
        <f t="shared" si="1"/>
        <v>2007</v>
      </c>
      <c r="C49" s="18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8" t="s">
        <v>819</v>
      </c>
      <c r="L49" s="21">
        <v>6.4</v>
      </c>
    </row>
    <row r="50" spans="1:12" x14ac:dyDescent="0.25">
      <c r="A50" t="str">
        <f t="shared" si="0"/>
        <v>2007-AH-TRA-140-800-2498</v>
      </c>
      <c r="B50" t="str">
        <f t="shared" si="1"/>
        <v>2007</v>
      </c>
      <c r="C50" s="18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8" t="s">
        <v>819</v>
      </c>
      <c r="L50" s="21">
        <v>7.7</v>
      </c>
    </row>
    <row r="51" spans="1:12" x14ac:dyDescent="0.25">
      <c r="A51" t="str">
        <f t="shared" si="0"/>
        <v>2008-AH-SL1-63-491-2399</v>
      </c>
      <c r="B51" t="str">
        <f t="shared" si="1"/>
        <v>2008</v>
      </c>
      <c r="C51" s="18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8" t="s">
        <v>824</v>
      </c>
      <c r="L51" s="21">
        <v>5.2</v>
      </c>
    </row>
    <row r="52" spans="1:12" x14ac:dyDescent="0.25">
      <c r="A52" t="str">
        <f t="shared" si="0"/>
        <v>2008-AH-SL1-77-551-2376</v>
      </c>
      <c r="B52" t="str">
        <f t="shared" si="1"/>
        <v>2008</v>
      </c>
      <c r="C52" s="18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8" t="s">
        <v>824</v>
      </c>
      <c r="L52" s="21">
        <v>5.6</v>
      </c>
    </row>
    <row r="53" spans="1:12" x14ac:dyDescent="0.25">
      <c r="A53" t="str">
        <f t="shared" si="0"/>
        <v>2008-AH-SL1-90-619-2378</v>
      </c>
      <c r="B53" t="str">
        <f t="shared" si="1"/>
        <v>2008</v>
      </c>
      <c r="C53" s="18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8" t="s">
        <v>824</v>
      </c>
      <c r="L53" s="21">
        <v>6.2</v>
      </c>
    </row>
    <row r="54" spans="1:12" x14ac:dyDescent="0.25">
      <c r="A54" t="str">
        <f t="shared" si="0"/>
        <v>2008-AH-SL1-110-668-2377</v>
      </c>
      <c r="B54" t="str">
        <f t="shared" si="1"/>
        <v>2008</v>
      </c>
      <c r="C54" s="18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8" t="s">
        <v>824</v>
      </c>
      <c r="L54" s="21">
        <v>6.6</v>
      </c>
    </row>
    <row r="55" spans="1:12" x14ac:dyDescent="0.25">
      <c r="A55" t="str">
        <f t="shared" si="0"/>
        <v>2008-AH-SL1-121-757-2371</v>
      </c>
      <c r="B55" t="str">
        <f t="shared" si="1"/>
        <v>2008</v>
      </c>
      <c r="C55" s="18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8" t="s">
        <v>824</v>
      </c>
      <c r="L55" s="21">
        <v>7.4</v>
      </c>
    </row>
    <row r="56" spans="1:12" x14ac:dyDescent="0.25">
      <c r="A56" t="str">
        <f t="shared" si="0"/>
        <v>2016-AH-SL2-112-677-2347</v>
      </c>
      <c r="B56" t="str">
        <f t="shared" si="1"/>
        <v>2016</v>
      </c>
      <c r="C56" s="18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8" t="s">
        <v>830</v>
      </c>
      <c r="L56" s="21">
        <v>6.5</v>
      </c>
    </row>
    <row r="57" spans="1:12" x14ac:dyDescent="0.25">
      <c r="A57" t="str">
        <f t="shared" si="0"/>
        <v>2016-AH-SL2-122-757-2334</v>
      </c>
      <c r="B57" t="str">
        <f t="shared" si="1"/>
        <v>2016</v>
      </c>
      <c r="C57" s="18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8" t="s">
        <v>830</v>
      </c>
      <c r="L57" s="21">
        <v>7</v>
      </c>
    </row>
    <row r="58" spans="1:12" x14ac:dyDescent="0.25">
      <c r="A58" t="str">
        <f t="shared" si="0"/>
        <v>2016-AH-SL2-132-794-2314</v>
      </c>
      <c r="B58" t="str">
        <f t="shared" si="1"/>
        <v>2016</v>
      </c>
      <c r="C58" s="18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8" t="s">
        <v>830</v>
      </c>
      <c r="L58" s="21">
        <v>7.5</v>
      </c>
    </row>
    <row r="59" spans="1:12" x14ac:dyDescent="0.25">
      <c r="A59" t="str">
        <f t="shared" si="0"/>
        <v>2017-AH-SL3-105-669-2320</v>
      </c>
      <c r="B59" t="str">
        <f t="shared" si="1"/>
        <v>2017</v>
      </c>
      <c r="C59" s="18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8" t="s">
        <v>830</v>
      </c>
      <c r="L59" s="21">
        <v>6.2</v>
      </c>
    </row>
    <row r="60" spans="1:12" x14ac:dyDescent="0.25">
      <c r="A60" t="str">
        <f t="shared" si="0"/>
        <v>2017-AH-SL3-115-720-2310</v>
      </c>
      <c r="B60" t="str">
        <f t="shared" si="1"/>
        <v>2017</v>
      </c>
      <c r="C60" s="18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8" t="s">
        <v>830</v>
      </c>
      <c r="L60" s="21">
        <v>6.6</v>
      </c>
    </row>
    <row r="61" spans="1:12" x14ac:dyDescent="0.25">
      <c r="A61" t="str">
        <f t="shared" si="0"/>
        <v>2017-AH-SL3-128-815-2290</v>
      </c>
      <c r="B61" t="str">
        <f t="shared" si="1"/>
        <v>2017</v>
      </c>
      <c r="C61" s="18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8" t="s">
        <v>830</v>
      </c>
      <c r="L61" s="21">
        <v>7</v>
      </c>
    </row>
    <row r="62" spans="1:12" x14ac:dyDescent="0.25">
      <c r="A62" t="str">
        <f t="shared" si="0"/>
        <v>1999-AH-DIA-83-540-2590</v>
      </c>
      <c r="B62" t="str">
        <f t="shared" si="1"/>
        <v>1999</v>
      </c>
      <c r="C62" s="18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8" t="s">
        <v>792</v>
      </c>
      <c r="L62" s="21">
        <v>6.2</v>
      </c>
    </row>
    <row r="63" spans="1:12" x14ac:dyDescent="0.25">
      <c r="A63" t="str">
        <f t="shared" si="0"/>
        <v>1999-AH-DIA-95-590-2640</v>
      </c>
      <c r="B63" t="str">
        <f t="shared" si="1"/>
        <v>1999</v>
      </c>
      <c r="C63" s="18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8" t="s">
        <v>792</v>
      </c>
      <c r="L63" s="21">
        <v>6.4</v>
      </c>
    </row>
    <row r="64" spans="1:12" x14ac:dyDescent="0.25">
      <c r="A64" t="str">
        <f t="shared" si="0"/>
        <v>1999-AH-DIA-145-670-2740</v>
      </c>
      <c r="B64" t="str">
        <f t="shared" si="1"/>
        <v>1999</v>
      </c>
      <c r="C64" s="18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8" t="s">
        <v>792</v>
      </c>
      <c r="L64" s="21">
        <v>7.2</v>
      </c>
    </row>
    <row r="65" spans="1:12" x14ac:dyDescent="0.25">
      <c r="A65" t="str">
        <f t="shared" si="0"/>
        <v>2010-AN-Mag-99-617-2382</v>
      </c>
      <c r="B65" t="str">
        <f t="shared" si="1"/>
        <v>2010</v>
      </c>
      <c r="C65" s="18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8" t="s">
        <v>839</v>
      </c>
      <c r="L65" s="21">
        <v>5.9</v>
      </c>
    </row>
    <row r="66" spans="1:12" x14ac:dyDescent="0.25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8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8" t="s">
        <v>839</v>
      </c>
      <c r="L66" s="21">
        <v>6.6</v>
      </c>
    </row>
    <row r="67" spans="1:12" x14ac:dyDescent="0.25">
      <c r="A67" t="str">
        <f t="shared" si="4"/>
        <v>2010-AN-Mag-152-837-2436</v>
      </c>
      <c r="B67" t="str">
        <f t="shared" si="5"/>
        <v>2010</v>
      </c>
      <c r="C67" s="18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8" t="s">
        <v>842</v>
      </c>
      <c r="L67" s="21">
        <v>7.1</v>
      </c>
    </row>
    <row r="68" spans="1:12" x14ac:dyDescent="0.25">
      <c r="A68" t="str">
        <f t="shared" si="4"/>
        <v>2011-AN-Mag-98-590-2380</v>
      </c>
      <c r="B68" t="str">
        <f t="shared" si="5"/>
        <v>2011</v>
      </c>
      <c r="C68" s="18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8" t="s">
        <v>845</v>
      </c>
      <c r="L68" s="21">
        <v>6.12</v>
      </c>
    </row>
    <row r="69" spans="1:12" x14ac:dyDescent="0.25">
      <c r="A69" t="str">
        <f t="shared" si="4"/>
        <v>2011-AN-Mag-116-700-2400</v>
      </c>
      <c r="B69" t="str">
        <f t="shared" si="5"/>
        <v>2011</v>
      </c>
      <c r="C69" s="18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8" t="s">
        <v>845</v>
      </c>
      <c r="L69" s="21">
        <v>6.62</v>
      </c>
    </row>
    <row r="70" spans="1:12" x14ac:dyDescent="0.25">
      <c r="A70" t="str">
        <f t="shared" si="4"/>
        <v>2011-AN-Mag-135-844-2364</v>
      </c>
      <c r="B70" t="str">
        <f t="shared" si="5"/>
        <v>2011</v>
      </c>
      <c r="C70" s="18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8" t="s">
        <v>845</v>
      </c>
      <c r="L70" s="21">
        <v>7.61</v>
      </c>
    </row>
    <row r="71" spans="1:12" x14ac:dyDescent="0.25">
      <c r="A71" t="str">
        <f t="shared" si="4"/>
        <v>2013-AN-Mag-98-598-2380</v>
      </c>
      <c r="B71" t="str">
        <f t="shared" si="5"/>
        <v>2013</v>
      </c>
      <c r="C71" s="18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8" t="s">
        <v>851</v>
      </c>
      <c r="L71" s="21">
        <v>6</v>
      </c>
    </row>
    <row r="72" spans="1:12" x14ac:dyDescent="0.25">
      <c r="A72" t="str">
        <f t="shared" si="4"/>
        <v>2013-AN-Mag-116-700-2400</v>
      </c>
      <c r="B72" t="str">
        <f t="shared" si="5"/>
        <v>2013</v>
      </c>
      <c r="C72" s="18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8" t="s">
        <v>851</v>
      </c>
      <c r="L72" s="21">
        <v>6.4</v>
      </c>
    </row>
    <row r="73" spans="1:12" x14ac:dyDescent="0.25">
      <c r="A73" t="str">
        <f t="shared" si="4"/>
        <v>2013-AN-Mag-135-844-2364</v>
      </c>
      <c r="B73" t="str">
        <f t="shared" si="5"/>
        <v>2013</v>
      </c>
      <c r="C73" s="18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8" t="s">
        <v>851</v>
      </c>
      <c r="L73" s="21">
        <v>7.2</v>
      </c>
    </row>
    <row r="74" spans="1:12" x14ac:dyDescent="0.25">
      <c r="A74" t="str">
        <f t="shared" si="4"/>
        <v>2014-AN-Mag-100-598-2380</v>
      </c>
      <c r="B74" t="str">
        <f t="shared" si="5"/>
        <v>2014</v>
      </c>
      <c r="C74" s="18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8" t="s">
        <v>731</v>
      </c>
      <c r="L74" s="21">
        <v>6.6</v>
      </c>
    </row>
    <row r="75" spans="1:12" x14ac:dyDescent="0.25">
      <c r="A75" t="str">
        <f t="shared" si="4"/>
        <v>2014-AN-Mag-122-712-2390</v>
      </c>
      <c r="B75" t="str">
        <f t="shared" si="5"/>
        <v>2014</v>
      </c>
      <c r="C75" s="18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8" t="s">
        <v>731</v>
      </c>
      <c r="L75" s="21">
        <v>7</v>
      </c>
    </row>
    <row r="76" spans="1:12" x14ac:dyDescent="0.25">
      <c r="A76" t="str">
        <f t="shared" si="4"/>
        <v>2014-AN-Mag-142-847-2330</v>
      </c>
      <c r="B76" t="str">
        <f t="shared" si="5"/>
        <v>2014</v>
      </c>
      <c r="C76" s="18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8" t="s">
        <v>731</v>
      </c>
      <c r="L76" s="21">
        <v>7.2</v>
      </c>
    </row>
    <row r="77" spans="1:12" x14ac:dyDescent="0.25">
      <c r="A77" t="str">
        <f t="shared" si="4"/>
        <v>2020-AV-Mod-98-621-2272</v>
      </c>
      <c r="B77" t="str">
        <f t="shared" si="5"/>
        <v>2020</v>
      </c>
      <c r="C77" s="18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8" t="s">
        <v>860</v>
      </c>
      <c r="L77" s="21">
        <v>5.7</v>
      </c>
    </row>
    <row r="78" spans="1:12" x14ac:dyDescent="0.25">
      <c r="A78" t="str">
        <f t="shared" si="4"/>
        <v>2020-AV-Mod-119-725-2268</v>
      </c>
      <c r="B78" t="str">
        <f t="shared" si="5"/>
        <v>2020</v>
      </c>
      <c r="C78" s="18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8" t="s">
        <v>860</v>
      </c>
      <c r="L78" s="21">
        <v>6.6</v>
      </c>
    </row>
    <row r="79" spans="1:12" x14ac:dyDescent="0.25">
      <c r="A79" t="str">
        <f t="shared" si="4"/>
        <v>2020-AV-Mod-130-850-2263</v>
      </c>
      <c r="B79" t="str">
        <f t="shared" si="5"/>
        <v>2020</v>
      </c>
      <c r="C79" s="18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8" t="s">
        <v>860</v>
      </c>
      <c r="L79" s="21">
        <v>7.4</v>
      </c>
    </row>
    <row r="80" spans="1:12" x14ac:dyDescent="0.25">
      <c r="A80" t="str">
        <f t="shared" si="4"/>
        <v>2022-AV-Mod-88-600-2278</v>
      </c>
      <c r="B80" t="str">
        <f t="shared" si="5"/>
        <v>2022</v>
      </c>
      <c r="C80" s="18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8" t="s">
        <v>865</v>
      </c>
      <c r="L80" s="21">
        <v>5.4</v>
      </c>
    </row>
    <row r="81" spans="1:12" x14ac:dyDescent="0.25">
      <c r="A81" t="str">
        <f t="shared" si="4"/>
        <v>2022-AV-Mod-98-621-2272</v>
      </c>
      <c r="B81" t="str">
        <f t="shared" si="5"/>
        <v>2022</v>
      </c>
      <c r="C81" s="18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8" t="s">
        <v>865</v>
      </c>
      <c r="L81" s="21">
        <v>5.7</v>
      </c>
    </row>
    <row r="82" spans="1:12" x14ac:dyDescent="0.25">
      <c r="A82" t="str">
        <f t="shared" si="4"/>
        <v>2022-AV-Mod-108-680-2272</v>
      </c>
      <c r="B82" t="str">
        <f t="shared" si="5"/>
        <v>2022</v>
      </c>
      <c r="C82" s="18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8" t="s">
        <v>865</v>
      </c>
      <c r="L82" s="21">
        <v>6.2</v>
      </c>
    </row>
    <row r="83" spans="1:12" x14ac:dyDescent="0.25">
      <c r="A83" t="str">
        <f t="shared" si="4"/>
        <v>2022-AV-Mod-119-725-2268</v>
      </c>
      <c r="B83" t="str">
        <f t="shared" si="5"/>
        <v>2022</v>
      </c>
      <c r="C83" s="18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8" t="s">
        <v>865</v>
      </c>
      <c r="L83" s="21">
        <v>6.6</v>
      </c>
    </row>
    <row r="84" spans="1:12" x14ac:dyDescent="0.25">
      <c r="A84" t="str">
        <f t="shared" si="4"/>
        <v>2022-AV-Mod-128-769-2264</v>
      </c>
      <c r="B84" t="str">
        <f t="shared" si="5"/>
        <v>2022</v>
      </c>
      <c r="C84" s="18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8" t="s">
        <v>865</v>
      </c>
      <c r="L84" s="21">
        <v>7</v>
      </c>
    </row>
    <row r="85" spans="1:12" x14ac:dyDescent="0.25">
      <c r="A85" t="str">
        <f t="shared" si="4"/>
        <v>2022-AV-Mod-139-849-2259</v>
      </c>
      <c r="B85" t="str">
        <f t="shared" si="5"/>
        <v>2022</v>
      </c>
      <c r="C85" s="18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8" t="s">
        <v>865</v>
      </c>
      <c r="L85" s="21">
        <v>7.4</v>
      </c>
    </row>
    <row r="86" spans="1:12" x14ac:dyDescent="0.25">
      <c r="A86" t="str">
        <f t="shared" si="4"/>
        <v>2022-AV-Mod-178-908-2205</v>
      </c>
      <c r="B86" t="str">
        <f t="shared" si="5"/>
        <v>2022</v>
      </c>
      <c r="C86" s="18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8" t="s">
        <v>865</v>
      </c>
      <c r="L86" s="21">
        <v>9.4</v>
      </c>
    </row>
    <row r="87" spans="1:12" x14ac:dyDescent="0.25">
      <c r="A87" t="str">
        <f t="shared" si="4"/>
        <v>2024-AV-Mod-88-600-2278</v>
      </c>
      <c r="B87" t="str">
        <f t="shared" si="5"/>
        <v>2024</v>
      </c>
      <c r="C87" s="18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8" t="s">
        <v>870</v>
      </c>
      <c r="L87" s="21">
        <v>5.4</v>
      </c>
    </row>
    <row r="88" spans="1:12" x14ac:dyDescent="0.25">
      <c r="A88" t="str">
        <f t="shared" si="4"/>
        <v>2024-AV-Mod-98-621-2272</v>
      </c>
      <c r="B88" t="str">
        <f t="shared" si="5"/>
        <v>2024</v>
      </c>
      <c r="C88" s="18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8" t="s">
        <v>870</v>
      </c>
      <c r="L88" s="21">
        <v>5.7</v>
      </c>
    </row>
    <row r="89" spans="1:12" x14ac:dyDescent="0.25">
      <c r="A89" t="str">
        <f t="shared" si="4"/>
        <v>2024-AV-Mod-108-680-2272</v>
      </c>
      <c r="B89" t="str">
        <f t="shared" si="5"/>
        <v>2024</v>
      </c>
      <c r="C89" s="18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8" t="s">
        <v>870</v>
      </c>
      <c r="L89" s="21">
        <v>6.2</v>
      </c>
    </row>
    <row r="90" spans="1:12" x14ac:dyDescent="0.25">
      <c r="A90" t="str">
        <f t="shared" si="4"/>
        <v>2024-AV-Mod-119-725-2268</v>
      </c>
      <c r="B90" t="str">
        <f t="shared" si="5"/>
        <v>2024</v>
      </c>
      <c r="C90" s="18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8" t="s">
        <v>870</v>
      </c>
      <c r="L90" s="21">
        <v>6.6</v>
      </c>
    </row>
    <row r="91" spans="1:12" x14ac:dyDescent="0.25">
      <c r="A91" t="str">
        <f t="shared" si="4"/>
        <v>2024-AV-Mod-128-769-2251</v>
      </c>
      <c r="B91" t="str">
        <f t="shared" si="5"/>
        <v>2024</v>
      </c>
      <c r="C91" s="18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8" t="s">
        <v>870</v>
      </c>
      <c r="L91" s="21">
        <v>7</v>
      </c>
    </row>
    <row r="92" spans="1:12" x14ac:dyDescent="0.25">
      <c r="A92" t="str">
        <f t="shared" si="4"/>
        <v>2024-AV-Mod-139-849-2246</v>
      </c>
      <c r="B92" t="str">
        <f t="shared" si="5"/>
        <v>2024</v>
      </c>
      <c r="C92" s="18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8" t="s">
        <v>870</v>
      </c>
      <c r="L92" s="21">
        <v>7.4</v>
      </c>
    </row>
    <row r="93" spans="1:12" x14ac:dyDescent="0.25">
      <c r="A93" t="str">
        <f t="shared" si="4"/>
        <v>2024-AV-Mod-175-853-2086</v>
      </c>
      <c r="B93" t="str">
        <f t="shared" si="5"/>
        <v>2024</v>
      </c>
      <c r="C93" s="18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8" t="s">
        <v>870</v>
      </c>
      <c r="L93" s="21">
        <v>8.6</v>
      </c>
    </row>
    <row r="94" spans="1:12" x14ac:dyDescent="0.25">
      <c r="A94" t="str">
        <f t="shared" si="4"/>
        <v>2025-AV-Mod-88-600-2278</v>
      </c>
      <c r="B94" t="str">
        <f t="shared" si="5"/>
        <v>2025</v>
      </c>
      <c r="C94" s="18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8" t="s">
        <v>873</v>
      </c>
      <c r="L94" s="21">
        <v>5.4</v>
      </c>
    </row>
    <row r="95" spans="1:12" x14ac:dyDescent="0.25">
      <c r="A95" t="str">
        <f t="shared" si="4"/>
        <v>2025-AV-Mod-98-621-2272</v>
      </c>
      <c r="B95" t="str">
        <f t="shared" si="5"/>
        <v>2025</v>
      </c>
      <c r="C95" s="18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8" t="s">
        <v>873</v>
      </c>
      <c r="L95" s="21">
        <v>5.7</v>
      </c>
    </row>
    <row r="96" spans="1:12" x14ac:dyDescent="0.25">
      <c r="A96" t="str">
        <f t="shared" si="4"/>
        <v>2025-AV-Mod-108-680-2272</v>
      </c>
      <c r="B96" t="str">
        <f t="shared" si="5"/>
        <v>2025</v>
      </c>
      <c r="C96" s="18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8" t="s">
        <v>873</v>
      </c>
      <c r="L96" s="21">
        <v>6.2</v>
      </c>
    </row>
    <row r="97" spans="1:12" x14ac:dyDescent="0.25">
      <c r="A97" t="str">
        <f t="shared" si="4"/>
        <v>2025-AV-Mod-119-725-2268</v>
      </c>
      <c r="B97" t="str">
        <f t="shared" si="5"/>
        <v>2025</v>
      </c>
      <c r="C97" s="18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8" t="s">
        <v>873</v>
      </c>
      <c r="L97" s="21">
        <v>6.6</v>
      </c>
    </row>
    <row r="98" spans="1:12" x14ac:dyDescent="0.25">
      <c r="A98" t="str">
        <f t="shared" si="4"/>
        <v>2025-AV-Mod-128-769-2251</v>
      </c>
      <c r="B98" t="str">
        <f t="shared" si="5"/>
        <v>2025</v>
      </c>
      <c r="C98" s="18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8" t="s">
        <v>873</v>
      </c>
      <c r="L98" s="21">
        <v>7</v>
      </c>
    </row>
    <row r="99" spans="1:12" x14ac:dyDescent="0.25">
      <c r="A99" t="str">
        <f t="shared" si="4"/>
        <v>2025-AV-Mod-139-849-2246</v>
      </c>
      <c r="B99" t="str">
        <f t="shared" si="5"/>
        <v>2025</v>
      </c>
      <c r="C99" s="18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8" t="s">
        <v>873</v>
      </c>
      <c r="L99" s="21">
        <v>7.4</v>
      </c>
    </row>
    <row r="100" spans="1:12" x14ac:dyDescent="0.25">
      <c r="A100" t="str">
        <f t="shared" si="4"/>
        <v>2024-AV-Nuv-119-710-2290</v>
      </c>
      <c r="B100" t="str">
        <f t="shared" si="5"/>
        <v>2024</v>
      </c>
      <c r="C100" s="18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8" t="s">
        <v>875</v>
      </c>
      <c r="L100" s="21">
        <v>6.8</v>
      </c>
    </row>
    <row r="101" spans="1:12" x14ac:dyDescent="0.25">
      <c r="A101" t="str">
        <f t="shared" si="4"/>
        <v>2026-AV-Mod-88-600-2278</v>
      </c>
      <c r="B101" t="str">
        <f t="shared" si="5"/>
        <v>2026</v>
      </c>
      <c r="C101" s="18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8" t="s">
        <v>877</v>
      </c>
      <c r="L101" s="21">
        <v>5.4</v>
      </c>
    </row>
    <row r="102" spans="1:12" x14ac:dyDescent="0.25">
      <c r="A102" t="str">
        <f t="shared" si="4"/>
        <v>2026-AV-Mod-98-618-2332</v>
      </c>
      <c r="B102" t="str">
        <f t="shared" si="5"/>
        <v>2026</v>
      </c>
      <c r="C102" s="18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8" t="s">
        <v>877</v>
      </c>
      <c r="L102" s="21">
        <v>6.4</v>
      </c>
    </row>
    <row r="103" spans="1:12" x14ac:dyDescent="0.25">
      <c r="A103" t="str">
        <f t="shared" si="4"/>
        <v>2026-AV-Mod-108-704-2352</v>
      </c>
      <c r="B103" t="str">
        <f t="shared" si="5"/>
        <v>2026</v>
      </c>
      <c r="C103" s="18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8" t="s">
        <v>877</v>
      </c>
      <c r="L103" s="21">
        <v>6.9</v>
      </c>
    </row>
    <row r="104" spans="1:12" x14ac:dyDescent="0.25">
      <c r="A104" t="str">
        <f t="shared" si="4"/>
        <v>2026-AV-Mod-118-720-2352</v>
      </c>
      <c r="B104" t="str">
        <f t="shared" si="5"/>
        <v>2026</v>
      </c>
      <c r="C104" s="18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8" t="s">
        <v>877</v>
      </c>
      <c r="L104" s="21">
        <v>7.1</v>
      </c>
    </row>
    <row r="105" spans="1:12" x14ac:dyDescent="0.25">
      <c r="A105" t="str">
        <f t="shared" si="4"/>
        <v>2026-AV-Mod-128-769-2251</v>
      </c>
      <c r="B105" t="str">
        <f t="shared" si="5"/>
        <v>2026</v>
      </c>
      <c r="C105" s="18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8" t="s">
        <v>877</v>
      </c>
      <c r="L105" s="21">
        <v>7</v>
      </c>
    </row>
    <row r="106" spans="1:12" x14ac:dyDescent="0.25">
      <c r="A106" t="str">
        <f t="shared" si="4"/>
        <v>2026-AV-Mod-139-849-2246</v>
      </c>
      <c r="B106" t="str">
        <f t="shared" si="5"/>
        <v>2026</v>
      </c>
      <c r="C106" s="18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8" t="s">
        <v>877</v>
      </c>
      <c r="L106" s="21">
        <v>7.4</v>
      </c>
    </row>
    <row r="107" spans="1:12" x14ac:dyDescent="0.25">
      <c r="A107" t="str">
        <f t="shared" si="4"/>
        <v>1999-BI-TEC-153-690-2770</v>
      </c>
      <c r="B107" t="str">
        <f t="shared" si="5"/>
        <v>1999</v>
      </c>
      <c r="C107" s="18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8" t="s">
        <v>793</v>
      </c>
      <c r="L107" s="21">
        <v>9.1999999999999993</v>
      </c>
    </row>
    <row r="108" spans="1:12" x14ac:dyDescent="0.25">
      <c r="A108" t="str">
        <f t="shared" si="4"/>
        <v>2000-BI-FV -108-580-2770</v>
      </c>
      <c r="B108" t="str">
        <f t="shared" si="5"/>
        <v>2000</v>
      </c>
      <c r="C108" s="18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8" t="s">
        <v>796</v>
      </c>
      <c r="L108" s="21">
        <v>6.7</v>
      </c>
    </row>
    <row r="109" spans="1:12" x14ac:dyDescent="0.25">
      <c r="A109" t="str">
        <f t="shared" si="4"/>
        <v>2009-BI-Tec-91-642-2380</v>
      </c>
      <c r="B109" t="str">
        <f t="shared" si="5"/>
        <v>2009</v>
      </c>
      <c r="C109" s="18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8" t="s">
        <v>824</v>
      </c>
      <c r="L109" s="21">
        <v>6.85</v>
      </c>
    </row>
    <row r="110" spans="1:12" x14ac:dyDescent="0.25">
      <c r="A110" t="str">
        <f t="shared" si="4"/>
        <v>2009-BI-Tec-114-741-2353</v>
      </c>
      <c r="B110" t="str">
        <f t="shared" si="5"/>
        <v>2009</v>
      </c>
      <c r="C110" s="18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8" t="s">
        <v>824</v>
      </c>
      <c r="L110" s="21">
        <v>7.4</v>
      </c>
    </row>
    <row r="111" spans="1:12" x14ac:dyDescent="0.25">
      <c r="A111" t="str">
        <f t="shared" si="4"/>
        <v>2026-BL-Air-168-860-2140</v>
      </c>
      <c r="B111" t="str">
        <f t="shared" si="5"/>
        <v>2026</v>
      </c>
      <c r="C111" s="18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8" t="s">
        <v>886</v>
      </c>
      <c r="L111" s="21">
        <v>9</v>
      </c>
    </row>
    <row r="112" spans="1:12" x14ac:dyDescent="0.25">
      <c r="A112" t="str">
        <f t="shared" si="4"/>
        <v>2026-BU-MB--98-630-2270</v>
      </c>
      <c r="B112" t="str">
        <f t="shared" si="5"/>
        <v>2026</v>
      </c>
      <c r="C112" s="18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8" t="s">
        <v>889</v>
      </c>
      <c r="L112" s="21">
        <v>6</v>
      </c>
    </row>
    <row r="113" spans="1:12" x14ac:dyDescent="0.25">
      <c r="A113" t="str">
        <f t="shared" si="4"/>
        <v>2026-BU-MB--115-710-2320</v>
      </c>
      <c r="B113" t="str">
        <f t="shared" si="5"/>
        <v>2026</v>
      </c>
      <c r="C113" s="18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8" t="s">
        <v>889</v>
      </c>
      <c r="L113" s="21">
        <v>6.5</v>
      </c>
    </row>
    <row r="114" spans="1:12" x14ac:dyDescent="0.25">
      <c r="A114" t="str">
        <f t="shared" si="4"/>
        <v>2026-BU-MB--134-850-2280</v>
      </c>
      <c r="B114" t="str">
        <f t="shared" si="5"/>
        <v>2026</v>
      </c>
      <c r="C114" s="18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8" t="s">
        <v>889</v>
      </c>
      <c r="L114" s="21">
        <v>9.1999999999999993</v>
      </c>
    </row>
    <row r="115" spans="1:12" x14ac:dyDescent="0.25">
      <c r="A115" t="str">
        <f t="shared" si="4"/>
        <v>2006-CA-SLA-104-620-2425</v>
      </c>
      <c r="B115" t="str">
        <f t="shared" si="5"/>
        <v>2006</v>
      </c>
      <c r="C115" s="18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8" t="s">
        <v>894</v>
      </c>
      <c r="L115" s="21">
        <v>5.8</v>
      </c>
    </row>
    <row r="116" spans="1:12" x14ac:dyDescent="0.25">
      <c r="A116" t="str">
        <f t="shared" si="4"/>
        <v>2006-CA-SLA-86-520-2425</v>
      </c>
      <c r="B116" t="str">
        <f t="shared" si="5"/>
        <v>2006</v>
      </c>
      <c r="C116" s="18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8" t="s">
        <v>812</v>
      </c>
      <c r="L116" s="21">
        <v>4.9000000000000004</v>
      </c>
    </row>
    <row r="117" spans="1:12" x14ac:dyDescent="0.25">
      <c r="A117" t="str">
        <f t="shared" si="4"/>
        <v>2006-CA-SLA-93-550-2425</v>
      </c>
      <c r="B117" t="str">
        <f t="shared" si="5"/>
        <v>2006</v>
      </c>
      <c r="C117" s="18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8" t="s">
        <v>812</v>
      </c>
      <c r="L117" s="21">
        <v>5.3</v>
      </c>
    </row>
    <row r="118" spans="1:12" x14ac:dyDescent="0.25">
      <c r="A118" t="str">
        <f t="shared" si="4"/>
        <v>2006-CA-SLA-97-580-2425</v>
      </c>
      <c r="B118" t="str">
        <f t="shared" si="5"/>
        <v>2006</v>
      </c>
      <c r="C118" s="18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8" t="s">
        <v>812</v>
      </c>
      <c r="L118" s="21">
        <v>5.6</v>
      </c>
    </row>
    <row r="119" spans="1:12" x14ac:dyDescent="0.25">
      <c r="A119" t="str">
        <f t="shared" si="4"/>
        <v>2006-CA-SLA-115-700-2425</v>
      </c>
      <c r="B119" t="str">
        <f t="shared" si="5"/>
        <v>2006</v>
      </c>
      <c r="C119" s="18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8" t="s">
        <v>812</v>
      </c>
      <c r="L119" s="21">
        <v>6.8</v>
      </c>
    </row>
    <row r="120" spans="1:12" x14ac:dyDescent="0.25">
      <c r="A120" t="str">
        <f t="shared" si="4"/>
        <v>2006-CA-SLA-124-800-2425</v>
      </c>
      <c r="B120" t="str">
        <f t="shared" si="5"/>
        <v>2006</v>
      </c>
      <c r="C120" s="18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8" t="s">
        <v>812</v>
      </c>
      <c r="L120" s="21">
        <v>7.5</v>
      </c>
    </row>
    <row r="121" spans="1:12" x14ac:dyDescent="0.25">
      <c r="A121" t="str">
        <f t="shared" si="4"/>
        <v>2008-CA-SLA-87-520-2485</v>
      </c>
      <c r="B121" t="str">
        <f t="shared" si="5"/>
        <v>2008</v>
      </c>
      <c r="C121" s="18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8" t="s">
        <v>824</v>
      </c>
      <c r="L121" s="21">
        <v>5.2</v>
      </c>
    </row>
    <row r="122" spans="1:12" x14ac:dyDescent="0.25">
      <c r="A122" t="str">
        <f t="shared" si="4"/>
        <v>2008-CA-SLA-94-550-2485</v>
      </c>
      <c r="B122" t="str">
        <f t="shared" si="5"/>
        <v>2008</v>
      </c>
      <c r="C122" s="18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8" t="s">
        <v>824</v>
      </c>
      <c r="L122" s="21">
        <v>5.5</v>
      </c>
    </row>
    <row r="123" spans="1:12" x14ac:dyDescent="0.25">
      <c r="A123" t="str">
        <f t="shared" si="4"/>
        <v>2008-CA-SLA-98-580-2485</v>
      </c>
      <c r="B123" t="str">
        <f t="shared" si="5"/>
        <v>2008</v>
      </c>
      <c r="C123" s="18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8" t="s">
        <v>824</v>
      </c>
      <c r="L123" s="21">
        <v>5.8</v>
      </c>
    </row>
    <row r="124" spans="1:12" x14ac:dyDescent="0.25">
      <c r="A124" t="str">
        <f t="shared" si="4"/>
        <v>2008-CA-SLA-103-620-2485</v>
      </c>
      <c r="B124" t="str">
        <f t="shared" si="5"/>
        <v>2008</v>
      </c>
      <c r="C124" s="18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8" t="s">
        <v>824</v>
      </c>
      <c r="L124" s="21">
        <v>6.1</v>
      </c>
    </row>
    <row r="125" spans="1:12" x14ac:dyDescent="0.25">
      <c r="A125" t="str">
        <f t="shared" si="4"/>
        <v>2008-CA-SLA-113-700-2425</v>
      </c>
      <c r="B125" t="str">
        <f t="shared" si="5"/>
        <v>2008</v>
      </c>
      <c r="C125" s="18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8" t="s">
        <v>824</v>
      </c>
      <c r="L125" s="21">
        <v>6.7</v>
      </c>
    </row>
    <row r="126" spans="1:12" x14ac:dyDescent="0.25">
      <c r="A126" t="str">
        <f t="shared" si="4"/>
        <v>2008-CA-SLA-124-800-2425</v>
      </c>
      <c r="B126" t="str">
        <f t="shared" si="5"/>
        <v>2008</v>
      </c>
      <c r="C126" s="18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8" t="s">
        <v>824</v>
      </c>
      <c r="L126" s="21">
        <v>7.4</v>
      </c>
    </row>
    <row r="127" spans="1:12" x14ac:dyDescent="0.25">
      <c r="A127" t="str">
        <f t="shared" si="4"/>
        <v>2008-CA-SPE-60-400-2335</v>
      </c>
      <c r="B127" t="str">
        <f t="shared" si="5"/>
        <v>2008</v>
      </c>
      <c r="C127" s="18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8" t="s">
        <v>824</v>
      </c>
      <c r="L127" s="21">
        <v>4.4000000000000004</v>
      </c>
    </row>
    <row r="128" spans="1:12" x14ac:dyDescent="0.25">
      <c r="A128" t="str">
        <f t="shared" si="4"/>
        <v>2008-CA-SPE-65-440-2365</v>
      </c>
      <c r="B128" t="str">
        <f t="shared" si="5"/>
        <v>2008</v>
      </c>
      <c r="C128" s="18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8" t="s">
        <v>824</v>
      </c>
      <c r="L128" s="21">
        <v>4.7</v>
      </c>
    </row>
    <row r="129" spans="1:12" x14ac:dyDescent="0.25">
      <c r="A129" t="str">
        <f t="shared" si="4"/>
        <v>2008-CA-SPE-75-470-2385</v>
      </c>
      <c r="B129" t="str">
        <f t="shared" si="5"/>
        <v>2008</v>
      </c>
      <c r="C129" s="18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8" t="s">
        <v>824</v>
      </c>
      <c r="L129" s="21">
        <v>4.9000000000000004</v>
      </c>
    </row>
    <row r="130" spans="1:12" x14ac:dyDescent="0.25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8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8" t="s">
        <v>905</v>
      </c>
      <c r="L130" s="21">
        <v>5.6</v>
      </c>
    </row>
    <row r="131" spans="1:12" x14ac:dyDescent="0.25">
      <c r="A131" t="str">
        <f t="shared" si="8"/>
        <v>2016-CA-SL -93-630-2390</v>
      </c>
      <c r="B131" t="str">
        <f t="shared" si="9"/>
        <v>2016</v>
      </c>
      <c r="C131" s="18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8" t="s">
        <v>905</v>
      </c>
      <c r="L131" s="21">
        <v>5.9</v>
      </c>
    </row>
    <row r="132" spans="1:12" x14ac:dyDescent="0.25">
      <c r="A132" t="str">
        <f t="shared" si="8"/>
        <v>2016-CA-SL -103-680-2380</v>
      </c>
      <c r="B132" t="str">
        <f t="shared" si="9"/>
        <v>2016</v>
      </c>
      <c r="C132" s="18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8" t="s">
        <v>905</v>
      </c>
      <c r="L132" s="21">
        <v>6.4</v>
      </c>
    </row>
    <row r="133" spans="1:12" x14ac:dyDescent="0.25">
      <c r="A133" t="str">
        <f t="shared" si="8"/>
        <v>2016-CA-SL -112-740-2380</v>
      </c>
      <c r="B133" t="str">
        <f t="shared" si="9"/>
        <v>2016</v>
      </c>
      <c r="C133" s="18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8" t="s">
        <v>905</v>
      </c>
      <c r="L133" s="21">
        <v>6.6</v>
      </c>
    </row>
    <row r="134" spans="1:12" x14ac:dyDescent="0.25">
      <c r="A134" t="str">
        <f t="shared" si="8"/>
        <v>2016-CA-SL -121-700-2370</v>
      </c>
      <c r="B134" t="str">
        <f t="shared" si="9"/>
        <v>2016</v>
      </c>
      <c r="C134" s="18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8" t="s">
        <v>905</v>
      </c>
      <c r="L134" s="21">
        <v>6.9</v>
      </c>
    </row>
    <row r="135" spans="1:12" x14ac:dyDescent="0.25">
      <c r="A135" t="str">
        <f t="shared" si="8"/>
        <v>2016-CA-SL -128-850-2370</v>
      </c>
      <c r="B135" t="str">
        <f t="shared" si="9"/>
        <v>2016</v>
      </c>
      <c r="C135" s="18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8" t="s">
        <v>905</v>
      </c>
      <c r="L135" s="21">
        <v>7.4</v>
      </c>
    </row>
    <row r="136" spans="1:12" x14ac:dyDescent="0.25">
      <c r="A136" t="str">
        <f t="shared" si="8"/>
        <v>1999-DR-FL1-156-750-2750</v>
      </c>
      <c r="B136" t="str">
        <f t="shared" si="9"/>
        <v>1999</v>
      </c>
      <c r="C136" s="18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8" t="s">
        <v>793</v>
      </c>
      <c r="L136" s="21">
        <v>7.5</v>
      </c>
    </row>
    <row r="137" spans="1:12" x14ac:dyDescent="0.25">
      <c r="A137" t="str">
        <f t="shared" si="8"/>
        <v>2000-DR-FL1-165-800-2610</v>
      </c>
      <c r="B137" t="str">
        <f t="shared" si="9"/>
        <v>2000</v>
      </c>
      <c r="C137" s="18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8" t="s">
        <v>796</v>
      </c>
      <c r="L137" s="21">
        <v>7.3</v>
      </c>
    </row>
    <row r="138" spans="1:12" x14ac:dyDescent="0.25">
      <c r="A138" t="str">
        <f t="shared" si="8"/>
        <v>1999-DR-RAC-158-750-2730</v>
      </c>
      <c r="B138" t="str">
        <f t="shared" si="9"/>
        <v>1999</v>
      </c>
      <c r="C138" s="18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8" t="s">
        <v>796</v>
      </c>
      <c r="L138" s="21">
        <v>7.2</v>
      </c>
    </row>
    <row r="139" spans="1:12" x14ac:dyDescent="0.25">
      <c r="A139" t="str">
        <f t="shared" si="8"/>
        <v>1998-DR-8'1-96-530-2700</v>
      </c>
      <c r="B139" t="str">
        <f t="shared" si="9"/>
        <v>1998</v>
      </c>
      <c r="C139" s="18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8" t="s">
        <v>898</v>
      </c>
      <c r="L139" s="21">
        <v>5.2</v>
      </c>
    </row>
    <row r="140" spans="1:12" x14ac:dyDescent="0.25">
      <c r="A140" t="str">
        <f t="shared" si="8"/>
        <v>2007-DR-GLI-106-647-2383</v>
      </c>
      <c r="B140" t="str">
        <f t="shared" si="9"/>
        <v>2007</v>
      </c>
      <c r="C140" s="18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8" t="s">
        <v>819</v>
      </c>
      <c r="L140" s="21">
        <v>7.1</v>
      </c>
    </row>
    <row r="141" spans="1:12" x14ac:dyDescent="0.25">
      <c r="A141" t="str">
        <f t="shared" si="8"/>
        <v>2007-DR-GLI-116-673-2375</v>
      </c>
      <c r="B141" t="str">
        <f t="shared" si="9"/>
        <v>2007</v>
      </c>
      <c r="C141" s="18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8" t="s">
        <v>819</v>
      </c>
      <c r="L141" s="21">
        <v>7.3</v>
      </c>
    </row>
    <row r="142" spans="1:12" x14ac:dyDescent="0.25">
      <c r="A142" t="str">
        <f t="shared" si="8"/>
        <v>2007-DR-GLI-126-756-2405</v>
      </c>
      <c r="B142" t="str">
        <f t="shared" si="9"/>
        <v>2007</v>
      </c>
      <c r="C142" s="18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8" t="s">
        <v>819</v>
      </c>
      <c r="L142" s="21">
        <v>7.8</v>
      </c>
    </row>
    <row r="143" spans="1:12" x14ac:dyDescent="0.25">
      <c r="A143" t="str">
        <f t="shared" si="8"/>
        <v>2010-DR-KRA-120-750-2298</v>
      </c>
      <c r="B143" t="str">
        <f t="shared" si="9"/>
        <v>2010</v>
      </c>
      <c r="C143" s="18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8" t="s">
        <v>839</v>
      </c>
      <c r="L143" s="21">
        <v>6.3</v>
      </c>
    </row>
    <row r="144" spans="1:12" x14ac:dyDescent="0.25">
      <c r="A144" t="str">
        <f t="shared" si="8"/>
        <v>2010-DR-KRA-135-850-2215</v>
      </c>
      <c r="B144" t="str">
        <f t="shared" si="9"/>
        <v>2010</v>
      </c>
      <c r="C144" s="18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8" t="s">
        <v>839</v>
      </c>
      <c r="L144" s="21">
        <v>6.7</v>
      </c>
    </row>
    <row r="145" spans="1:12" x14ac:dyDescent="0.25">
      <c r="A145" t="str">
        <f t="shared" si="8"/>
        <v>2010-DR-KRA-96-635-2326</v>
      </c>
      <c r="B145" t="str">
        <f t="shared" si="9"/>
        <v>2010</v>
      </c>
      <c r="C145" s="18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8" t="s">
        <v>842</v>
      </c>
      <c r="L145" s="21">
        <v>6.2</v>
      </c>
    </row>
    <row r="146" spans="1:12" x14ac:dyDescent="0.25">
      <c r="A146" t="str">
        <f t="shared" si="8"/>
        <v>2010-DR-KRA-106-685-2325</v>
      </c>
      <c r="B146" t="str">
        <f t="shared" si="9"/>
        <v>2010</v>
      </c>
      <c r="C146" s="18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8" t="s">
        <v>842</v>
      </c>
      <c r="L146" s="21">
        <v>6.7</v>
      </c>
    </row>
    <row r="147" spans="1:12" x14ac:dyDescent="0.25">
      <c r="A147" t="str">
        <f t="shared" si="8"/>
        <v>2011-DR-KRA-89-586-2385</v>
      </c>
      <c r="B147" t="str">
        <f t="shared" si="9"/>
        <v>2011</v>
      </c>
      <c r="C147" s="18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8" t="s">
        <v>842</v>
      </c>
      <c r="L147" s="21">
        <v>5.9</v>
      </c>
    </row>
    <row r="148" spans="1:12" x14ac:dyDescent="0.25">
      <c r="A148" t="str">
        <f t="shared" si="8"/>
        <v>2012-DR-KRA-128-780-2265</v>
      </c>
      <c r="B148" t="str">
        <f t="shared" si="9"/>
        <v>2012</v>
      </c>
      <c r="C148" s="18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8" t="s">
        <v>927</v>
      </c>
      <c r="L148" s="21">
        <v>6.6</v>
      </c>
    </row>
    <row r="149" spans="1:12" x14ac:dyDescent="0.25">
      <c r="A149" t="e">
        <f t="shared" si="8"/>
        <v>#VALUE!</v>
      </c>
      <c r="B149" t="str">
        <f t="shared" si="9"/>
        <v>2012</v>
      </c>
      <c r="C149" s="18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8" t="s">
        <v>927</v>
      </c>
      <c r="L149" s="21">
        <v>6.6</v>
      </c>
    </row>
    <row r="150" spans="1:12" x14ac:dyDescent="0.25">
      <c r="A150" t="str">
        <f t="shared" si="8"/>
        <v>2024-Du-Fal-173-850-2080</v>
      </c>
      <c r="B150" t="str">
        <f t="shared" si="9"/>
        <v>2024</v>
      </c>
      <c r="C150" s="18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8" t="s">
        <v>931</v>
      </c>
      <c r="L150" s="21">
        <v>8.8000000000000007</v>
      </c>
    </row>
    <row r="151" spans="1:12" x14ac:dyDescent="0.25">
      <c r="A151" t="str">
        <f t="shared" si="8"/>
        <v>2024-Du-Fal-89-601-2319</v>
      </c>
      <c r="B151" t="str">
        <f t="shared" si="9"/>
        <v>2024</v>
      </c>
      <c r="C151" s="18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8" t="s">
        <v>931</v>
      </c>
      <c r="L151" s="21">
        <v>6.1</v>
      </c>
    </row>
    <row r="152" spans="1:12" x14ac:dyDescent="0.25">
      <c r="A152" t="str">
        <f t="shared" si="8"/>
        <v>2024-Du-Fal-96-630-2319</v>
      </c>
      <c r="B152" t="str">
        <f t="shared" si="9"/>
        <v>2024</v>
      </c>
      <c r="C152" s="18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8" t="s">
        <v>931</v>
      </c>
      <c r="L152" s="21">
        <v>6.5</v>
      </c>
    </row>
    <row r="153" spans="1:12" x14ac:dyDescent="0.25">
      <c r="A153" t="str">
        <f t="shared" si="8"/>
        <v>2024-Du-Fal-110-685-2320</v>
      </c>
      <c r="B153" t="str">
        <f t="shared" si="9"/>
        <v>2024</v>
      </c>
      <c r="C153" s="18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8" t="s">
        <v>931</v>
      </c>
      <c r="L153" s="21">
        <v>6.5</v>
      </c>
    </row>
    <row r="154" spans="1:12" x14ac:dyDescent="0.25">
      <c r="A154" t="str">
        <f t="shared" si="8"/>
        <v>2024-Du-Fal-117-715-2294</v>
      </c>
      <c r="B154" t="str">
        <f t="shared" si="9"/>
        <v>2024</v>
      </c>
      <c r="C154" s="18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8" t="s">
        <v>931</v>
      </c>
      <c r="L154" s="21">
        <v>6.6</v>
      </c>
    </row>
    <row r="155" spans="1:12" x14ac:dyDescent="0.25">
      <c r="A155" t="str">
        <f t="shared" si="8"/>
        <v>2024-Du-Fal-133-800-2295</v>
      </c>
      <c r="B155" t="str">
        <f t="shared" si="9"/>
        <v>2024</v>
      </c>
      <c r="C155" s="18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8" t="s">
        <v>931</v>
      </c>
      <c r="L155" s="21">
        <v>7.2</v>
      </c>
    </row>
    <row r="156" spans="1:12" x14ac:dyDescent="0.25">
      <c r="A156" t="str">
        <f t="shared" si="8"/>
        <v>2024-Du-Fal-138-847-2279</v>
      </c>
      <c r="B156" t="str">
        <f t="shared" si="9"/>
        <v>2024</v>
      </c>
      <c r="C156" s="18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8" t="s">
        <v>931</v>
      </c>
      <c r="L156" s="21">
        <v>7.6</v>
      </c>
    </row>
    <row r="157" spans="1:12" x14ac:dyDescent="0.25">
      <c r="A157" t="str">
        <f t="shared" si="8"/>
        <v>2025-Du-Fal-173-850-2050</v>
      </c>
      <c r="B157" t="str">
        <f t="shared" si="9"/>
        <v>2025</v>
      </c>
      <c r="C157" s="18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8" t="s">
        <v>938</v>
      </c>
      <c r="L157" s="21">
        <v>8.8000000000000007</v>
      </c>
    </row>
    <row r="158" spans="1:12" x14ac:dyDescent="0.25">
      <c r="A158" t="str">
        <f t="shared" si="8"/>
        <v>2026-Du-Fal-89-602-2269</v>
      </c>
      <c r="B158" t="str">
        <f t="shared" si="9"/>
        <v>2026</v>
      </c>
      <c r="C158" s="18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8" t="s">
        <v>940</v>
      </c>
      <c r="L158" s="21">
        <v>89</v>
      </c>
    </row>
    <row r="159" spans="1:12" x14ac:dyDescent="0.25">
      <c r="A159" t="str">
        <f t="shared" si="8"/>
        <v>2026-Du-Fal-98-632-2271</v>
      </c>
      <c r="B159" t="str">
        <f t="shared" si="9"/>
        <v>2026</v>
      </c>
      <c r="C159" s="18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8" t="s">
        <v>940</v>
      </c>
      <c r="L159" s="21">
        <v>98</v>
      </c>
    </row>
    <row r="160" spans="1:12" x14ac:dyDescent="0.25">
      <c r="A160" t="str">
        <f t="shared" si="8"/>
        <v>2026-Du-Fal-111-680-2263</v>
      </c>
      <c r="B160" t="str">
        <f t="shared" si="9"/>
        <v>2026</v>
      </c>
      <c r="C160" s="18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8" t="s">
        <v>940</v>
      </c>
      <c r="L160" s="21">
        <v>111</v>
      </c>
    </row>
    <row r="161" spans="1:12" x14ac:dyDescent="0.25">
      <c r="A161" t="str">
        <f t="shared" si="8"/>
        <v>2026-Du-Fal-118-719-2264</v>
      </c>
      <c r="B161" t="str">
        <f t="shared" si="9"/>
        <v>2026</v>
      </c>
      <c r="C161" s="18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8" t="s">
        <v>940</v>
      </c>
      <c r="L161" s="21">
        <v>118</v>
      </c>
    </row>
    <row r="162" spans="1:12" x14ac:dyDescent="0.25">
      <c r="A162" t="str">
        <f t="shared" si="8"/>
        <v>2026-Du-Fal-124-761-2263</v>
      </c>
      <c r="B162" t="str">
        <f t="shared" si="9"/>
        <v>2026</v>
      </c>
      <c r="C162" s="18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8" t="s">
        <v>940</v>
      </c>
      <c r="L162" s="21">
        <v>124</v>
      </c>
    </row>
    <row r="163" spans="1:12" x14ac:dyDescent="0.25">
      <c r="A163" t="str">
        <f t="shared" si="8"/>
        <v>2026-Du-Fal-129-796-2256</v>
      </c>
      <c r="B163" t="str">
        <f t="shared" si="9"/>
        <v>2026</v>
      </c>
      <c r="C163" s="18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8" t="s">
        <v>940</v>
      </c>
      <c r="L163" s="21">
        <v>129</v>
      </c>
    </row>
    <row r="164" spans="1:12" x14ac:dyDescent="0.25">
      <c r="A164" t="str">
        <f t="shared" si="8"/>
        <v>2026-Du-Fal-139-848-2257</v>
      </c>
      <c r="B164" t="str">
        <f t="shared" si="9"/>
        <v>2026</v>
      </c>
      <c r="C164" s="18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8" t="s">
        <v>940</v>
      </c>
      <c r="L164" s="21">
        <v>139</v>
      </c>
    </row>
    <row r="165" spans="1:12" x14ac:dyDescent="0.25">
      <c r="A165" t="str">
        <f t="shared" si="8"/>
        <v>1999-EX-RAC-170-730-2830</v>
      </c>
      <c r="B165" t="str">
        <f t="shared" si="9"/>
        <v>1999</v>
      </c>
      <c r="C165" s="18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8" t="s">
        <v>796</v>
      </c>
      <c r="L165" s="21">
        <v>8.8000000000000007</v>
      </c>
    </row>
    <row r="166" spans="1:12" x14ac:dyDescent="0.25">
      <c r="A166" t="str">
        <f t="shared" si="8"/>
        <v>2000-EX-MAG-170-770-2760</v>
      </c>
      <c r="B166" t="str">
        <f t="shared" si="9"/>
        <v>2000</v>
      </c>
      <c r="C166" s="18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8" t="s">
        <v>796</v>
      </c>
      <c r="L166" s="21">
        <v>9</v>
      </c>
    </row>
    <row r="167" spans="1:12" x14ac:dyDescent="0.25">
      <c r="A167" t="str">
        <f t="shared" si="8"/>
        <v>2004-EX-TUR-80-574-2314</v>
      </c>
      <c r="B167" t="str">
        <f t="shared" si="9"/>
        <v>2004</v>
      </c>
      <c r="C167" s="18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8" t="s">
        <v>802</v>
      </c>
      <c r="L167" s="21">
        <v>5.3</v>
      </c>
    </row>
    <row r="168" spans="1:12" x14ac:dyDescent="0.25">
      <c r="A168" t="str">
        <f t="shared" si="8"/>
        <v>2004-EX-TUR-90-620-2350</v>
      </c>
      <c r="B168" t="str">
        <f t="shared" si="9"/>
        <v>2004</v>
      </c>
      <c r="C168" s="18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8" t="s">
        <v>802</v>
      </c>
      <c r="L168" s="21">
        <v>5.6</v>
      </c>
    </row>
    <row r="169" spans="1:12" x14ac:dyDescent="0.25">
      <c r="A169" t="str">
        <f t="shared" si="8"/>
        <v>2004-EX-TUR-100-667-2402</v>
      </c>
      <c r="B169" t="str">
        <f t="shared" si="9"/>
        <v>2004</v>
      </c>
      <c r="C169" s="18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8" t="s">
        <v>802</v>
      </c>
      <c r="L169" s="21">
        <v>6.1</v>
      </c>
    </row>
    <row r="170" spans="1:12" x14ac:dyDescent="0.25">
      <c r="A170" t="str">
        <f t="shared" si="8"/>
        <v>2003-EX-TUR-85-539-2501</v>
      </c>
      <c r="B170" t="str">
        <f t="shared" si="9"/>
        <v>2003</v>
      </c>
      <c r="C170" s="18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8" t="s">
        <v>802</v>
      </c>
      <c r="L170" s="21">
        <v>5.6</v>
      </c>
    </row>
    <row r="171" spans="1:12" x14ac:dyDescent="0.25">
      <c r="A171" t="str">
        <f t="shared" si="8"/>
        <v>2003-EX-TUR-110-654-2590</v>
      </c>
      <c r="B171" t="str">
        <f t="shared" si="9"/>
        <v>2003</v>
      </c>
      <c r="C171" s="18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8" t="s">
        <v>802</v>
      </c>
      <c r="L171" s="21">
        <v>6.6</v>
      </c>
    </row>
    <row r="172" spans="1:12" x14ac:dyDescent="0.25">
      <c r="A172" t="str">
        <f t="shared" si="8"/>
        <v>2003-EX-TUR-128-752-2599</v>
      </c>
      <c r="B172" t="str">
        <f t="shared" si="9"/>
        <v>2003</v>
      </c>
      <c r="C172" s="18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8" t="s">
        <v>802</v>
      </c>
      <c r="L172" s="21">
        <v>7.2</v>
      </c>
    </row>
    <row r="173" spans="1:12" x14ac:dyDescent="0.25">
      <c r="A173" t="str">
        <f t="shared" si="8"/>
        <v>2004-EX-S4-125-806-2348</v>
      </c>
      <c r="B173" t="str">
        <f t="shared" si="9"/>
        <v>2004</v>
      </c>
      <c r="C173" s="18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8" t="s">
        <v>802</v>
      </c>
      <c r="L173" s="21">
        <v>7.4</v>
      </c>
    </row>
    <row r="174" spans="1:12" x14ac:dyDescent="0.25">
      <c r="A174" t="str">
        <f t="shared" si="8"/>
        <v>2004-EX-S3-105-709-2342</v>
      </c>
      <c r="B174" t="str">
        <f t="shared" si="9"/>
        <v>2004</v>
      </c>
      <c r="C174" s="18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8" t="s">
        <v>802</v>
      </c>
      <c r="L174" s="21">
        <v>6.7</v>
      </c>
    </row>
    <row r="175" spans="1:12" x14ac:dyDescent="0.25">
      <c r="A175" t="str">
        <f t="shared" si="8"/>
        <v>2005-EX-WAR-68-507-2302</v>
      </c>
      <c r="B175" t="str">
        <f t="shared" si="9"/>
        <v>2005</v>
      </c>
      <c r="C175" s="18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8" t="s">
        <v>802</v>
      </c>
      <c r="L175" s="21">
        <v>5</v>
      </c>
    </row>
    <row r="176" spans="1:12" x14ac:dyDescent="0.25">
      <c r="A176" t="str">
        <f t="shared" si="8"/>
        <v>2006-EX-S31-105-709-2340</v>
      </c>
      <c r="B176" t="str">
        <f t="shared" si="9"/>
        <v>2006</v>
      </c>
      <c r="C176" s="18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8" t="s">
        <v>894</v>
      </c>
      <c r="L176" s="21">
        <v>6.5</v>
      </c>
    </row>
    <row r="177" spans="1:12" x14ac:dyDescent="0.25">
      <c r="A177" t="str">
        <f t="shared" si="8"/>
        <v>2006-EX-S41-125-808-2350</v>
      </c>
      <c r="B177" t="str">
        <f t="shared" si="9"/>
        <v>2006</v>
      </c>
      <c r="C177" s="18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8" t="s">
        <v>894</v>
      </c>
      <c r="L177" s="21">
        <v>7.1</v>
      </c>
    </row>
    <row r="178" spans="1:12" x14ac:dyDescent="0.25">
      <c r="A178" t="str">
        <f t="shared" si="8"/>
        <v>2007-EX-WAR-80-574-2310</v>
      </c>
      <c r="B178" t="str">
        <f t="shared" si="9"/>
        <v>2007</v>
      </c>
      <c r="C178" s="18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8" t="s">
        <v>812</v>
      </c>
      <c r="L178" s="21">
        <v>5.2</v>
      </c>
    </row>
    <row r="179" spans="1:12" x14ac:dyDescent="0.25">
      <c r="A179" t="str">
        <f t="shared" si="8"/>
        <v>2007-EX-WAR-90-620-2347</v>
      </c>
      <c r="B179" t="str">
        <f t="shared" si="9"/>
        <v>2007</v>
      </c>
      <c r="C179" s="18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8" t="s">
        <v>812</v>
      </c>
      <c r="L179" s="21">
        <v>5.6</v>
      </c>
    </row>
    <row r="180" spans="1:12" x14ac:dyDescent="0.25">
      <c r="A180" t="str">
        <f t="shared" si="8"/>
        <v>2007-EX-WAR-105-669-2400</v>
      </c>
      <c r="B180" t="str">
        <f t="shared" si="9"/>
        <v>2007</v>
      </c>
      <c r="C180" s="18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8" t="s">
        <v>812</v>
      </c>
      <c r="L180" s="21">
        <v>6.3</v>
      </c>
    </row>
    <row r="181" spans="1:12" x14ac:dyDescent="0.25">
      <c r="A181" t="str">
        <f t="shared" si="8"/>
        <v>2007-EX-WAR-125-733-2390</v>
      </c>
      <c r="B181" t="str">
        <f t="shared" si="9"/>
        <v>2007</v>
      </c>
      <c r="C181" s="18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8" t="s">
        <v>812</v>
      </c>
      <c r="L181" s="21">
        <v>7.3</v>
      </c>
    </row>
    <row r="182" spans="1:12" x14ac:dyDescent="0.25">
      <c r="A182" t="str">
        <f t="shared" si="8"/>
        <v>2007-EX-WAR-145-795-2410</v>
      </c>
      <c r="B182" t="str">
        <f t="shared" si="9"/>
        <v>2007</v>
      </c>
      <c r="C182" s="18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8" t="s">
        <v>812</v>
      </c>
      <c r="L182" s="21">
        <v>7.7</v>
      </c>
    </row>
    <row r="183" spans="1:12" x14ac:dyDescent="0.25">
      <c r="A183" t="str">
        <f t="shared" si="8"/>
        <v>2008-EX-War-82-565-2346</v>
      </c>
      <c r="B183" t="str">
        <f t="shared" si="9"/>
        <v>2008</v>
      </c>
      <c r="C183" s="18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8" t="s">
        <v>824</v>
      </c>
      <c r="L183" s="21">
        <v>5</v>
      </c>
    </row>
    <row r="184" spans="1:12" x14ac:dyDescent="0.25">
      <c r="A184" t="str">
        <f t="shared" si="8"/>
        <v>2008-EX-War-94-615-2387</v>
      </c>
      <c r="B184" t="str">
        <f t="shared" si="9"/>
        <v>2008</v>
      </c>
      <c r="C184" s="18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8" t="s">
        <v>824</v>
      </c>
      <c r="L184" s="21">
        <v>5.4</v>
      </c>
    </row>
    <row r="185" spans="1:12" x14ac:dyDescent="0.25">
      <c r="A185" t="str">
        <f t="shared" si="8"/>
        <v>2008-EX-War-105-665-2424</v>
      </c>
      <c r="B185" t="str">
        <f t="shared" si="9"/>
        <v>2008</v>
      </c>
      <c r="C185" s="18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8" t="s">
        <v>824</v>
      </c>
      <c r="L185" s="21">
        <v>6</v>
      </c>
    </row>
    <row r="186" spans="1:12" x14ac:dyDescent="0.25">
      <c r="A186" t="str">
        <f t="shared" si="8"/>
        <v>2008-EX-War-118-704-2453</v>
      </c>
      <c r="B186" t="str">
        <f t="shared" si="9"/>
        <v>2008</v>
      </c>
      <c r="C186" s="18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8" t="s">
        <v>824</v>
      </c>
      <c r="L186" s="21">
        <v>6.8</v>
      </c>
    </row>
    <row r="187" spans="1:12" x14ac:dyDescent="0.25">
      <c r="A187" t="str">
        <f t="shared" si="8"/>
        <v>2008-EX-War-120-759-2480</v>
      </c>
      <c r="B187" t="str">
        <f t="shared" si="9"/>
        <v>2008</v>
      </c>
      <c r="C187" s="18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8" t="s">
        <v>824</v>
      </c>
      <c r="L187" s="21">
        <v>7.5</v>
      </c>
    </row>
    <row r="188" spans="1:12" x14ac:dyDescent="0.25">
      <c r="A188" t="str">
        <f t="shared" si="8"/>
        <v>2008-EX-War-145-850-2498</v>
      </c>
      <c r="B188" t="str">
        <f t="shared" si="9"/>
        <v>2008</v>
      </c>
      <c r="C188" s="18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8" t="s">
        <v>824</v>
      </c>
      <c r="L188" s="21">
        <v>8.1999999999999993</v>
      </c>
    </row>
    <row r="189" spans="1:12" x14ac:dyDescent="0.25">
      <c r="A189" t="str">
        <f t="shared" si="8"/>
        <v>2009-EX-War-66-508-2300</v>
      </c>
      <c r="B189" t="str">
        <f t="shared" si="9"/>
        <v>2009</v>
      </c>
      <c r="C189" s="18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8" t="s">
        <v>824</v>
      </c>
      <c r="L189" s="21">
        <v>4.8</v>
      </c>
    </row>
    <row r="190" spans="1:12" x14ac:dyDescent="0.25">
      <c r="A190" t="str">
        <f t="shared" si="8"/>
        <v>2009-EX-War-129-777-2467</v>
      </c>
      <c r="B190" t="str">
        <f t="shared" si="9"/>
        <v>2009</v>
      </c>
      <c r="C190" s="18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8" t="s">
        <v>839</v>
      </c>
      <c r="L190" s="21">
        <v>6.9</v>
      </c>
    </row>
    <row r="191" spans="1:12" x14ac:dyDescent="0.25">
      <c r="A191" t="str">
        <f t="shared" si="8"/>
        <v>11-EX-RS5-115-730-2274</v>
      </c>
      <c r="B191" t="str">
        <f t="shared" si="9"/>
        <v>11</v>
      </c>
      <c r="C191" s="18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8" t="s">
        <v>842</v>
      </c>
      <c r="L191" s="21">
        <v>6.4</v>
      </c>
    </row>
    <row r="192" spans="1:12" x14ac:dyDescent="0.25">
      <c r="A192" t="str">
        <f t="shared" si="8"/>
        <v>11-EX-RS6-130-820-2300</v>
      </c>
      <c r="B192" t="str">
        <f t="shared" si="9"/>
        <v>11</v>
      </c>
      <c r="C192" s="18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8" t="s">
        <v>842</v>
      </c>
      <c r="L192" s="21">
        <v>6.7</v>
      </c>
    </row>
    <row r="193" spans="1:12" x14ac:dyDescent="0.25">
      <c r="A193" t="str">
        <f t="shared" si="8"/>
        <v>11-EX-RS1-80-554-2320</v>
      </c>
      <c r="B193" t="str">
        <f t="shared" si="9"/>
        <v>11</v>
      </c>
      <c r="C193" s="18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8" t="s">
        <v>842</v>
      </c>
      <c r="L193" s="21">
        <v>5.0999999999999996</v>
      </c>
    </row>
    <row r="194" spans="1:12" x14ac:dyDescent="0.25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8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8" t="s">
        <v>842</v>
      </c>
      <c r="L194" s="21">
        <v>5.5</v>
      </c>
    </row>
    <row r="195" spans="1:12" x14ac:dyDescent="0.25">
      <c r="A195" t="str">
        <f t="shared" si="12"/>
        <v>11-EX-RS3-100-646-2330</v>
      </c>
      <c r="B195" t="str">
        <f t="shared" si="13"/>
        <v>11</v>
      </c>
      <c r="C195" s="18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8" t="s">
        <v>842</v>
      </c>
      <c r="L195" s="21">
        <v>5.8</v>
      </c>
    </row>
    <row r="196" spans="1:12" x14ac:dyDescent="0.25">
      <c r="A196" t="str">
        <f t="shared" si="12"/>
        <v>11-EX-RS4-110-685-2330</v>
      </c>
      <c r="B196" t="str">
        <f t="shared" si="13"/>
        <v>11</v>
      </c>
      <c r="C196" s="18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8" t="s">
        <v>842</v>
      </c>
      <c r="L196" s="21">
        <v>6.1</v>
      </c>
    </row>
    <row r="197" spans="1:12" x14ac:dyDescent="0.25">
      <c r="A197" t="str">
        <f t="shared" si="12"/>
        <v>12-EX-RS1-80-554-2348</v>
      </c>
      <c r="B197" t="str">
        <f t="shared" si="13"/>
        <v>12</v>
      </c>
      <c r="C197" s="18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8" t="s">
        <v>927</v>
      </c>
      <c r="L197" s="21">
        <v>5.0999999999999996</v>
      </c>
    </row>
    <row r="198" spans="1:12" x14ac:dyDescent="0.25">
      <c r="A198" t="str">
        <f t="shared" si="12"/>
        <v>12-EX-RS2-90-590-2350</v>
      </c>
      <c r="B198" t="str">
        <f t="shared" si="13"/>
        <v>12</v>
      </c>
      <c r="C198" s="18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8" t="s">
        <v>927</v>
      </c>
      <c r="L198" s="21">
        <v>5.9</v>
      </c>
    </row>
    <row r="199" spans="1:12" x14ac:dyDescent="0.25">
      <c r="A199" t="str">
        <f t="shared" si="12"/>
        <v>12-EX-RS3-100-646-2350</v>
      </c>
      <c r="B199" t="str">
        <f t="shared" si="13"/>
        <v>12</v>
      </c>
      <c r="C199" s="18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8" t="s">
        <v>927</v>
      </c>
      <c r="L199" s="21">
        <v>5.8</v>
      </c>
    </row>
    <row r="200" spans="1:12" x14ac:dyDescent="0.25">
      <c r="A200" t="str">
        <f t="shared" si="12"/>
        <v>12-EX-RS4-111-685-2350</v>
      </c>
      <c r="B200" t="str">
        <f t="shared" si="13"/>
        <v>12</v>
      </c>
      <c r="C200" s="18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8" t="s">
        <v>927</v>
      </c>
      <c r="L200" s="21">
        <v>6.1</v>
      </c>
    </row>
    <row r="201" spans="1:12" x14ac:dyDescent="0.25">
      <c r="A201" t="str">
        <f t="shared" si="12"/>
        <v>12-EX-RS5-122-761-2295</v>
      </c>
      <c r="B201" t="str">
        <f t="shared" si="13"/>
        <v>12</v>
      </c>
      <c r="C201" s="18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8" t="s">
        <v>927</v>
      </c>
      <c r="L201" s="21">
        <v>7</v>
      </c>
    </row>
    <row r="202" spans="1:12" x14ac:dyDescent="0.25">
      <c r="A202" t="str">
        <f t="shared" si="12"/>
        <v>12-EX-RS6-134-822-2296</v>
      </c>
      <c r="B202" t="str">
        <f t="shared" si="13"/>
        <v>12</v>
      </c>
      <c r="C202" s="18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8" t="s">
        <v>927</v>
      </c>
      <c r="L202" s="21">
        <v>7.5</v>
      </c>
    </row>
    <row r="203" spans="1:12" x14ac:dyDescent="0.25">
      <c r="A203" t="str">
        <f t="shared" si="12"/>
        <v>14-EX-RS5-125-792-2327</v>
      </c>
      <c r="B203" t="str">
        <f t="shared" si="13"/>
        <v>14</v>
      </c>
      <c r="C203" s="18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8" t="s">
        <v>731</v>
      </c>
      <c r="L203" s="21">
        <v>7.4</v>
      </c>
    </row>
    <row r="204" spans="1:12" x14ac:dyDescent="0.25">
      <c r="A204" t="str">
        <f t="shared" si="12"/>
        <v>14-EX-RS6-138-851-2326</v>
      </c>
      <c r="B204" t="str">
        <f t="shared" si="13"/>
        <v>14</v>
      </c>
      <c r="C204" s="18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8" t="s">
        <v>731</v>
      </c>
      <c r="L204" s="21">
        <v>7.8</v>
      </c>
    </row>
    <row r="205" spans="1:12" x14ac:dyDescent="0.25">
      <c r="A205" t="str">
        <f t="shared" si="12"/>
        <v>2016-EX-RS2-89-60-2349</v>
      </c>
      <c r="B205" t="str">
        <f t="shared" si="13"/>
        <v>2016</v>
      </c>
      <c r="C205" s="18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8" t="s">
        <v>983</v>
      </c>
      <c r="L205" s="21">
        <v>5.8</v>
      </c>
    </row>
    <row r="206" spans="1:12" x14ac:dyDescent="0.25">
      <c r="A206" t="str">
        <f t="shared" si="12"/>
        <v>2016-EX-RS3-100-650-2347</v>
      </c>
      <c r="B206" t="str">
        <f t="shared" si="13"/>
        <v>2016</v>
      </c>
      <c r="C206" s="18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8" t="s">
        <v>983</v>
      </c>
      <c r="L206" s="21">
        <v>6.3</v>
      </c>
    </row>
    <row r="207" spans="1:12" x14ac:dyDescent="0.25">
      <c r="A207" t="str">
        <f t="shared" si="12"/>
        <v>2016-EX-RS4-111-691-2344</v>
      </c>
      <c r="B207" t="str">
        <f t="shared" si="13"/>
        <v>2016</v>
      </c>
      <c r="C207" s="18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8" t="s">
        <v>983</v>
      </c>
      <c r="L207" s="21">
        <v>6.8</v>
      </c>
    </row>
    <row r="208" spans="1:12" x14ac:dyDescent="0.25">
      <c r="A208" t="str">
        <f t="shared" si="12"/>
        <v>2016-EX-RS6-154-823-2346</v>
      </c>
      <c r="B208" t="str">
        <f t="shared" si="13"/>
        <v>2016</v>
      </c>
      <c r="C208" s="18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8" t="s">
        <v>983</v>
      </c>
      <c r="L208" s="21">
        <v>8.1</v>
      </c>
    </row>
    <row r="209" spans="1:12" x14ac:dyDescent="0.25">
      <c r="A209" t="str">
        <f t="shared" si="12"/>
        <v>2018-EX-RS1-76-546-2335</v>
      </c>
      <c r="B209" t="str">
        <f t="shared" si="13"/>
        <v>2018</v>
      </c>
      <c r="C209" s="18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8" t="s">
        <v>984</v>
      </c>
      <c r="L209" s="21">
        <v>5.8</v>
      </c>
    </row>
    <row r="210" spans="1:12" x14ac:dyDescent="0.25">
      <c r="A210" t="str">
        <f t="shared" si="12"/>
        <v>2018-EX-RS2-89-599-2342</v>
      </c>
      <c r="B210" t="str">
        <f t="shared" si="13"/>
        <v>2018</v>
      </c>
      <c r="C210" s="18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8" t="s">
        <v>984</v>
      </c>
      <c r="L210" s="21">
        <v>6.4</v>
      </c>
    </row>
    <row r="211" spans="1:12" x14ac:dyDescent="0.25">
      <c r="A211" t="str">
        <f t="shared" si="12"/>
        <v>2018-EX-RS3-99-639-2297</v>
      </c>
      <c r="B211" t="str">
        <f t="shared" si="13"/>
        <v>2018</v>
      </c>
      <c r="C211" s="18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8" t="s">
        <v>984</v>
      </c>
      <c r="L211" s="21">
        <v>6.7</v>
      </c>
    </row>
    <row r="212" spans="1:12" x14ac:dyDescent="0.25">
      <c r="A212" t="str">
        <f t="shared" si="12"/>
        <v>2018-EX-RS4-106-688-2288</v>
      </c>
      <c r="B212" t="str">
        <f t="shared" si="13"/>
        <v>2018</v>
      </c>
      <c r="C212" s="18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8" t="s">
        <v>984</v>
      </c>
      <c r="L212" s="21">
        <v>7.3</v>
      </c>
    </row>
    <row r="213" spans="1:12" x14ac:dyDescent="0.25">
      <c r="A213" t="str">
        <f t="shared" si="12"/>
        <v>2018-EX-RS5-128-772-2302</v>
      </c>
      <c r="B213" t="str">
        <f t="shared" si="13"/>
        <v>2018</v>
      </c>
      <c r="C213" s="18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8" t="s">
        <v>984</v>
      </c>
      <c r="L213" s="21">
        <v>7.9</v>
      </c>
    </row>
    <row r="214" spans="1:12" x14ac:dyDescent="0.25">
      <c r="A214" t="str">
        <f t="shared" si="12"/>
        <v>2018-EX-RS6-154-821-2346</v>
      </c>
      <c r="B214" t="str">
        <f t="shared" si="13"/>
        <v>2018</v>
      </c>
      <c r="C214" s="18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8" t="s">
        <v>984</v>
      </c>
      <c r="L214" s="21">
        <v>9.1999999999999993</v>
      </c>
    </row>
    <row r="215" spans="1:12" x14ac:dyDescent="0.25">
      <c r="A215" t="str">
        <f t="shared" si="12"/>
        <v>2020-EX-RS -79-581-2291</v>
      </c>
      <c r="B215" t="str">
        <f t="shared" si="13"/>
        <v>2020</v>
      </c>
      <c r="C215" s="18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8" t="s">
        <v>986</v>
      </c>
      <c r="L215" s="21">
        <v>6.2</v>
      </c>
    </row>
    <row r="216" spans="1:12" x14ac:dyDescent="0.25">
      <c r="A216" t="str">
        <f t="shared" si="12"/>
        <v>2020-EX-RS -94-620-2293</v>
      </c>
      <c r="B216" t="str">
        <f t="shared" si="13"/>
        <v>2020</v>
      </c>
      <c r="C216" s="18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8" t="s">
        <v>986</v>
      </c>
      <c r="L216" s="21">
        <v>6.6</v>
      </c>
    </row>
    <row r="217" spans="1:12" x14ac:dyDescent="0.25">
      <c r="A217" t="str">
        <f t="shared" si="12"/>
        <v>2020-EX-RS -117-710-2293</v>
      </c>
      <c r="B217" t="str">
        <f t="shared" si="13"/>
        <v>2020</v>
      </c>
      <c r="C217" s="18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8" t="s">
        <v>986</v>
      </c>
      <c r="L217" s="21">
        <v>7.4</v>
      </c>
    </row>
    <row r="218" spans="1:12" x14ac:dyDescent="0.25">
      <c r="A218" t="str">
        <f t="shared" si="12"/>
        <v>2020-EX-RS -145-849-2295</v>
      </c>
      <c r="B218" t="str">
        <f t="shared" si="13"/>
        <v>2020</v>
      </c>
      <c r="C218" s="18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8" t="s">
        <v>986</v>
      </c>
      <c r="L218" s="21">
        <v>8.5</v>
      </c>
    </row>
    <row r="219" spans="1:12" x14ac:dyDescent="0.25">
      <c r="A219" t="str">
        <f t="shared" si="12"/>
        <v>2024-EX-RS -86-580-2320</v>
      </c>
      <c r="B219" t="str">
        <f t="shared" si="13"/>
        <v>2024</v>
      </c>
      <c r="C219" s="18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8" t="s">
        <v>991</v>
      </c>
      <c r="L219" s="21">
        <v>6.1</v>
      </c>
    </row>
    <row r="220" spans="1:12" x14ac:dyDescent="0.25">
      <c r="A220" t="str">
        <f t="shared" si="12"/>
        <v>2024-EX-RS -95-620-2320</v>
      </c>
      <c r="B220" t="str">
        <f t="shared" si="13"/>
        <v>2024</v>
      </c>
      <c r="C220" s="18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8" t="s">
        <v>991</v>
      </c>
      <c r="L220" s="21">
        <v>6.5</v>
      </c>
    </row>
    <row r="221" spans="1:12" x14ac:dyDescent="0.25">
      <c r="A221" t="str">
        <f t="shared" si="12"/>
        <v>2024-EX-RS -118-710-2334</v>
      </c>
      <c r="B221" t="str">
        <f t="shared" si="13"/>
        <v>2024</v>
      </c>
      <c r="C221" s="18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8" t="s">
        <v>991</v>
      </c>
      <c r="L221" s="21">
        <v>7.4</v>
      </c>
    </row>
    <row r="222" spans="1:12" x14ac:dyDescent="0.25">
      <c r="A222" t="str">
        <f t="shared" si="12"/>
        <v>2024-EX-RS -142-850-2320</v>
      </c>
      <c r="B222" t="str">
        <f t="shared" si="13"/>
        <v>2024</v>
      </c>
      <c r="C222" s="18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8" t="s">
        <v>991</v>
      </c>
      <c r="L222" s="21">
        <v>8.6999999999999993</v>
      </c>
    </row>
    <row r="223" spans="1:12" x14ac:dyDescent="0.25">
      <c r="A223" t="str">
        <f t="shared" si="12"/>
        <v>2024-EX-RF -187-810-2088</v>
      </c>
      <c r="B223" t="str">
        <f t="shared" si="13"/>
        <v>2024</v>
      </c>
      <c r="C223" s="18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8" t="s">
        <v>991</v>
      </c>
      <c r="L223" s="21">
        <v>10.9</v>
      </c>
    </row>
    <row r="224" spans="1:12" x14ac:dyDescent="0.25">
      <c r="A224" t="str">
        <f t="shared" si="12"/>
        <v>2024-EX-RF -187-810-2088</v>
      </c>
      <c r="B224" t="str">
        <f t="shared" si="13"/>
        <v>2024</v>
      </c>
      <c r="C224" s="18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8" t="s">
        <v>991</v>
      </c>
      <c r="L224" s="21">
        <v>9.3000000000000007</v>
      </c>
    </row>
    <row r="225" spans="1:12" x14ac:dyDescent="0.25">
      <c r="A225" t="str">
        <f t="shared" si="12"/>
        <v>2024-EX-RF -214-850-2100</v>
      </c>
      <c r="B225" t="str">
        <f t="shared" si="13"/>
        <v>2024</v>
      </c>
      <c r="C225" s="18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8" t="s">
        <v>991</v>
      </c>
      <c r="L225" s="21">
        <v>10.7</v>
      </c>
    </row>
    <row r="226" spans="1:12" x14ac:dyDescent="0.25">
      <c r="A226" t="str">
        <f t="shared" si="12"/>
        <v>2024-EX-RF -229-910-2100</v>
      </c>
      <c r="B226" t="str">
        <f t="shared" si="13"/>
        <v>2024</v>
      </c>
      <c r="C226" s="18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8" t="s">
        <v>991</v>
      </c>
      <c r="L226" s="21">
        <v>11.3</v>
      </c>
    </row>
    <row r="227" spans="1:12" x14ac:dyDescent="0.25">
      <c r="A227" t="str">
        <f t="shared" si="12"/>
        <v>2005-F2-MIS-66-504-2280</v>
      </c>
      <c r="B227" t="str">
        <f t="shared" si="13"/>
        <v>2005</v>
      </c>
      <c r="C227" s="18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8" t="s">
        <v>802</v>
      </c>
      <c r="L227" s="21">
        <v>4.8</v>
      </c>
    </row>
    <row r="228" spans="1:12" x14ac:dyDescent="0.25">
      <c r="A228" t="str">
        <f t="shared" si="12"/>
        <v>2001-F2-T'M-83-530-2670</v>
      </c>
      <c r="B228" t="str">
        <f t="shared" si="13"/>
        <v>2001</v>
      </c>
      <c r="C228" s="18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8" t="s">
        <v>796</v>
      </c>
      <c r="L228" s="21">
        <v>5.6</v>
      </c>
    </row>
    <row r="229" spans="1:12" x14ac:dyDescent="0.25">
      <c r="A229" t="str">
        <f t="shared" si="12"/>
        <v>2001-F2-T'M-95-560-2710</v>
      </c>
      <c r="B229" t="str">
        <f t="shared" si="13"/>
        <v>2001</v>
      </c>
      <c r="C229" s="18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8" t="s">
        <v>796</v>
      </c>
      <c r="L229" s="21">
        <v>5.9</v>
      </c>
    </row>
    <row r="230" spans="1:12" x14ac:dyDescent="0.25">
      <c r="A230" t="str">
        <f t="shared" si="12"/>
        <v>1999-F2-THO-93-550-2690</v>
      </c>
      <c r="B230" t="str">
        <f t="shared" si="13"/>
        <v>1999</v>
      </c>
      <c r="C230" s="18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8" t="s">
        <v>793</v>
      </c>
      <c r="L230" s="21">
        <v>5.9</v>
      </c>
    </row>
    <row r="231" spans="1:12" x14ac:dyDescent="0.25">
      <c r="A231" t="str">
        <f t="shared" si="12"/>
        <v>1999-F2-T'M-156-680-2780</v>
      </c>
      <c r="B231" t="str">
        <f t="shared" si="13"/>
        <v>1999</v>
      </c>
      <c r="C231" s="18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8" t="s">
        <v>793</v>
      </c>
      <c r="L231" s="21">
        <v>7.4</v>
      </c>
    </row>
    <row r="232" spans="1:12" x14ac:dyDescent="0.25">
      <c r="A232" t="str">
        <f t="shared" si="12"/>
        <v>1999-F2-T'M-171-730-2780</v>
      </c>
      <c r="B232" t="str">
        <f t="shared" si="13"/>
        <v>1999</v>
      </c>
      <c r="C232" s="18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8" t="s">
        <v>793</v>
      </c>
      <c r="L232" s="21">
        <v>8.4</v>
      </c>
    </row>
    <row r="233" spans="1:12" x14ac:dyDescent="0.25">
      <c r="A233" t="str">
        <f t="shared" si="12"/>
        <v>2000-F2-T'M-171-720-2790</v>
      </c>
      <c r="B233" t="str">
        <f t="shared" si="13"/>
        <v>2000</v>
      </c>
      <c r="C233" s="18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8" t="s">
        <v>796</v>
      </c>
      <c r="L233" s="21">
        <v>8.4</v>
      </c>
    </row>
    <row r="234" spans="1:12" x14ac:dyDescent="0.25">
      <c r="A234" t="str">
        <f t="shared" si="12"/>
        <v>2001-F2-T'M-168-750-2780</v>
      </c>
      <c r="B234" t="str">
        <f t="shared" si="13"/>
        <v>2001</v>
      </c>
      <c r="C234" s="18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8" t="s">
        <v>796</v>
      </c>
      <c r="L234" s="21">
        <v>8.1999999999999993</v>
      </c>
    </row>
    <row r="235" spans="1:12" x14ac:dyDescent="0.25">
      <c r="A235" t="str">
        <f t="shared" si="12"/>
        <v>2000-F2-T'M-185-800-2800</v>
      </c>
      <c r="B235" t="str">
        <f t="shared" si="13"/>
        <v>2000</v>
      </c>
      <c r="C235" s="18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8" t="s">
        <v>796</v>
      </c>
      <c r="L235" s="21">
        <v>8.6</v>
      </c>
    </row>
    <row r="236" spans="1:12" x14ac:dyDescent="0.25">
      <c r="A236" t="str">
        <f t="shared" si="12"/>
        <v>2003-F2-X-S-110-641-2683</v>
      </c>
      <c r="B236" t="str">
        <f t="shared" si="13"/>
        <v>2003</v>
      </c>
      <c r="C236" s="18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8" t="s">
        <v>1010</v>
      </c>
      <c r="L236" s="21">
        <v>6.5</v>
      </c>
    </row>
    <row r="237" spans="1:12" x14ac:dyDescent="0.25">
      <c r="A237" t="str">
        <f t="shared" si="12"/>
        <v>2003-F2-X-S-125-670-2683</v>
      </c>
      <c r="B237" t="str">
        <f t="shared" si="13"/>
        <v>2003</v>
      </c>
      <c r="C237" s="18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8" t="s">
        <v>799</v>
      </c>
      <c r="L237" s="21">
        <v>6.9</v>
      </c>
    </row>
    <row r="238" spans="1:12" x14ac:dyDescent="0.25">
      <c r="A238" t="str">
        <f t="shared" si="12"/>
        <v>2001-F2-X-S-152-769-2750</v>
      </c>
      <c r="B238" t="str">
        <f t="shared" si="13"/>
        <v>2001</v>
      </c>
      <c r="C238" s="18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8" t="s">
        <v>1010</v>
      </c>
      <c r="L238" s="21">
        <v>8.1999999999999993</v>
      </c>
    </row>
    <row r="239" spans="1:12" x14ac:dyDescent="0.25">
      <c r="A239" t="str">
        <f t="shared" si="12"/>
        <v>2005-F2-SX -90-585-2298</v>
      </c>
      <c r="B239" t="str">
        <f t="shared" si="13"/>
        <v>2005</v>
      </c>
      <c r="C239" s="18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8" t="s">
        <v>894</v>
      </c>
      <c r="L239" s="21">
        <v>5.4</v>
      </c>
    </row>
    <row r="240" spans="1:12" x14ac:dyDescent="0.25">
      <c r="A240" t="str">
        <f t="shared" si="12"/>
        <v>2004-F2-SX -141-770-2590</v>
      </c>
      <c r="B240" t="str">
        <f t="shared" si="13"/>
        <v>2004</v>
      </c>
      <c r="C240" s="18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8" t="s">
        <v>799</v>
      </c>
      <c r="L240" s="21">
        <v>7.5</v>
      </c>
    </row>
    <row r="241" spans="1:12" x14ac:dyDescent="0.25">
      <c r="A241" t="str">
        <f t="shared" si="12"/>
        <v>2004-F2-SX -111-672-2394</v>
      </c>
      <c r="B241" t="str">
        <f t="shared" si="13"/>
        <v>2004</v>
      </c>
      <c r="C241" s="18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8" t="s">
        <v>802</v>
      </c>
      <c r="L241" s="21">
        <v>5.8</v>
      </c>
    </row>
    <row r="242" spans="1:12" x14ac:dyDescent="0.25">
      <c r="A242" t="str">
        <f t="shared" si="12"/>
        <v>2005-F2-SX -105-678-2344</v>
      </c>
      <c r="B242" t="str">
        <f t="shared" si="13"/>
        <v>2005</v>
      </c>
      <c r="C242" s="18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8" t="s">
        <v>894</v>
      </c>
      <c r="L242" s="21">
        <v>5.9</v>
      </c>
    </row>
    <row r="243" spans="1:12" x14ac:dyDescent="0.25">
      <c r="A243" t="str">
        <f t="shared" si="12"/>
        <v>2004-F2-SX -108-670-2490</v>
      </c>
      <c r="B243" t="str">
        <f t="shared" si="13"/>
        <v>2004</v>
      </c>
      <c r="C243" s="18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8" t="s">
        <v>799</v>
      </c>
      <c r="L243" s="21">
        <v>6.5</v>
      </c>
    </row>
    <row r="244" spans="1:12" x14ac:dyDescent="0.25">
      <c r="A244" t="str">
        <f t="shared" si="12"/>
        <v>2004-F2-SX -141-786-2465</v>
      </c>
      <c r="B244" t="str">
        <f t="shared" si="13"/>
        <v>2004</v>
      </c>
      <c r="C244" s="18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8" t="s">
        <v>802</v>
      </c>
      <c r="L244" s="21">
        <v>6.8</v>
      </c>
    </row>
    <row r="245" spans="1:12" x14ac:dyDescent="0.25">
      <c r="A245" t="str">
        <f t="shared" si="12"/>
        <v>2005-F2-SX -135-793-2394</v>
      </c>
      <c r="B245" t="str">
        <f t="shared" si="13"/>
        <v>2005</v>
      </c>
      <c r="C245" s="18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8" t="s">
        <v>894</v>
      </c>
      <c r="L245" s="21">
        <v>6.9</v>
      </c>
    </row>
    <row r="246" spans="1:12" x14ac:dyDescent="0.25">
      <c r="A246" t="str">
        <f t="shared" si="12"/>
        <v>2006-F2-SX -84-579-2288</v>
      </c>
      <c r="B246" t="str">
        <f t="shared" si="13"/>
        <v>2006</v>
      </c>
      <c r="C246" s="18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8" t="s">
        <v>894</v>
      </c>
      <c r="L246" s="21">
        <v>5.9</v>
      </c>
    </row>
    <row r="247" spans="1:12" x14ac:dyDescent="0.25">
      <c r="A247" t="str">
        <f t="shared" si="12"/>
        <v>2006-F2-SX -102-678-2320</v>
      </c>
      <c r="B247" t="str">
        <f t="shared" si="13"/>
        <v>2006</v>
      </c>
      <c r="C247" s="18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8" t="s">
        <v>894</v>
      </c>
      <c r="L247" s="21">
        <v>6.4</v>
      </c>
    </row>
    <row r="248" spans="1:12" x14ac:dyDescent="0.25">
      <c r="A248" t="str">
        <f t="shared" si="12"/>
        <v>2006-F2-SX -123-794-2400</v>
      </c>
      <c r="B248" t="str">
        <f t="shared" si="13"/>
        <v>2006</v>
      </c>
      <c r="C248" s="18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8" t="s">
        <v>894</v>
      </c>
      <c r="L248" s="21">
        <v>6.8</v>
      </c>
    </row>
    <row r="249" spans="1:12" x14ac:dyDescent="0.25">
      <c r="A249" t="str">
        <f t="shared" si="12"/>
        <v>2006-F2-MIS-63-482-2240</v>
      </c>
      <c r="B249" t="str">
        <f t="shared" si="13"/>
        <v>2006</v>
      </c>
      <c r="C249" s="18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8" t="s">
        <v>894</v>
      </c>
      <c r="L249" s="21">
        <v>5.5</v>
      </c>
    </row>
    <row r="250" spans="1:12" x14ac:dyDescent="0.25">
      <c r="A250" t="str">
        <f t="shared" si="12"/>
        <v>2006-F2-MIS-54-432-2235</v>
      </c>
      <c r="B250" t="str">
        <f t="shared" si="13"/>
        <v>2006</v>
      </c>
      <c r="C250" s="18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8" t="s">
        <v>812</v>
      </c>
      <c r="L250" s="21">
        <v>4.5</v>
      </c>
    </row>
    <row r="251" spans="1:12" x14ac:dyDescent="0.25">
      <c r="A251" t="str">
        <f t="shared" si="12"/>
        <v>2006-F2-MIS-63-482-2250</v>
      </c>
      <c r="B251" t="str">
        <f t="shared" si="13"/>
        <v>2006</v>
      </c>
      <c r="C251" s="18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8" t="s">
        <v>812</v>
      </c>
      <c r="L251" s="21">
        <v>4.8</v>
      </c>
    </row>
    <row r="252" spans="1:12" x14ac:dyDescent="0.25">
      <c r="A252" t="str">
        <f t="shared" si="12"/>
        <v>2006-F2-SX -81-539-2337</v>
      </c>
      <c r="B252" t="str">
        <f t="shared" si="13"/>
        <v>2006</v>
      </c>
      <c r="C252" s="18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8" t="s">
        <v>812</v>
      </c>
      <c r="L252" s="21">
        <v>5.4</v>
      </c>
    </row>
    <row r="253" spans="1:12" x14ac:dyDescent="0.25">
      <c r="A253" t="str">
        <f t="shared" si="12"/>
        <v>2006-F2-SX -102-678-2325</v>
      </c>
      <c r="B253" t="str">
        <f t="shared" si="13"/>
        <v>2006</v>
      </c>
      <c r="C253" s="18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8" t="s">
        <v>812</v>
      </c>
      <c r="L253" s="21">
        <v>6.8</v>
      </c>
    </row>
    <row r="254" spans="1:12" x14ac:dyDescent="0.25">
      <c r="A254" t="str">
        <f t="shared" si="12"/>
        <v>2006-F2-SX -123-750-2300</v>
      </c>
      <c r="B254" t="str">
        <f t="shared" si="13"/>
        <v>2006</v>
      </c>
      <c r="C254" s="18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8" t="s">
        <v>812</v>
      </c>
      <c r="L254" s="21">
        <v>7.3</v>
      </c>
    </row>
    <row r="255" spans="1:12" x14ac:dyDescent="0.25">
      <c r="A255" t="str">
        <f t="shared" si="12"/>
        <v>2006-F2-SX -84-579-2288</v>
      </c>
      <c r="B255" t="str">
        <f t="shared" si="13"/>
        <v>2006</v>
      </c>
      <c r="C255" s="18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8" t="s">
        <v>812</v>
      </c>
      <c r="L255" s="21">
        <v>5.9</v>
      </c>
    </row>
    <row r="256" spans="1:12" x14ac:dyDescent="0.25">
      <c r="A256" t="str">
        <f t="shared" si="12"/>
        <v>2006-F2-SX -135-800-2315</v>
      </c>
      <c r="B256" t="str">
        <f t="shared" si="13"/>
        <v>2006</v>
      </c>
      <c r="C256" s="18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8" t="s">
        <v>812</v>
      </c>
      <c r="L256" s="21">
        <v>7.8</v>
      </c>
    </row>
    <row r="257" spans="1:12" x14ac:dyDescent="0.25">
      <c r="A257" t="str">
        <f t="shared" si="12"/>
        <v>2006-F2-SX -147-850-2325</v>
      </c>
      <c r="B257" t="str">
        <f t="shared" si="13"/>
        <v>2006</v>
      </c>
      <c r="C257" s="18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8" t="s">
        <v>812</v>
      </c>
      <c r="L257" s="21">
        <v>8.3000000000000007</v>
      </c>
    </row>
    <row r="258" spans="1:12" x14ac:dyDescent="0.25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8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8" t="s">
        <v>819</v>
      </c>
      <c r="L258" s="21">
        <v>4.5</v>
      </c>
    </row>
    <row r="259" spans="1:12" x14ac:dyDescent="0.25">
      <c r="A259" t="str">
        <f t="shared" si="16"/>
        <v>2007-F2-MIS-54-432-2235</v>
      </c>
      <c r="B259" t="str">
        <f t="shared" si="17"/>
        <v>2007</v>
      </c>
      <c r="C259" s="18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8" t="s">
        <v>819</v>
      </c>
      <c r="L259" s="21">
        <v>3.9</v>
      </c>
    </row>
    <row r="260" spans="1:12" x14ac:dyDescent="0.25">
      <c r="A260" t="str">
        <f t="shared" si="16"/>
        <v>2008-F2-SX--81-539-2307</v>
      </c>
      <c r="B260" t="str">
        <f t="shared" si="17"/>
        <v>2008</v>
      </c>
      <c r="C260" s="18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8" t="s">
        <v>824</v>
      </c>
      <c r="L260" s="21">
        <v>5.14</v>
      </c>
    </row>
    <row r="261" spans="1:12" x14ac:dyDescent="0.25">
      <c r="A261" t="str">
        <f t="shared" si="16"/>
        <v>2008-F2-SX--90-571-2312</v>
      </c>
      <c r="B261" t="str">
        <f t="shared" si="17"/>
        <v>2008</v>
      </c>
      <c r="C261" s="18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8" t="s">
        <v>824</v>
      </c>
      <c r="L261" s="21">
        <v>5.36</v>
      </c>
    </row>
    <row r="262" spans="1:12" x14ac:dyDescent="0.25">
      <c r="A262" t="str">
        <f t="shared" si="16"/>
        <v>2008-F2-SX--102-678-2295</v>
      </c>
      <c r="B262" t="str">
        <f t="shared" si="17"/>
        <v>2008</v>
      </c>
      <c r="C262" s="18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8" t="s">
        <v>824</v>
      </c>
      <c r="L262" s="21">
        <v>6.42</v>
      </c>
    </row>
    <row r="263" spans="1:12" x14ac:dyDescent="0.25">
      <c r="A263" t="str">
        <f t="shared" si="16"/>
        <v>2008-F2-SX--123-750-2300</v>
      </c>
      <c r="B263" t="str">
        <f t="shared" si="17"/>
        <v>2008</v>
      </c>
      <c r="C263" s="18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8" t="s">
        <v>824</v>
      </c>
      <c r="L263" s="21">
        <v>6.97</v>
      </c>
    </row>
    <row r="264" spans="1:12" x14ac:dyDescent="0.25">
      <c r="A264" t="str">
        <f t="shared" si="16"/>
        <v>2008-F2-SX--135-800-2285</v>
      </c>
      <c r="B264" t="str">
        <f t="shared" si="17"/>
        <v>2008</v>
      </c>
      <c r="C264" s="18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8" t="s">
        <v>824</v>
      </c>
      <c r="L264" s="21">
        <v>7.29</v>
      </c>
    </row>
    <row r="265" spans="1:12" x14ac:dyDescent="0.25">
      <c r="A265" t="str">
        <f t="shared" si="16"/>
        <v>2008-F2-SX--147-851-2295</v>
      </c>
      <c r="B265" t="str">
        <f t="shared" si="17"/>
        <v>2008</v>
      </c>
      <c r="C265" s="18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8" t="s">
        <v>824</v>
      </c>
      <c r="L265" s="21">
        <v>7.81</v>
      </c>
    </row>
    <row r="266" spans="1:12" x14ac:dyDescent="0.25">
      <c r="A266" t="str">
        <f t="shared" si="16"/>
        <v>2009-F2-SX -78-560-2338</v>
      </c>
      <c r="B266" t="str">
        <f t="shared" si="17"/>
        <v>2009</v>
      </c>
      <c r="C266" s="18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8" t="s">
        <v>839</v>
      </c>
      <c r="L266" s="21">
        <v>5.3</v>
      </c>
    </row>
    <row r="267" spans="1:12" x14ac:dyDescent="0.25">
      <c r="A267" t="str">
        <f t="shared" si="16"/>
        <v>2009-F2-SX -81-581-2295</v>
      </c>
      <c r="B267" t="str">
        <f t="shared" si="17"/>
        <v>2009</v>
      </c>
      <c r="C267" s="18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8" t="s">
        <v>839</v>
      </c>
      <c r="L267" s="21">
        <v>5.4</v>
      </c>
    </row>
    <row r="268" spans="1:12" x14ac:dyDescent="0.25">
      <c r="A268" t="str">
        <f t="shared" si="16"/>
        <v>2009-F2-SX -91-631-2302</v>
      </c>
      <c r="B268" t="str">
        <f t="shared" si="17"/>
        <v>2009</v>
      </c>
      <c r="C268" s="18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8" t="s">
        <v>839</v>
      </c>
      <c r="L268" s="21">
        <v>5.8</v>
      </c>
    </row>
    <row r="269" spans="1:12" x14ac:dyDescent="0.25">
      <c r="A269" t="str">
        <f t="shared" si="16"/>
        <v>2009-F2-SX -105-681-2309</v>
      </c>
      <c r="B269" t="str">
        <f t="shared" si="17"/>
        <v>2009</v>
      </c>
      <c r="C269" s="18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8" t="s">
        <v>839</v>
      </c>
      <c r="L269" s="21">
        <v>6.2</v>
      </c>
    </row>
    <row r="270" spans="1:12" x14ac:dyDescent="0.25">
      <c r="A270" t="str">
        <f t="shared" si="16"/>
        <v>2009-F2-SX -119-771-2309</v>
      </c>
      <c r="B270" t="str">
        <f t="shared" si="17"/>
        <v>2009</v>
      </c>
      <c r="C270" s="18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8" t="s">
        <v>839</v>
      </c>
      <c r="L270" s="21">
        <v>6.8</v>
      </c>
    </row>
    <row r="271" spans="1:12" x14ac:dyDescent="0.25">
      <c r="A271" t="str">
        <f t="shared" si="16"/>
        <v>2009-F2-SX8-132-811-2308</v>
      </c>
      <c r="B271" t="str">
        <f t="shared" si="17"/>
        <v>2009</v>
      </c>
      <c r="C271" s="18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8" t="s">
        <v>839</v>
      </c>
      <c r="L271" s="21">
        <v>7.2</v>
      </c>
    </row>
    <row r="272" spans="1:12" x14ac:dyDescent="0.25">
      <c r="A272" t="str">
        <f t="shared" si="16"/>
        <v>2009-F2-SX8-147-851-2295</v>
      </c>
      <c r="B272" t="str">
        <f t="shared" si="17"/>
        <v>2009</v>
      </c>
      <c r="C272" s="18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8" t="s">
        <v>839</v>
      </c>
      <c r="L272" s="21">
        <v>7.8</v>
      </c>
    </row>
    <row r="273" spans="1:12" x14ac:dyDescent="0.25">
      <c r="A273" t="str">
        <f t="shared" si="16"/>
        <v>2010-F2-SX--78-560-2338</v>
      </c>
      <c r="B273" t="str">
        <f t="shared" si="17"/>
        <v>2010</v>
      </c>
      <c r="C273" s="18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8" t="s">
        <v>842</v>
      </c>
      <c r="L273" s="21">
        <v>5.3</v>
      </c>
    </row>
    <row r="274" spans="1:12" x14ac:dyDescent="0.25">
      <c r="A274" t="str">
        <f t="shared" si="16"/>
        <v>2010-F2-SX--81-581-2295</v>
      </c>
      <c r="B274" t="str">
        <f t="shared" si="17"/>
        <v>2010</v>
      </c>
      <c r="C274" s="18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8" t="s">
        <v>842</v>
      </c>
      <c r="L274" s="21">
        <v>5.4</v>
      </c>
    </row>
    <row r="275" spans="1:12" x14ac:dyDescent="0.25">
      <c r="A275" t="str">
        <f t="shared" si="16"/>
        <v>2010-F2-SX--91-631-2302</v>
      </c>
      <c r="B275" t="str">
        <f t="shared" si="17"/>
        <v>2010</v>
      </c>
      <c r="C275" s="18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8" t="s">
        <v>842</v>
      </c>
      <c r="L275" s="21">
        <v>5.8</v>
      </c>
    </row>
    <row r="276" spans="1:12" x14ac:dyDescent="0.25">
      <c r="A276" t="str">
        <f t="shared" si="16"/>
        <v>2010-F2-SX--105-681-2309</v>
      </c>
      <c r="B276" t="str">
        <f t="shared" si="17"/>
        <v>2010</v>
      </c>
      <c r="C276" s="18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8" t="s">
        <v>842</v>
      </c>
      <c r="L276" s="21">
        <v>6.2</v>
      </c>
    </row>
    <row r="277" spans="1:12" x14ac:dyDescent="0.25">
      <c r="A277" t="str">
        <f t="shared" si="16"/>
        <v>2010-F2-SX--119-771-2309</v>
      </c>
      <c r="B277" t="str">
        <f t="shared" si="17"/>
        <v>2010</v>
      </c>
      <c r="C277" s="18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8" t="s">
        <v>842</v>
      </c>
      <c r="L277" s="21">
        <v>6.8</v>
      </c>
    </row>
    <row r="278" spans="1:12" x14ac:dyDescent="0.25">
      <c r="A278" t="str">
        <f t="shared" si="16"/>
        <v>2010-F2-SX--132-811-2308</v>
      </c>
      <c r="B278" t="str">
        <f t="shared" si="17"/>
        <v>2010</v>
      </c>
      <c r="C278" s="18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8" t="s">
        <v>842</v>
      </c>
      <c r="L278" s="21">
        <v>7.2</v>
      </c>
    </row>
    <row r="279" spans="1:12" x14ac:dyDescent="0.25">
      <c r="A279" t="str">
        <f t="shared" si="16"/>
        <v>2011-F2-SX--91-585-2366</v>
      </c>
      <c r="B279" t="str">
        <f t="shared" si="17"/>
        <v>2011</v>
      </c>
      <c r="C279" s="18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8" t="s">
        <v>845</v>
      </c>
      <c r="L279" s="21">
        <v>5.6</v>
      </c>
    </row>
    <row r="280" spans="1:12" x14ac:dyDescent="0.25">
      <c r="A280" t="str">
        <f t="shared" si="16"/>
        <v>2011-F2-SX--111-693-2298</v>
      </c>
      <c r="B280" t="str">
        <f t="shared" si="17"/>
        <v>2011</v>
      </c>
      <c r="C280" s="18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8" t="s">
        <v>845</v>
      </c>
      <c r="L280" s="21">
        <v>6.4</v>
      </c>
    </row>
    <row r="281" spans="1:12" x14ac:dyDescent="0.25">
      <c r="A281" t="str">
        <f t="shared" si="16"/>
        <v>2011-F2-SX--134-812-2307</v>
      </c>
      <c r="B281" t="str">
        <f t="shared" si="17"/>
        <v>2011</v>
      </c>
      <c r="C281" s="18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8" t="s">
        <v>845</v>
      </c>
      <c r="L281" s="21">
        <v>7.3</v>
      </c>
    </row>
    <row r="282" spans="1:12" x14ac:dyDescent="0.25">
      <c r="A282" t="str">
        <f t="shared" si="16"/>
        <v>2011-F2-SX--147-850-2295</v>
      </c>
      <c r="B282" t="str">
        <f t="shared" si="17"/>
        <v>2011</v>
      </c>
      <c r="C282" s="18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8" t="s">
        <v>845</v>
      </c>
      <c r="L282" s="21">
        <v>7.8</v>
      </c>
    </row>
    <row r="283" spans="1:12" x14ac:dyDescent="0.25">
      <c r="A283" t="str">
        <f t="shared" si="16"/>
        <v>2011-F2-SX--91-585-2366</v>
      </c>
      <c r="B283" t="str">
        <f t="shared" si="17"/>
        <v>2011</v>
      </c>
      <c r="C283" s="18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8" t="s">
        <v>845</v>
      </c>
      <c r="L283" s="21">
        <v>5.3</v>
      </c>
    </row>
    <row r="284" spans="1:12" x14ac:dyDescent="0.25">
      <c r="A284" t="str">
        <f t="shared" si="16"/>
        <v>2011-F2-SX--111-693-2298</v>
      </c>
      <c r="B284" t="str">
        <f t="shared" si="17"/>
        <v>2011</v>
      </c>
      <c r="C284" s="18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8" t="s">
        <v>845</v>
      </c>
      <c r="L284" s="21">
        <v>5.9</v>
      </c>
    </row>
    <row r="285" spans="1:12" x14ac:dyDescent="0.25">
      <c r="A285" t="str">
        <f t="shared" si="16"/>
        <v>2011-F2-SX--134-812-2307</v>
      </c>
      <c r="B285" t="str">
        <f t="shared" si="17"/>
        <v>2011</v>
      </c>
      <c r="C285" s="18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8" t="s">
        <v>845</v>
      </c>
      <c r="L285" s="21">
        <v>6.8</v>
      </c>
    </row>
    <row r="286" spans="1:12" x14ac:dyDescent="0.25">
      <c r="A286" t="str">
        <f t="shared" si="16"/>
        <v>2011-F2-SX--147-850-2295</v>
      </c>
      <c r="B286" t="str">
        <f t="shared" si="17"/>
        <v>2011</v>
      </c>
      <c r="C286" s="18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8" t="s">
        <v>845</v>
      </c>
      <c r="L286" s="21">
        <v>7.3</v>
      </c>
    </row>
    <row r="287" spans="1:12" x14ac:dyDescent="0.25">
      <c r="A287" t="str">
        <f t="shared" si="16"/>
        <v>2012-F2-SX--150-850-2297</v>
      </c>
      <c r="B287" t="str">
        <f t="shared" si="17"/>
        <v>2012</v>
      </c>
      <c r="C287" s="18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8" t="s">
        <v>845</v>
      </c>
      <c r="L287" s="21">
        <v>7.3</v>
      </c>
    </row>
    <row r="288" spans="1:12" x14ac:dyDescent="0.25">
      <c r="A288" t="str">
        <f t="shared" si="16"/>
        <v>2012-F2-SX--150-850-2297</v>
      </c>
      <c r="B288" t="str">
        <f t="shared" si="17"/>
        <v>2012</v>
      </c>
      <c r="C288" s="18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8" t="s">
        <v>845</v>
      </c>
      <c r="L288" s="21">
        <v>7.7</v>
      </c>
    </row>
    <row r="289" spans="1:12" x14ac:dyDescent="0.25">
      <c r="A289" t="str">
        <f t="shared" si="16"/>
        <v>2013-F2-SX -124-771-2326</v>
      </c>
      <c r="B289" t="str">
        <f t="shared" si="17"/>
        <v>2013</v>
      </c>
      <c r="C289" s="18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8" t="s">
        <v>851</v>
      </c>
      <c r="L289" s="21">
        <v>6.7</v>
      </c>
    </row>
    <row r="290" spans="1:12" x14ac:dyDescent="0.25">
      <c r="A290" t="str">
        <f t="shared" si="16"/>
        <v>2013-F2-SX -150-850-2327</v>
      </c>
      <c r="B290" t="str">
        <f t="shared" si="17"/>
        <v>2013</v>
      </c>
      <c r="C290" s="18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8" t="s">
        <v>851</v>
      </c>
      <c r="L290" s="21">
        <v>7.6</v>
      </c>
    </row>
    <row r="291" spans="1:12" x14ac:dyDescent="0.25">
      <c r="A291" t="str">
        <f t="shared" si="16"/>
        <v>1999-FA-FAL-136-660-2720</v>
      </c>
      <c r="B291" t="str">
        <f t="shared" si="17"/>
        <v>1999</v>
      </c>
      <c r="C291" s="18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8" t="s">
        <v>793</v>
      </c>
      <c r="L291" s="21">
        <v>6.6</v>
      </c>
    </row>
    <row r="292" spans="1:12" x14ac:dyDescent="0.25">
      <c r="A292" t="str">
        <f t="shared" si="16"/>
        <v>1999-FA-FAL-146-720-2720</v>
      </c>
      <c r="B292" t="str">
        <f t="shared" si="17"/>
        <v>1999</v>
      </c>
      <c r="C292" s="18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8" t="s">
        <v>793</v>
      </c>
      <c r="L292" s="21">
        <v>7.2</v>
      </c>
    </row>
    <row r="293" spans="1:12" x14ac:dyDescent="0.25">
      <c r="A293" t="str">
        <f t="shared" si="16"/>
        <v>2000-FA-FAL-152-740-2740</v>
      </c>
      <c r="B293" t="str">
        <f t="shared" si="17"/>
        <v>2000</v>
      </c>
      <c r="C293" s="18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8" t="s">
        <v>796</v>
      </c>
      <c r="L293" s="21">
        <v>7.4</v>
      </c>
    </row>
    <row r="294" spans="1:12" x14ac:dyDescent="0.25">
      <c r="A294" t="str">
        <f t="shared" si="16"/>
        <v>1999-FA-FAL-83-530-2680</v>
      </c>
      <c r="B294" t="str">
        <f t="shared" si="17"/>
        <v>1999</v>
      </c>
      <c r="C294" s="18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8" t="s">
        <v>793</v>
      </c>
      <c r="L294" s="21">
        <v>5.4</v>
      </c>
    </row>
    <row r="295" spans="1:12" x14ac:dyDescent="0.25">
      <c r="A295" t="str">
        <f t="shared" si="16"/>
        <v>1999-FA-FAL-100-550-2770</v>
      </c>
      <c r="B295" t="str">
        <f t="shared" si="17"/>
        <v>1999</v>
      </c>
      <c r="C295" s="18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8" t="s">
        <v>793</v>
      </c>
      <c r="L295" s="21">
        <v>5.9</v>
      </c>
    </row>
    <row r="296" spans="1:12" x14ac:dyDescent="0.25">
      <c r="A296" t="str">
        <f t="shared" si="16"/>
        <v>2000-FA-FAL-94-560-2740</v>
      </c>
      <c r="B296" t="str">
        <f t="shared" si="17"/>
        <v>2000</v>
      </c>
      <c r="C296" s="18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8" t="s">
        <v>796</v>
      </c>
      <c r="L296" s="21">
        <v>6.2</v>
      </c>
    </row>
    <row r="297" spans="1:12" x14ac:dyDescent="0.25">
      <c r="A297" t="str">
        <f t="shared" si="16"/>
        <v>1997-FA-FAL-92-530-2700</v>
      </c>
      <c r="B297" t="str">
        <f t="shared" si="17"/>
        <v>1997</v>
      </c>
      <c r="C297" s="18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8" t="s">
        <v>898</v>
      </c>
      <c r="L297" s="21">
        <v>5.7</v>
      </c>
    </row>
    <row r="298" spans="1:12" x14ac:dyDescent="0.25">
      <c r="A298" t="str">
        <f t="shared" si="16"/>
        <v>2003-FA-FAL-96-720-2530</v>
      </c>
      <c r="B298" t="str">
        <f t="shared" si="17"/>
        <v>2003</v>
      </c>
      <c r="C298" s="18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8" t="s">
        <v>799</v>
      </c>
      <c r="L298" s="21">
        <v>6</v>
      </c>
    </row>
    <row r="299" spans="1:12" x14ac:dyDescent="0.25">
      <c r="A299" t="str">
        <f t="shared" si="16"/>
        <v>2004-FA-FAL-114-740-2500</v>
      </c>
      <c r="B299" t="str">
        <f t="shared" si="17"/>
        <v>2004</v>
      </c>
      <c r="C299" s="18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8" t="s">
        <v>802</v>
      </c>
      <c r="L299" s="21">
        <v>6.3</v>
      </c>
    </row>
    <row r="300" spans="1:12" x14ac:dyDescent="0.25">
      <c r="A300" t="str">
        <f t="shared" si="16"/>
        <v>2004-FA-FAL-78-600-2500</v>
      </c>
      <c r="B300" t="str">
        <f t="shared" si="17"/>
        <v>2004</v>
      </c>
      <c r="C300" s="18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8" t="s">
        <v>802</v>
      </c>
      <c r="L300" s="21">
        <v>5.7</v>
      </c>
    </row>
    <row r="301" spans="1:12" x14ac:dyDescent="0.25">
      <c r="A301" t="str">
        <f t="shared" si="16"/>
        <v>2005-FA-FAL-102-672-2500</v>
      </c>
      <c r="B301" t="str">
        <f t="shared" si="17"/>
        <v>2005</v>
      </c>
      <c r="C301" s="18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8" t="s">
        <v>894</v>
      </c>
      <c r="L301" s="21">
        <v>6</v>
      </c>
    </row>
    <row r="302" spans="1:12" x14ac:dyDescent="0.25">
      <c r="A302" t="str">
        <f t="shared" si="16"/>
        <v>2006-FA-FAL-132-796-2460</v>
      </c>
      <c r="B302" t="str">
        <f t="shared" si="17"/>
        <v>2006</v>
      </c>
      <c r="C302" s="18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8" t="s">
        <v>894</v>
      </c>
      <c r="L302" s="21">
        <v>6.9</v>
      </c>
    </row>
    <row r="303" spans="1:12" x14ac:dyDescent="0.25">
      <c r="A303" t="str">
        <f t="shared" si="16"/>
        <v>2006-FA-FAL-111-691-2457</v>
      </c>
      <c r="B303" t="str">
        <f t="shared" si="17"/>
        <v>2006</v>
      </c>
      <c r="C303" s="18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8" t="s">
        <v>894</v>
      </c>
      <c r="L303" s="21">
        <v>6.4</v>
      </c>
    </row>
    <row r="304" spans="1:12" x14ac:dyDescent="0.25">
      <c r="A304" t="str">
        <f t="shared" si="16"/>
        <v>2006-FA-FAL-90-611-2450</v>
      </c>
      <c r="B304" t="str">
        <f t="shared" si="17"/>
        <v>2006</v>
      </c>
      <c r="C304" s="18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8" t="s">
        <v>894</v>
      </c>
      <c r="L304" s="21">
        <v>5.7</v>
      </c>
    </row>
    <row r="305" spans="1:12" x14ac:dyDescent="0.25">
      <c r="A305" t="str">
        <f t="shared" si="16"/>
        <v>2007-FA-FAL-78-549-2445</v>
      </c>
      <c r="B305" t="str">
        <f t="shared" si="17"/>
        <v>2007</v>
      </c>
      <c r="C305" s="18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8" t="s">
        <v>812</v>
      </c>
      <c r="L305" s="21">
        <v>5.4</v>
      </c>
    </row>
    <row r="306" spans="1:12" x14ac:dyDescent="0.25">
      <c r="A306" t="str">
        <f t="shared" si="16"/>
        <v>2007-FA-FAL-90-612-2444</v>
      </c>
      <c r="B306" t="str">
        <f t="shared" si="17"/>
        <v>2007</v>
      </c>
      <c r="C306" s="23" t="s">
        <v>818</v>
      </c>
      <c r="D306" s="22" t="s">
        <v>1064</v>
      </c>
      <c r="E306" s="22" t="s">
        <v>1076</v>
      </c>
      <c r="F306" s="22">
        <v>90</v>
      </c>
      <c r="G306">
        <f t="shared" si="18"/>
        <v>61</v>
      </c>
      <c r="H306">
        <f t="shared" si="19"/>
        <v>244</v>
      </c>
      <c r="I306" s="22">
        <v>612</v>
      </c>
      <c r="J306" s="22">
        <v>2444</v>
      </c>
      <c r="K306" s="23" t="s">
        <v>812</v>
      </c>
      <c r="L306" s="24">
        <v>5.8</v>
      </c>
    </row>
    <row r="307" spans="1:12" x14ac:dyDescent="0.25">
      <c r="A307" t="str">
        <f t="shared" si="16"/>
        <v>2007-FA-FAL-111-676-2450</v>
      </c>
      <c r="B307" t="str">
        <f t="shared" si="17"/>
        <v>2007</v>
      </c>
      <c r="C307" s="18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8" t="s">
        <v>812</v>
      </c>
      <c r="L307" s="21">
        <v>6.1</v>
      </c>
    </row>
    <row r="308" spans="1:12" x14ac:dyDescent="0.25">
      <c r="A308" t="str">
        <f t="shared" si="16"/>
        <v>2007-FA-FAL-123-761-2450</v>
      </c>
      <c r="B308" t="str">
        <f t="shared" si="17"/>
        <v>2007</v>
      </c>
      <c r="C308" s="18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8" t="s">
        <v>812</v>
      </c>
      <c r="L308" s="21">
        <v>6.6</v>
      </c>
    </row>
    <row r="309" spans="1:12" x14ac:dyDescent="0.25">
      <c r="A309" t="str">
        <f t="shared" si="16"/>
        <v>2007-FA-FAL-144-852-2450</v>
      </c>
      <c r="B309" t="str">
        <f t="shared" si="17"/>
        <v>2007</v>
      </c>
      <c r="C309" s="18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8" t="s">
        <v>812</v>
      </c>
      <c r="L309" s="21">
        <v>7.2</v>
      </c>
    </row>
    <row r="310" spans="1:12" x14ac:dyDescent="0.25">
      <c r="A310" t="str">
        <f t="shared" si="16"/>
        <v>2007-FA-FAL-66-481-2415</v>
      </c>
      <c r="B310" t="str">
        <f t="shared" si="17"/>
        <v>2007</v>
      </c>
      <c r="C310" s="18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8" t="s">
        <v>812</v>
      </c>
      <c r="L310" s="21">
        <v>4.5999999999999996</v>
      </c>
    </row>
    <row r="311" spans="1:12" x14ac:dyDescent="0.25">
      <c r="A311" t="str">
        <f t="shared" si="16"/>
        <v>2007-FA-FAL-79-551-2450</v>
      </c>
      <c r="B311" t="str">
        <f t="shared" si="17"/>
        <v>2007</v>
      </c>
      <c r="C311" s="18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8" t="s">
        <v>819</v>
      </c>
      <c r="L311" s="21">
        <v>5.7</v>
      </c>
    </row>
    <row r="312" spans="1:12" x14ac:dyDescent="0.25">
      <c r="A312" t="str">
        <f t="shared" si="16"/>
        <v>2007-FA-FAL-90-612-2444</v>
      </c>
      <c r="B312" t="str">
        <f t="shared" si="17"/>
        <v>2007</v>
      </c>
      <c r="C312" s="18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8" t="s">
        <v>819</v>
      </c>
      <c r="L312" s="21">
        <v>5.8</v>
      </c>
    </row>
    <row r="313" spans="1:12" x14ac:dyDescent="0.25">
      <c r="A313" t="str">
        <f t="shared" si="16"/>
        <v>2007-FA-FAL-104-672-2450</v>
      </c>
      <c r="B313" t="str">
        <f t="shared" si="17"/>
        <v>2007</v>
      </c>
      <c r="C313" s="18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8" t="s">
        <v>819</v>
      </c>
      <c r="L313" s="21">
        <v>5.9</v>
      </c>
    </row>
    <row r="314" spans="1:12" x14ac:dyDescent="0.25">
      <c r="A314" t="str">
        <f t="shared" si="16"/>
        <v>2007-FA-FAL-123-761-2450</v>
      </c>
      <c r="B314" t="str">
        <f t="shared" si="17"/>
        <v>2007</v>
      </c>
      <c r="C314" s="18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8" t="s">
        <v>819</v>
      </c>
      <c r="L314" s="21">
        <v>6.6</v>
      </c>
    </row>
    <row r="315" spans="1:12" x14ac:dyDescent="0.25">
      <c r="A315" t="str">
        <f t="shared" si="16"/>
        <v>2008-FA-RAY-95-588-2443</v>
      </c>
      <c r="B315" t="str">
        <f t="shared" si="17"/>
        <v>2008</v>
      </c>
      <c r="C315" s="18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8" t="s">
        <v>824</v>
      </c>
      <c r="L315" s="21">
        <v>6.5</v>
      </c>
    </row>
    <row r="316" spans="1:12" x14ac:dyDescent="0.25">
      <c r="A316" t="str">
        <f t="shared" si="16"/>
        <v>2008-FA-RAY-110-649-2445</v>
      </c>
      <c r="B316" t="str">
        <f t="shared" si="17"/>
        <v>2008</v>
      </c>
      <c r="C316" s="18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8" t="s">
        <v>824</v>
      </c>
      <c r="L316" s="21">
        <v>7</v>
      </c>
    </row>
    <row r="317" spans="1:12" x14ac:dyDescent="0.25">
      <c r="A317" t="str">
        <f t="shared" si="16"/>
        <v>2008-FA-RAY-125-700-2444</v>
      </c>
      <c r="B317" t="str">
        <f t="shared" si="17"/>
        <v>2008</v>
      </c>
      <c r="C317" s="18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8" t="s">
        <v>824</v>
      </c>
      <c r="L317" s="21">
        <v>7.5</v>
      </c>
    </row>
    <row r="318" spans="1:12" x14ac:dyDescent="0.25">
      <c r="A318" t="str">
        <f t="shared" si="16"/>
        <v>2008-FA-RAY-140-769-2446</v>
      </c>
      <c r="B318" t="str">
        <f t="shared" si="17"/>
        <v>2008</v>
      </c>
      <c r="C318" s="18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8" t="s">
        <v>824</v>
      </c>
      <c r="L318" s="21">
        <v>8.3000000000000007</v>
      </c>
    </row>
    <row r="319" spans="1:12" x14ac:dyDescent="0.25">
      <c r="A319" t="str">
        <f t="shared" si="16"/>
        <v>2008-FA-FAL-79-551-2450</v>
      </c>
      <c r="B319" t="str">
        <f t="shared" si="17"/>
        <v>2008</v>
      </c>
      <c r="C319" s="18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8" t="s">
        <v>824</v>
      </c>
      <c r="L319" s="21">
        <v>5.7</v>
      </c>
    </row>
    <row r="320" spans="1:12" x14ac:dyDescent="0.25">
      <c r="A320" t="str">
        <f t="shared" si="16"/>
        <v>2008-FA-FAL-95-609-2394</v>
      </c>
      <c r="B320" t="str">
        <f t="shared" si="17"/>
        <v>2008</v>
      </c>
      <c r="C320" s="18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8" t="s">
        <v>824</v>
      </c>
      <c r="L320" s="21">
        <v>5.5</v>
      </c>
    </row>
    <row r="321" spans="1:12" x14ac:dyDescent="0.25">
      <c r="A321" t="str">
        <f t="shared" si="16"/>
        <v>2008-FA-FAL-110-668-2394</v>
      </c>
      <c r="B321" t="str">
        <f t="shared" si="17"/>
        <v>2008</v>
      </c>
      <c r="C321" s="23" t="s">
        <v>1090</v>
      </c>
      <c r="D321" s="22" t="s">
        <v>1064</v>
      </c>
      <c r="E321" s="22" t="s">
        <v>1095</v>
      </c>
      <c r="F321" s="22">
        <v>110</v>
      </c>
      <c r="G321">
        <f t="shared" si="18"/>
        <v>66</v>
      </c>
      <c r="H321">
        <f t="shared" si="19"/>
        <v>239</v>
      </c>
      <c r="I321" s="22">
        <v>668</v>
      </c>
      <c r="J321" s="22">
        <v>2394</v>
      </c>
      <c r="K321" s="23" t="s">
        <v>824</v>
      </c>
      <c r="L321" s="24">
        <v>6.1</v>
      </c>
    </row>
    <row r="322" spans="1:12" x14ac:dyDescent="0.25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8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8" t="s">
        <v>824</v>
      </c>
      <c r="L322" s="21">
        <v>6.7</v>
      </c>
    </row>
    <row r="323" spans="1:12" x14ac:dyDescent="0.25">
      <c r="A323" t="str">
        <f t="shared" si="20"/>
        <v>2008-FA-FAL-140-789-2394</v>
      </c>
      <c r="B323" t="str">
        <f t="shared" si="21"/>
        <v>2008</v>
      </c>
      <c r="C323" s="18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8" t="s">
        <v>824</v>
      </c>
      <c r="L323" s="21">
        <v>7.1</v>
      </c>
    </row>
    <row r="324" spans="1:12" x14ac:dyDescent="0.25">
      <c r="A324" t="str">
        <f t="shared" si="20"/>
        <v>2009-FA-FAL-85-580-2395</v>
      </c>
      <c r="B324" t="str">
        <f t="shared" si="21"/>
        <v>2009</v>
      </c>
      <c r="C324" s="18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8" t="s">
        <v>839</v>
      </c>
      <c r="L324" s="21">
        <v>5.6</v>
      </c>
    </row>
    <row r="325" spans="1:12" x14ac:dyDescent="0.25">
      <c r="A325" t="str">
        <f t="shared" si="20"/>
        <v>2009-FA-FAL-103-631-2346</v>
      </c>
      <c r="B325" t="str">
        <f t="shared" si="21"/>
        <v>2009</v>
      </c>
      <c r="C325" s="18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8" t="s">
        <v>839</v>
      </c>
      <c r="L325" s="21">
        <v>6.2</v>
      </c>
    </row>
    <row r="326" spans="1:12" x14ac:dyDescent="0.25">
      <c r="A326" t="str">
        <f t="shared" si="20"/>
        <v>2009-FA-FAL-115-690-2345</v>
      </c>
      <c r="B326" t="str">
        <f t="shared" si="21"/>
        <v>2009</v>
      </c>
      <c r="C326" s="18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8" t="s">
        <v>839</v>
      </c>
      <c r="L326" s="21">
        <v>6.4</v>
      </c>
    </row>
    <row r="327" spans="1:12" x14ac:dyDescent="0.25">
      <c r="A327" t="str">
        <f t="shared" si="20"/>
        <v>2009-FA-FAL-123-750-2296</v>
      </c>
      <c r="B327" t="str">
        <f t="shared" si="21"/>
        <v>2009</v>
      </c>
      <c r="C327" s="18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8" t="s">
        <v>839</v>
      </c>
      <c r="L327" s="21">
        <v>6.7</v>
      </c>
    </row>
    <row r="328" spans="1:12" x14ac:dyDescent="0.25">
      <c r="A328" t="str">
        <f t="shared" si="20"/>
        <v>2009-FA-FAL-130-789-2295</v>
      </c>
      <c r="B328" t="str">
        <f t="shared" si="21"/>
        <v>2009</v>
      </c>
      <c r="C328" s="18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8" t="s">
        <v>839</v>
      </c>
      <c r="L328" s="21">
        <v>6.9</v>
      </c>
    </row>
    <row r="329" spans="1:12" x14ac:dyDescent="0.25">
      <c r="A329" t="str">
        <f t="shared" si="20"/>
        <v>2009-FA-FAL-143-849-2295</v>
      </c>
      <c r="B329" t="str">
        <f t="shared" si="21"/>
        <v>2009</v>
      </c>
      <c r="C329" s="18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8" t="s">
        <v>839</v>
      </c>
      <c r="L329" s="21">
        <v>7.1</v>
      </c>
    </row>
    <row r="330" spans="1:12" x14ac:dyDescent="0.25">
      <c r="A330" t="str">
        <f t="shared" si="20"/>
        <v>2010-FA-FAL-85-580-2396</v>
      </c>
      <c r="B330" t="str">
        <f t="shared" si="21"/>
        <v>2010</v>
      </c>
      <c r="C330" s="18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8" t="s">
        <v>842</v>
      </c>
      <c r="L330" s="21">
        <v>5.6</v>
      </c>
    </row>
    <row r="331" spans="1:12" x14ac:dyDescent="0.25">
      <c r="A331" t="str">
        <f t="shared" si="20"/>
        <v>2010-FA-FAL-94-630-2394</v>
      </c>
      <c r="B331" t="str">
        <f t="shared" si="21"/>
        <v>2010</v>
      </c>
      <c r="C331" s="18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8" t="s">
        <v>842</v>
      </c>
      <c r="L331" s="21">
        <v>6.3</v>
      </c>
    </row>
    <row r="332" spans="1:12" x14ac:dyDescent="0.25">
      <c r="A332" t="str">
        <f t="shared" si="20"/>
        <v>2010-FA-FAL-109-691-2347</v>
      </c>
      <c r="B332" t="str">
        <f t="shared" si="21"/>
        <v>2010</v>
      </c>
      <c r="C332" s="18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8" t="s">
        <v>842</v>
      </c>
      <c r="L332" s="21">
        <v>6.5</v>
      </c>
    </row>
    <row r="333" spans="1:12" x14ac:dyDescent="0.25">
      <c r="A333" t="str">
        <f t="shared" si="20"/>
        <v>2010-FA-FAL-124-749-2295</v>
      </c>
      <c r="B333" t="str">
        <f t="shared" si="21"/>
        <v>2010</v>
      </c>
      <c r="C333" s="18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8" t="s">
        <v>842</v>
      </c>
      <c r="L333" s="21">
        <v>6.8</v>
      </c>
    </row>
    <row r="334" spans="1:12" x14ac:dyDescent="0.25">
      <c r="A334" t="str">
        <f t="shared" si="20"/>
        <v>2010-FA-FAL-138-820-2295</v>
      </c>
      <c r="B334" t="str">
        <f t="shared" si="21"/>
        <v>2010</v>
      </c>
      <c r="C334" s="18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8" t="s">
        <v>842</v>
      </c>
      <c r="L334" s="21">
        <v>7</v>
      </c>
    </row>
    <row r="335" spans="1:12" x14ac:dyDescent="0.25">
      <c r="A335" t="str">
        <f t="shared" si="20"/>
        <v>2010-FA-FAL-150-848-2295</v>
      </c>
      <c r="B335" t="str">
        <f t="shared" si="21"/>
        <v>2010</v>
      </c>
      <c r="C335" s="18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8" t="s">
        <v>842</v>
      </c>
      <c r="L335" s="21">
        <v>7.2</v>
      </c>
    </row>
    <row r="336" spans="1:12" x14ac:dyDescent="0.25">
      <c r="A336" t="str">
        <f t="shared" si="20"/>
        <v>2011-FA-FAL-79-559-2345</v>
      </c>
      <c r="B336" t="str">
        <f t="shared" si="21"/>
        <v>2011</v>
      </c>
      <c r="C336" s="18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8" t="s">
        <v>927</v>
      </c>
      <c r="L336" s="21">
        <v>5.3</v>
      </c>
    </row>
    <row r="337" spans="1:12" x14ac:dyDescent="0.25">
      <c r="A337" t="str">
        <f t="shared" si="20"/>
        <v>2011-FA-FAL-86-590-2397</v>
      </c>
      <c r="B337" t="str">
        <f t="shared" si="21"/>
        <v>2011</v>
      </c>
      <c r="C337" s="18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8" t="s">
        <v>927</v>
      </c>
      <c r="L337" s="21">
        <v>5.5</v>
      </c>
    </row>
    <row r="338" spans="1:12" x14ac:dyDescent="0.25">
      <c r="A338" t="str">
        <f t="shared" si="20"/>
        <v>2011-FA-FAL-95-620-2344</v>
      </c>
      <c r="B338" t="str">
        <f t="shared" si="21"/>
        <v>2011</v>
      </c>
      <c r="C338" s="18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8" t="s">
        <v>927</v>
      </c>
      <c r="L338" s="21">
        <v>5.8</v>
      </c>
    </row>
    <row r="339" spans="1:12" x14ac:dyDescent="0.25">
      <c r="A339" t="str">
        <f t="shared" si="20"/>
        <v>2011-FA-FAL-107-690-2345</v>
      </c>
      <c r="B339" t="str">
        <f t="shared" si="21"/>
        <v>2011</v>
      </c>
      <c r="C339" s="18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8" t="s">
        <v>927</v>
      </c>
      <c r="L339" s="21">
        <v>6</v>
      </c>
    </row>
    <row r="340" spans="1:12" x14ac:dyDescent="0.25">
      <c r="A340" t="str">
        <f t="shared" si="20"/>
        <v>2011-FA-FAL-130-789-2294</v>
      </c>
      <c r="B340" t="str">
        <f t="shared" si="21"/>
        <v>2011</v>
      </c>
      <c r="C340" s="18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8" t="s">
        <v>927</v>
      </c>
      <c r="L340" s="21">
        <v>6.8</v>
      </c>
    </row>
    <row r="341" spans="1:12" x14ac:dyDescent="0.25">
      <c r="A341" t="str">
        <f t="shared" si="20"/>
        <v>2011-FA-FAL-138-849-2294</v>
      </c>
      <c r="B341" t="str">
        <f t="shared" si="21"/>
        <v>2011</v>
      </c>
      <c r="C341" s="18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8" t="s">
        <v>927</v>
      </c>
      <c r="L341" s="21">
        <v>7.3</v>
      </c>
    </row>
    <row r="342" spans="1:12" x14ac:dyDescent="0.25">
      <c r="A342" t="str">
        <f t="shared" si="20"/>
        <v>2013-FA-FAL-102-633-2352</v>
      </c>
      <c r="B342" t="str">
        <f t="shared" si="21"/>
        <v>2013</v>
      </c>
      <c r="C342" s="18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8" t="s">
        <v>927</v>
      </c>
      <c r="L342" s="21">
        <v>6.1</v>
      </c>
    </row>
    <row r="343" spans="1:12" x14ac:dyDescent="0.25">
      <c r="A343" t="str">
        <f t="shared" si="20"/>
        <v>2013-FA-FAL-112-693-2349</v>
      </c>
      <c r="B343" t="str">
        <f t="shared" si="21"/>
        <v>2013</v>
      </c>
      <c r="C343" s="18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8" t="s">
        <v>927</v>
      </c>
      <c r="L343" s="21">
        <v>6.3</v>
      </c>
    </row>
    <row r="344" spans="1:12" x14ac:dyDescent="0.25">
      <c r="A344" t="str">
        <f t="shared" si="20"/>
        <v>2013-FA-FAL-122-763-2296</v>
      </c>
      <c r="B344" t="str">
        <f t="shared" si="21"/>
        <v>2013</v>
      </c>
      <c r="C344" s="18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8" t="s">
        <v>927</v>
      </c>
      <c r="L344" s="21">
        <v>6.7</v>
      </c>
    </row>
    <row r="345" spans="1:12" x14ac:dyDescent="0.25">
      <c r="A345" t="str">
        <f t="shared" si="20"/>
        <v>2013-FA-FAL-132-812-2296</v>
      </c>
      <c r="B345" t="str">
        <f t="shared" si="21"/>
        <v>2013</v>
      </c>
      <c r="C345" s="18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8" t="s">
        <v>927</v>
      </c>
      <c r="L345" s="21">
        <v>6.9</v>
      </c>
    </row>
    <row r="346" spans="1:12" x14ac:dyDescent="0.25">
      <c r="A346" t="str">
        <f t="shared" si="20"/>
        <v>2013-FA-FAL-142-849-2296</v>
      </c>
      <c r="B346" t="str">
        <f t="shared" si="21"/>
        <v>2013</v>
      </c>
      <c r="C346" s="18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8" t="s">
        <v>927</v>
      </c>
      <c r="L346" s="21">
        <v>7.4</v>
      </c>
    </row>
    <row r="347" spans="1:12" x14ac:dyDescent="0.25">
      <c r="A347" t="str">
        <f t="shared" si="20"/>
        <v>2013-FA-FAL-152-902-2297</v>
      </c>
      <c r="B347" t="str">
        <f t="shared" si="21"/>
        <v>2013</v>
      </c>
      <c r="C347" s="18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8" t="s">
        <v>927</v>
      </c>
      <c r="L347" s="21">
        <v>7.9</v>
      </c>
    </row>
    <row r="348" spans="1:12" x14ac:dyDescent="0.25">
      <c r="A348" t="str">
        <f t="shared" si="20"/>
        <v>2013-FA-FAL-79-559-2345</v>
      </c>
      <c r="B348" t="str">
        <f t="shared" si="21"/>
        <v>2013</v>
      </c>
      <c r="C348" s="18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8" t="s">
        <v>927</v>
      </c>
      <c r="L348" s="21">
        <v>5.3</v>
      </c>
    </row>
    <row r="349" spans="1:12" x14ac:dyDescent="0.25">
      <c r="A349" t="str">
        <f t="shared" si="20"/>
        <v>2013-FA-FAL-89-590-2397</v>
      </c>
      <c r="B349" t="str">
        <f t="shared" si="21"/>
        <v>2013</v>
      </c>
      <c r="C349" s="18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8" t="s">
        <v>927</v>
      </c>
      <c r="L349" s="21">
        <v>5.5</v>
      </c>
    </row>
    <row r="350" spans="1:12" x14ac:dyDescent="0.25">
      <c r="A350" t="str">
        <f t="shared" si="20"/>
        <v>2014-FA-FAL-79-559-2325</v>
      </c>
      <c r="B350" t="str">
        <f t="shared" si="21"/>
        <v>2014</v>
      </c>
      <c r="C350" s="18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8" t="s">
        <v>851</v>
      </c>
      <c r="L350" s="21">
        <v>5.3</v>
      </c>
    </row>
    <row r="351" spans="1:12" x14ac:dyDescent="0.25">
      <c r="A351" t="str">
        <f t="shared" si="20"/>
        <v>2014-FA-FAL-90-591-2328</v>
      </c>
      <c r="B351" t="str">
        <f t="shared" si="21"/>
        <v>2014</v>
      </c>
      <c r="C351" s="18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8" t="s">
        <v>851</v>
      </c>
      <c r="L351" s="21">
        <v>5.7</v>
      </c>
    </row>
    <row r="352" spans="1:12" x14ac:dyDescent="0.25">
      <c r="A352" t="str">
        <f t="shared" si="20"/>
        <v>2014-FA-FAL-100-633-2332</v>
      </c>
      <c r="B352" t="str">
        <f t="shared" si="21"/>
        <v>2014</v>
      </c>
      <c r="C352" s="18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8" t="s">
        <v>851</v>
      </c>
      <c r="L352" s="21">
        <v>6.1</v>
      </c>
    </row>
    <row r="353" spans="1:12" x14ac:dyDescent="0.25">
      <c r="A353" t="str">
        <f t="shared" si="20"/>
        <v>2014-FA-FAL-109-693-2330</v>
      </c>
      <c r="B353" t="str">
        <f t="shared" si="21"/>
        <v>2014</v>
      </c>
      <c r="C353" s="18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8" t="s">
        <v>851</v>
      </c>
      <c r="L353" s="21">
        <v>6.4</v>
      </c>
    </row>
    <row r="354" spans="1:12" x14ac:dyDescent="0.25">
      <c r="A354" t="str">
        <f t="shared" si="20"/>
        <v>2014-FA-FAL-117-742-2328</v>
      </c>
      <c r="B354" t="str">
        <f t="shared" si="21"/>
        <v>2014</v>
      </c>
      <c r="C354" s="18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8" t="s">
        <v>851</v>
      </c>
      <c r="L354" s="21">
        <v>6.8</v>
      </c>
    </row>
    <row r="355" spans="1:12" x14ac:dyDescent="0.25">
      <c r="A355" t="str">
        <f t="shared" si="20"/>
        <v>2014-FA-FAL-133-812-2276</v>
      </c>
      <c r="B355" t="str">
        <f t="shared" si="21"/>
        <v>2014</v>
      </c>
      <c r="C355" s="18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8" t="s">
        <v>851</v>
      </c>
      <c r="L355" s="21">
        <v>6.9</v>
      </c>
    </row>
    <row r="356" spans="1:12" x14ac:dyDescent="0.25">
      <c r="A356" t="str">
        <f t="shared" si="20"/>
        <v>2014-FA-FAL-141-849-2276</v>
      </c>
      <c r="B356" t="str">
        <f t="shared" si="21"/>
        <v>2014</v>
      </c>
      <c r="C356" s="18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8" t="s">
        <v>851</v>
      </c>
      <c r="L356" s="21">
        <v>7.5</v>
      </c>
    </row>
    <row r="357" spans="1:12" x14ac:dyDescent="0.25">
      <c r="A357" t="str">
        <f t="shared" si="20"/>
        <v>2014-FA-FAL-152-902-2277</v>
      </c>
      <c r="B357" t="str">
        <f t="shared" si="21"/>
        <v>2014</v>
      </c>
      <c r="C357" s="18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8" t="s">
        <v>851</v>
      </c>
      <c r="L357" s="21">
        <v>8</v>
      </c>
    </row>
    <row r="358" spans="1:12" x14ac:dyDescent="0.25">
      <c r="A358" t="str">
        <f t="shared" si="20"/>
        <v>2015-FA-FAL-85-591-2328</v>
      </c>
      <c r="B358" t="str">
        <f t="shared" si="21"/>
        <v>2015</v>
      </c>
      <c r="C358" s="18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8" t="s">
        <v>731</v>
      </c>
      <c r="L358" s="21">
        <v>5.8</v>
      </c>
    </row>
    <row r="359" spans="1:12" x14ac:dyDescent="0.25">
      <c r="A359" t="str">
        <f t="shared" si="20"/>
        <v>2015-FA-FAL-94-630-2326</v>
      </c>
      <c r="B359" t="str">
        <f t="shared" si="21"/>
        <v>2015</v>
      </c>
      <c r="C359" s="18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8" t="s">
        <v>731</v>
      </c>
      <c r="L359" s="21">
        <v>6.1</v>
      </c>
    </row>
    <row r="360" spans="1:12" x14ac:dyDescent="0.25">
      <c r="A360" t="str">
        <f t="shared" si="20"/>
        <v>2015-FA-FAL-114-690-2325</v>
      </c>
      <c r="B360" t="str">
        <f t="shared" si="21"/>
        <v>2015</v>
      </c>
      <c r="C360" s="18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8" t="s">
        <v>731</v>
      </c>
      <c r="L360" s="21">
        <v>6.4</v>
      </c>
    </row>
    <row r="361" spans="1:12" x14ac:dyDescent="0.25">
      <c r="A361" t="str">
        <f t="shared" si="20"/>
        <v>2015-FA-FAL-117-742-2328</v>
      </c>
      <c r="B361" t="str">
        <f t="shared" si="21"/>
        <v>2015</v>
      </c>
      <c r="C361" s="18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8" t="s">
        <v>731</v>
      </c>
      <c r="L361" s="21">
        <v>6.7</v>
      </c>
    </row>
    <row r="362" spans="1:12" x14ac:dyDescent="0.25">
      <c r="A362" t="str">
        <f t="shared" si="20"/>
        <v>2015-FA-FAL-133-812-2276</v>
      </c>
      <c r="B362" t="str">
        <f t="shared" si="21"/>
        <v>2015</v>
      </c>
      <c r="C362" s="18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8" t="s">
        <v>731</v>
      </c>
      <c r="L362" s="21">
        <v>7.1</v>
      </c>
    </row>
    <row r="363" spans="1:12" x14ac:dyDescent="0.25">
      <c r="A363" t="str">
        <f t="shared" si="20"/>
        <v>2015-FA-FAL-138-847-2275</v>
      </c>
      <c r="B363" t="str">
        <f t="shared" si="21"/>
        <v>2015</v>
      </c>
      <c r="C363" s="18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8" t="s">
        <v>731</v>
      </c>
      <c r="L363" s="21">
        <v>7.4</v>
      </c>
    </row>
    <row r="364" spans="1:12" x14ac:dyDescent="0.25">
      <c r="A364" t="str">
        <f t="shared" si="20"/>
        <v>2015-FA-FAL-157-902-2277</v>
      </c>
      <c r="B364" t="str">
        <f t="shared" si="21"/>
        <v>2015</v>
      </c>
      <c r="C364" s="18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8" t="s">
        <v>731</v>
      </c>
      <c r="L364" s="21">
        <v>8</v>
      </c>
    </row>
    <row r="365" spans="1:12" x14ac:dyDescent="0.25">
      <c r="A365" t="str">
        <f t="shared" si="20"/>
        <v>2016-FA-FAL-85-591-2348</v>
      </c>
      <c r="B365" t="str">
        <f t="shared" si="21"/>
        <v>2016</v>
      </c>
      <c r="C365" s="18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8" t="s">
        <v>1118</v>
      </c>
      <c r="L365" s="21">
        <v>5.9</v>
      </c>
    </row>
    <row r="366" spans="1:12" x14ac:dyDescent="0.25">
      <c r="A366" t="str">
        <f t="shared" si="20"/>
        <v>2016-FA-FAL-94-630-2346</v>
      </c>
      <c r="B366" t="str">
        <f t="shared" si="21"/>
        <v>2016</v>
      </c>
      <c r="C366" s="18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8" t="s">
        <v>1118</v>
      </c>
      <c r="L366" s="21">
        <v>6.2</v>
      </c>
    </row>
    <row r="367" spans="1:12" x14ac:dyDescent="0.25">
      <c r="A367" t="str">
        <f t="shared" si="20"/>
        <v>2016-FA-FAL-114-701-2296</v>
      </c>
      <c r="B367" t="str">
        <f t="shared" si="21"/>
        <v>2016</v>
      </c>
      <c r="C367" s="18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8" t="s">
        <v>1118</v>
      </c>
      <c r="L367" s="21">
        <v>6.35</v>
      </c>
    </row>
    <row r="368" spans="1:12" x14ac:dyDescent="0.25">
      <c r="A368" t="str">
        <f t="shared" si="20"/>
        <v>2016-FA-FAL-121-751-2294</v>
      </c>
      <c r="B368" t="str">
        <f t="shared" si="21"/>
        <v>2016</v>
      </c>
      <c r="C368" s="18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8" t="s">
        <v>1118</v>
      </c>
      <c r="L368" s="21">
        <v>6.7</v>
      </c>
    </row>
    <row r="369" spans="1:12" x14ac:dyDescent="0.25">
      <c r="A369" t="str">
        <f t="shared" si="20"/>
        <v>2016-FA-FAL-130-800-2293</v>
      </c>
      <c r="B369" t="str">
        <f t="shared" si="21"/>
        <v>2016</v>
      </c>
      <c r="C369" s="18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8" t="s">
        <v>1118</v>
      </c>
      <c r="L369" s="21">
        <v>7.2</v>
      </c>
    </row>
    <row r="370" spans="1:12" x14ac:dyDescent="0.25">
      <c r="A370" t="str">
        <f t="shared" si="20"/>
        <v>2016-FA-FAL-138-847-2295</v>
      </c>
      <c r="B370" t="str">
        <f t="shared" si="21"/>
        <v>2016</v>
      </c>
      <c r="C370" s="18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8" t="s">
        <v>1118</v>
      </c>
      <c r="L370" s="21">
        <v>7.4</v>
      </c>
    </row>
    <row r="371" spans="1:12" x14ac:dyDescent="0.25">
      <c r="A371" t="str">
        <f t="shared" si="20"/>
        <v>2016-FA-FAL-157-902-2297</v>
      </c>
      <c r="B371" t="str">
        <f t="shared" si="21"/>
        <v>2016</v>
      </c>
      <c r="C371" s="18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8" t="s">
        <v>1118</v>
      </c>
      <c r="L371" s="21">
        <v>8.0500000000000007</v>
      </c>
    </row>
    <row r="372" spans="1:12" x14ac:dyDescent="0.25">
      <c r="A372" t="str">
        <f t="shared" si="20"/>
        <v>2017-FA-FAL-86-599-2343</v>
      </c>
      <c r="B372" t="str">
        <f t="shared" si="21"/>
        <v>2017</v>
      </c>
      <c r="C372" s="18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8" t="s">
        <v>1120</v>
      </c>
      <c r="L372" s="21">
        <v>5.9</v>
      </c>
    </row>
    <row r="373" spans="1:12" x14ac:dyDescent="0.25">
      <c r="A373" t="str">
        <f t="shared" si="20"/>
        <v>2017-FA-FAL-94-630-2346</v>
      </c>
      <c r="B373" t="str">
        <f t="shared" si="21"/>
        <v>2017</v>
      </c>
      <c r="C373" s="18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8" t="s">
        <v>1120</v>
      </c>
      <c r="L373" s="21">
        <v>6.2</v>
      </c>
    </row>
    <row r="374" spans="1:12" x14ac:dyDescent="0.25">
      <c r="A374" t="str">
        <f t="shared" si="20"/>
        <v>2017-FA-FAL-114-710-2295</v>
      </c>
      <c r="B374" t="str">
        <f t="shared" si="21"/>
        <v>2017</v>
      </c>
      <c r="C374" s="18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8" t="s">
        <v>1120</v>
      </c>
      <c r="L374" s="21">
        <v>6.35</v>
      </c>
    </row>
    <row r="375" spans="1:12" x14ac:dyDescent="0.25">
      <c r="A375" t="str">
        <f t="shared" si="20"/>
        <v>2017-FA-FAL-121-751-2294</v>
      </c>
      <c r="B375" t="str">
        <f t="shared" si="21"/>
        <v>2017</v>
      </c>
      <c r="C375" s="18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8" t="s">
        <v>1120</v>
      </c>
      <c r="L375" s="21">
        <v>6.7</v>
      </c>
    </row>
    <row r="376" spans="1:12" x14ac:dyDescent="0.25">
      <c r="A376" t="str">
        <f t="shared" si="20"/>
        <v>2017-FA-FAL-130-800-2293</v>
      </c>
      <c r="B376" t="str">
        <f t="shared" si="21"/>
        <v>2017</v>
      </c>
      <c r="C376" s="18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8" t="s">
        <v>1120</v>
      </c>
      <c r="L376" s="21">
        <v>7.2</v>
      </c>
    </row>
    <row r="377" spans="1:12" x14ac:dyDescent="0.25">
      <c r="A377" t="str">
        <f t="shared" si="20"/>
        <v>2017-FA-FAL-137-850-2246</v>
      </c>
      <c r="B377" t="str">
        <f t="shared" si="21"/>
        <v>2017</v>
      </c>
      <c r="C377" s="18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8" t="s">
        <v>1120</v>
      </c>
      <c r="L377" s="21">
        <v>7.4</v>
      </c>
    </row>
    <row r="378" spans="1:12" x14ac:dyDescent="0.25">
      <c r="A378" t="str">
        <f t="shared" si="20"/>
        <v>2017-FA-FAL-161-900-2297</v>
      </c>
      <c r="B378" t="str">
        <f t="shared" si="21"/>
        <v>2017</v>
      </c>
      <c r="C378" s="18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8" t="s">
        <v>1120</v>
      </c>
      <c r="L378" s="21">
        <v>8.9499999999999993</v>
      </c>
    </row>
    <row r="379" spans="1:12" x14ac:dyDescent="0.25">
      <c r="A379" t="str">
        <f t="shared" si="20"/>
        <v>2018-FA-FAL-86-599-2343</v>
      </c>
      <c r="B379" t="str">
        <f t="shared" si="21"/>
        <v>2018</v>
      </c>
      <c r="C379" s="18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8" t="s">
        <v>1125</v>
      </c>
      <c r="L379" s="21">
        <v>6.15</v>
      </c>
    </row>
    <row r="380" spans="1:12" x14ac:dyDescent="0.25">
      <c r="A380" t="str">
        <f t="shared" si="20"/>
        <v>2018-FA-FAL-98-631-2317</v>
      </c>
      <c r="B380" t="str">
        <f t="shared" si="21"/>
        <v>2018</v>
      </c>
      <c r="C380" s="23" t="s">
        <v>758</v>
      </c>
      <c r="D380" s="22" t="s">
        <v>1064</v>
      </c>
      <c r="E380" s="22" t="s">
        <v>1126</v>
      </c>
      <c r="F380" s="22">
        <v>98</v>
      </c>
      <c r="G380">
        <f t="shared" si="22"/>
        <v>63</v>
      </c>
      <c r="H380">
        <f t="shared" si="23"/>
        <v>231</v>
      </c>
      <c r="I380" s="22">
        <v>631</v>
      </c>
      <c r="J380" s="22">
        <v>2317</v>
      </c>
      <c r="K380" s="23" t="s">
        <v>1125</v>
      </c>
      <c r="L380" s="24">
        <v>6.2</v>
      </c>
    </row>
    <row r="381" spans="1:12" x14ac:dyDescent="0.25">
      <c r="A381" t="str">
        <f t="shared" si="20"/>
        <v>2018-FA-FAL-114-710-2295</v>
      </c>
      <c r="B381" t="str">
        <f t="shared" si="21"/>
        <v>2018</v>
      </c>
      <c r="C381" s="18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8" t="s">
        <v>1125</v>
      </c>
      <c r="L381" s="21">
        <v>6.45</v>
      </c>
    </row>
    <row r="382" spans="1:12" x14ac:dyDescent="0.25">
      <c r="A382" t="str">
        <f t="shared" si="20"/>
        <v>2018-FA-FAL-121-751-2294</v>
      </c>
      <c r="B382" t="str">
        <f t="shared" si="21"/>
        <v>2018</v>
      </c>
      <c r="C382" s="18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8" t="s">
        <v>1125</v>
      </c>
      <c r="L382" s="21">
        <v>6.85</v>
      </c>
    </row>
    <row r="383" spans="1:12" x14ac:dyDescent="0.25">
      <c r="A383" t="str">
        <f t="shared" si="20"/>
        <v>2018-FA-FAL-130-800-2293</v>
      </c>
      <c r="B383" t="str">
        <f t="shared" si="21"/>
        <v>2018</v>
      </c>
      <c r="C383" s="18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8" t="s">
        <v>1125</v>
      </c>
      <c r="L383" s="21">
        <v>7.2</v>
      </c>
    </row>
    <row r="384" spans="1:12" x14ac:dyDescent="0.25">
      <c r="A384" t="str">
        <f t="shared" si="20"/>
        <v>2018-FA-FAL-137-850-2246</v>
      </c>
      <c r="B384" t="str">
        <f t="shared" si="21"/>
        <v>2018</v>
      </c>
      <c r="C384" s="18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8" t="s">
        <v>1125</v>
      </c>
      <c r="L384" s="21">
        <v>7.65</v>
      </c>
    </row>
    <row r="385" spans="1:12" x14ac:dyDescent="0.25">
      <c r="A385" t="str">
        <f t="shared" si="20"/>
        <v>2018-FA-FAL-161-900-2297</v>
      </c>
      <c r="B385" t="str">
        <f t="shared" si="21"/>
        <v>2018</v>
      </c>
      <c r="C385" s="18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8" t="s">
        <v>1125</v>
      </c>
      <c r="L385" s="21">
        <v>8.9499999999999993</v>
      </c>
    </row>
    <row r="386" spans="1:12" x14ac:dyDescent="0.25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8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8" t="s">
        <v>1132</v>
      </c>
      <c r="L386" s="21">
        <v>6.3</v>
      </c>
    </row>
    <row r="387" spans="1:12" x14ac:dyDescent="0.25">
      <c r="A387" t="str">
        <f t="shared" si="24"/>
        <v>2019-FA-FAL-98-631-2317</v>
      </c>
      <c r="B387" t="str">
        <f t="shared" si="25"/>
        <v>2019</v>
      </c>
      <c r="C387" s="23" t="s">
        <v>761</v>
      </c>
      <c r="D387" s="22" t="s">
        <v>1064</v>
      </c>
      <c r="E387" s="22" t="s">
        <v>1126</v>
      </c>
      <c r="F387" s="22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2">
        <v>631</v>
      </c>
      <c r="J387" s="22">
        <v>2317</v>
      </c>
      <c r="K387" s="23" t="s">
        <v>1132</v>
      </c>
      <c r="L387" s="24">
        <v>6.4</v>
      </c>
    </row>
    <row r="388" spans="1:12" x14ac:dyDescent="0.25">
      <c r="A388" t="str">
        <f t="shared" si="24"/>
        <v>2019-FA-FAL-107-680-2342</v>
      </c>
      <c r="B388" t="str">
        <f t="shared" si="25"/>
        <v>2019</v>
      </c>
      <c r="C388" s="18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8" t="s">
        <v>1132</v>
      </c>
      <c r="L388" s="21">
        <v>6.65</v>
      </c>
    </row>
    <row r="389" spans="1:12" x14ac:dyDescent="0.25">
      <c r="A389" t="str">
        <f t="shared" si="24"/>
        <v>2019-FA-FAL-116-715-2293</v>
      </c>
      <c r="B389" t="str">
        <f t="shared" si="25"/>
        <v>2019</v>
      </c>
      <c r="C389" s="18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8" t="s">
        <v>1132</v>
      </c>
      <c r="L389" s="21">
        <v>6.75</v>
      </c>
    </row>
    <row r="390" spans="1:12" x14ac:dyDescent="0.25">
      <c r="A390" t="str">
        <f t="shared" si="24"/>
        <v>2019-FA-FAL-121-751-2294</v>
      </c>
      <c r="B390" t="str">
        <f t="shared" si="25"/>
        <v>2019</v>
      </c>
      <c r="C390" s="18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8" t="s">
        <v>1132</v>
      </c>
      <c r="L390" s="21">
        <v>7.2</v>
      </c>
    </row>
    <row r="391" spans="1:12" x14ac:dyDescent="0.25">
      <c r="A391" t="str">
        <f t="shared" si="24"/>
        <v>2019-FA-FAL-133-800-2295</v>
      </c>
      <c r="B391" t="str">
        <f t="shared" si="25"/>
        <v>2019</v>
      </c>
      <c r="C391" s="18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8" t="s">
        <v>1132</v>
      </c>
      <c r="L391" s="21">
        <v>7.65</v>
      </c>
    </row>
    <row r="392" spans="1:12" x14ac:dyDescent="0.25">
      <c r="A392" t="str">
        <f t="shared" si="24"/>
        <v>2019-FA-FAL-138-847-2279</v>
      </c>
      <c r="B392" t="str">
        <f t="shared" si="25"/>
        <v>2019</v>
      </c>
      <c r="C392" s="18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8" t="s">
        <v>1132</v>
      </c>
      <c r="L392" s="21">
        <v>7.6</v>
      </c>
    </row>
    <row r="393" spans="1:12" x14ac:dyDescent="0.25">
      <c r="A393" t="str">
        <f t="shared" si="24"/>
        <v>2019-FA-FAL-161-900-2297</v>
      </c>
      <c r="B393" t="str">
        <f t="shared" si="25"/>
        <v>2019</v>
      </c>
      <c r="C393" s="18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8" t="s">
        <v>1132</v>
      </c>
      <c r="L393" s="21">
        <v>8.8000000000000007</v>
      </c>
    </row>
    <row r="394" spans="1:12" x14ac:dyDescent="0.25">
      <c r="A394" t="str">
        <f t="shared" si="24"/>
        <v>2019-FA-FAL-184-910-2251</v>
      </c>
      <c r="B394" t="str">
        <f t="shared" si="25"/>
        <v>2019</v>
      </c>
      <c r="C394" s="18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8" t="s">
        <v>1132</v>
      </c>
      <c r="L394" s="21">
        <v>9.4</v>
      </c>
    </row>
    <row r="395" spans="1:12" x14ac:dyDescent="0.25">
      <c r="A395" t="str">
        <f t="shared" si="24"/>
        <v>2019-FA-FAL-192-910-2298</v>
      </c>
      <c r="B395" t="str">
        <f t="shared" si="25"/>
        <v>2019</v>
      </c>
      <c r="C395" s="18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8" t="s">
        <v>1140</v>
      </c>
      <c r="L395" s="21">
        <v>9.6</v>
      </c>
    </row>
    <row r="396" spans="1:12" x14ac:dyDescent="0.25">
      <c r="A396" t="str">
        <f t="shared" si="24"/>
        <v>2020-FA-Fal-82-560-2319</v>
      </c>
      <c r="B396" t="str">
        <f t="shared" si="25"/>
        <v>2020</v>
      </c>
      <c r="C396" s="18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8" t="s">
        <v>1142</v>
      </c>
      <c r="L396" s="21">
        <v>6.2</v>
      </c>
    </row>
    <row r="397" spans="1:12" x14ac:dyDescent="0.25">
      <c r="A397" t="str">
        <f t="shared" si="24"/>
        <v>2020-FA-Fal-89-601-2319</v>
      </c>
      <c r="B397" t="str">
        <f t="shared" si="25"/>
        <v>2020</v>
      </c>
      <c r="C397" s="18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8" t="s">
        <v>1142</v>
      </c>
      <c r="L397" s="21">
        <v>6.3</v>
      </c>
    </row>
    <row r="398" spans="1:12" x14ac:dyDescent="0.25">
      <c r="A398" t="str">
        <f t="shared" si="24"/>
        <v>2020-FA-Fal-96-621-2320</v>
      </c>
      <c r="B398" t="str">
        <f t="shared" si="25"/>
        <v>2020</v>
      </c>
      <c r="C398" s="26" t="s">
        <v>859</v>
      </c>
      <c r="D398" s="25" t="s">
        <v>1064</v>
      </c>
      <c r="E398" s="25" t="s">
        <v>1144</v>
      </c>
      <c r="F398" s="25">
        <v>96</v>
      </c>
      <c r="G398">
        <f t="shared" si="26"/>
        <v>62</v>
      </c>
      <c r="H398">
        <f t="shared" si="27"/>
        <v>232</v>
      </c>
      <c r="I398" s="25">
        <v>621</v>
      </c>
      <c r="J398" s="25">
        <v>2320</v>
      </c>
      <c r="K398" s="26" t="s">
        <v>1142</v>
      </c>
      <c r="L398" s="27">
        <v>6.4</v>
      </c>
    </row>
    <row r="399" spans="1:12" x14ac:dyDescent="0.25">
      <c r="A399" t="str">
        <f t="shared" si="24"/>
        <v>2020-FA-Fal-107-680-2342</v>
      </c>
      <c r="B399" t="str">
        <f t="shared" si="25"/>
        <v>2020</v>
      </c>
      <c r="C399" s="18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8" t="s">
        <v>1142</v>
      </c>
      <c r="L399" s="21">
        <v>6.6</v>
      </c>
    </row>
    <row r="400" spans="1:12" x14ac:dyDescent="0.25">
      <c r="A400" t="str">
        <f t="shared" si="24"/>
        <v>2020-FA-Fal-116-715-2293</v>
      </c>
      <c r="B400" t="str">
        <f t="shared" si="25"/>
        <v>2020</v>
      </c>
      <c r="C400" s="18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8" t="s">
        <v>1142</v>
      </c>
      <c r="L400" s="21">
        <v>6.9</v>
      </c>
    </row>
    <row r="401" spans="1:12" x14ac:dyDescent="0.25">
      <c r="A401" t="str">
        <f t="shared" si="24"/>
        <v>2020-FA-Fal-121-751-2294</v>
      </c>
      <c r="B401" t="str">
        <f t="shared" si="25"/>
        <v>2020</v>
      </c>
      <c r="C401" s="18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8" t="s">
        <v>1142</v>
      </c>
      <c r="L401" s="21">
        <v>7.2</v>
      </c>
    </row>
    <row r="402" spans="1:12" x14ac:dyDescent="0.25">
      <c r="A402" t="str">
        <f t="shared" si="24"/>
        <v>2020-FA-Fal-133-800-2295</v>
      </c>
      <c r="B402" t="str">
        <f t="shared" si="25"/>
        <v>2020</v>
      </c>
      <c r="C402" s="18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8" t="s">
        <v>1142</v>
      </c>
      <c r="L402" s="21">
        <v>7.2</v>
      </c>
    </row>
    <row r="403" spans="1:12" x14ac:dyDescent="0.25">
      <c r="A403" t="str">
        <f t="shared" si="24"/>
        <v>2020-FA-Fal-138-847-2279</v>
      </c>
      <c r="B403" t="str">
        <f t="shared" si="25"/>
        <v>2020</v>
      </c>
      <c r="C403" s="18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8" t="s">
        <v>1142</v>
      </c>
      <c r="L403" s="21">
        <v>7.8</v>
      </c>
    </row>
    <row r="404" spans="1:12" x14ac:dyDescent="0.25">
      <c r="A404" t="str">
        <f t="shared" si="24"/>
        <v>2021-FA-Fal-82-560-2319</v>
      </c>
      <c r="B404" t="str">
        <f t="shared" si="25"/>
        <v>2021</v>
      </c>
      <c r="C404" s="18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8" t="s">
        <v>1151</v>
      </c>
      <c r="L404" s="21">
        <v>6.2</v>
      </c>
    </row>
    <row r="405" spans="1:12" x14ac:dyDescent="0.25">
      <c r="A405" t="str">
        <f t="shared" si="24"/>
        <v>2021-FA-Fal-89-601-2319</v>
      </c>
      <c r="B405" t="str">
        <f t="shared" si="25"/>
        <v>2021</v>
      </c>
      <c r="C405" s="18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8" t="s">
        <v>1151</v>
      </c>
      <c r="L405" s="21">
        <v>6.3</v>
      </c>
    </row>
    <row r="406" spans="1:12" x14ac:dyDescent="0.25">
      <c r="A406" t="str">
        <f t="shared" si="24"/>
        <v>2021-FA-Fal-96-621-2320</v>
      </c>
      <c r="B406" t="str">
        <f t="shared" si="25"/>
        <v>2021</v>
      </c>
      <c r="C406" s="18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8" t="s">
        <v>1151</v>
      </c>
      <c r="L406" s="21">
        <v>6.4</v>
      </c>
    </row>
    <row r="407" spans="1:12" x14ac:dyDescent="0.25">
      <c r="A407" t="str">
        <f t="shared" si="24"/>
        <v>2021-FA-Fal-110-685-2320</v>
      </c>
      <c r="B407" t="str">
        <f t="shared" si="25"/>
        <v>2021</v>
      </c>
      <c r="C407" s="18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8" t="s">
        <v>1151</v>
      </c>
      <c r="L407" s="21">
        <v>6.7</v>
      </c>
    </row>
    <row r="408" spans="1:12" x14ac:dyDescent="0.25">
      <c r="A408" t="str">
        <f t="shared" si="24"/>
        <v>2021-FA-Fal-116-715-2293</v>
      </c>
      <c r="B408" t="str">
        <f t="shared" si="25"/>
        <v>2021</v>
      </c>
      <c r="C408" s="18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8" t="s">
        <v>1151</v>
      </c>
      <c r="L408" s="21">
        <v>6.9</v>
      </c>
    </row>
    <row r="409" spans="1:12" x14ac:dyDescent="0.25">
      <c r="A409" t="str">
        <f t="shared" si="24"/>
        <v>2021-FA-Fal-121-751-2294</v>
      </c>
      <c r="B409" t="str">
        <f t="shared" si="25"/>
        <v>2021</v>
      </c>
      <c r="C409" s="18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8" t="s">
        <v>1151</v>
      </c>
      <c r="L409" s="21">
        <v>7.2</v>
      </c>
    </row>
    <row r="410" spans="1:12" x14ac:dyDescent="0.25">
      <c r="A410" t="str">
        <f t="shared" si="24"/>
        <v>2021-FA-Fal-133-800-2295</v>
      </c>
      <c r="B410" t="str">
        <f t="shared" si="25"/>
        <v>2021</v>
      </c>
      <c r="C410" s="18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8" t="s">
        <v>1151</v>
      </c>
      <c r="L410" s="21">
        <v>7.2</v>
      </c>
    </row>
    <row r="411" spans="1:12" x14ac:dyDescent="0.25">
      <c r="A411" t="str">
        <f t="shared" si="24"/>
        <v>2021-FA-Fal-138-847-2279</v>
      </c>
      <c r="B411" t="str">
        <f t="shared" si="25"/>
        <v>2021</v>
      </c>
      <c r="C411" s="18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8" t="s">
        <v>1151</v>
      </c>
      <c r="L411" s="21">
        <v>7.8</v>
      </c>
    </row>
    <row r="412" spans="1:12" x14ac:dyDescent="0.25">
      <c r="A412" t="str">
        <f t="shared" si="24"/>
        <v>2022-FA-Fal-153-750-2100</v>
      </c>
      <c r="B412" t="str">
        <f t="shared" si="25"/>
        <v>2022</v>
      </c>
      <c r="C412" s="18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8" t="s">
        <v>1154</v>
      </c>
      <c r="L412" s="21">
        <v>8.5</v>
      </c>
    </row>
    <row r="413" spans="1:12" x14ac:dyDescent="0.25">
      <c r="A413" t="str">
        <f t="shared" si="24"/>
        <v>2022-FA-Fal-173-810-2200</v>
      </c>
      <c r="B413" t="str">
        <f t="shared" si="25"/>
        <v>2022</v>
      </c>
      <c r="C413" s="18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8" t="s">
        <v>1154</v>
      </c>
      <c r="L413" s="21">
        <v>9</v>
      </c>
    </row>
    <row r="414" spans="1:12" x14ac:dyDescent="0.25">
      <c r="A414" t="str">
        <f t="shared" si="24"/>
        <v>2022-FA-Fal-194-909-2218</v>
      </c>
      <c r="B414" t="str">
        <f t="shared" si="25"/>
        <v>2022</v>
      </c>
      <c r="C414" s="18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8" t="s">
        <v>1154</v>
      </c>
      <c r="L414" s="21">
        <v>9.6999999999999993</v>
      </c>
    </row>
    <row r="415" spans="1:12" x14ac:dyDescent="0.25">
      <c r="A415" t="str">
        <f t="shared" si="24"/>
        <v>2022-FA-Fal-82-560-2319</v>
      </c>
      <c r="B415" t="str">
        <f t="shared" si="25"/>
        <v>2022</v>
      </c>
      <c r="C415" s="18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8" t="s">
        <v>1154</v>
      </c>
      <c r="L415" s="21">
        <v>6.2</v>
      </c>
    </row>
    <row r="416" spans="1:12" x14ac:dyDescent="0.25">
      <c r="A416" t="str">
        <f t="shared" si="24"/>
        <v>2022-FA-Fal-89-601-2319</v>
      </c>
      <c r="B416" t="str">
        <f t="shared" si="25"/>
        <v>2022</v>
      </c>
      <c r="C416" s="18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8" t="s">
        <v>1154</v>
      </c>
      <c r="L416" s="21">
        <v>6.3</v>
      </c>
    </row>
    <row r="417" spans="1:12" x14ac:dyDescent="0.25">
      <c r="A417" t="str">
        <f t="shared" si="24"/>
        <v>2022-FA-Fal-96-621-2320</v>
      </c>
      <c r="B417" t="str">
        <f t="shared" si="25"/>
        <v>2022</v>
      </c>
      <c r="C417" s="18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8" t="s">
        <v>1154</v>
      </c>
      <c r="L417" s="21">
        <v>6.4</v>
      </c>
    </row>
    <row r="418" spans="1:12" x14ac:dyDescent="0.25">
      <c r="A418" t="str">
        <f t="shared" si="24"/>
        <v>2022-FA-Fal-110-685-2320</v>
      </c>
      <c r="B418" t="str">
        <f t="shared" si="25"/>
        <v>2022</v>
      </c>
      <c r="C418" s="18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8" t="s">
        <v>1154</v>
      </c>
      <c r="L418" s="21">
        <v>6.7</v>
      </c>
    </row>
    <row r="419" spans="1:12" x14ac:dyDescent="0.25">
      <c r="A419" t="str">
        <f t="shared" si="24"/>
        <v>2022-FA-Fal-116-715-2293</v>
      </c>
      <c r="B419" t="str">
        <f t="shared" si="25"/>
        <v>2022</v>
      </c>
      <c r="C419" s="18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8" t="s">
        <v>1154</v>
      </c>
      <c r="L419" s="21">
        <v>6.9</v>
      </c>
    </row>
    <row r="420" spans="1:12" x14ac:dyDescent="0.25">
      <c r="A420" t="str">
        <f t="shared" si="24"/>
        <v>2022-FA-Fal-121-751-2294</v>
      </c>
      <c r="B420" t="str">
        <f t="shared" si="25"/>
        <v>2022</v>
      </c>
      <c r="C420" s="18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8" t="s">
        <v>1154</v>
      </c>
      <c r="L420" s="21">
        <v>7.2</v>
      </c>
    </row>
    <row r="421" spans="1:12" x14ac:dyDescent="0.25">
      <c r="A421" t="str">
        <f t="shared" si="24"/>
        <v>2022-FA-Fal-133-800-2295</v>
      </c>
      <c r="B421" t="str">
        <f t="shared" si="25"/>
        <v>2022</v>
      </c>
      <c r="C421" s="18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8" t="s">
        <v>1154</v>
      </c>
      <c r="L421" s="21">
        <v>7.2</v>
      </c>
    </row>
    <row r="422" spans="1:12" x14ac:dyDescent="0.25">
      <c r="A422" t="str">
        <f t="shared" si="24"/>
        <v>2022-FA-Fal-138-847-2279</v>
      </c>
      <c r="B422" t="str">
        <f t="shared" si="25"/>
        <v>2022</v>
      </c>
      <c r="C422" s="18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8" t="s">
        <v>1154</v>
      </c>
      <c r="L422" s="21">
        <v>7.8</v>
      </c>
    </row>
    <row r="423" spans="1:12" x14ac:dyDescent="0.25">
      <c r="A423" t="str">
        <f t="shared" si="24"/>
        <v>2023-FA-Fal-149-753-2097</v>
      </c>
      <c r="B423" t="str">
        <f t="shared" si="25"/>
        <v>2023</v>
      </c>
      <c r="C423" s="18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8" t="s">
        <v>1161</v>
      </c>
      <c r="L423" s="21">
        <v>8.3000000000000007</v>
      </c>
    </row>
    <row r="424" spans="1:12" x14ac:dyDescent="0.25">
      <c r="A424" t="str">
        <f t="shared" si="24"/>
        <v>2023-FA-Fal-165-810-2210</v>
      </c>
      <c r="B424" t="str">
        <f t="shared" si="25"/>
        <v>2023</v>
      </c>
      <c r="C424" s="18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8" t="s">
        <v>1161</v>
      </c>
      <c r="L424" s="21">
        <v>8.9</v>
      </c>
    </row>
    <row r="425" spans="1:12" x14ac:dyDescent="0.25">
      <c r="A425" t="str">
        <f t="shared" si="24"/>
        <v>2023-FA-Fal-184-909-2125</v>
      </c>
      <c r="B425" t="str">
        <f t="shared" si="25"/>
        <v>2023</v>
      </c>
      <c r="C425" s="18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8" t="s">
        <v>1161</v>
      </c>
      <c r="L425" s="21">
        <v>9.5</v>
      </c>
    </row>
    <row r="426" spans="1:12" x14ac:dyDescent="0.25">
      <c r="A426" t="str">
        <f t="shared" si="24"/>
        <v>2023-FA-Fal-82-560-2319</v>
      </c>
      <c r="B426" t="str">
        <f t="shared" si="25"/>
        <v>2023</v>
      </c>
      <c r="C426" s="18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8" t="s">
        <v>1161</v>
      </c>
      <c r="L426" s="21">
        <v>6.2</v>
      </c>
    </row>
    <row r="427" spans="1:12" x14ac:dyDescent="0.25">
      <c r="A427" t="str">
        <f t="shared" si="24"/>
        <v>2023-FA-Fal-89-601-2319</v>
      </c>
      <c r="B427" t="str">
        <f t="shared" si="25"/>
        <v>2023</v>
      </c>
      <c r="C427" s="18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8" t="s">
        <v>1161</v>
      </c>
      <c r="L427" s="21">
        <v>6.3</v>
      </c>
    </row>
    <row r="428" spans="1:12" x14ac:dyDescent="0.25">
      <c r="A428" t="str">
        <f t="shared" si="24"/>
        <v>2023-FA-Fal-96-630-2319</v>
      </c>
      <c r="B428" t="str">
        <f t="shared" si="25"/>
        <v>2023</v>
      </c>
      <c r="C428" s="18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8" t="s">
        <v>1161</v>
      </c>
      <c r="L428" s="21">
        <v>6.4</v>
      </c>
    </row>
    <row r="429" spans="1:12" x14ac:dyDescent="0.25">
      <c r="A429" t="str">
        <f t="shared" si="24"/>
        <v>2023-FA-Fal-110-685-2320</v>
      </c>
      <c r="B429" t="str">
        <f t="shared" si="25"/>
        <v>2023</v>
      </c>
      <c r="C429" s="18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8" t="s">
        <v>1161</v>
      </c>
      <c r="L429" s="21">
        <v>6.7</v>
      </c>
    </row>
    <row r="430" spans="1:12" x14ac:dyDescent="0.25">
      <c r="A430" t="str">
        <f t="shared" si="24"/>
        <v>2023-FA-Fal-117-715-2294</v>
      </c>
      <c r="B430" t="str">
        <f t="shared" si="25"/>
        <v>2023</v>
      </c>
      <c r="C430" s="18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8" t="s">
        <v>1161</v>
      </c>
      <c r="L430" s="21">
        <v>7</v>
      </c>
    </row>
    <row r="431" spans="1:12" x14ac:dyDescent="0.25">
      <c r="A431" t="str">
        <f t="shared" si="24"/>
        <v>2023-FA-Fal-121-751-2294</v>
      </c>
      <c r="B431" t="str">
        <f t="shared" si="25"/>
        <v>2023</v>
      </c>
      <c r="C431" s="18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8" t="s">
        <v>1161</v>
      </c>
      <c r="L431" s="21">
        <v>7.2</v>
      </c>
    </row>
    <row r="432" spans="1:12" x14ac:dyDescent="0.25">
      <c r="A432" t="str">
        <f t="shared" si="24"/>
        <v>2023-FA-Fal-133-800-2295</v>
      </c>
      <c r="B432" t="str">
        <f t="shared" si="25"/>
        <v>2023</v>
      </c>
      <c r="C432" s="18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8" t="s">
        <v>1161</v>
      </c>
      <c r="L432" s="21">
        <v>7.2</v>
      </c>
    </row>
    <row r="433" spans="1:12" x14ac:dyDescent="0.25">
      <c r="A433" t="str">
        <f t="shared" si="24"/>
        <v>2023-FA-Fal-138-847-2279</v>
      </c>
      <c r="B433" t="str">
        <f t="shared" si="25"/>
        <v>2023</v>
      </c>
      <c r="C433" s="18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8" t="s">
        <v>1161</v>
      </c>
      <c r="L433" s="21">
        <v>7.8</v>
      </c>
    </row>
    <row r="434" spans="1:12" x14ac:dyDescent="0.25">
      <c r="A434" t="str">
        <f t="shared" si="24"/>
        <v>2019-FM-INV-96-631-2350</v>
      </c>
      <c r="B434" t="str">
        <f t="shared" si="25"/>
        <v>2019</v>
      </c>
      <c r="C434" s="18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8" t="s">
        <v>1163</v>
      </c>
      <c r="L434" s="21">
        <v>5.9</v>
      </c>
    </row>
    <row r="435" spans="1:12" x14ac:dyDescent="0.25">
      <c r="A435" t="str">
        <f t="shared" si="24"/>
        <v>2019-FM-INV-119-720-2354</v>
      </c>
      <c r="B435" t="str">
        <f t="shared" si="25"/>
        <v>2019</v>
      </c>
      <c r="C435" s="18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8" t="s">
        <v>1163</v>
      </c>
      <c r="L435" s="21">
        <v>6.6</v>
      </c>
    </row>
    <row r="436" spans="1:12" x14ac:dyDescent="0.25">
      <c r="A436" t="str">
        <f t="shared" si="24"/>
        <v>2019-FM-INV-150-850-2280</v>
      </c>
      <c r="B436" t="str">
        <f t="shared" si="25"/>
        <v>2019</v>
      </c>
      <c r="C436" s="18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8" t="s">
        <v>1163</v>
      </c>
      <c r="L436" s="21">
        <v>7.7</v>
      </c>
    </row>
    <row r="437" spans="1:12" x14ac:dyDescent="0.25">
      <c r="A437" t="str">
        <f t="shared" si="24"/>
        <v>2019-FM-HYP-185-909-2200</v>
      </c>
      <c r="B437" t="str">
        <f t="shared" si="25"/>
        <v>2019</v>
      </c>
      <c r="C437" s="18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8" t="s">
        <v>1163</v>
      </c>
      <c r="L437" s="21">
        <v>8.9</v>
      </c>
    </row>
    <row r="438" spans="1:12" x14ac:dyDescent="0.25">
      <c r="A438" t="str">
        <f t="shared" si="24"/>
        <v>2021-FM-INV-88-610-2350</v>
      </c>
      <c r="B438" t="str">
        <f t="shared" si="25"/>
        <v>2021</v>
      </c>
      <c r="C438" s="18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8" t="s">
        <v>1169</v>
      </c>
      <c r="L438" s="21">
        <v>5.8</v>
      </c>
    </row>
    <row r="439" spans="1:12" x14ac:dyDescent="0.25">
      <c r="A439" t="str">
        <f t="shared" si="24"/>
        <v>2021-FM-INV-98-631-2350</v>
      </c>
      <c r="B439" t="str">
        <f t="shared" si="25"/>
        <v>2021</v>
      </c>
      <c r="C439" s="18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8" t="s">
        <v>1169</v>
      </c>
      <c r="L439" s="21">
        <v>5.9</v>
      </c>
    </row>
    <row r="440" spans="1:12" x14ac:dyDescent="0.25">
      <c r="A440" t="str">
        <f t="shared" si="24"/>
        <v>2021-FM-INV-104-668-2337</v>
      </c>
      <c r="B440" t="str">
        <f t="shared" si="25"/>
        <v>2021</v>
      </c>
      <c r="C440" s="18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8" t="s">
        <v>1169</v>
      </c>
      <c r="L440" s="21">
        <v>6.4</v>
      </c>
    </row>
    <row r="441" spans="1:12" x14ac:dyDescent="0.25">
      <c r="A441" t="str">
        <f t="shared" si="24"/>
        <v>2021-FM-INV-108-698-2350</v>
      </c>
      <c r="B441" t="str">
        <f t="shared" si="25"/>
        <v>2021</v>
      </c>
      <c r="C441" s="18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8" t="s">
        <v>1169</v>
      </c>
      <c r="L441" s="21">
        <v>6.6</v>
      </c>
    </row>
    <row r="442" spans="1:12" x14ac:dyDescent="0.25">
      <c r="A442" t="str">
        <f t="shared" si="24"/>
        <v>2021-FM-INV-118-720-2352</v>
      </c>
      <c r="B442" t="str">
        <f t="shared" si="25"/>
        <v>2021</v>
      </c>
      <c r="C442" s="18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8" t="s">
        <v>1169</v>
      </c>
      <c r="L442" s="21">
        <v>6.8</v>
      </c>
    </row>
    <row r="443" spans="1:12" x14ac:dyDescent="0.25">
      <c r="A443" t="str">
        <f t="shared" si="24"/>
        <v>2021-FM-INV-128-807-2280</v>
      </c>
      <c r="B443" t="str">
        <f t="shared" si="25"/>
        <v>2021</v>
      </c>
      <c r="C443" s="18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8" t="s">
        <v>1169</v>
      </c>
      <c r="L443" s="21">
        <v>7.2</v>
      </c>
    </row>
    <row r="444" spans="1:12" x14ac:dyDescent="0.25">
      <c r="A444" t="str">
        <f t="shared" si="24"/>
        <v>2021-FM-INV-138-850-2281</v>
      </c>
      <c r="B444" t="str">
        <f t="shared" si="25"/>
        <v>2021</v>
      </c>
      <c r="C444" s="18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8" t="s">
        <v>1169</v>
      </c>
      <c r="L444" s="21">
        <v>7.6</v>
      </c>
    </row>
    <row r="445" spans="1:12" x14ac:dyDescent="0.25">
      <c r="A445" t="str">
        <f t="shared" si="24"/>
        <v>2021-FM-HYP-178-910-2185</v>
      </c>
      <c r="B445" t="str">
        <f t="shared" si="25"/>
        <v>2021</v>
      </c>
      <c r="C445" s="18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8" t="s">
        <v>1169</v>
      </c>
      <c r="L445" s="21">
        <v>9</v>
      </c>
    </row>
    <row r="446" spans="1:12" x14ac:dyDescent="0.25">
      <c r="A446" t="str">
        <f t="shared" si="24"/>
        <v>2021-FM-HYP-178-910-2170</v>
      </c>
      <c r="B446" t="str">
        <f t="shared" si="25"/>
        <v>2021</v>
      </c>
      <c r="C446" s="18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8" t="s">
        <v>1169</v>
      </c>
      <c r="L446" s="21">
        <v>9.1999999999999993</v>
      </c>
    </row>
    <row r="447" spans="1:12" x14ac:dyDescent="0.25">
      <c r="A447" t="str">
        <f t="shared" si="24"/>
        <v>2022-FM-Inv-88-610-2350</v>
      </c>
      <c r="B447" t="str">
        <f t="shared" si="25"/>
        <v>2022</v>
      </c>
      <c r="C447" s="18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8" t="s">
        <v>1179</v>
      </c>
      <c r="L447" s="21">
        <v>5.8</v>
      </c>
    </row>
    <row r="448" spans="1:12" x14ac:dyDescent="0.25">
      <c r="A448" t="str">
        <f t="shared" si="24"/>
        <v>2022-FM-Inv-98-631-2350</v>
      </c>
      <c r="B448" t="str">
        <f t="shared" si="25"/>
        <v>2022</v>
      </c>
      <c r="C448" s="18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8" t="s">
        <v>1179</v>
      </c>
      <c r="L448" s="21">
        <v>5.9</v>
      </c>
    </row>
    <row r="449" spans="1:12" x14ac:dyDescent="0.25">
      <c r="A449" t="str">
        <f t="shared" si="24"/>
        <v>2022-FM-Inv-104-668-2337</v>
      </c>
      <c r="B449" t="str">
        <f t="shared" si="25"/>
        <v>2022</v>
      </c>
      <c r="C449" s="18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8" t="s">
        <v>1179</v>
      </c>
      <c r="L449" s="21">
        <v>6.4</v>
      </c>
    </row>
    <row r="450" spans="1:12" x14ac:dyDescent="0.25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8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8" t="s">
        <v>1179</v>
      </c>
      <c r="L450" s="21">
        <v>6.6</v>
      </c>
    </row>
    <row r="451" spans="1:12" x14ac:dyDescent="0.25">
      <c r="A451" t="str">
        <f t="shared" si="28"/>
        <v>2022-FM-Inv-118-720-2352</v>
      </c>
      <c r="B451" t="str">
        <f t="shared" si="29"/>
        <v>2022</v>
      </c>
      <c r="C451" s="18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8" t="s">
        <v>1179</v>
      </c>
      <c r="L451" s="21">
        <v>6.8</v>
      </c>
    </row>
    <row r="452" spans="1:12" x14ac:dyDescent="0.25">
      <c r="A452" t="str">
        <f t="shared" si="28"/>
        <v>2022-FM-Inv-128-807-2280</v>
      </c>
      <c r="B452" t="str">
        <f t="shared" si="29"/>
        <v>2022</v>
      </c>
      <c r="C452" s="18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8" t="s">
        <v>1179</v>
      </c>
      <c r="L452" s="21">
        <v>7.2</v>
      </c>
    </row>
    <row r="453" spans="1:12" x14ac:dyDescent="0.25">
      <c r="A453" t="str">
        <f t="shared" si="28"/>
        <v>2022-FM-Inv-138-850-2281</v>
      </c>
      <c r="B453" t="str">
        <f t="shared" si="29"/>
        <v>2022</v>
      </c>
      <c r="C453" s="18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8" t="s">
        <v>1179</v>
      </c>
      <c r="L453" s="21">
        <v>7.6</v>
      </c>
    </row>
    <row r="454" spans="1:12" x14ac:dyDescent="0.25">
      <c r="A454" t="str">
        <f t="shared" si="28"/>
        <v>2022-FM-Hyp-158-850-2173</v>
      </c>
      <c r="B454" t="str">
        <f t="shared" si="29"/>
        <v>2022</v>
      </c>
      <c r="C454" s="18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8" t="s">
        <v>1179</v>
      </c>
      <c r="L454" s="21">
        <v>8.4</v>
      </c>
    </row>
    <row r="455" spans="1:12" x14ac:dyDescent="0.25">
      <c r="A455" t="str">
        <f t="shared" si="28"/>
        <v>2022-FM-HYP-178-910-2170</v>
      </c>
      <c r="B455" t="str">
        <f t="shared" si="29"/>
        <v>2022</v>
      </c>
      <c r="C455" s="18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8" t="s">
        <v>1179</v>
      </c>
      <c r="L455" s="21">
        <v>9</v>
      </c>
    </row>
    <row r="456" spans="1:12" x14ac:dyDescent="0.25">
      <c r="A456" t="str">
        <f t="shared" si="28"/>
        <v>2022-FM-Inv-124-772-2270</v>
      </c>
      <c r="B456" t="str">
        <f t="shared" si="29"/>
        <v>2022</v>
      </c>
      <c r="C456" s="18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8" t="s">
        <v>1179</v>
      </c>
      <c r="L456" s="21">
        <v>7.1</v>
      </c>
    </row>
    <row r="457" spans="1:12" x14ac:dyDescent="0.25">
      <c r="A457" t="str">
        <f t="shared" si="28"/>
        <v>2023-FM-Inv-88-610-2350</v>
      </c>
      <c r="B457" t="str">
        <f t="shared" si="29"/>
        <v>2023</v>
      </c>
      <c r="C457" s="18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8" t="s">
        <v>1188</v>
      </c>
      <c r="L457" s="21">
        <v>5.9</v>
      </c>
    </row>
    <row r="458" spans="1:12" x14ac:dyDescent="0.25">
      <c r="A458" t="str">
        <f t="shared" si="28"/>
        <v>2023-FM-Inv-98-631-2350</v>
      </c>
      <c r="B458" t="str">
        <f t="shared" si="29"/>
        <v>2023</v>
      </c>
      <c r="C458" s="18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8" t="s">
        <v>1188</v>
      </c>
      <c r="L458" s="21">
        <v>6</v>
      </c>
    </row>
    <row r="459" spans="1:12" x14ac:dyDescent="0.25">
      <c r="A459" t="str">
        <f t="shared" si="28"/>
        <v>2023-FM-Inv-128-807-2280</v>
      </c>
      <c r="B459" t="str">
        <f t="shared" si="29"/>
        <v>2023</v>
      </c>
      <c r="C459" s="18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8" t="s">
        <v>1188</v>
      </c>
      <c r="L459" s="21">
        <v>7.3</v>
      </c>
    </row>
    <row r="460" spans="1:12" x14ac:dyDescent="0.25">
      <c r="A460" t="str">
        <f t="shared" si="28"/>
        <v>2023-FM-Inv-138-850-2281</v>
      </c>
      <c r="B460" t="str">
        <f t="shared" si="29"/>
        <v>2023</v>
      </c>
      <c r="C460" s="18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8" t="s">
        <v>1188</v>
      </c>
      <c r="L460" s="21">
        <v>7.7</v>
      </c>
    </row>
    <row r="461" spans="1:12" x14ac:dyDescent="0.25">
      <c r="A461" t="str">
        <f t="shared" si="28"/>
        <v>2023-FM-Inv-104-668-2337</v>
      </c>
      <c r="B461" t="str">
        <f t="shared" si="29"/>
        <v>2023</v>
      </c>
      <c r="C461" s="18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8" t="s">
        <v>1188</v>
      </c>
      <c r="L461" s="21">
        <v>6.4</v>
      </c>
    </row>
    <row r="462" spans="1:12" x14ac:dyDescent="0.25">
      <c r="A462" t="str">
        <f t="shared" si="28"/>
        <v>2023-FM-Inv-108-698-2350</v>
      </c>
      <c r="B462" t="str">
        <f t="shared" si="29"/>
        <v>2023</v>
      </c>
      <c r="C462" s="18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8" t="s">
        <v>1188</v>
      </c>
      <c r="L462" s="21">
        <v>6.6</v>
      </c>
    </row>
    <row r="463" spans="1:12" x14ac:dyDescent="0.25">
      <c r="A463" t="str">
        <f t="shared" si="28"/>
        <v>2023-FM-Inv-118-720-2352</v>
      </c>
      <c r="B463" t="str">
        <f t="shared" si="29"/>
        <v>2023</v>
      </c>
      <c r="C463" s="18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8" t="s">
        <v>1188</v>
      </c>
      <c r="L463" s="21">
        <v>6.8</v>
      </c>
    </row>
    <row r="464" spans="1:12" x14ac:dyDescent="0.25">
      <c r="A464" t="str">
        <f t="shared" si="28"/>
        <v>2023-FM-Inv-124-772-2270</v>
      </c>
      <c r="B464" t="str">
        <f t="shared" si="29"/>
        <v>2023</v>
      </c>
      <c r="C464" s="18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8" t="s">
        <v>1188</v>
      </c>
      <c r="L464" s="21">
        <v>7.1</v>
      </c>
    </row>
    <row r="465" spans="1:12" x14ac:dyDescent="0.25">
      <c r="A465" t="str">
        <f t="shared" si="28"/>
        <v>2023-FM-Hyp-138-781-2090</v>
      </c>
      <c r="B465" t="str">
        <f t="shared" si="29"/>
        <v>2023</v>
      </c>
      <c r="C465" s="18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8" t="s">
        <v>1188</v>
      </c>
      <c r="L465" s="21">
        <v>7.6</v>
      </c>
    </row>
    <row r="466" spans="1:12" x14ac:dyDescent="0.25">
      <c r="A466" t="str">
        <f t="shared" si="28"/>
        <v>2023-FM-Hyp-158-850-2110</v>
      </c>
      <c r="B466" t="str">
        <f t="shared" si="29"/>
        <v>2023</v>
      </c>
      <c r="C466" s="18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8" t="s">
        <v>1188</v>
      </c>
      <c r="L466" s="21">
        <v>8.1999999999999993</v>
      </c>
    </row>
    <row r="467" spans="1:12" x14ac:dyDescent="0.25">
      <c r="A467" t="str">
        <f t="shared" si="28"/>
        <v>2023-FM-Hyp-178-910-2138</v>
      </c>
      <c r="B467" t="str">
        <f t="shared" si="29"/>
        <v>2023</v>
      </c>
      <c r="C467" s="18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8" t="s">
        <v>1188</v>
      </c>
      <c r="L467" s="21">
        <v>8.9</v>
      </c>
    </row>
    <row r="468" spans="1:12" x14ac:dyDescent="0.25">
      <c r="A468" t="str">
        <f t="shared" si="28"/>
        <v>2024-FM-Inv-88-610-2330</v>
      </c>
      <c r="B468" t="str">
        <f t="shared" si="29"/>
        <v>2024</v>
      </c>
      <c r="C468" s="18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8" t="s">
        <v>1191</v>
      </c>
      <c r="L468" s="21">
        <v>5.9</v>
      </c>
    </row>
    <row r="469" spans="1:12" x14ac:dyDescent="0.25">
      <c r="A469" t="str">
        <f t="shared" si="28"/>
        <v>2024-FM-Inv-98-631-2333</v>
      </c>
      <c r="B469" t="str">
        <f t="shared" si="29"/>
        <v>2024</v>
      </c>
      <c r="C469" s="18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8" t="s">
        <v>1191</v>
      </c>
      <c r="L469" s="21">
        <v>6</v>
      </c>
    </row>
    <row r="470" spans="1:12" x14ac:dyDescent="0.25">
      <c r="A470" t="str">
        <f t="shared" si="28"/>
        <v>2024-FM-Inv-104-668-2337</v>
      </c>
      <c r="B470" t="str">
        <f t="shared" si="29"/>
        <v>2024</v>
      </c>
      <c r="C470" s="18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8" t="s">
        <v>1191</v>
      </c>
      <c r="L470" s="21">
        <v>6.4</v>
      </c>
    </row>
    <row r="471" spans="1:12" x14ac:dyDescent="0.25">
      <c r="A471" t="str">
        <f t="shared" si="28"/>
        <v>2024-FM-Inv-108-698-2330</v>
      </c>
      <c r="B471" t="str">
        <f t="shared" si="29"/>
        <v>2024</v>
      </c>
      <c r="C471" s="18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8" t="s">
        <v>1191</v>
      </c>
      <c r="L471" s="21">
        <v>6.6</v>
      </c>
    </row>
    <row r="472" spans="1:12" x14ac:dyDescent="0.25">
      <c r="A472" t="str">
        <f t="shared" si="28"/>
        <v>2024-FM-Inv-118-720-2332</v>
      </c>
      <c r="B472" t="str">
        <f t="shared" si="29"/>
        <v>2024</v>
      </c>
      <c r="C472" s="18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8" t="s">
        <v>1191</v>
      </c>
      <c r="L472" s="21">
        <v>6.8</v>
      </c>
    </row>
    <row r="473" spans="1:12" x14ac:dyDescent="0.25">
      <c r="A473" t="str">
        <f t="shared" si="28"/>
        <v>2024-FM-Inv-124-772-2270</v>
      </c>
      <c r="B473" t="str">
        <f t="shared" si="29"/>
        <v>2024</v>
      </c>
      <c r="C473" s="18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8" t="s">
        <v>1191</v>
      </c>
      <c r="L473" s="21">
        <v>7.1</v>
      </c>
    </row>
    <row r="474" spans="1:12" x14ac:dyDescent="0.25">
      <c r="A474" t="str">
        <f t="shared" si="28"/>
        <v>2024-FM-Inv-128-807-2280</v>
      </c>
      <c r="B474" t="str">
        <f t="shared" si="29"/>
        <v>2024</v>
      </c>
      <c r="C474" s="18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8" t="s">
        <v>1191</v>
      </c>
      <c r="L474" s="21">
        <v>7.3</v>
      </c>
    </row>
    <row r="475" spans="1:12" x14ac:dyDescent="0.25">
      <c r="A475" t="str">
        <f t="shared" si="28"/>
        <v>2024-FM-Inv-138-850-2281</v>
      </c>
      <c r="B475" t="str">
        <f t="shared" si="29"/>
        <v>2024</v>
      </c>
      <c r="C475" s="18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8" t="s">
        <v>1191</v>
      </c>
      <c r="L475" s="21">
        <v>7.7</v>
      </c>
    </row>
    <row r="476" spans="1:12" x14ac:dyDescent="0.25">
      <c r="A476" t="str">
        <f t="shared" si="28"/>
        <v>2024-FM-Hyp-138-781-2090</v>
      </c>
      <c r="B476" t="str">
        <f t="shared" si="29"/>
        <v>2024</v>
      </c>
      <c r="C476" s="18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8" t="s">
        <v>1192</v>
      </c>
      <c r="L476" s="21">
        <v>7.6</v>
      </c>
    </row>
    <row r="477" spans="1:12" x14ac:dyDescent="0.25">
      <c r="A477" t="str">
        <f t="shared" si="28"/>
        <v>2024-FM-Hyp-158-850-2110</v>
      </c>
      <c r="B477" t="str">
        <f t="shared" si="29"/>
        <v>2024</v>
      </c>
      <c r="C477" s="18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8" t="s">
        <v>1192</v>
      </c>
      <c r="L477" s="21">
        <v>8.1999999999999993</v>
      </c>
    </row>
    <row r="478" spans="1:12" x14ac:dyDescent="0.25">
      <c r="A478" t="str">
        <f t="shared" si="28"/>
        <v>2024-FM-Hyp-168-855-2113</v>
      </c>
      <c r="B478" t="str">
        <f t="shared" si="29"/>
        <v>2024</v>
      </c>
      <c r="C478" s="18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8" t="s">
        <v>1191</v>
      </c>
      <c r="L478" s="21">
        <v>8.6</v>
      </c>
    </row>
    <row r="479" spans="1:12" x14ac:dyDescent="0.25">
      <c r="A479" t="str">
        <f t="shared" si="28"/>
        <v>2024-FM-Hyp-178-881-2114</v>
      </c>
      <c r="B479" t="str">
        <f t="shared" si="29"/>
        <v>2024</v>
      </c>
      <c r="C479" s="18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8" t="s">
        <v>1191</v>
      </c>
      <c r="L479" s="21">
        <v>8.8000000000000007</v>
      </c>
    </row>
    <row r="480" spans="1:12" x14ac:dyDescent="0.25">
      <c r="A480" t="str">
        <f t="shared" si="28"/>
        <v>2025-FM-Inv-88-610-2330</v>
      </c>
      <c r="B480" t="str">
        <f t="shared" si="29"/>
        <v>2025</v>
      </c>
      <c r="C480" s="18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8" t="s">
        <v>1194</v>
      </c>
      <c r="L480" s="21">
        <v>5.9</v>
      </c>
    </row>
    <row r="481" spans="1:12" x14ac:dyDescent="0.25">
      <c r="A481" t="str">
        <f t="shared" si="28"/>
        <v>2025-FM-Inv-98-631-2333</v>
      </c>
      <c r="B481" t="str">
        <f t="shared" si="29"/>
        <v>2025</v>
      </c>
      <c r="C481" s="18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8" t="s">
        <v>1194</v>
      </c>
      <c r="L481" s="21">
        <v>6</v>
      </c>
    </row>
    <row r="482" spans="1:12" x14ac:dyDescent="0.25">
      <c r="A482" t="str">
        <f t="shared" si="28"/>
        <v>2025-FM-Inv-104-668-2337</v>
      </c>
      <c r="B482" t="str">
        <f t="shared" si="29"/>
        <v>2025</v>
      </c>
      <c r="C482" s="18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8" t="s">
        <v>1194</v>
      </c>
      <c r="L482" s="21">
        <v>6.4</v>
      </c>
    </row>
    <row r="483" spans="1:12" x14ac:dyDescent="0.25">
      <c r="A483" t="str">
        <f t="shared" si="28"/>
        <v>2025-FM-Inv-108-698-2330</v>
      </c>
      <c r="B483" t="str">
        <f t="shared" si="29"/>
        <v>2025</v>
      </c>
      <c r="C483" s="18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8" t="s">
        <v>1194</v>
      </c>
      <c r="L483" s="21">
        <v>6.6</v>
      </c>
    </row>
    <row r="484" spans="1:12" x14ac:dyDescent="0.25">
      <c r="A484" t="str">
        <f t="shared" si="28"/>
        <v>2025-FM-Inv-118-720-2332</v>
      </c>
      <c r="B484" t="str">
        <f t="shared" si="29"/>
        <v>2025</v>
      </c>
      <c r="C484" s="18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8" t="s">
        <v>1194</v>
      </c>
      <c r="L484" s="21">
        <v>6.8</v>
      </c>
    </row>
    <row r="485" spans="1:12" x14ac:dyDescent="0.25">
      <c r="A485" t="str">
        <f t="shared" si="28"/>
        <v>2025-FM-Inv-124-772-2270</v>
      </c>
      <c r="B485" t="str">
        <f t="shared" si="29"/>
        <v>2025</v>
      </c>
      <c r="C485" s="18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8" t="s">
        <v>1194</v>
      </c>
      <c r="L485" s="21">
        <v>7.1</v>
      </c>
    </row>
    <row r="486" spans="1:12" x14ac:dyDescent="0.25">
      <c r="A486" t="str">
        <f t="shared" si="28"/>
        <v>2025-FM-Inv-128-807-2280</v>
      </c>
      <c r="B486" t="str">
        <f t="shared" si="29"/>
        <v>2025</v>
      </c>
      <c r="C486" s="18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8" t="s">
        <v>1194</v>
      </c>
      <c r="L486" s="21">
        <v>7.3</v>
      </c>
    </row>
    <row r="487" spans="1:12" x14ac:dyDescent="0.25">
      <c r="A487" t="str">
        <f t="shared" si="28"/>
        <v>2025-FM-Inv-138-850-2281</v>
      </c>
      <c r="B487" t="str">
        <f t="shared" si="29"/>
        <v>2025</v>
      </c>
      <c r="C487" s="18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8" t="s">
        <v>1194</v>
      </c>
      <c r="L487" s="21">
        <v>7.7</v>
      </c>
    </row>
    <row r="488" spans="1:12" x14ac:dyDescent="0.25">
      <c r="A488" t="str">
        <f t="shared" si="28"/>
        <v>2025-FM-Hyp-138-781-2090</v>
      </c>
      <c r="B488" t="str">
        <f t="shared" si="29"/>
        <v>2025</v>
      </c>
      <c r="C488" s="18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8" t="s">
        <v>1194</v>
      </c>
      <c r="L488" s="21">
        <v>7.6</v>
      </c>
    </row>
    <row r="489" spans="1:12" x14ac:dyDescent="0.25">
      <c r="A489" t="str">
        <f t="shared" si="28"/>
        <v>2025-FM-Hyp-158-850-2110</v>
      </c>
      <c r="B489" t="str">
        <f t="shared" si="29"/>
        <v>2025</v>
      </c>
      <c r="C489" s="18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8" t="s">
        <v>1194</v>
      </c>
      <c r="L489" s="21">
        <v>8.1999999999999993</v>
      </c>
    </row>
    <row r="490" spans="1:12" x14ac:dyDescent="0.25">
      <c r="A490" t="str">
        <f t="shared" si="28"/>
        <v>2025-FM-Hyp-168-855-2113</v>
      </c>
      <c r="B490" t="str">
        <f t="shared" si="29"/>
        <v>2025</v>
      </c>
      <c r="C490" s="18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8" t="s">
        <v>1194</v>
      </c>
      <c r="L490" s="21">
        <v>8.6</v>
      </c>
    </row>
    <row r="491" spans="1:12" x14ac:dyDescent="0.25">
      <c r="A491" t="str">
        <f t="shared" si="28"/>
        <v>2025-FM-Hyp-178-881-2114</v>
      </c>
      <c r="B491" t="str">
        <f t="shared" si="29"/>
        <v>2025</v>
      </c>
      <c r="C491" s="18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8" t="s">
        <v>1194</v>
      </c>
      <c r="L491" s="21">
        <v>8.8000000000000007</v>
      </c>
    </row>
    <row r="492" spans="1:12" x14ac:dyDescent="0.25">
      <c r="A492" t="str">
        <f t="shared" si="28"/>
        <v>2026-FM-Hyp-154-840-2090</v>
      </c>
      <c r="B492" t="str">
        <f t="shared" si="29"/>
        <v>2026</v>
      </c>
      <c r="C492" s="18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8" t="s">
        <v>1196</v>
      </c>
      <c r="L492" s="21">
        <v>7.7</v>
      </c>
    </row>
    <row r="493" spans="1:12" x14ac:dyDescent="0.25">
      <c r="A493" t="str">
        <f t="shared" si="28"/>
        <v>2026-FM-Hyp-162-858-2099</v>
      </c>
      <c r="B493" t="str">
        <f t="shared" si="29"/>
        <v>2026</v>
      </c>
      <c r="C493" s="18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8" t="s">
        <v>1196</v>
      </c>
      <c r="L493" s="21">
        <v>8.1</v>
      </c>
    </row>
    <row r="494" spans="1:12" x14ac:dyDescent="0.25">
      <c r="A494" t="str">
        <f t="shared" si="28"/>
        <v>2026-FM-Inv-88-610-2330</v>
      </c>
      <c r="B494" t="str">
        <f t="shared" si="29"/>
        <v>2026</v>
      </c>
      <c r="C494" s="18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8" t="s">
        <v>1196</v>
      </c>
      <c r="L494" s="21">
        <v>5.8</v>
      </c>
    </row>
    <row r="495" spans="1:12" x14ac:dyDescent="0.25">
      <c r="A495" t="str">
        <f t="shared" si="28"/>
        <v>2026-FM-Inv-98-631-2333</v>
      </c>
      <c r="B495" t="str">
        <f t="shared" si="29"/>
        <v>2026</v>
      </c>
      <c r="C495" s="18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8" t="s">
        <v>1196</v>
      </c>
      <c r="L495" s="21">
        <v>6</v>
      </c>
    </row>
    <row r="496" spans="1:12" x14ac:dyDescent="0.25">
      <c r="A496" t="str">
        <f t="shared" si="28"/>
        <v>2026-FM-Inv-104-668-2337</v>
      </c>
      <c r="B496" t="str">
        <f t="shared" si="29"/>
        <v>2026</v>
      </c>
      <c r="C496" s="18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8" t="s">
        <v>1196</v>
      </c>
      <c r="L496" s="21">
        <v>6.3</v>
      </c>
    </row>
    <row r="497" spans="1:12" x14ac:dyDescent="0.25">
      <c r="A497" t="str">
        <f t="shared" si="28"/>
        <v>2026-FM-Inv-108-698-2330</v>
      </c>
      <c r="B497" t="str">
        <f t="shared" si="29"/>
        <v>2026</v>
      </c>
      <c r="C497" s="18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8" t="s">
        <v>1196</v>
      </c>
      <c r="L497" s="21">
        <v>6.6</v>
      </c>
    </row>
    <row r="498" spans="1:12" x14ac:dyDescent="0.25">
      <c r="A498" t="str">
        <f t="shared" si="28"/>
        <v>2026-FM-Inv-118-720-2332</v>
      </c>
      <c r="B498" t="str">
        <f t="shared" si="29"/>
        <v>2026</v>
      </c>
      <c r="C498" s="18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8" t="s">
        <v>1196</v>
      </c>
      <c r="L498" s="21">
        <v>6.8</v>
      </c>
    </row>
    <row r="499" spans="1:12" x14ac:dyDescent="0.25">
      <c r="A499" t="str">
        <f t="shared" si="28"/>
        <v>2026-FM-Inv-124-772-2270</v>
      </c>
      <c r="B499" t="str">
        <f t="shared" si="29"/>
        <v>2026</v>
      </c>
      <c r="C499" s="18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8" t="s">
        <v>1196</v>
      </c>
      <c r="L499" s="21">
        <v>7</v>
      </c>
    </row>
    <row r="500" spans="1:12" x14ac:dyDescent="0.25">
      <c r="A500" t="str">
        <f t="shared" si="28"/>
        <v>2026-FM-Inv-128-807-2280</v>
      </c>
      <c r="B500" t="str">
        <f t="shared" si="29"/>
        <v>2026</v>
      </c>
      <c r="C500" s="18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8" t="s">
        <v>1196</v>
      </c>
      <c r="L500" s="21">
        <v>7.2</v>
      </c>
    </row>
    <row r="501" spans="1:12" x14ac:dyDescent="0.25">
      <c r="A501" t="str">
        <f t="shared" si="28"/>
        <v>2026-FM-Inv-138-850-2281</v>
      </c>
      <c r="B501" t="str">
        <f t="shared" si="29"/>
        <v>2026</v>
      </c>
      <c r="C501" s="18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8" t="s">
        <v>1196</v>
      </c>
      <c r="L501" s="21">
        <v>7.6</v>
      </c>
    </row>
    <row r="502" spans="1:12" x14ac:dyDescent="0.25">
      <c r="A502" t="str">
        <f t="shared" si="28"/>
        <v>2019-FU-DAR-97-621-2305</v>
      </c>
      <c r="B502" t="str">
        <f t="shared" si="29"/>
        <v>2019</v>
      </c>
      <c r="C502" s="18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8" t="s">
        <v>1208</v>
      </c>
      <c r="L502" s="21">
        <v>5.9</v>
      </c>
    </row>
    <row r="503" spans="1:12" x14ac:dyDescent="0.25">
      <c r="A503" t="str">
        <f t="shared" si="28"/>
        <v>2019-FU-DAR-107-694-2278</v>
      </c>
      <c r="B503" t="str">
        <f t="shared" si="29"/>
        <v>2019</v>
      </c>
      <c r="C503" s="18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8" t="s">
        <v>1208</v>
      </c>
      <c r="L503" s="21">
        <v>6.3</v>
      </c>
    </row>
    <row r="504" spans="1:12" x14ac:dyDescent="0.25">
      <c r="A504" t="str">
        <f t="shared" si="28"/>
        <v>2019-FU-DAR-117-725-2277</v>
      </c>
      <c r="B504" t="str">
        <f t="shared" si="29"/>
        <v>2019</v>
      </c>
      <c r="C504" s="18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8" t="s">
        <v>1208</v>
      </c>
      <c r="L504" s="21">
        <v>6.6</v>
      </c>
    </row>
    <row r="505" spans="1:12" x14ac:dyDescent="0.25">
      <c r="A505" t="str">
        <f t="shared" si="28"/>
        <v>2019-FU-DAR-122-751-2280</v>
      </c>
      <c r="B505" t="str">
        <f t="shared" si="29"/>
        <v>2019</v>
      </c>
      <c r="C505" s="18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8" t="s">
        <v>1208</v>
      </c>
      <c r="L505" s="21">
        <v>6.9</v>
      </c>
    </row>
    <row r="506" spans="1:12" x14ac:dyDescent="0.25">
      <c r="A506" t="str">
        <f t="shared" si="28"/>
        <v>2019-FU-DAR-132-844-2260</v>
      </c>
      <c r="B506" t="str">
        <f t="shared" si="29"/>
        <v>2019</v>
      </c>
      <c r="C506" s="18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8" t="s">
        <v>1208</v>
      </c>
      <c r="L506" s="21">
        <v>7.4</v>
      </c>
    </row>
    <row r="507" spans="1:12" x14ac:dyDescent="0.25">
      <c r="A507" t="str">
        <f t="shared" si="28"/>
        <v>2019-FU-FLY-175-910-2255</v>
      </c>
      <c r="B507" t="str">
        <f t="shared" si="29"/>
        <v>2019</v>
      </c>
      <c r="C507" s="18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8" t="s">
        <v>1208</v>
      </c>
      <c r="L507" s="21">
        <v>9.1999999999999993</v>
      </c>
    </row>
    <row r="508" spans="1:12" x14ac:dyDescent="0.25">
      <c r="A508" t="str">
        <f t="shared" si="28"/>
        <v>2021-FU-DAR-97-62-224</v>
      </c>
      <c r="B508" t="str">
        <f t="shared" si="29"/>
        <v>2021</v>
      </c>
      <c r="C508" s="18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8" t="s">
        <v>1214</v>
      </c>
      <c r="L508" s="21">
        <v>5.7</v>
      </c>
    </row>
    <row r="509" spans="1:12" x14ac:dyDescent="0.25">
      <c r="A509" t="str">
        <f t="shared" si="28"/>
        <v>2021-FU-DAR-107-69-227</v>
      </c>
      <c r="B509" t="str">
        <f t="shared" si="29"/>
        <v>2021</v>
      </c>
      <c r="C509" s="18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8" t="s">
        <v>1214</v>
      </c>
      <c r="L509" s="21">
        <v>6.3</v>
      </c>
    </row>
    <row r="510" spans="1:12" x14ac:dyDescent="0.25">
      <c r="A510" t="str">
        <f t="shared" si="28"/>
        <v>2021-FU-DAR-115-72-227</v>
      </c>
      <c r="B510" t="str">
        <f t="shared" si="29"/>
        <v>2021</v>
      </c>
      <c r="C510" s="18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8" t="s">
        <v>1214</v>
      </c>
      <c r="L510" s="21">
        <v>6.6</v>
      </c>
    </row>
    <row r="511" spans="1:12" x14ac:dyDescent="0.25">
      <c r="A511" t="str">
        <f t="shared" si="28"/>
        <v>2021-FU-DAR-120-75-228</v>
      </c>
      <c r="B511" t="str">
        <f t="shared" si="29"/>
        <v>2021</v>
      </c>
      <c r="C511" s="18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8" t="s">
        <v>1214</v>
      </c>
      <c r="L511" s="21">
        <v>6.9</v>
      </c>
    </row>
    <row r="512" spans="1:12" x14ac:dyDescent="0.25">
      <c r="A512" t="str">
        <f t="shared" si="28"/>
        <v>2021-FU-DAR-134-84-226</v>
      </c>
      <c r="B512" t="str">
        <f t="shared" si="29"/>
        <v>2021</v>
      </c>
      <c r="C512" s="18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8" t="s">
        <v>1214</v>
      </c>
      <c r="L512" s="21">
        <v>7.4</v>
      </c>
    </row>
    <row r="513" spans="1:12" x14ac:dyDescent="0.25">
      <c r="A513" t="str">
        <f t="shared" si="28"/>
        <v>2021-FU-FLY-187-91-229</v>
      </c>
      <c r="B513" t="str">
        <f t="shared" si="29"/>
        <v>2021</v>
      </c>
      <c r="C513" s="18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8" t="s">
        <v>1214</v>
      </c>
      <c r="L513" s="21">
        <v>9.1999999999999993</v>
      </c>
    </row>
    <row r="514" spans="1:12" x14ac:dyDescent="0.25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8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8" t="s">
        <v>1217</v>
      </c>
      <c r="L514" s="21">
        <v>5.7</v>
      </c>
    </row>
    <row r="515" spans="1:12" x14ac:dyDescent="0.25">
      <c r="A515" t="str">
        <f t="shared" si="32"/>
        <v>2022-FU-Dar-107-700-2280</v>
      </c>
      <c r="B515" t="str">
        <f t="shared" si="33"/>
        <v>2022</v>
      </c>
      <c r="C515" s="18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8" t="s">
        <v>1217</v>
      </c>
      <c r="L515" s="21">
        <v>6.3</v>
      </c>
    </row>
    <row r="516" spans="1:12" x14ac:dyDescent="0.25">
      <c r="A516" t="str">
        <f t="shared" si="32"/>
        <v>2022-FU-Dar-117-730-2280</v>
      </c>
      <c r="B516" t="str">
        <f t="shared" si="33"/>
        <v>2022</v>
      </c>
      <c r="C516" s="18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8" t="s">
        <v>1217</v>
      </c>
      <c r="L516" s="21">
        <v>6.6</v>
      </c>
    </row>
    <row r="517" spans="1:12" x14ac:dyDescent="0.25">
      <c r="A517" t="str">
        <f t="shared" si="32"/>
        <v>2022-FU-Dar-120-750-2280</v>
      </c>
      <c r="B517" t="str">
        <f t="shared" si="33"/>
        <v>2022</v>
      </c>
      <c r="C517" s="18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8" t="s">
        <v>1217</v>
      </c>
      <c r="L517" s="21">
        <v>6.9</v>
      </c>
    </row>
    <row r="518" spans="1:12" x14ac:dyDescent="0.25">
      <c r="A518" t="str">
        <f t="shared" si="32"/>
        <v>2022-FU-Dar-132-850-2260</v>
      </c>
      <c r="B518" t="str">
        <f t="shared" si="33"/>
        <v>2022</v>
      </c>
      <c r="C518" s="18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8" t="s">
        <v>1217</v>
      </c>
      <c r="L518" s="21">
        <v>7.4</v>
      </c>
    </row>
    <row r="519" spans="1:12" x14ac:dyDescent="0.25">
      <c r="A519" t="str">
        <f t="shared" si="32"/>
        <v>2023-FU-Fly-145-810-2080</v>
      </c>
      <c r="B519" t="str">
        <f t="shared" si="33"/>
        <v>2023</v>
      </c>
      <c r="C519" s="18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8" t="s">
        <v>1223</v>
      </c>
      <c r="L519" s="21">
        <v>8</v>
      </c>
    </row>
    <row r="520" spans="1:12" x14ac:dyDescent="0.25">
      <c r="A520" t="str">
        <f t="shared" si="32"/>
        <v>2023-FU-Fly-187-910-2173</v>
      </c>
      <c r="B520" t="str">
        <f t="shared" si="33"/>
        <v>2023</v>
      </c>
      <c r="C520" s="18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8" t="s">
        <v>1223</v>
      </c>
      <c r="L520" s="21">
        <v>9.1999999999999993</v>
      </c>
    </row>
    <row r="521" spans="1:12" x14ac:dyDescent="0.25">
      <c r="A521" t="str">
        <f t="shared" si="32"/>
        <v>2024-FU-Dar-97-625-2310</v>
      </c>
      <c r="B521" t="str">
        <f t="shared" si="33"/>
        <v>2024</v>
      </c>
      <c r="C521" s="18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8" t="s">
        <v>1225</v>
      </c>
      <c r="L521" s="21">
        <v>5.8</v>
      </c>
    </row>
    <row r="522" spans="1:12" x14ac:dyDescent="0.25">
      <c r="A522" t="str">
        <f t="shared" si="32"/>
        <v>2024-FU-Dar-107-705-2310</v>
      </c>
      <c r="B522" t="str">
        <f t="shared" si="33"/>
        <v>2024</v>
      </c>
      <c r="C522" s="18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8" t="s">
        <v>1225</v>
      </c>
      <c r="L522" s="21">
        <v>6.3</v>
      </c>
    </row>
    <row r="523" spans="1:12" x14ac:dyDescent="0.25">
      <c r="A523" t="str">
        <f t="shared" si="32"/>
        <v>2024-FU-Dar-117-725-2310</v>
      </c>
      <c r="B523" t="str">
        <f t="shared" si="33"/>
        <v>2024</v>
      </c>
      <c r="C523" s="18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8" t="s">
        <v>1225</v>
      </c>
      <c r="L523" s="21">
        <v>6.6</v>
      </c>
    </row>
    <row r="524" spans="1:12" x14ac:dyDescent="0.25">
      <c r="A524" t="str">
        <f t="shared" si="32"/>
        <v>2024-FU-Fly-160-850-2100</v>
      </c>
      <c r="B524" t="str">
        <f t="shared" si="33"/>
        <v>2024</v>
      </c>
      <c r="C524" s="18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8" t="s">
        <v>1225</v>
      </c>
      <c r="L524" s="21">
        <v>8</v>
      </c>
    </row>
    <row r="525" spans="1:12" x14ac:dyDescent="0.25">
      <c r="A525" t="str">
        <f t="shared" si="32"/>
        <v>2025-FU-Dar-97-620-2240</v>
      </c>
      <c r="B525" t="str">
        <f t="shared" si="33"/>
        <v>2025</v>
      </c>
      <c r="C525" s="18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8" t="s">
        <v>1227</v>
      </c>
      <c r="L525" s="21">
        <v>5.7</v>
      </c>
    </row>
    <row r="526" spans="1:12" x14ac:dyDescent="0.25">
      <c r="A526" t="str">
        <f t="shared" si="32"/>
        <v>2025-FU-Dar-107-700-2280</v>
      </c>
      <c r="B526" t="str">
        <f t="shared" si="33"/>
        <v>2025</v>
      </c>
      <c r="C526" s="18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8" t="s">
        <v>1227</v>
      </c>
      <c r="L526" s="21">
        <v>6.3</v>
      </c>
    </row>
    <row r="527" spans="1:12" x14ac:dyDescent="0.25">
      <c r="A527" t="str">
        <f t="shared" si="32"/>
        <v>2025-FU-Dar-117-730-2280</v>
      </c>
      <c r="B527" t="str">
        <f t="shared" si="33"/>
        <v>2025</v>
      </c>
      <c r="C527" s="18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8" t="s">
        <v>1227</v>
      </c>
      <c r="L527" s="21">
        <v>6.6</v>
      </c>
    </row>
    <row r="528" spans="1:12" x14ac:dyDescent="0.25">
      <c r="A528" t="str">
        <f t="shared" si="32"/>
        <v>2025-FU-Dar-120-750-2280</v>
      </c>
      <c r="B528" t="str">
        <f t="shared" si="33"/>
        <v>2025</v>
      </c>
      <c r="C528" s="18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8" t="s">
        <v>1227</v>
      </c>
      <c r="L528" s="21">
        <v>6.9</v>
      </c>
    </row>
    <row r="529" spans="1:12" x14ac:dyDescent="0.25">
      <c r="A529" t="str">
        <f t="shared" si="32"/>
        <v>2025-FU-Dar-132-850-2260</v>
      </c>
      <c r="B529" t="str">
        <f t="shared" si="33"/>
        <v>2025</v>
      </c>
      <c r="C529" s="18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8" t="s">
        <v>1227</v>
      </c>
      <c r="L529" s="21">
        <v>7.4</v>
      </c>
    </row>
    <row r="530" spans="1:12" x14ac:dyDescent="0.25">
      <c r="A530" t="str">
        <f t="shared" si="32"/>
        <v>2025-FU-Whi-115-700-2380</v>
      </c>
      <c r="B530" t="str">
        <f t="shared" si="33"/>
        <v>2025</v>
      </c>
      <c r="C530" s="18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8" t="s">
        <v>1229</v>
      </c>
      <c r="L530" s="21">
        <v>7.2</v>
      </c>
    </row>
    <row r="531" spans="1:12" x14ac:dyDescent="0.25">
      <c r="A531" t="str">
        <f t="shared" si="32"/>
        <v>2025-FU-Whi-125-750-2380</v>
      </c>
      <c r="B531" t="str">
        <f t="shared" si="33"/>
        <v>2025</v>
      </c>
      <c r="C531" s="18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8" t="s">
        <v>1229</v>
      </c>
      <c r="L531" s="21">
        <v>7.4</v>
      </c>
    </row>
    <row r="532" spans="1:12" x14ac:dyDescent="0.25">
      <c r="A532" t="str">
        <f t="shared" si="32"/>
        <v>2025-FU-Whi-137-810-2360</v>
      </c>
      <c r="B532" t="str">
        <f t="shared" si="33"/>
        <v>2025</v>
      </c>
      <c r="C532" s="18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8" t="s">
        <v>1229</v>
      </c>
      <c r="L532" s="21">
        <v>7.8</v>
      </c>
    </row>
    <row r="533" spans="1:12" x14ac:dyDescent="0.25">
      <c r="A533" t="str">
        <f t="shared" si="32"/>
        <v>2025-FU-Fly-160-850-2100</v>
      </c>
      <c r="B533" t="str">
        <f t="shared" si="33"/>
        <v>2025</v>
      </c>
      <c r="C533" s="18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8" t="s">
        <v>1229</v>
      </c>
      <c r="L533" s="21">
        <v>8</v>
      </c>
    </row>
    <row r="534" spans="1:12" x14ac:dyDescent="0.25">
      <c r="A534" t="str">
        <f t="shared" si="32"/>
        <v>2026-FU-Dar-96-626-2309</v>
      </c>
      <c r="B534" t="str">
        <f t="shared" si="33"/>
        <v>2026</v>
      </c>
      <c r="C534" s="18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8" t="s">
        <v>1234</v>
      </c>
      <c r="L534" s="21">
        <v>5.9</v>
      </c>
    </row>
    <row r="535" spans="1:12" x14ac:dyDescent="0.25">
      <c r="A535" t="str">
        <f t="shared" si="32"/>
        <v>2026-FU-Dar-107-700-2280</v>
      </c>
      <c r="B535" t="str">
        <f t="shared" si="33"/>
        <v>2026</v>
      </c>
      <c r="C535" s="18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8" t="s">
        <v>1234</v>
      </c>
      <c r="L535" s="21">
        <v>6.3</v>
      </c>
    </row>
    <row r="536" spans="1:12" x14ac:dyDescent="0.25">
      <c r="A536" t="str">
        <f t="shared" si="32"/>
        <v>2026-FU-Dar-116-712-2330</v>
      </c>
      <c r="B536" t="str">
        <f t="shared" si="33"/>
        <v>2026</v>
      </c>
      <c r="C536" s="18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8" t="s">
        <v>1234</v>
      </c>
      <c r="L536" s="21">
        <v>6.2</v>
      </c>
    </row>
    <row r="537" spans="1:12" x14ac:dyDescent="0.25">
      <c r="A537" t="str">
        <f t="shared" si="32"/>
        <v>2026-FU-Dar-120-750-2280</v>
      </c>
      <c r="B537" t="str">
        <f t="shared" si="33"/>
        <v>2026</v>
      </c>
      <c r="C537" s="18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8" t="s">
        <v>1234</v>
      </c>
      <c r="L537" s="21">
        <v>6.9</v>
      </c>
    </row>
    <row r="538" spans="1:12" x14ac:dyDescent="0.25">
      <c r="A538" t="str">
        <f t="shared" si="32"/>
        <v>2026-FU-Dar-136-850-2280</v>
      </c>
      <c r="B538" t="str">
        <f t="shared" si="33"/>
        <v>2026</v>
      </c>
      <c r="C538" s="18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8" t="s">
        <v>1234</v>
      </c>
      <c r="L538" s="21">
        <v>7.4</v>
      </c>
    </row>
    <row r="539" spans="1:12" x14ac:dyDescent="0.25">
      <c r="A539" t="str">
        <f t="shared" si="32"/>
        <v>2026-FU-Fly-166-880-2100</v>
      </c>
      <c r="B539" t="str">
        <f t="shared" si="33"/>
        <v>2026</v>
      </c>
      <c r="C539" s="18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8" t="s">
        <v>1234</v>
      </c>
      <c r="L539" s="21">
        <v>8.5</v>
      </c>
    </row>
    <row r="540" spans="1:12" x14ac:dyDescent="0.25">
      <c r="A540" t="str">
        <f t="shared" si="32"/>
        <v>2017-GO-Pro-99.7-619-2328</v>
      </c>
      <c r="B540" t="str">
        <f t="shared" si="33"/>
        <v>2017</v>
      </c>
      <c r="C540" s="18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8" t="s">
        <v>1243</v>
      </c>
      <c r="L540" s="21">
        <v>6.27</v>
      </c>
    </row>
    <row r="541" spans="1:12" x14ac:dyDescent="0.25">
      <c r="A541" t="str">
        <f t="shared" si="32"/>
        <v>2017-GO-Pro-117.9-717-2328</v>
      </c>
      <c r="B541" t="str">
        <f t="shared" si="33"/>
        <v>2017</v>
      </c>
      <c r="C541" s="18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8" t="s">
        <v>1243</v>
      </c>
      <c r="L541" s="21">
        <v>6.76</v>
      </c>
    </row>
    <row r="542" spans="1:12" x14ac:dyDescent="0.25">
      <c r="A542" t="str">
        <f t="shared" si="32"/>
        <v>2017-GO-Pro-145.9-83-2326</v>
      </c>
      <c r="B542" t="str">
        <f t="shared" si="33"/>
        <v>2017</v>
      </c>
      <c r="C542" s="18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8" t="s">
        <v>1243</v>
      </c>
      <c r="L542" s="21">
        <v>7.68</v>
      </c>
    </row>
    <row r="543" spans="1:12" x14ac:dyDescent="0.25">
      <c r="A543" t="str">
        <f t="shared" si="32"/>
        <v>2019-GO-Pro-93.7-618-2296</v>
      </c>
      <c r="B543" t="str">
        <f t="shared" si="33"/>
        <v>2019</v>
      </c>
      <c r="C543" s="18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8" t="s">
        <v>1246</v>
      </c>
      <c r="L543" s="21">
        <v>6.27</v>
      </c>
    </row>
    <row r="544" spans="1:12" x14ac:dyDescent="0.25">
      <c r="A544" t="str">
        <f t="shared" si="32"/>
        <v>2019-GO-Pro-119.8-708-2307</v>
      </c>
      <c r="B544" t="str">
        <f t="shared" si="33"/>
        <v>2019</v>
      </c>
      <c r="C544" s="18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8" t="s">
        <v>1246</v>
      </c>
      <c r="L544" s="21">
        <v>6.76</v>
      </c>
    </row>
    <row r="545" spans="1:12" x14ac:dyDescent="0.25">
      <c r="A545" t="str">
        <f t="shared" si="32"/>
        <v>2019-GO-Pro-143.4-849-2274</v>
      </c>
      <c r="B545" t="str">
        <f t="shared" si="33"/>
        <v>2019</v>
      </c>
      <c r="C545" s="18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8" t="s">
        <v>1246</v>
      </c>
      <c r="L545" s="21">
        <v>7.68</v>
      </c>
    </row>
    <row r="546" spans="1:12" x14ac:dyDescent="0.25">
      <c r="A546" t="str">
        <f t="shared" si="32"/>
        <v>2020-GO-Pro-98-618-2295</v>
      </c>
      <c r="B546" t="str">
        <f t="shared" si="33"/>
        <v>2020</v>
      </c>
      <c r="C546" s="18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8" t="s">
        <v>1249</v>
      </c>
      <c r="L546" s="21">
        <v>6.49</v>
      </c>
    </row>
    <row r="547" spans="1:12" x14ac:dyDescent="0.25">
      <c r="A547" t="str">
        <f t="shared" si="32"/>
        <v>2020-GO-Pro-112-707-2309</v>
      </c>
      <c r="B547" t="str">
        <f t="shared" si="33"/>
        <v>2020</v>
      </c>
      <c r="C547" s="18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8" t="s">
        <v>1249</v>
      </c>
      <c r="L547" s="21">
        <v>6.5</v>
      </c>
    </row>
    <row r="548" spans="1:12" x14ac:dyDescent="0.25">
      <c r="A548" t="str">
        <f t="shared" si="32"/>
        <v>2020-GO-Pro-143-838-2310</v>
      </c>
      <c r="B548" t="str">
        <f t="shared" si="33"/>
        <v>2020</v>
      </c>
      <c r="C548" s="18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8" t="s">
        <v>1249</v>
      </c>
      <c r="L548" s="21">
        <v>7.68</v>
      </c>
    </row>
    <row r="549" spans="1:12" x14ac:dyDescent="0.25">
      <c r="A549" t="str">
        <f t="shared" si="32"/>
        <v>2021-GO-Pro-97-624-2294</v>
      </c>
      <c r="B549" t="str">
        <f t="shared" si="33"/>
        <v>2021</v>
      </c>
      <c r="C549" s="18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8" t="s">
        <v>1253</v>
      </c>
      <c r="L549" s="21">
        <v>6.49</v>
      </c>
    </row>
    <row r="550" spans="1:12" x14ac:dyDescent="0.25">
      <c r="A550" t="str">
        <f t="shared" si="32"/>
        <v>2021-GO-Pro-112-707-2308</v>
      </c>
      <c r="B550" t="str">
        <f t="shared" si="33"/>
        <v>2021</v>
      </c>
      <c r="C550" s="18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8" t="s">
        <v>1253</v>
      </c>
      <c r="L550" s="21">
        <v>6.5</v>
      </c>
    </row>
    <row r="551" spans="1:12" x14ac:dyDescent="0.25">
      <c r="A551" t="str">
        <f t="shared" si="32"/>
        <v>2021-GO-Pro-118-721-2299</v>
      </c>
      <c r="B551" t="str">
        <f t="shared" si="33"/>
        <v>2021</v>
      </c>
      <c r="C551" s="18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8" t="s">
        <v>1253</v>
      </c>
      <c r="L551" s="21">
        <v>7</v>
      </c>
    </row>
    <row r="552" spans="1:12" x14ac:dyDescent="0.25">
      <c r="A552" t="str">
        <f t="shared" si="32"/>
        <v>2021-GO-Pro-143-838-2311</v>
      </c>
      <c r="B552" t="str">
        <f t="shared" si="33"/>
        <v>2021</v>
      </c>
      <c r="C552" s="18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8" t="s">
        <v>1253</v>
      </c>
      <c r="L552" s="21">
        <v>7.68</v>
      </c>
    </row>
    <row r="553" spans="1:12" x14ac:dyDescent="0.25">
      <c r="A553" t="str">
        <f t="shared" si="32"/>
        <v>2004-G--RED-108-610-2340</v>
      </c>
      <c r="B553" t="str">
        <f t="shared" si="33"/>
        <v>2004</v>
      </c>
      <c r="C553" s="18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8" t="s">
        <v>799</v>
      </c>
      <c r="L553" s="21">
        <v>5.8</v>
      </c>
    </row>
    <row r="554" spans="1:12" x14ac:dyDescent="0.25">
      <c r="A554" t="str">
        <f t="shared" si="32"/>
        <v>2004-G--RED-83-560-2340</v>
      </c>
      <c r="B554" t="str">
        <f t="shared" si="33"/>
        <v>2004</v>
      </c>
      <c r="C554" s="18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8" t="s">
        <v>799</v>
      </c>
      <c r="L554" s="21">
        <v>5.5</v>
      </c>
    </row>
    <row r="555" spans="1:12" x14ac:dyDescent="0.25">
      <c r="A555" t="str">
        <f t="shared" si="32"/>
        <v>2009-HT-SR4-70-500-2295</v>
      </c>
      <c r="B555" t="str">
        <f t="shared" si="33"/>
        <v>2009</v>
      </c>
      <c r="C555" s="18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8" t="s">
        <v>839</v>
      </c>
      <c r="L555" s="21">
        <v>4.8</v>
      </c>
    </row>
    <row r="556" spans="1:12" x14ac:dyDescent="0.25">
      <c r="A556" t="str">
        <f t="shared" si="32"/>
        <v>2009-HT-SR5-95-595-2300</v>
      </c>
      <c r="B556" t="str">
        <f t="shared" si="33"/>
        <v>2009</v>
      </c>
      <c r="C556" s="18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8" t="s">
        <v>839</v>
      </c>
      <c r="L556" s="21">
        <v>5.5</v>
      </c>
    </row>
    <row r="557" spans="1:12" x14ac:dyDescent="0.25">
      <c r="A557" t="str">
        <f t="shared" si="32"/>
        <v>2009-HT-SR6-115-677-2298</v>
      </c>
      <c r="B557" t="str">
        <f t="shared" si="33"/>
        <v>2009</v>
      </c>
      <c r="C557" s="18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8" t="s">
        <v>839</v>
      </c>
      <c r="L557" s="21">
        <v>5.8</v>
      </c>
    </row>
    <row r="558" spans="1:12" x14ac:dyDescent="0.25">
      <c r="A558" t="str">
        <f t="shared" si="32"/>
        <v>2009-HT-SR8-140-850-2316</v>
      </c>
      <c r="B558" t="str">
        <f t="shared" si="33"/>
        <v>2009</v>
      </c>
      <c r="C558" s="18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8" t="s">
        <v>839</v>
      </c>
      <c r="L558" s="21">
        <v>7.5</v>
      </c>
    </row>
    <row r="559" spans="1:12" x14ac:dyDescent="0.25">
      <c r="A559" t="str">
        <f t="shared" si="32"/>
        <v>2023-I9-AMP-96-627-2341</v>
      </c>
      <c r="B559" t="str">
        <f t="shared" si="33"/>
        <v>2023</v>
      </c>
      <c r="C559" s="18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21">
        <v>6.4</v>
      </c>
    </row>
    <row r="560" spans="1:12" x14ac:dyDescent="0.25">
      <c r="A560" t="str">
        <f t="shared" si="32"/>
        <v>2023-I9-AMP-127-730-2314</v>
      </c>
      <c r="B560" t="str">
        <f t="shared" si="33"/>
        <v>2023</v>
      </c>
      <c r="C560" s="18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21">
        <v>7.5</v>
      </c>
    </row>
    <row r="561" spans="1:12" x14ac:dyDescent="0.25">
      <c r="A561" t="str">
        <f t="shared" si="32"/>
        <v>2023-I9-AMP-151-847-2260</v>
      </c>
      <c r="B561" t="str">
        <f t="shared" si="33"/>
        <v>2023</v>
      </c>
      <c r="C561" s="18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21">
        <v>8.4</v>
      </c>
    </row>
    <row r="562" spans="1:12" x14ac:dyDescent="0.25">
      <c r="A562" t="str">
        <f t="shared" si="32"/>
        <v>2023-I9-AMP-163-820-2102</v>
      </c>
      <c r="B562" t="str">
        <f t="shared" si="33"/>
        <v>2023</v>
      </c>
      <c r="C562" s="18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21">
        <v>8.4</v>
      </c>
    </row>
    <row r="563" spans="1:12" x14ac:dyDescent="0.25">
      <c r="A563" t="str">
        <f t="shared" si="32"/>
        <v>2019-I--WCS-89-610-2350</v>
      </c>
      <c r="B563" t="str">
        <f t="shared" si="33"/>
        <v>2019</v>
      </c>
      <c r="C563" s="18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21">
        <v>5.9</v>
      </c>
    </row>
    <row r="564" spans="1:12" x14ac:dyDescent="0.25">
      <c r="A564" t="str">
        <f t="shared" si="32"/>
        <v>2019-I--WCS-99.7-628-2343</v>
      </c>
      <c r="B564" t="str">
        <f t="shared" si="33"/>
        <v>2019</v>
      </c>
      <c r="C564" s="18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21">
        <v>6</v>
      </c>
    </row>
    <row r="565" spans="1:12" x14ac:dyDescent="0.25">
      <c r="A565" t="str">
        <f t="shared" si="32"/>
        <v>2019-I--WCS-118.6-703-2354</v>
      </c>
      <c r="B565" t="str">
        <f t="shared" si="33"/>
        <v>2019</v>
      </c>
      <c r="C565" s="18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21">
        <v>6.2</v>
      </c>
    </row>
    <row r="566" spans="1:12" x14ac:dyDescent="0.25">
      <c r="A566" t="str">
        <f t="shared" si="32"/>
        <v>2019-I--WCS-121-720-2350</v>
      </c>
      <c r="B566" t="str">
        <f t="shared" si="33"/>
        <v>2019</v>
      </c>
      <c r="C566" s="18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21">
        <v>6.5</v>
      </c>
    </row>
    <row r="567" spans="1:12" x14ac:dyDescent="0.25">
      <c r="A567" t="str">
        <f t="shared" si="32"/>
        <v>2019-I--WCS-139.5-835-2287</v>
      </c>
      <c r="B567" t="str">
        <f t="shared" si="33"/>
        <v>2019</v>
      </c>
      <c r="C567" s="18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21">
        <v>7.1</v>
      </c>
    </row>
    <row r="568" spans="1:12" x14ac:dyDescent="0.25">
      <c r="A568" t="str">
        <f t="shared" si="32"/>
        <v>2019-I--WCS-148.9-847-2287</v>
      </c>
      <c r="B568" t="str">
        <f t="shared" si="33"/>
        <v>2019</v>
      </c>
      <c r="C568" s="18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21">
        <v>7.4</v>
      </c>
    </row>
    <row r="569" spans="1:12" x14ac:dyDescent="0.25">
      <c r="A569" t="str">
        <f t="shared" si="32"/>
        <v>2019-I--AER-174.8-906-2288</v>
      </c>
      <c r="B569" t="str">
        <f t="shared" si="33"/>
        <v>2019</v>
      </c>
      <c r="C569" s="18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21">
        <v>8.9</v>
      </c>
    </row>
    <row r="570" spans="1:12" x14ac:dyDescent="0.25">
      <c r="A570" t="str">
        <f t="shared" si="32"/>
        <v>2020-I--Squ-96-627-2323</v>
      </c>
      <c r="B570" t="str">
        <f t="shared" si="33"/>
        <v>2020</v>
      </c>
      <c r="C570" s="18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21">
        <v>5.8</v>
      </c>
    </row>
    <row r="571" spans="1:12" x14ac:dyDescent="0.25">
      <c r="A571" t="str">
        <f t="shared" si="32"/>
        <v>2020-I--Squ-118.6-700-2349</v>
      </c>
      <c r="B571" t="str">
        <f t="shared" si="33"/>
        <v>2020</v>
      </c>
      <c r="C571" s="18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21">
        <v>6.9</v>
      </c>
    </row>
    <row r="572" spans="1:12" x14ac:dyDescent="0.25">
      <c r="A572" t="str">
        <f t="shared" si="32"/>
        <v>2020-I--Squ-126.4-721-2322</v>
      </c>
      <c r="B572" t="str">
        <f t="shared" si="33"/>
        <v>2020</v>
      </c>
      <c r="C572" s="18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21">
        <v>7.1</v>
      </c>
    </row>
    <row r="573" spans="1:12" x14ac:dyDescent="0.25">
      <c r="A573" t="str">
        <f t="shared" si="32"/>
        <v>2020-I--Squ-139.5-830-2280</v>
      </c>
      <c r="B573" t="str">
        <f t="shared" si="33"/>
        <v>2020</v>
      </c>
      <c r="C573" s="18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21">
        <v>7.7</v>
      </c>
    </row>
    <row r="574" spans="1:12" x14ac:dyDescent="0.25">
      <c r="A574" t="str">
        <f t="shared" si="32"/>
        <v>2020-I--Squ-153.5-847-2260</v>
      </c>
      <c r="B574" t="str">
        <f t="shared" si="33"/>
        <v>2020</v>
      </c>
      <c r="C574" s="18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21">
        <v>8.1</v>
      </c>
    </row>
    <row r="575" spans="1:12" x14ac:dyDescent="0.25">
      <c r="A575" t="str">
        <f t="shared" si="32"/>
        <v>2020-I--Squ-172-906-2086</v>
      </c>
      <c r="B575" t="str">
        <f t="shared" si="33"/>
        <v>2020</v>
      </c>
      <c r="C575" s="18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21">
        <v>9</v>
      </c>
    </row>
    <row r="576" spans="1:12" x14ac:dyDescent="0.25">
      <c r="A576" t="str">
        <f t="shared" si="32"/>
        <v>2019-IS-PEP-138-900-2280</v>
      </c>
      <c r="B576" t="str">
        <f t="shared" si="33"/>
        <v>2019</v>
      </c>
      <c r="C576" s="18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8" t="s">
        <v>1264</v>
      </c>
      <c r="L576" s="21">
        <v>7.4</v>
      </c>
    </row>
    <row r="577" spans="1:12" x14ac:dyDescent="0.25">
      <c r="A577" t="str">
        <f t="shared" si="32"/>
        <v>2019-IS-XTR-142-900-2250</v>
      </c>
      <c r="B577" t="str">
        <f t="shared" si="33"/>
        <v>2019</v>
      </c>
      <c r="C577" s="18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8" t="s">
        <v>1264</v>
      </c>
      <c r="L577" s="21">
        <v>8.6999999999999993</v>
      </c>
    </row>
    <row r="578" spans="1:12" x14ac:dyDescent="0.25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8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8" t="s">
        <v>1264</v>
      </c>
      <c r="L578" s="21">
        <v>9.6999999999999993</v>
      </c>
    </row>
    <row r="579" spans="1:12" x14ac:dyDescent="0.25">
      <c r="A579" t="str">
        <f t="shared" si="36"/>
        <v>2023-JP-JP -78-551-2332</v>
      </c>
      <c r="B579" t="str">
        <f t="shared" si="37"/>
        <v>2023</v>
      </c>
      <c r="C579" s="18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8" t="s">
        <v>1389</v>
      </c>
      <c r="L579" s="21">
        <v>5.3</v>
      </c>
    </row>
    <row r="580" spans="1:12" x14ac:dyDescent="0.25">
      <c r="A580" t="str">
        <f t="shared" si="36"/>
        <v>2023-JP-JP -94-624-2327</v>
      </c>
      <c r="B580" t="str">
        <f t="shared" si="37"/>
        <v>2023</v>
      </c>
      <c r="C580" s="18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8" t="s">
        <v>1389</v>
      </c>
      <c r="L580" s="21">
        <v>5.9</v>
      </c>
    </row>
    <row r="581" spans="1:12" x14ac:dyDescent="0.25">
      <c r="A581" t="str">
        <f t="shared" si="36"/>
        <v>2023-JP-JP -120-720-2273</v>
      </c>
      <c r="B581" t="str">
        <f t="shared" si="37"/>
        <v>2023</v>
      </c>
      <c r="C581" s="18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8" t="s">
        <v>1389</v>
      </c>
      <c r="L581" s="21">
        <v>6.9</v>
      </c>
    </row>
    <row r="582" spans="1:12" x14ac:dyDescent="0.25">
      <c r="A582" t="str">
        <f t="shared" si="36"/>
        <v>2023-JP-JP -139-847-2277</v>
      </c>
      <c r="B582" t="str">
        <f t="shared" si="37"/>
        <v>2023</v>
      </c>
      <c r="C582" s="18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8" t="s">
        <v>1389</v>
      </c>
      <c r="L582" s="21">
        <v>7.7</v>
      </c>
    </row>
    <row r="583" spans="1:12" x14ac:dyDescent="0.25">
      <c r="A583" t="str">
        <f t="shared" si="36"/>
        <v>2023-JP-JP -122-779-2095</v>
      </c>
      <c r="B583" t="str">
        <f t="shared" si="37"/>
        <v>2023</v>
      </c>
      <c r="C583" s="18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8" t="s">
        <v>1389</v>
      </c>
      <c r="L583" s="21">
        <v>7.4</v>
      </c>
    </row>
    <row r="584" spans="1:12" x14ac:dyDescent="0.25">
      <c r="A584" t="str">
        <f t="shared" si="36"/>
        <v>2023-JP-JP -137-815-2092</v>
      </c>
      <c r="B584" t="str">
        <f t="shared" si="37"/>
        <v>2023</v>
      </c>
      <c r="C584" s="18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8" t="s">
        <v>1389</v>
      </c>
      <c r="L584" s="21">
        <v>7.8</v>
      </c>
    </row>
    <row r="585" spans="1:12" x14ac:dyDescent="0.25">
      <c r="A585" t="str">
        <f t="shared" si="36"/>
        <v>2023-JP-JP -139-848-2097</v>
      </c>
      <c r="B585" t="str">
        <f t="shared" si="37"/>
        <v>2023</v>
      </c>
      <c r="C585" s="18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8" t="s">
        <v>1389</v>
      </c>
      <c r="L585" s="21">
        <v>8</v>
      </c>
    </row>
    <row r="586" spans="1:12" x14ac:dyDescent="0.25">
      <c r="A586" t="str">
        <f t="shared" si="36"/>
        <v>2023-JP-JP -148-883-2087</v>
      </c>
      <c r="B586" t="str">
        <f t="shared" si="37"/>
        <v>2023</v>
      </c>
      <c r="C586" s="18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8" t="s">
        <v>1389</v>
      </c>
      <c r="L586" s="21">
        <v>8.1999999999999993</v>
      </c>
    </row>
    <row r="587" spans="1:12" x14ac:dyDescent="0.25">
      <c r="A587" t="str">
        <f t="shared" si="36"/>
        <v>2023-JP-JP -182-908-2094</v>
      </c>
      <c r="B587" t="str">
        <f t="shared" si="37"/>
        <v>2023</v>
      </c>
      <c r="C587" s="18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8" t="s">
        <v>1389</v>
      </c>
      <c r="L587" s="21">
        <v>8.8000000000000007</v>
      </c>
    </row>
    <row r="588" spans="1:12" x14ac:dyDescent="0.25">
      <c r="A588" t="str">
        <f t="shared" si="36"/>
        <v>2023-JP-JP -55-447-2276</v>
      </c>
      <c r="B588" t="str">
        <f t="shared" si="37"/>
        <v>2023</v>
      </c>
      <c r="C588" s="18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8" t="s">
        <v>1389</v>
      </c>
      <c r="L588" s="21">
        <v>4.7</v>
      </c>
    </row>
    <row r="589" spans="1:12" x14ac:dyDescent="0.25">
      <c r="A589" t="str">
        <f t="shared" si="36"/>
        <v>2023-JP-JP -65-500-2283</v>
      </c>
      <c r="B589" t="str">
        <f t="shared" si="37"/>
        <v>2023</v>
      </c>
      <c r="C589" s="18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8" t="s">
        <v>1389</v>
      </c>
      <c r="L589" s="21">
        <v>5</v>
      </c>
    </row>
    <row r="590" spans="1:12" x14ac:dyDescent="0.25">
      <c r="A590" t="str">
        <f t="shared" si="36"/>
        <v>2023-JP-JP -73-538-2311</v>
      </c>
      <c r="B590" t="str">
        <f t="shared" si="37"/>
        <v>2023</v>
      </c>
      <c r="C590" s="18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8" t="s">
        <v>1389</v>
      </c>
      <c r="L590" s="21">
        <v>5.5</v>
      </c>
    </row>
    <row r="591" spans="1:12" x14ac:dyDescent="0.25">
      <c r="A591" t="str">
        <f t="shared" si="36"/>
        <v>2024-JP-JP -122-779-2100</v>
      </c>
      <c r="B591" t="str">
        <f t="shared" si="37"/>
        <v>2024</v>
      </c>
      <c r="C591" s="18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8" t="s">
        <v>1401</v>
      </c>
      <c r="L591" s="21">
        <v>7.4</v>
      </c>
    </row>
    <row r="592" spans="1:12" x14ac:dyDescent="0.25">
      <c r="A592" t="str">
        <f t="shared" si="36"/>
        <v>2024-JP-JP -148-805-2098</v>
      </c>
      <c r="B592" t="str">
        <f t="shared" si="37"/>
        <v>2024</v>
      </c>
      <c r="C592" s="18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8" t="s">
        <v>1401</v>
      </c>
      <c r="L592" s="21">
        <v>8</v>
      </c>
    </row>
    <row r="593" spans="1:12" x14ac:dyDescent="0.25">
      <c r="A593" t="str">
        <f t="shared" si="36"/>
        <v>2024-JP-JP -153-848-2087</v>
      </c>
      <c r="B593" t="str">
        <f t="shared" si="37"/>
        <v>2024</v>
      </c>
      <c r="C593" s="18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8" t="s">
        <v>1401</v>
      </c>
      <c r="L593" s="21">
        <v>8.1999999999999993</v>
      </c>
    </row>
    <row r="594" spans="1:12" x14ac:dyDescent="0.25">
      <c r="A594" t="str">
        <f t="shared" si="36"/>
        <v>2024-JP-JP -162-883-2100</v>
      </c>
      <c r="B594" t="str">
        <f t="shared" si="37"/>
        <v>2024</v>
      </c>
      <c r="C594" s="18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8" t="s">
        <v>1401</v>
      </c>
      <c r="L594" s="21">
        <v>8.4</v>
      </c>
    </row>
    <row r="595" spans="1:12" x14ac:dyDescent="0.25">
      <c r="A595" t="str">
        <f t="shared" si="36"/>
        <v>2024-JP-JP -182-908-2094</v>
      </c>
      <c r="B595" t="str">
        <f t="shared" si="37"/>
        <v>2024</v>
      </c>
      <c r="C595" s="18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8" t="s">
        <v>1401</v>
      </c>
      <c r="L595" s="21">
        <v>8.8000000000000007</v>
      </c>
    </row>
    <row r="596" spans="1:12" x14ac:dyDescent="0.25">
      <c r="A596" t="str">
        <f t="shared" si="36"/>
        <v>2024-JP-JP -78-551-2332</v>
      </c>
      <c r="B596" t="str">
        <f t="shared" si="37"/>
        <v>2024</v>
      </c>
      <c r="C596" s="18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8" t="s">
        <v>1401</v>
      </c>
      <c r="L596" s="21">
        <v>5.3</v>
      </c>
    </row>
    <row r="597" spans="1:12" x14ac:dyDescent="0.25">
      <c r="A597" t="str">
        <f t="shared" si="36"/>
        <v>2024-JP-JP -98-626-2296</v>
      </c>
      <c r="B597" t="str">
        <f t="shared" si="37"/>
        <v>2024</v>
      </c>
      <c r="C597" s="18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8" t="s">
        <v>1401</v>
      </c>
      <c r="L597" s="21">
        <v>6.1</v>
      </c>
    </row>
    <row r="598" spans="1:12" x14ac:dyDescent="0.25">
      <c r="A598" t="str">
        <f t="shared" si="36"/>
        <v>2024-JP-JP -120-720-2273</v>
      </c>
      <c r="B598" t="str">
        <f t="shared" si="37"/>
        <v>2024</v>
      </c>
      <c r="C598" s="18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8" t="s">
        <v>1401</v>
      </c>
      <c r="L598" s="21">
        <v>6.9</v>
      </c>
    </row>
    <row r="599" spans="1:12" x14ac:dyDescent="0.25">
      <c r="A599" t="str">
        <f t="shared" si="36"/>
        <v>2024-JP-JP -139-847-2277</v>
      </c>
      <c r="B599" t="str">
        <f t="shared" si="37"/>
        <v>2024</v>
      </c>
      <c r="C599" s="18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8" t="s">
        <v>1401</v>
      </c>
      <c r="L599" s="21">
        <v>7.7</v>
      </c>
    </row>
    <row r="600" spans="1:12" x14ac:dyDescent="0.25">
      <c r="A600" t="str">
        <f t="shared" si="36"/>
        <v>2024-JP-Spe-45-405-2272</v>
      </c>
      <c r="B600" t="str">
        <f t="shared" si="37"/>
        <v>2024</v>
      </c>
      <c r="C600" s="18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8" t="s">
        <v>1401</v>
      </c>
      <c r="L600" s="21">
        <v>4.2</v>
      </c>
    </row>
    <row r="601" spans="1:12" x14ac:dyDescent="0.25">
      <c r="A601" t="str">
        <f t="shared" si="36"/>
        <v>2024-JP-Spe-55-447-2276</v>
      </c>
      <c r="B601" t="str">
        <f t="shared" si="37"/>
        <v>2024</v>
      </c>
      <c r="C601" s="18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8" t="s">
        <v>1401</v>
      </c>
      <c r="L601" s="21">
        <v>4.7</v>
      </c>
    </row>
    <row r="602" spans="1:12" x14ac:dyDescent="0.25">
      <c r="A602" t="str">
        <f t="shared" si="36"/>
        <v>2025-JP-Sla-98-626-2296</v>
      </c>
      <c r="B602" t="str">
        <f t="shared" si="37"/>
        <v>2025</v>
      </c>
      <c r="C602" s="18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8" t="s">
        <v>1406</v>
      </c>
      <c r="L602" s="21">
        <v>5.9</v>
      </c>
    </row>
    <row r="603" spans="1:12" x14ac:dyDescent="0.25">
      <c r="A603" t="str">
        <f t="shared" si="36"/>
        <v>2025-JP-Sla-104.8-665-2300</v>
      </c>
      <c r="B603" t="str">
        <f t="shared" si="37"/>
        <v>2025</v>
      </c>
      <c r="C603" s="18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8" t="s">
        <v>1406</v>
      </c>
      <c r="L603" s="21">
        <v>6.2</v>
      </c>
    </row>
    <row r="604" spans="1:12" x14ac:dyDescent="0.25">
      <c r="A604" t="str">
        <f t="shared" si="36"/>
        <v>2025-JP-Sla-120-720-2273</v>
      </c>
      <c r="B604" t="str">
        <f t="shared" si="37"/>
        <v>2025</v>
      </c>
      <c r="C604" s="18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8" t="s">
        <v>1406</v>
      </c>
      <c r="L604" s="21">
        <v>6.6</v>
      </c>
    </row>
    <row r="605" spans="1:12" x14ac:dyDescent="0.25">
      <c r="A605" t="str">
        <f t="shared" si="36"/>
        <v>2025-JP-Sla-124.4-757-2284</v>
      </c>
      <c r="B605" t="str">
        <f t="shared" si="37"/>
        <v>2025</v>
      </c>
      <c r="C605" s="18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8" t="s">
        <v>1406</v>
      </c>
      <c r="L605" s="21">
        <v>6.8</v>
      </c>
    </row>
    <row r="606" spans="1:12" x14ac:dyDescent="0.25">
      <c r="A606" t="str">
        <f t="shared" si="36"/>
        <v>2025-JP-Sla-139-847-2277</v>
      </c>
      <c r="B606" t="str">
        <f t="shared" si="37"/>
        <v>2025</v>
      </c>
      <c r="C606" s="18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8" t="s">
        <v>1406</v>
      </c>
      <c r="L606" s="21">
        <v>7.4</v>
      </c>
    </row>
    <row r="607" spans="1:12" x14ac:dyDescent="0.25">
      <c r="A607" t="str">
        <f t="shared" si="36"/>
        <v>2025-JP-Hyd-148-805-2098</v>
      </c>
      <c r="B607" t="str">
        <f t="shared" si="37"/>
        <v>2025</v>
      </c>
      <c r="C607" s="18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8" t="s">
        <v>1406</v>
      </c>
      <c r="L607" s="21">
        <v>7.7</v>
      </c>
    </row>
    <row r="608" spans="1:12" x14ac:dyDescent="0.25">
      <c r="A608" t="str">
        <f t="shared" si="36"/>
        <v>2025-JP-Hyd-154.2-849-1994</v>
      </c>
      <c r="B608" t="str">
        <f t="shared" si="37"/>
        <v>2025</v>
      </c>
      <c r="C608" s="18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8" t="s">
        <v>1406</v>
      </c>
      <c r="L608" s="21">
        <v>7.9</v>
      </c>
    </row>
    <row r="609" spans="1:12" x14ac:dyDescent="0.25">
      <c r="A609" t="str">
        <f t="shared" si="36"/>
        <v>2025-JP-Hyd-161.6-883-2100</v>
      </c>
      <c r="B609" t="str">
        <f t="shared" si="37"/>
        <v>2025</v>
      </c>
      <c r="C609" s="18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8" t="s">
        <v>1406</v>
      </c>
      <c r="L609" s="21">
        <v>8.1</v>
      </c>
    </row>
    <row r="610" spans="1:12" x14ac:dyDescent="0.25">
      <c r="A610" t="str">
        <f t="shared" si="36"/>
        <v>2026-JP-Sla-98-626-2296</v>
      </c>
      <c r="B610" t="str">
        <f t="shared" si="37"/>
        <v>2026</v>
      </c>
      <c r="C610" s="18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8" t="s">
        <v>1414</v>
      </c>
      <c r="L610" s="21">
        <v>5.9</v>
      </c>
    </row>
    <row r="611" spans="1:12" x14ac:dyDescent="0.25">
      <c r="A611" t="str">
        <f t="shared" si="36"/>
        <v>2026-JP-Sla-104.8-665-2300</v>
      </c>
      <c r="B611" t="str">
        <f t="shared" si="37"/>
        <v>2026</v>
      </c>
      <c r="C611" s="18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8" t="s">
        <v>1414</v>
      </c>
      <c r="L611" s="21">
        <v>6.2</v>
      </c>
    </row>
    <row r="612" spans="1:12" x14ac:dyDescent="0.25">
      <c r="A612" t="str">
        <f t="shared" si="36"/>
        <v>2026-JP-Sla-119.6-719-2288</v>
      </c>
      <c r="B612" t="str">
        <f t="shared" si="37"/>
        <v>2026</v>
      </c>
      <c r="C612" s="18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8" t="s">
        <v>1414</v>
      </c>
      <c r="L612" s="21">
        <v>6.7</v>
      </c>
    </row>
    <row r="613" spans="1:12" x14ac:dyDescent="0.25">
      <c r="A613" t="str">
        <f t="shared" si="36"/>
        <v>2026-JP-Sla-124.4-757-2284</v>
      </c>
      <c r="B613" t="str">
        <f t="shared" si="37"/>
        <v>2026</v>
      </c>
      <c r="C613" s="18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8" t="s">
        <v>1414</v>
      </c>
      <c r="L613" s="21">
        <v>6.8</v>
      </c>
    </row>
    <row r="614" spans="1:12" x14ac:dyDescent="0.25">
      <c r="A614" t="str">
        <f t="shared" si="36"/>
        <v>2026-JP-Sla-139-847-2277</v>
      </c>
      <c r="B614" t="str">
        <f t="shared" si="37"/>
        <v>2026</v>
      </c>
      <c r="C614" s="18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8" t="s">
        <v>1414</v>
      </c>
      <c r="L614" s="21">
        <v>7.4</v>
      </c>
    </row>
    <row r="615" spans="1:12" x14ac:dyDescent="0.25">
      <c r="A615" t="str">
        <f t="shared" si="36"/>
        <v>2026-JP-Hyd-148-805-2098</v>
      </c>
      <c r="B615" t="str">
        <f t="shared" si="37"/>
        <v>2026</v>
      </c>
      <c r="C615" s="18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8" t="s">
        <v>1414</v>
      </c>
      <c r="L615" s="21">
        <v>7.7</v>
      </c>
    </row>
    <row r="616" spans="1:12" x14ac:dyDescent="0.25">
      <c r="A616" t="str">
        <f t="shared" si="36"/>
        <v>2026-JP-Hyd-173-848-2049</v>
      </c>
      <c r="B616" t="str">
        <f t="shared" si="37"/>
        <v>2026</v>
      </c>
      <c r="C616" s="18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8" t="s">
        <v>1414</v>
      </c>
      <c r="L616" s="21">
        <v>8.5</v>
      </c>
    </row>
    <row r="617" spans="1:12" x14ac:dyDescent="0.25">
      <c r="A617" t="str">
        <f t="shared" si="36"/>
        <v>2026-JP-Hyd-161.6-883-2100</v>
      </c>
      <c r="B617" t="str">
        <f t="shared" si="37"/>
        <v>2026</v>
      </c>
      <c r="C617" s="18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8" t="s">
        <v>1414</v>
      </c>
      <c r="L617" s="21">
        <v>8.1</v>
      </c>
    </row>
    <row r="618" spans="1:12" x14ac:dyDescent="0.25">
      <c r="A618" t="str">
        <f t="shared" si="36"/>
        <v>2005-JP-SLA-94-600-2345</v>
      </c>
      <c r="B618" t="str">
        <f t="shared" si="37"/>
        <v>2005</v>
      </c>
      <c r="C618" s="18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8" t="s">
        <v>894</v>
      </c>
      <c r="L618" s="21">
        <v>5.6</v>
      </c>
    </row>
    <row r="619" spans="1:12" x14ac:dyDescent="0.25">
      <c r="A619" t="str">
        <f t="shared" si="36"/>
        <v>2005-JP-SLA-114-700-2385</v>
      </c>
      <c r="B619" t="str">
        <f t="shared" si="37"/>
        <v>2005</v>
      </c>
      <c r="C619" s="18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8" t="s">
        <v>894</v>
      </c>
      <c r="L619" s="21">
        <v>6.2</v>
      </c>
    </row>
    <row r="620" spans="1:12" x14ac:dyDescent="0.25">
      <c r="A620" t="str">
        <f t="shared" si="36"/>
        <v>2005-JP-SLA-134-800-2385</v>
      </c>
      <c r="B620" t="str">
        <f t="shared" si="37"/>
        <v>2005</v>
      </c>
      <c r="C620" s="18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8" t="s">
        <v>894</v>
      </c>
      <c r="L620" s="21">
        <v>7</v>
      </c>
    </row>
    <row r="621" spans="1:12" x14ac:dyDescent="0.25">
      <c r="A621" t="str">
        <f t="shared" si="36"/>
        <v>2006-JP-SLA-84-553-2320</v>
      </c>
      <c r="B621" t="str">
        <f t="shared" si="37"/>
        <v>2006</v>
      </c>
      <c r="C621" s="18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8" t="s">
        <v>812</v>
      </c>
      <c r="L621" s="21">
        <v>5</v>
      </c>
    </row>
    <row r="622" spans="1:12" x14ac:dyDescent="0.25">
      <c r="A622" t="str">
        <f t="shared" si="36"/>
        <v>2006-JP-SLA-94-603-2342</v>
      </c>
      <c r="B622" t="str">
        <f t="shared" si="37"/>
        <v>2006</v>
      </c>
      <c r="C622" s="18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8" t="s">
        <v>812</v>
      </c>
      <c r="L622" s="21">
        <v>5.0999999999999996</v>
      </c>
    </row>
    <row r="623" spans="1:12" x14ac:dyDescent="0.25">
      <c r="A623" t="str">
        <f t="shared" si="36"/>
        <v>2006-JP-SLA-114-701-2343</v>
      </c>
      <c r="B623" t="str">
        <f t="shared" si="37"/>
        <v>2006</v>
      </c>
      <c r="C623" s="18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8" t="s">
        <v>812</v>
      </c>
      <c r="L623" s="21">
        <v>6.1</v>
      </c>
    </row>
    <row r="624" spans="1:12" x14ac:dyDescent="0.25">
      <c r="A624" t="str">
        <f t="shared" si="36"/>
        <v>2006-JP-SLA-134-797-2382</v>
      </c>
      <c r="B624" t="str">
        <f t="shared" si="37"/>
        <v>2006</v>
      </c>
      <c r="C624" s="18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8" t="s">
        <v>812</v>
      </c>
      <c r="L624" s="21">
        <v>6.8</v>
      </c>
    </row>
    <row r="625" spans="1:12" x14ac:dyDescent="0.25">
      <c r="A625" t="str">
        <f t="shared" si="36"/>
        <v>2007-JP-SLA-69-531-2396</v>
      </c>
      <c r="B625" t="str">
        <f t="shared" si="37"/>
        <v>2007</v>
      </c>
      <c r="C625" s="18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8" t="s">
        <v>819</v>
      </c>
      <c r="L625" s="21">
        <v>5</v>
      </c>
    </row>
    <row r="626" spans="1:12" x14ac:dyDescent="0.25">
      <c r="A626" t="str">
        <f t="shared" si="36"/>
        <v>2007-JP-SLA-89-597-2388</v>
      </c>
      <c r="B626" t="str">
        <f t="shared" si="37"/>
        <v>2007</v>
      </c>
      <c r="C626" s="18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8" t="s">
        <v>819</v>
      </c>
      <c r="L626" s="21">
        <v>5.3</v>
      </c>
    </row>
    <row r="627" spans="1:12" x14ac:dyDescent="0.25">
      <c r="A627" t="str">
        <f t="shared" si="36"/>
        <v>2007-JP-SLA-109-692-2395</v>
      </c>
      <c r="B627" t="str">
        <f t="shared" si="37"/>
        <v>2007</v>
      </c>
      <c r="C627" s="18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8" t="s">
        <v>819</v>
      </c>
      <c r="L627" s="21">
        <v>6.1</v>
      </c>
    </row>
    <row r="628" spans="1:12" x14ac:dyDescent="0.25">
      <c r="A628" t="str">
        <f t="shared" si="36"/>
        <v>2007-JP-SLA-119-795-2399</v>
      </c>
      <c r="B628" t="str">
        <f t="shared" si="37"/>
        <v>2007</v>
      </c>
      <c r="C628" s="18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8" t="s">
        <v>819</v>
      </c>
      <c r="L628" s="21">
        <v>6.8</v>
      </c>
    </row>
    <row r="629" spans="1:12" x14ac:dyDescent="0.25">
      <c r="A629" t="str">
        <f t="shared" si="36"/>
        <v>2008-JP-SLA-70-541-2392</v>
      </c>
      <c r="B629" t="str">
        <f t="shared" si="37"/>
        <v>2008</v>
      </c>
      <c r="C629" s="18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8" t="s">
        <v>824</v>
      </c>
      <c r="L629" s="21">
        <v>4.9000000000000004</v>
      </c>
    </row>
    <row r="630" spans="1:12" x14ac:dyDescent="0.25">
      <c r="A630" t="str">
        <f t="shared" si="36"/>
        <v>2008-JP-SLA-84-598-2396</v>
      </c>
      <c r="B630" t="str">
        <f t="shared" si="37"/>
        <v>2008</v>
      </c>
      <c r="C630" s="18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8" t="s">
        <v>824</v>
      </c>
      <c r="L630" s="21">
        <v>5.3</v>
      </c>
    </row>
    <row r="631" spans="1:12" x14ac:dyDescent="0.25">
      <c r="A631" t="str">
        <f t="shared" si="36"/>
        <v>2008-JP-SLA-104-681-2394</v>
      </c>
      <c r="B631" t="str">
        <f t="shared" si="37"/>
        <v>2008</v>
      </c>
      <c r="C631" s="18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8" t="s">
        <v>824</v>
      </c>
      <c r="L631" s="21">
        <v>6.1</v>
      </c>
    </row>
    <row r="632" spans="1:12" x14ac:dyDescent="0.25">
      <c r="A632" t="str">
        <f t="shared" si="36"/>
        <v>2008-JP-SLA-114-755-2395</v>
      </c>
      <c r="B632" t="str">
        <f t="shared" si="37"/>
        <v>2008</v>
      </c>
      <c r="C632" s="18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8" t="s">
        <v>824</v>
      </c>
      <c r="L632" s="21">
        <v>6.6</v>
      </c>
    </row>
    <row r="633" spans="1:12" x14ac:dyDescent="0.25">
      <c r="A633" t="str">
        <f t="shared" si="36"/>
        <v>2008-JP-SLA-134-846-2403</v>
      </c>
      <c r="B633" t="str">
        <f t="shared" si="37"/>
        <v>2008</v>
      </c>
      <c r="C633" s="18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8" t="s">
        <v>824</v>
      </c>
      <c r="L633" s="21">
        <v>7.2</v>
      </c>
    </row>
    <row r="634" spans="1:12" x14ac:dyDescent="0.25">
      <c r="A634" t="str">
        <f t="shared" si="36"/>
        <v>2008-JP-Sup-91-581-2389</v>
      </c>
      <c r="B634" t="str">
        <f t="shared" si="37"/>
        <v>2008</v>
      </c>
      <c r="C634" s="18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8" t="s">
        <v>1285</v>
      </c>
      <c r="L634" s="21">
        <v>5.8</v>
      </c>
    </row>
    <row r="635" spans="1:12" x14ac:dyDescent="0.25">
      <c r="A635" t="str">
        <f t="shared" si="36"/>
        <v>2008-JP-Sup-100-620-2397</v>
      </c>
      <c r="B635" t="str">
        <f t="shared" si="37"/>
        <v>2008</v>
      </c>
      <c r="C635" s="18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8" t="s">
        <v>824</v>
      </c>
      <c r="L635" s="21">
        <v>6.2</v>
      </c>
    </row>
    <row r="636" spans="1:12" x14ac:dyDescent="0.25">
      <c r="A636" t="str">
        <f t="shared" si="36"/>
        <v>2008-JP-Sup-109-661-2453</v>
      </c>
      <c r="B636" t="str">
        <f t="shared" si="37"/>
        <v>2008</v>
      </c>
      <c r="C636" s="18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8" t="s">
        <v>824</v>
      </c>
      <c r="L636" s="21">
        <v>6.6</v>
      </c>
    </row>
    <row r="637" spans="1:12" x14ac:dyDescent="0.25">
      <c r="A637" t="str">
        <f t="shared" si="36"/>
        <v>2008-JP-Sup-118-703-2459</v>
      </c>
      <c r="B637" t="str">
        <f t="shared" si="37"/>
        <v>2008</v>
      </c>
      <c r="C637" s="18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8" t="s">
        <v>824</v>
      </c>
      <c r="L637" s="21">
        <v>6.7</v>
      </c>
    </row>
    <row r="638" spans="1:12" x14ac:dyDescent="0.25">
      <c r="A638" t="str">
        <f t="shared" si="36"/>
        <v>2008-JP-Sup-127-748-2468</v>
      </c>
      <c r="B638" t="str">
        <f t="shared" si="37"/>
        <v>2008</v>
      </c>
      <c r="C638" s="18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8" t="s">
        <v>824</v>
      </c>
      <c r="L638" s="21">
        <v>6.9</v>
      </c>
    </row>
    <row r="639" spans="1:12" x14ac:dyDescent="0.25">
      <c r="A639" t="str">
        <f t="shared" si="36"/>
        <v>2008-JP-Sup-136-794-2462</v>
      </c>
      <c r="B639" t="str">
        <f t="shared" si="37"/>
        <v>2008</v>
      </c>
      <c r="C639" s="18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8" t="s">
        <v>824</v>
      </c>
      <c r="L639" s="21">
        <v>7.3</v>
      </c>
    </row>
    <row r="640" spans="1:12" x14ac:dyDescent="0.25">
      <c r="A640" t="str">
        <f t="shared" si="36"/>
        <v>2008-JP-Sup-91-581-2389</v>
      </c>
      <c r="B640" t="str">
        <f t="shared" si="37"/>
        <v>2008</v>
      </c>
      <c r="C640" s="18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8" t="s">
        <v>824</v>
      </c>
      <c r="L640" s="21">
        <v>6.5</v>
      </c>
    </row>
    <row r="641" spans="1:12" x14ac:dyDescent="0.25">
      <c r="A641" t="str">
        <f t="shared" si="36"/>
        <v>2008-JP-Sup-100-620-2397</v>
      </c>
      <c r="B641" t="str">
        <f t="shared" si="37"/>
        <v>2008</v>
      </c>
      <c r="C641" s="18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8" t="s">
        <v>824</v>
      </c>
      <c r="L641" s="21">
        <v>6.9</v>
      </c>
    </row>
    <row r="642" spans="1:12" x14ac:dyDescent="0.25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8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8" t="s">
        <v>824</v>
      </c>
      <c r="L642" s="21">
        <v>7.3</v>
      </c>
    </row>
    <row r="643" spans="1:12" x14ac:dyDescent="0.25">
      <c r="A643" t="str">
        <f t="shared" si="40"/>
        <v>2008-JP-Sup-118-703-2459</v>
      </c>
      <c r="B643" t="str">
        <f t="shared" si="41"/>
        <v>2008</v>
      </c>
      <c r="C643" s="18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8" t="s">
        <v>824</v>
      </c>
      <c r="L643" s="21">
        <v>7.4</v>
      </c>
    </row>
    <row r="644" spans="1:12" x14ac:dyDescent="0.25">
      <c r="A644" t="str">
        <f t="shared" si="40"/>
        <v>2008-JP-Sup-127-748-2468</v>
      </c>
      <c r="B644" t="str">
        <f t="shared" si="41"/>
        <v>2008</v>
      </c>
      <c r="C644" s="18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8" t="s">
        <v>824</v>
      </c>
      <c r="L644" s="21">
        <v>7.6</v>
      </c>
    </row>
    <row r="645" spans="1:12" x14ac:dyDescent="0.25">
      <c r="A645" t="str">
        <f t="shared" si="40"/>
        <v>2008-JP-Sup-136-794-2462</v>
      </c>
      <c r="B645" t="str">
        <f t="shared" si="41"/>
        <v>2008</v>
      </c>
      <c r="C645" s="18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8" t="s">
        <v>824</v>
      </c>
      <c r="L645" s="21">
        <v>8</v>
      </c>
    </row>
    <row r="646" spans="1:12" x14ac:dyDescent="0.25">
      <c r="A646" t="str">
        <f t="shared" si="40"/>
        <v>2009-JP-Sla-71-538-2362</v>
      </c>
      <c r="B646" t="str">
        <f t="shared" si="41"/>
        <v>2009</v>
      </c>
      <c r="C646" s="18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8" t="s">
        <v>839</v>
      </c>
      <c r="L646" s="21">
        <v>4.9000000000000004</v>
      </c>
    </row>
    <row r="647" spans="1:12" x14ac:dyDescent="0.25">
      <c r="A647" t="str">
        <f t="shared" si="40"/>
        <v>2009-JP-Sla-93-596-2392</v>
      </c>
      <c r="B647" t="str">
        <f t="shared" si="41"/>
        <v>2009</v>
      </c>
      <c r="C647" s="18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8" t="s">
        <v>839</v>
      </c>
      <c r="L647" s="21">
        <v>5.6</v>
      </c>
    </row>
    <row r="648" spans="1:12" x14ac:dyDescent="0.25">
      <c r="A648" t="str">
        <f t="shared" si="40"/>
        <v>2009-JP-Sla-112-682-2377</v>
      </c>
      <c r="B648" t="str">
        <f t="shared" si="41"/>
        <v>2009</v>
      </c>
      <c r="C648" s="18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8" t="s">
        <v>839</v>
      </c>
      <c r="L648" s="21">
        <v>6.3</v>
      </c>
    </row>
    <row r="649" spans="1:12" x14ac:dyDescent="0.25">
      <c r="A649" t="str">
        <f t="shared" si="40"/>
        <v>2009-JP-Sla-122-759-2382</v>
      </c>
      <c r="B649" t="str">
        <f t="shared" si="41"/>
        <v>2009</v>
      </c>
      <c r="C649" s="18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8" t="s">
        <v>839</v>
      </c>
      <c r="L649" s="21">
        <v>6.8</v>
      </c>
    </row>
    <row r="650" spans="1:12" x14ac:dyDescent="0.25">
      <c r="A650" t="str">
        <f t="shared" si="40"/>
        <v>2009-JP-Sla-136-817-2382</v>
      </c>
      <c r="B650" t="str">
        <f t="shared" si="41"/>
        <v>2009</v>
      </c>
      <c r="C650" s="18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8" t="s">
        <v>839</v>
      </c>
      <c r="L650" s="21">
        <v>7.1</v>
      </c>
    </row>
    <row r="651" spans="1:12" x14ac:dyDescent="0.25">
      <c r="A651" t="str">
        <f t="shared" si="40"/>
        <v>2009-JP-Sup-91-579-2365</v>
      </c>
      <c r="B651" t="str">
        <f t="shared" si="41"/>
        <v>2009</v>
      </c>
      <c r="C651" s="18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8" t="s">
        <v>839</v>
      </c>
      <c r="L651" s="21">
        <v>5.7</v>
      </c>
    </row>
    <row r="652" spans="1:12" x14ac:dyDescent="0.25">
      <c r="A652" t="str">
        <f t="shared" si="40"/>
        <v>2009-JP-Sup-100-619-2386</v>
      </c>
      <c r="B652" t="str">
        <f t="shared" si="41"/>
        <v>2009</v>
      </c>
      <c r="C652" s="18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8" t="s">
        <v>839</v>
      </c>
      <c r="L652" s="21">
        <v>6.1</v>
      </c>
    </row>
    <row r="653" spans="1:12" x14ac:dyDescent="0.25">
      <c r="A653" t="str">
        <f t="shared" si="40"/>
        <v>2009-JP-Sup-109-653-2497</v>
      </c>
      <c r="B653" t="str">
        <f t="shared" si="41"/>
        <v>2009</v>
      </c>
      <c r="C653" s="18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8" t="s">
        <v>839</v>
      </c>
      <c r="L653" s="21">
        <v>6.6</v>
      </c>
    </row>
    <row r="654" spans="1:12" x14ac:dyDescent="0.25">
      <c r="A654" t="str">
        <f t="shared" si="40"/>
        <v>2009-JP-Sup-118-693-2503</v>
      </c>
      <c r="B654" t="str">
        <f t="shared" si="41"/>
        <v>2009</v>
      </c>
      <c r="C654" s="18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8" t="s">
        <v>839</v>
      </c>
      <c r="L654" s="21">
        <v>6.7</v>
      </c>
    </row>
    <row r="655" spans="1:12" x14ac:dyDescent="0.25">
      <c r="A655" t="str">
        <f t="shared" si="40"/>
        <v>2009-JP-Sup-127-744-2505</v>
      </c>
      <c r="B655" t="str">
        <f t="shared" si="41"/>
        <v>2009</v>
      </c>
      <c r="C655" s="18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8" t="s">
        <v>839</v>
      </c>
      <c r="L655" s="21">
        <v>6.9</v>
      </c>
    </row>
    <row r="656" spans="1:12" x14ac:dyDescent="0.25">
      <c r="A656" t="str">
        <f t="shared" si="40"/>
        <v>2009-JP-Sup-136-787-2507</v>
      </c>
      <c r="B656" t="str">
        <f t="shared" si="41"/>
        <v>2009</v>
      </c>
      <c r="C656" s="18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8" t="s">
        <v>839</v>
      </c>
      <c r="L656" s="21">
        <v>7.3</v>
      </c>
    </row>
    <row r="657" spans="1:12" x14ac:dyDescent="0.25">
      <c r="A657" t="str">
        <f t="shared" si="40"/>
        <v>2009-JP-Fun-180-878-2581</v>
      </c>
      <c r="B657" t="str">
        <f t="shared" si="41"/>
        <v>2009</v>
      </c>
      <c r="C657" s="18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8" t="s">
        <v>839</v>
      </c>
      <c r="L657" s="21">
        <v>13.1</v>
      </c>
    </row>
    <row r="658" spans="1:12" x14ac:dyDescent="0.25">
      <c r="A658" t="str">
        <f t="shared" si="40"/>
        <v>2009-JP-Spe-53-447-2276</v>
      </c>
      <c r="B658" t="str">
        <f t="shared" si="41"/>
        <v>2009</v>
      </c>
      <c r="C658" s="18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8" t="s">
        <v>839</v>
      </c>
      <c r="L658" s="21">
        <v>4.5</v>
      </c>
    </row>
    <row r="659" spans="1:12" x14ac:dyDescent="0.25">
      <c r="A659" t="str">
        <f t="shared" si="40"/>
        <v>2009-JP-Spe-63-488-2313</v>
      </c>
      <c r="B659" t="str">
        <f t="shared" si="41"/>
        <v>2009</v>
      </c>
      <c r="C659" s="18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8" t="s">
        <v>839</v>
      </c>
      <c r="L659" s="21">
        <v>4.7</v>
      </c>
    </row>
    <row r="660" spans="1:12" x14ac:dyDescent="0.25">
      <c r="A660" t="str">
        <f t="shared" si="40"/>
        <v>2009-JP-Spe-73-538-2311</v>
      </c>
      <c r="B660" t="str">
        <f t="shared" si="41"/>
        <v>2009</v>
      </c>
      <c r="C660" s="18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8" t="s">
        <v>839</v>
      </c>
      <c r="L660" s="21">
        <v>5.0999999999999996</v>
      </c>
    </row>
    <row r="661" spans="1:12" x14ac:dyDescent="0.25">
      <c r="A661" t="str">
        <f t="shared" si="40"/>
        <v>2010-JP-Sla-81-560-2346</v>
      </c>
      <c r="B661" t="str">
        <f t="shared" si="41"/>
        <v>2010</v>
      </c>
      <c r="C661" s="18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8" t="s">
        <v>842</v>
      </c>
      <c r="L661" s="21">
        <v>5.4</v>
      </c>
    </row>
    <row r="662" spans="1:12" x14ac:dyDescent="0.25">
      <c r="A662" t="str">
        <f t="shared" si="40"/>
        <v>2010-JP-Sla-92-589-2346</v>
      </c>
      <c r="B662" t="str">
        <f t="shared" si="41"/>
        <v>2010</v>
      </c>
      <c r="C662" s="18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8" t="s">
        <v>842</v>
      </c>
      <c r="L662" s="21">
        <v>5.8</v>
      </c>
    </row>
    <row r="663" spans="1:12" x14ac:dyDescent="0.25">
      <c r="A663" t="str">
        <f t="shared" si="40"/>
        <v>2010-JP-Sla-101-649-2355</v>
      </c>
      <c r="B663" t="str">
        <f t="shared" si="41"/>
        <v>2010</v>
      </c>
      <c r="C663" s="18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8" t="s">
        <v>842</v>
      </c>
      <c r="L663" s="21">
        <v>6.3</v>
      </c>
    </row>
    <row r="664" spans="1:12" x14ac:dyDescent="0.25">
      <c r="A664" t="str">
        <f t="shared" si="40"/>
        <v>2010-JP-Sla-112-679-2354</v>
      </c>
      <c r="B664" t="str">
        <f t="shared" si="41"/>
        <v>2010</v>
      </c>
      <c r="C664" s="18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8" t="s">
        <v>842</v>
      </c>
      <c r="L664" s="21">
        <v>6.5</v>
      </c>
    </row>
    <row r="665" spans="1:12" x14ac:dyDescent="0.25">
      <c r="A665" t="str">
        <f t="shared" si="40"/>
        <v>2010-JP-Sla-121-759-2356</v>
      </c>
      <c r="B665" t="str">
        <f t="shared" si="41"/>
        <v>2010</v>
      </c>
      <c r="C665" s="18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8" t="s">
        <v>842</v>
      </c>
      <c r="L665" s="21">
        <v>6.7</v>
      </c>
    </row>
    <row r="666" spans="1:12" x14ac:dyDescent="0.25">
      <c r="A666" t="str">
        <f t="shared" si="40"/>
        <v>2010-JP-Sla-132-817-2349</v>
      </c>
      <c r="B666" t="str">
        <f t="shared" si="41"/>
        <v>2010</v>
      </c>
      <c r="C666" s="18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8" t="s">
        <v>842</v>
      </c>
      <c r="L666" s="21">
        <v>7.2</v>
      </c>
    </row>
    <row r="667" spans="1:12" x14ac:dyDescent="0.25">
      <c r="A667" t="str">
        <f t="shared" si="40"/>
        <v>2011-JP-Sla-78-559-2337</v>
      </c>
      <c r="B667" t="str">
        <f t="shared" si="41"/>
        <v>2011</v>
      </c>
      <c r="C667" s="18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8" t="s">
        <v>842</v>
      </c>
      <c r="L667" s="21">
        <v>5.5</v>
      </c>
    </row>
    <row r="668" spans="1:12" x14ac:dyDescent="0.25">
      <c r="A668" t="str">
        <f t="shared" si="40"/>
        <v>2011-JP-Sla-90-591-2352</v>
      </c>
      <c r="B668" t="str">
        <f t="shared" si="41"/>
        <v>2011</v>
      </c>
      <c r="C668" s="18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8" t="s">
        <v>842</v>
      </c>
      <c r="L668" s="21">
        <v>5.9</v>
      </c>
    </row>
    <row r="669" spans="1:12" x14ac:dyDescent="0.25">
      <c r="A669" t="str">
        <f t="shared" si="40"/>
        <v>2011-JP-Sla-104-651-2353</v>
      </c>
      <c r="B669" t="str">
        <f t="shared" si="41"/>
        <v>2011</v>
      </c>
      <c r="C669" s="18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8" t="s">
        <v>842</v>
      </c>
      <c r="L669" s="21">
        <v>6.5</v>
      </c>
    </row>
    <row r="670" spans="1:12" x14ac:dyDescent="0.25">
      <c r="A670" t="str">
        <f t="shared" si="40"/>
        <v>2011-JP-Sla-104-677-2345</v>
      </c>
      <c r="B670" t="str">
        <f t="shared" si="41"/>
        <v>2011</v>
      </c>
      <c r="C670" s="18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8" t="s">
        <v>842</v>
      </c>
      <c r="L670" s="21">
        <v>6.6</v>
      </c>
    </row>
    <row r="671" spans="1:12" x14ac:dyDescent="0.25">
      <c r="A671" t="str">
        <f t="shared" si="40"/>
        <v>2011-JP-Sla-123-759-2356</v>
      </c>
      <c r="B671" t="str">
        <f t="shared" si="41"/>
        <v>2011</v>
      </c>
      <c r="C671" s="18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8" t="s">
        <v>842</v>
      </c>
      <c r="L671" s="21">
        <v>6.9</v>
      </c>
    </row>
    <row r="672" spans="1:12" x14ac:dyDescent="0.25">
      <c r="A672" t="str">
        <f t="shared" si="40"/>
        <v>2011-JP-Sla-132-816-2349</v>
      </c>
      <c r="B672" t="str">
        <f t="shared" si="41"/>
        <v>2011</v>
      </c>
      <c r="C672" s="18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8" t="s">
        <v>842</v>
      </c>
      <c r="L672" s="21">
        <v>7.3</v>
      </c>
    </row>
    <row r="673" spans="1:12" x14ac:dyDescent="0.25">
      <c r="A673" t="str">
        <f t="shared" si="40"/>
        <v>2012-JP-Sla-81-559-2337</v>
      </c>
      <c r="B673" t="str">
        <f t="shared" si="41"/>
        <v>2012</v>
      </c>
      <c r="C673" s="18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8" t="s">
        <v>845</v>
      </c>
      <c r="L673" s="21">
        <v>5.5</v>
      </c>
    </row>
    <row r="674" spans="1:12" x14ac:dyDescent="0.25">
      <c r="A674" t="str">
        <f t="shared" si="40"/>
        <v>2012-JP-Sla-96-592-2354</v>
      </c>
      <c r="B674" t="str">
        <f t="shared" si="41"/>
        <v>2012</v>
      </c>
      <c r="C674" s="18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8" t="s">
        <v>845</v>
      </c>
      <c r="L674" s="21">
        <v>6.1</v>
      </c>
    </row>
    <row r="675" spans="1:12" x14ac:dyDescent="0.25">
      <c r="A675" t="str">
        <f t="shared" si="40"/>
        <v>2012-JP-Sla-108-663-2393</v>
      </c>
      <c r="B675" t="str">
        <f t="shared" si="41"/>
        <v>2012</v>
      </c>
      <c r="C675" s="18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8" t="s">
        <v>845</v>
      </c>
      <c r="L675" s="21">
        <v>6.4</v>
      </c>
    </row>
    <row r="676" spans="1:12" x14ac:dyDescent="0.25">
      <c r="A676" t="str">
        <f t="shared" si="40"/>
        <v>2012-JP-Sla-118-679-2341</v>
      </c>
      <c r="B676" t="str">
        <f t="shared" si="41"/>
        <v>2012</v>
      </c>
      <c r="C676" s="18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8" t="s">
        <v>845</v>
      </c>
      <c r="L676" s="21">
        <v>6.4</v>
      </c>
    </row>
    <row r="677" spans="1:12" x14ac:dyDescent="0.25">
      <c r="A677" t="str">
        <f t="shared" si="40"/>
        <v>2012-JP-Sla-130-778-2394</v>
      </c>
      <c r="B677" t="str">
        <f t="shared" si="41"/>
        <v>2012</v>
      </c>
      <c r="C677" s="18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8" t="s">
        <v>845</v>
      </c>
      <c r="L677" s="21">
        <v>7.1</v>
      </c>
    </row>
    <row r="678" spans="1:12" x14ac:dyDescent="0.25">
      <c r="A678" t="str">
        <f t="shared" si="40"/>
        <v>2012-JP-Sla-140-844-2355</v>
      </c>
      <c r="B678" t="str">
        <f t="shared" si="41"/>
        <v>2012</v>
      </c>
      <c r="C678" s="18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8" t="s">
        <v>845</v>
      </c>
      <c r="L678" s="21">
        <v>7.4</v>
      </c>
    </row>
    <row r="679" spans="1:12" x14ac:dyDescent="0.25">
      <c r="A679" t="str">
        <f t="shared" si="40"/>
        <v>2012-JP-Spe-50-500-2283</v>
      </c>
      <c r="B679" t="str">
        <f t="shared" si="41"/>
        <v>2012</v>
      </c>
      <c r="C679" s="18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8" t="s">
        <v>927</v>
      </c>
      <c r="L679" s="21">
        <v>4.7</v>
      </c>
    </row>
    <row r="680" spans="1:12" x14ac:dyDescent="0.25">
      <c r="A680" t="str">
        <f t="shared" si="40"/>
        <v>2013-JP-Sla-81-559-2337</v>
      </c>
      <c r="B680" t="str">
        <f t="shared" si="41"/>
        <v>2013</v>
      </c>
      <c r="C680" s="18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8" t="s">
        <v>927</v>
      </c>
      <c r="L680" s="21">
        <v>5.5</v>
      </c>
    </row>
    <row r="681" spans="1:12" x14ac:dyDescent="0.25">
      <c r="A681" t="str">
        <f t="shared" si="40"/>
        <v>2013-JP-Spe-53-447-2276</v>
      </c>
      <c r="B681" t="str">
        <f t="shared" si="41"/>
        <v>2013</v>
      </c>
      <c r="C681" s="18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8" t="s">
        <v>927</v>
      </c>
      <c r="L681" s="21">
        <v>4.5</v>
      </c>
    </row>
    <row r="682" spans="1:12" x14ac:dyDescent="0.25">
      <c r="A682" t="str">
        <f t="shared" si="40"/>
        <v>2013-JP-Spe-50-500-2283</v>
      </c>
      <c r="B682" t="str">
        <f t="shared" si="41"/>
        <v>2013</v>
      </c>
      <c r="C682" s="18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8" t="s">
        <v>927</v>
      </c>
      <c r="L682" s="21">
        <v>4.7</v>
      </c>
    </row>
    <row r="683" spans="1:12" x14ac:dyDescent="0.25">
      <c r="A683" t="str">
        <f t="shared" si="40"/>
        <v>2013-JP-Spe-73-538-2311</v>
      </c>
      <c r="B683" t="str">
        <f t="shared" si="41"/>
        <v>2013</v>
      </c>
      <c r="C683" s="18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8" t="s">
        <v>927</v>
      </c>
      <c r="L683" s="21">
        <v>5.0999999999999996</v>
      </c>
    </row>
    <row r="684" spans="1:12" x14ac:dyDescent="0.25">
      <c r="A684" t="str">
        <f t="shared" si="40"/>
        <v>2013-JP-Sla-91-590-2360</v>
      </c>
      <c r="B684" t="str">
        <f t="shared" si="41"/>
        <v>2013</v>
      </c>
      <c r="C684" s="18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8" t="s">
        <v>927</v>
      </c>
      <c r="L684" s="21">
        <v>5.7</v>
      </c>
    </row>
    <row r="685" spans="1:12" x14ac:dyDescent="0.25">
      <c r="A685" t="str">
        <f t="shared" si="40"/>
        <v>2013-JP-Sla-102-660-2400</v>
      </c>
      <c r="B685" t="str">
        <f t="shared" si="41"/>
        <v>2013</v>
      </c>
      <c r="C685" s="18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8" t="s">
        <v>927</v>
      </c>
      <c r="L685" s="21">
        <v>5.9</v>
      </c>
    </row>
    <row r="686" spans="1:12" x14ac:dyDescent="0.25">
      <c r="A686" t="str">
        <f t="shared" si="40"/>
        <v>2013-JP-Sla-112-680-2400</v>
      </c>
      <c r="B686" t="str">
        <f t="shared" si="41"/>
        <v>2013</v>
      </c>
      <c r="C686" s="18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8" t="s">
        <v>927</v>
      </c>
      <c r="L686" s="21">
        <v>6.2</v>
      </c>
    </row>
    <row r="687" spans="1:12" x14ac:dyDescent="0.25">
      <c r="A687" t="str">
        <f t="shared" si="40"/>
        <v>2013-JP-Sla-125-800-2400</v>
      </c>
      <c r="B687" t="str">
        <f t="shared" si="41"/>
        <v>2013</v>
      </c>
      <c r="C687" s="18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8" t="s">
        <v>927</v>
      </c>
      <c r="L687" s="21">
        <v>6.8</v>
      </c>
    </row>
    <row r="688" spans="1:12" x14ac:dyDescent="0.25">
      <c r="A688" t="str">
        <f t="shared" si="40"/>
        <v>2013-JP-Sla-135-840-2350</v>
      </c>
      <c r="B688" t="str">
        <f t="shared" si="41"/>
        <v>2013</v>
      </c>
      <c r="C688" s="18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8" t="s">
        <v>927</v>
      </c>
      <c r="L688" s="21">
        <v>7.2</v>
      </c>
    </row>
    <row r="689" spans="1:12" x14ac:dyDescent="0.25">
      <c r="A689" t="str">
        <f t="shared" si="40"/>
        <v>2014-JP-Sla-91-590-2357</v>
      </c>
      <c r="B689" t="str">
        <f t="shared" si="41"/>
        <v>2014</v>
      </c>
      <c r="C689" s="18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8" t="s">
        <v>850</v>
      </c>
      <c r="L689" s="21">
        <v>5.7</v>
      </c>
    </row>
    <row r="690" spans="1:12" x14ac:dyDescent="0.25">
      <c r="A690" t="str">
        <f t="shared" si="40"/>
        <v>2014-JP-Sla-112-679-2393</v>
      </c>
      <c r="B690" t="str">
        <f t="shared" si="41"/>
        <v>2014</v>
      </c>
      <c r="C690" s="18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8" t="s">
        <v>850</v>
      </c>
      <c r="L690" s="21">
        <v>6.3</v>
      </c>
    </row>
    <row r="691" spans="1:12" x14ac:dyDescent="0.25">
      <c r="A691" t="str">
        <f t="shared" si="40"/>
        <v>2014-JP-Sla-135-840-2346</v>
      </c>
      <c r="B691" t="str">
        <f t="shared" si="41"/>
        <v>2014</v>
      </c>
      <c r="C691" s="18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8" t="s">
        <v>850</v>
      </c>
      <c r="L691" s="21">
        <v>7.1</v>
      </c>
    </row>
    <row r="692" spans="1:12" x14ac:dyDescent="0.25">
      <c r="A692" t="str">
        <f t="shared" si="40"/>
        <v>2014-JP-Sla-108-663-2394</v>
      </c>
      <c r="B692" t="str">
        <f t="shared" si="41"/>
        <v>2014</v>
      </c>
      <c r="C692" s="18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8" t="s">
        <v>731</v>
      </c>
      <c r="L692" s="21">
        <v>6.1</v>
      </c>
    </row>
    <row r="693" spans="1:12" x14ac:dyDescent="0.25">
      <c r="A693" t="str">
        <f t="shared" si="40"/>
        <v>2014-JP-Sla-130-800-2390</v>
      </c>
      <c r="B693" t="str">
        <f t="shared" si="41"/>
        <v>2014</v>
      </c>
      <c r="C693" s="18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8" t="s">
        <v>731</v>
      </c>
      <c r="L693" s="21">
        <v>6.8</v>
      </c>
    </row>
    <row r="694" spans="1:12" x14ac:dyDescent="0.25">
      <c r="A694" t="str">
        <f t="shared" si="40"/>
        <v>2014-JP-Spe-82-551-2350</v>
      </c>
      <c r="B694" t="str">
        <f t="shared" si="41"/>
        <v>2014</v>
      </c>
      <c r="C694" s="18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8" t="s">
        <v>731</v>
      </c>
      <c r="L694" s="21">
        <v>5.3</v>
      </c>
    </row>
    <row r="695" spans="1:12" x14ac:dyDescent="0.25">
      <c r="A695" t="str">
        <f t="shared" si="40"/>
        <v>2015-JP-Sla-94-600-2360</v>
      </c>
      <c r="B695" t="str">
        <f t="shared" si="41"/>
        <v>2015</v>
      </c>
      <c r="C695" s="18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8" t="s">
        <v>731</v>
      </c>
      <c r="L695" s="21">
        <v>5.8</v>
      </c>
    </row>
    <row r="696" spans="1:12" x14ac:dyDescent="0.25">
      <c r="A696" t="str">
        <f t="shared" si="40"/>
        <v>2015-JP-Sla-108-663-2402</v>
      </c>
      <c r="B696" t="str">
        <f t="shared" si="41"/>
        <v>2015</v>
      </c>
      <c r="C696" s="18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8" t="s">
        <v>731</v>
      </c>
      <c r="L696" s="21">
        <v>6.1</v>
      </c>
    </row>
    <row r="697" spans="1:12" x14ac:dyDescent="0.25">
      <c r="A697" t="str">
        <f t="shared" si="40"/>
        <v>2015-JP-Sla-112-691-2392</v>
      </c>
      <c r="B697" t="str">
        <f t="shared" si="41"/>
        <v>2015</v>
      </c>
      <c r="C697" s="18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8" t="s">
        <v>731</v>
      </c>
      <c r="L697" s="21">
        <v>6.3</v>
      </c>
    </row>
    <row r="698" spans="1:12" x14ac:dyDescent="0.25">
      <c r="A698" t="str">
        <f t="shared" si="40"/>
        <v>2015-JP-Sla-123-781-2394</v>
      </c>
      <c r="B698" t="str">
        <f t="shared" si="41"/>
        <v>2015</v>
      </c>
      <c r="C698" s="18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8" t="s">
        <v>731</v>
      </c>
      <c r="L698" s="21">
        <v>6.7</v>
      </c>
    </row>
    <row r="699" spans="1:12" x14ac:dyDescent="0.25">
      <c r="A699" t="str">
        <f t="shared" si="40"/>
        <v>2015-JP-Sla-130-800-2397</v>
      </c>
      <c r="B699" t="str">
        <f t="shared" si="41"/>
        <v>2015</v>
      </c>
      <c r="C699" s="18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8" t="s">
        <v>731</v>
      </c>
      <c r="L699" s="21">
        <v>6.9</v>
      </c>
    </row>
    <row r="700" spans="1:12" x14ac:dyDescent="0.25">
      <c r="A700" t="str">
        <f t="shared" si="40"/>
        <v>2015-JP-Sla-132-820-2395</v>
      </c>
      <c r="B700" t="str">
        <f t="shared" si="41"/>
        <v>2015</v>
      </c>
      <c r="C700" s="18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8" t="s">
        <v>731</v>
      </c>
      <c r="L700" s="21">
        <v>7.1</v>
      </c>
    </row>
    <row r="701" spans="1:12" x14ac:dyDescent="0.25">
      <c r="A701" t="str">
        <f t="shared" si="40"/>
        <v>2015-JP-Sla-137-852-2294</v>
      </c>
      <c r="B701" t="str">
        <f t="shared" si="41"/>
        <v>2015</v>
      </c>
      <c r="C701" s="18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8" t="s">
        <v>731</v>
      </c>
      <c r="L701" s="21">
        <v>7</v>
      </c>
    </row>
    <row r="702" spans="1:12" x14ac:dyDescent="0.25">
      <c r="A702" t="e">
        <f t="shared" si="40"/>
        <v>#VALUE!</v>
      </c>
      <c r="B702" t="str">
        <f t="shared" si="41"/>
        <v>2016</v>
      </c>
      <c r="C702" s="18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8" t="s">
        <v>1353</v>
      </c>
      <c r="L702" s="21">
        <v>5.7</v>
      </c>
    </row>
    <row r="703" spans="1:12" x14ac:dyDescent="0.25">
      <c r="A703" t="e">
        <f t="shared" si="40"/>
        <v>#VALUE!</v>
      </c>
      <c r="B703" t="str">
        <f t="shared" si="41"/>
        <v>2016</v>
      </c>
      <c r="C703" s="18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8" t="s">
        <v>1353</v>
      </c>
      <c r="L703" s="21">
        <v>5.7</v>
      </c>
    </row>
    <row r="704" spans="1:12" x14ac:dyDescent="0.25">
      <c r="A704" t="e">
        <f t="shared" si="40"/>
        <v>#VALUE!</v>
      </c>
      <c r="B704" t="str">
        <f t="shared" si="41"/>
        <v>2016</v>
      </c>
      <c r="C704" s="18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8" t="s">
        <v>1353</v>
      </c>
      <c r="L704" s="21">
        <v>6.4</v>
      </c>
    </row>
    <row r="705" spans="1:12" x14ac:dyDescent="0.25">
      <c r="A705" t="e">
        <f t="shared" si="40"/>
        <v>#VALUE!</v>
      </c>
      <c r="B705" t="str">
        <f t="shared" si="41"/>
        <v>2016</v>
      </c>
      <c r="C705" s="18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8" t="s">
        <v>1353</v>
      </c>
      <c r="L705" s="21">
        <v>6.9</v>
      </c>
    </row>
    <row r="706" spans="1:12" x14ac:dyDescent="0.25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8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8" t="s">
        <v>1353</v>
      </c>
      <c r="L706" s="21">
        <v>7</v>
      </c>
    </row>
    <row r="707" spans="1:12" x14ac:dyDescent="0.25">
      <c r="A707" t="str">
        <f t="shared" si="44"/>
        <v>2017-JP-Sla-78-551-2332</v>
      </c>
      <c r="B707" t="str">
        <f t="shared" si="45"/>
        <v>2017</v>
      </c>
      <c r="C707" s="18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8" t="s">
        <v>1361</v>
      </c>
      <c r="L707" s="21">
        <v>5.5</v>
      </c>
    </row>
    <row r="708" spans="1:12" x14ac:dyDescent="0.25">
      <c r="A708" t="str">
        <f t="shared" si="44"/>
        <v>2017-JP-Sla-88-601-2330</v>
      </c>
      <c r="B708" t="str">
        <f t="shared" si="45"/>
        <v>2017</v>
      </c>
      <c r="C708" s="18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8" t="s">
        <v>1361</v>
      </c>
      <c r="L708" s="21">
        <v>5.7</v>
      </c>
    </row>
    <row r="709" spans="1:12" x14ac:dyDescent="0.25">
      <c r="A709" t="str">
        <f t="shared" si="44"/>
        <v>2017-JP-Sla-92-620-2333</v>
      </c>
      <c r="B709" t="str">
        <f t="shared" si="45"/>
        <v>2017</v>
      </c>
      <c r="C709" s="18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8" t="s">
        <v>1361</v>
      </c>
      <c r="L709" s="21">
        <v>5.8</v>
      </c>
    </row>
    <row r="710" spans="1:12" x14ac:dyDescent="0.25">
      <c r="A710" t="str">
        <f t="shared" si="44"/>
        <v>2017-JP-Sla-104-680-2323</v>
      </c>
      <c r="B710" t="str">
        <f t="shared" si="45"/>
        <v>2017</v>
      </c>
      <c r="C710" s="18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8" t="s">
        <v>1361</v>
      </c>
      <c r="L710" s="21">
        <v>6.2</v>
      </c>
    </row>
    <row r="711" spans="1:12" x14ac:dyDescent="0.25">
      <c r="A711" t="str">
        <f t="shared" si="44"/>
        <v>2017-JP-Sla-113-712-2316</v>
      </c>
      <c r="B711" t="str">
        <f t="shared" si="45"/>
        <v>2017</v>
      </c>
      <c r="C711" s="18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8" t="s">
        <v>1361</v>
      </c>
      <c r="L711" s="21">
        <v>6.4</v>
      </c>
    </row>
    <row r="712" spans="1:12" x14ac:dyDescent="0.25">
      <c r="A712" t="str">
        <f t="shared" si="44"/>
        <v>2017-JP-Sla-121-822-2277</v>
      </c>
      <c r="B712" t="str">
        <f t="shared" si="45"/>
        <v>2017</v>
      </c>
      <c r="C712" s="18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8" t="s">
        <v>1361</v>
      </c>
      <c r="L712" s="21">
        <v>6.9</v>
      </c>
    </row>
    <row r="713" spans="1:12" x14ac:dyDescent="0.25">
      <c r="A713" t="str">
        <f t="shared" si="44"/>
        <v>2017-JP-Sla-131-850-2279</v>
      </c>
      <c r="B713" t="str">
        <f t="shared" si="45"/>
        <v>2017</v>
      </c>
      <c r="C713" s="18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8" t="s">
        <v>1361</v>
      </c>
      <c r="L713" s="21">
        <v>7.2</v>
      </c>
    </row>
    <row r="714" spans="1:12" x14ac:dyDescent="0.25">
      <c r="A714" t="str">
        <f t="shared" si="44"/>
        <v>2018-JP-Sla-112-709-2280</v>
      </c>
      <c r="B714" t="str">
        <f t="shared" si="45"/>
        <v>2018</v>
      </c>
      <c r="C714" s="18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8" t="s">
        <v>1367</v>
      </c>
      <c r="L714" s="21">
        <v>6.4</v>
      </c>
    </row>
    <row r="715" spans="1:12" x14ac:dyDescent="0.25">
      <c r="A715" t="str">
        <f t="shared" si="44"/>
        <v>2018-JP-Sla-144-849-2274</v>
      </c>
      <c r="B715" t="str">
        <f t="shared" si="45"/>
        <v>2018</v>
      </c>
      <c r="C715" s="18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8" t="s">
        <v>1367</v>
      </c>
      <c r="L715" s="21">
        <v>7.4</v>
      </c>
    </row>
    <row r="716" spans="1:12" x14ac:dyDescent="0.25">
      <c r="A716" t="str">
        <f t="shared" si="44"/>
        <v>2018-JP-Hyd-136-856-2149</v>
      </c>
      <c r="B716" t="str">
        <f t="shared" si="45"/>
        <v>2018</v>
      </c>
      <c r="C716" s="18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8" t="s">
        <v>1369</v>
      </c>
      <c r="L716" s="21">
        <v>7.8</v>
      </c>
    </row>
    <row r="717" spans="1:12" x14ac:dyDescent="0.25">
      <c r="A717" t="str">
        <f t="shared" si="44"/>
        <v>2018-JP-Hyd-154-910-2137</v>
      </c>
      <c r="B717" t="str">
        <f t="shared" si="45"/>
        <v>2018</v>
      </c>
      <c r="C717" s="18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8" t="s">
        <v>1369</v>
      </c>
      <c r="L717" s="21">
        <v>8.5</v>
      </c>
    </row>
    <row r="718" spans="1:12" x14ac:dyDescent="0.25">
      <c r="A718" t="str">
        <f t="shared" si="44"/>
        <v>2019-JP-Sla-95-620-2325</v>
      </c>
      <c r="B718" t="str">
        <f t="shared" si="45"/>
        <v>2019</v>
      </c>
      <c r="C718" s="18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8" t="s">
        <v>1371</v>
      </c>
      <c r="L718" s="21">
        <v>5.9</v>
      </c>
    </row>
    <row r="719" spans="1:12" x14ac:dyDescent="0.25">
      <c r="A719" t="str">
        <f t="shared" si="44"/>
        <v>2019-JP-Sla-104-680-2323</v>
      </c>
      <c r="B719" t="str">
        <f t="shared" si="45"/>
        <v>2019</v>
      </c>
      <c r="C719" s="18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8" t="s">
        <v>1371</v>
      </c>
      <c r="L719" s="21">
        <v>6.4</v>
      </c>
    </row>
    <row r="720" spans="1:12" x14ac:dyDescent="0.25">
      <c r="A720" t="str">
        <f t="shared" si="44"/>
        <v>2019-JP-Sla-111-709-2280</v>
      </c>
      <c r="B720" t="str">
        <f t="shared" si="45"/>
        <v>2019</v>
      </c>
      <c r="C720" s="18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8" t="s">
        <v>1371</v>
      </c>
      <c r="L720" s="21">
        <v>6.6</v>
      </c>
    </row>
    <row r="721" spans="1:12" x14ac:dyDescent="0.25">
      <c r="A721" t="str">
        <f t="shared" si="44"/>
        <v>2019-JP-Sla-121-822-2277</v>
      </c>
      <c r="B721" t="str">
        <f t="shared" si="45"/>
        <v>2019</v>
      </c>
      <c r="C721" s="18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8" t="s">
        <v>1371</v>
      </c>
      <c r="L721" s="21">
        <v>7.1</v>
      </c>
    </row>
    <row r="722" spans="1:12" x14ac:dyDescent="0.25">
      <c r="A722" t="str">
        <f t="shared" si="44"/>
        <v>2019-JP-Sla-136-848-2271</v>
      </c>
      <c r="B722" t="str">
        <f t="shared" si="45"/>
        <v>2019</v>
      </c>
      <c r="C722" s="18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8" t="s">
        <v>1371</v>
      </c>
      <c r="L722" s="21">
        <v>7.4</v>
      </c>
    </row>
    <row r="723" spans="1:12" x14ac:dyDescent="0.25">
      <c r="A723" t="str">
        <f t="shared" si="44"/>
        <v>2019-JP-Hyd-108-699-2040</v>
      </c>
      <c r="B723" t="str">
        <f t="shared" si="45"/>
        <v>2019</v>
      </c>
      <c r="C723" s="18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8" t="s">
        <v>1371</v>
      </c>
      <c r="L723" s="21">
        <v>6.7</v>
      </c>
    </row>
    <row r="724" spans="1:12" x14ac:dyDescent="0.25">
      <c r="A724" t="str">
        <f t="shared" si="44"/>
        <v>2019-JP-Hyd-123-778-2088</v>
      </c>
      <c r="B724" t="str">
        <f t="shared" si="45"/>
        <v>2019</v>
      </c>
      <c r="C724" s="18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8" t="s">
        <v>1371</v>
      </c>
      <c r="L724" s="21">
        <v>7.3</v>
      </c>
    </row>
    <row r="725" spans="1:12" x14ac:dyDescent="0.25">
      <c r="A725" t="str">
        <f t="shared" si="44"/>
        <v>2019-JP-Hyd-137-856-2149</v>
      </c>
      <c r="B725" t="str">
        <f t="shared" si="45"/>
        <v>2019</v>
      </c>
      <c r="C725" s="18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8" t="s">
        <v>1371</v>
      </c>
      <c r="L725" s="21">
        <v>7.9</v>
      </c>
    </row>
    <row r="726" spans="1:12" x14ac:dyDescent="0.25">
      <c r="A726" t="str">
        <f t="shared" si="44"/>
        <v>2019-JP-Hyd-154-910-2137</v>
      </c>
      <c r="B726" t="str">
        <f t="shared" si="45"/>
        <v>2019</v>
      </c>
      <c r="C726" s="18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8" t="s">
        <v>1371</v>
      </c>
      <c r="L726" s="21">
        <v>8.5</v>
      </c>
    </row>
    <row r="727" spans="1:12" x14ac:dyDescent="0.25">
      <c r="A727" t="str">
        <f t="shared" si="44"/>
        <v>2019-JP-Hyd-185-910-2144</v>
      </c>
      <c r="B727" t="str">
        <f t="shared" si="45"/>
        <v>2019</v>
      </c>
      <c r="C727" s="18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8" t="s">
        <v>1371</v>
      </c>
      <c r="L727" s="21">
        <v>9.6999999999999993</v>
      </c>
    </row>
    <row r="728" spans="1:12" x14ac:dyDescent="0.25">
      <c r="A728" t="str">
        <f t="shared" si="44"/>
        <v>2020-JP-Sla-78-551-2332</v>
      </c>
      <c r="B728" t="str">
        <f t="shared" si="45"/>
        <v>2020</v>
      </c>
      <c r="C728" s="18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8" t="s">
        <v>986</v>
      </c>
      <c r="L728" s="21">
        <v>5.3</v>
      </c>
    </row>
    <row r="729" spans="1:12" x14ac:dyDescent="0.25">
      <c r="A729" t="str">
        <f t="shared" si="44"/>
        <v>2020-JP-Sla-95-620-2325</v>
      </c>
      <c r="B729" t="str">
        <f t="shared" si="45"/>
        <v>2020</v>
      </c>
      <c r="C729" s="18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8" t="s">
        <v>986</v>
      </c>
      <c r="L729" s="21">
        <v>6</v>
      </c>
    </row>
    <row r="730" spans="1:12" x14ac:dyDescent="0.25">
      <c r="A730" t="str">
        <f t="shared" si="44"/>
        <v>2020-JP-Sla-111-709-2280</v>
      </c>
      <c r="B730" t="str">
        <f t="shared" si="45"/>
        <v>2020</v>
      </c>
      <c r="C730" s="18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8" t="s">
        <v>986</v>
      </c>
      <c r="L730" s="21">
        <v>6.6</v>
      </c>
    </row>
    <row r="731" spans="1:12" x14ac:dyDescent="0.25">
      <c r="A731" t="str">
        <f t="shared" si="44"/>
        <v>2020-JP-Sla-137-847-2277</v>
      </c>
      <c r="B731" t="str">
        <f t="shared" si="45"/>
        <v>2020</v>
      </c>
      <c r="C731" s="18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8" t="s">
        <v>986</v>
      </c>
      <c r="L731" s="21">
        <v>7.6</v>
      </c>
    </row>
    <row r="732" spans="1:12" x14ac:dyDescent="0.25">
      <c r="A732" t="str">
        <f t="shared" si="44"/>
        <v>2020-JP-Hyd-179-910-2152</v>
      </c>
      <c r="B732" t="str">
        <f t="shared" si="45"/>
        <v>2020</v>
      </c>
      <c r="C732" s="18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8" t="s">
        <v>986</v>
      </c>
      <c r="L732" s="21">
        <v>8.6</v>
      </c>
    </row>
    <row r="733" spans="1:12" x14ac:dyDescent="0.25">
      <c r="A733" t="str">
        <f t="shared" si="44"/>
        <v>2021-JP-Sla-78-551-2332</v>
      </c>
      <c r="B733" t="str">
        <f t="shared" si="45"/>
        <v>2021</v>
      </c>
      <c r="C733" s="18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8" t="s">
        <v>1378</v>
      </c>
      <c r="L733" s="21">
        <v>5.3</v>
      </c>
    </row>
    <row r="734" spans="1:12" x14ac:dyDescent="0.25">
      <c r="A734" t="str">
        <f t="shared" si="44"/>
        <v>2021-JP-Sla-95-620-2325</v>
      </c>
      <c r="B734" t="str">
        <f t="shared" si="45"/>
        <v>2021</v>
      </c>
      <c r="C734" s="18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8" t="s">
        <v>1378</v>
      </c>
      <c r="L734" s="21">
        <v>6</v>
      </c>
    </row>
    <row r="735" spans="1:12" x14ac:dyDescent="0.25">
      <c r="A735" t="str">
        <f t="shared" si="44"/>
        <v>2021-JP-Sla-111-709-2280</v>
      </c>
      <c r="B735" t="str">
        <f t="shared" si="45"/>
        <v>2021</v>
      </c>
      <c r="C735" s="18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8" t="s">
        <v>1378</v>
      </c>
      <c r="L735" s="21">
        <v>6.6</v>
      </c>
    </row>
    <row r="736" spans="1:12" x14ac:dyDescent="0.25">
      <c r="A736" t="str">
        <f t="shared" si="44"/>
        <v>2021-JP-Sla-137-847-2277</v>
      </c>
      <c r="B736" t="str">
        <f t="shared" si="45"/>
        <v>2021</v>
      </c>
      <c r="C736" s="18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8" t="s">
        <v>1378</v>
      </c>
      <c r="L736" s="21">
        <v>7.6</v>
      </c>
    </row>
    <row r="737" spans="1:12" x14ac:dyDescent="0.25">
      <c r="A737" t="str">
        <f t="shared" si="44"/>
        <v>2021-JP-Hyd-179-910-2152</v>
      </c>
      <c r="B737" t="str">
        <f t="shared" si="45"/>
        <v>2021</v>
      </c>
      <c r="C737" s="18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8" t="s">
        <v>1378</v>
      </c>
      <c r="L737" s="21">
        <v>8.6</v>
      </c>
    </row>
    <row r="738" spans="1:12" x14ac:dyDescent="0.25">
      <c r="A738" t="str">
        <f t="shared" si="44"/>
        <v>2022-JP-Sla-78-551-2332</v>
      </c>
      <c r="B738" t="str">
        <f t="shared" si="45"/>
        <v>2022</v>
      </c>
      <c r="C738" s="18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8" t="s">
        <v>1379</v>
      </c>
      <c r="L738" s="21">
        <v>5.3</v>
      </c>
    </row>
    <row r="739" spans="1:12" x14ac:dyDescent="0.25">
      <c r="A739" t="str">
        <f t="shared" si="44"/>
        <v>2022-JP-Sla-95-624-2327</v>
      </c>
      <c r="B739" t="str">
        <f t="shared" si="45"/>
        <v>2022</v>
      </c>
      <c r="C739" s="18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8" t="s">
        <v>1379</v>
      </c>
      <c r="L739" s="21">
        <v>5.9</v>
      </c>
    </row>
    <row r="740" spans="1:12" x14ac:dyDescent="0.25">
      <c r="A740" t="str">
        <f t="shared" si="44"/>
        <v>2022-JP-Sla-117-720-2273</v>
      </c>
      <c r="B740" t="str">
        <f t="shared" si="45"/>
        <v>2022</v>
      </c>
      <c r="C740" s="18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8" t="s">
        <v>1379</v>
      </c>
      <c r="L740" s="21">
        <v>6.9</v>
      </c>
    </row>
    <row r="741" spans="1:12" x14ac:dyDescent="0.25">
      <c r="A741" t="str">
        <f t="shared" si="44"/>
        <v>2022-JP-Sla-139-847-2277</v>
      </c>
      <c r="B741" t="str">
        <f t="shared" si="45"/>
        <v>2022</v>
      </c>
      <c r="C741" s="18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8" t="s">
        <v>1379</v>
      </c>
      <c r="L741" s="21">
        <v>7.7</v>
      </c>
    </row>
    <row r="742" spans="1:12" x14ac:dyDescent="0.25">
      <c r="A742" t="str">
        <f t="shared" si="44"/>
        <v>2022-JP-Spe-53-447-2276</v>
      </c>
      <c r="B742" t="str">
        <f t="shared" si="45"/>
        <v>2022</v>
      </c>
      <c r="C742" s="18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8" t="s">
        <v>1379</v>
      </c>
      <c r="L742" s="21">
        <v>4.5999999999999996</v>
      </c>
    </row>
    <row r="743" spans="1:12" x14ac:dyDescent="0.25">
      <c r="A743" t="str">
        <f t="shared" si="44"/>
        <v>2022-JP-Spe-63-500-2283</v>
      </c>
      <c r="B743" t="str">
        <f t="shared" si="45"/>
        <v>2022</v>
      </c>
      <c r="C743" s="18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8" t="s">
        <v>1379</v>
      </c>
      <c r="L743" s="21">
        <v>4.9000000000000004</v>
      </c>
    </row>
    <row r="744" spans="1:12" x14ac:dyDescent="0.25">
      <c r="A744" t="str">
        <f t="shared" si="44"/>
        <v>2022-JP-Spe-73-538-2311</v>
      </c>
      <c r="B744" t="str">
        <f t="shared" si="45"/>
        <v>2022</v>
      </c>
      <c r="C744" s="18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8" t="s">
        <v>1379</v>
      </c>
      <c r="L744" s="21">
        <v>5.2</v>
      </c>
    </row>
    <row r="745" spans="1:12" x14ac:dyDescent="0.25">
      <c r="A745" t="str">
        <f t="shared" si="44"/>
        <v>2022-JP-Hyd-133-840-2147</v>
      </c>
      <c r="B745" t="str">
        <f t="shared" si="45"/>
        <v>2022</v>
      </c>
      <c r="C745" s="18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8" t="s">
        <v>1379</v>
      </c>
      <c r="L745" s="21">
        <v>8.5</v>
      </c>
    </row>
    <row r="746" spans="1:12" x14ac:dyDescent="0.25">
      <c r="A746" t="str">
        <f t="shared" si="44"/>
        <v>2022-JP-Hyd-155-890-2147</v>
      </c>
      <c r="B746" t="str">
        <f t="shared" si="45"/>
        <v>2022</v>
      </c>
      <c r="C746" s="18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8" t="s">
        <v>1379</v>
      </c>
      <c r="L746" s="21">
        <v>9</v>
      </c>
    </row>
    <row r="747" spans="1:12" x14ac:dyDescent="0.25">
      <c r="A747" t="str">
        <f t="shared" si="44"/>
        <v>2022-JP-Hyd-180-908-2094</v>
      </c>
      <c r="B747" t="str">
        <f t="shared" si="45"/>
        <v>2022</v>
      </c>
      <c r="C747" s="18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8" t="s">
        <v>1379</v>
      </c>
      <c r="L747" s="21">
        <v>8.6999999999999993</v>
      </c>
    </row>
    <row r="748" spans="1:12" x14ac:dyDescent="0.25">
      <c r="A748" t="str">
        <f t="shared" si="44"/>
        <v>2002-KI-ULT-106-580-2760</v>
      </c>
      <c r="B748" t="str">
        <f t="shared" si="45"/>
        <v>2002</v>
      </c>
      <c r="C748" s="18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8" t="s">
        <v>806</v>
      </c>
      <c r="L748" s="21">
        <v>5.8</v>
      </c>
    </row>
    <row r="749" spans="1:12" x14ac:dyDescent="0.25">
      <c r="A749" t="str">
        <f t="shared" si="44"/>
        <v>02/0-KI-CEN-90-550-2680</v>
      </c>
      <c r="B749" t="str">
        <f t="shared" si="45"/>
        <v>02/0</v>
      </c>
      <c r="C749" s="18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8" t="s">
        <v>806</v>
      </c>
      <c r="L749" s="21">
        <v>5.2</v>
      </c>
    </row>
    <row r="750" spans="1:12" x14ac:dyDescent="0.25">
      <c r="A750" t="str">
        <f t="shared" si="44"/>
        <v>2006-LO-THU-130-765-2330</v>
      </c>
      <c r="B750" t="str">
        <f t="shared" si="45"/>
        <v>2006</v>
      </c>
      <c r="C750" s="18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8" t="s">
        <v>812</v>
      </c>
      <c r="L750" s="21">
        <v>7.5</v>
      </c>
    </row>
    <row r="751" spans="1:12" x14ac:dyDescent="0.25">
      <c r="A751" t="str">
        <f t="shared" si="44"/>
        <v>2007-LO-TUN-96-580-2475</v>
      </c>
      <c r="B751" t="str">
        <f t="shared" si="45"/>
        <v>2007</v>
      </c>
      <c r="C751" s="18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8" t="s">
        <v>812</v>
      </c>
      <c r="L751" s="21">
        <v>6.4</v>
      </c>
    </row>
    <row r="752" spans="1:12" x14ac:dyDescent="0.25">
      <c r="A752" t="str">
        <f t="shared" si="44"/>
        <v>2007-LO-THU-110-640-2300</v>
      </c>
      <c r="B752" t="str">
        <f t="shared" si="45"/>
        <v>2007</v>
      </c>
      <c r="C752" s="18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8" t="s">
        <v>812</v>
      </c>
      <c r="L752" s="21">
        <v>6.6</v>
      </c>
    </row>
    <row r="753" spans="1:12" x14ac:dyDescent="0.25">
      <c r="A753" t="str">
        <f t="shared" si="44"/>
        <v>2006-LO-BRE-132-670-2630</v>
      </c>
      <c r="B753" t="str">
        <f t="shared" si="45"/>
        <v>2006</v>
      </c>
      <c r="C753" s="18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8" t="s">
        <v>812</v>
      </c>
      <c r="L753" s="21">
        <v>7.2</v>
      </c>
    </row>
    <row r="754" spans="1:12" x14ac:dyDescent="0.25">
      <c r="A754" t="str">
        <f t="shared" si="44"/>
        <v>2006-LO-BRE-142-710-2650</v>
      </c>
      <c r="B754" t="str">
        <f t="shared" si="45"/>
        <v>2006</v>
      </c>
      <c r="C754" s="18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8" t="s">
        <v>812</v>
      </c>
      <c r="L754" s="21">
        <v>7.7</v>
      </c>
    </row>
    <row r="755" spans="1:12" x14ac:dyDescent="0.25">
      <c r="A755" t="str">
        <f t="shared" si="44"/>
        <v>2008-LO-THU-120-750-2300</v>
      </c>
      <c r="B755" t="str">
        <f t="shared" si="45"/>
        <v>2008</v>
      </c>
      <c r="C755" s="18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8" t="s">
        <v>819</v>
      </c>
      <c r="L755" s="21">
        <v>7.4</v>
      </c>
    </row>
    <row r="756" spans="1:12" x14ac:dyDescent="0.25">
      <c r="A756" t="str">
        <f t="shared" si="44"/>
        <v>2008-LO-THU-145-850-2300</v>
      </c>
      <c r="B756" t="str">
        <f t="shared" si="45"/>
        <v>2008</v>
      </c>
      <c r="C756" s="18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8" t="s">
        <v>819</v>
      </c>
      <c r="L756" s="21">
        <v>8</v>
      </c>
    </row>
    <row r="757" spans="1:12" x14ac:dyDescent="0.25">
      <c r="A757" t="str">
        <f t="shared" si="44"/>
        <v>2011-LO-Hun-105-643-2309</v>
      </c>
      <c r="B757" t="str">
        <f t="shared" si="45"/>
        <v>2011</v>
      </c>
      <c r="C757" s="18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8" t="s">
        <v>845</v>
      </c>
      <c r="L757" s="21">
        <v>6.4</v>
      </c>
    </row>
    <row r="758" spans="1:12" x14ac:dyDescent="0.25">
      <c r="A758" t="str">
        <f t="shared" si="44"/>
        <v>2011-LO-Hun-125-765-2337</v>
      </c>
      <c r="B758" t="str">
        <f t="shared" si="45"/>
        <v>2011</v>
      </c>
      <c r="C758" s="18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8" t="s">
        <v>845</v>
      </c>
      <c r="L758" s="21">
        <v>7.5</v>
      </c>
    </row>
    <row r="759" spans="1:12" x14ac:dyDescent="0.25">
      <c r="A759" t="str">
        <f t="shared" si="44"/>
        <v>2011-LO-Hun-140-821-2308</v>
      </c>
      <c r="B759" t="str">
        <f t="shared" si="45"/>
        <v>2011</v>
      </c>
      <c r="C759" s="18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8" t="s">
        <v>845</v>
      </c>
      <c r="L759" s="21">
        <v>8.5</v>
      </c>
    </row>
    <row r="760" spans="1:12" x14ac:dyDescent="0.25">
      <c r="A760" t="str">
        <f t="shared" si="44"/>
        <v>2000-MI-RTX-165-780-2820</v>
      </c>
      <c r="B760" t="str">
        <f t="shared" si="45"/>
        <v>2000</v>
      </c>
      <c r="C760" s="18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8" t="s">
        <v>796</v>
      </c>
      <c r="L760" s="21">
        <v>7</v>
      </c>
    </row>
    <row r="761" spans="1:12" x14ac:dyDescent="0.25">
      <c r="A761" t="str">
        <f t="shared" si="44"/>
        <v>2001-MI-RTX-162-830-2744</v>
      </c>
      <c r="B761" t="str">
        <f t="shared" si="45"/>
        <v>2001</v>
      </c>
      <c r="C761" s="18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8" t="s">
        <v>1010</v>
      </c>
      <c r="L761" s="21">
        <v>7.4</v>
      </c>
    </row>
    <row r="762" spans="1:12" x14ac:dyDescent="0.25">
      <c r="A762" t="str">
        <f t="shared" si="44"/>
        <v>99/0-MI-SLE-150-710-2720</v>
      </c>
      <c r="B762" t="str">
        <f t="shared" si="45"/>
        <v>99/0</v>
      </c>
      <c r="C762" s="18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8" t="s">
        <v>793</v>
      </c>
      <c r="L762" s="21">
        <v>7.3</v>
      </c>
    </row>
    <row r="763" spans="1:12" x14ac:dyDescent="0.25">
      <c r="A763" t="str">
        <f t="shared" si="44"/>
        <v>2000-MI-MTX-105-584-2711</v>
      </c>
      <c r="B763" t="str">
        <f t="shared" si="45"/>
        <v>2000</v>
      </c>
      <c r="C763" s="18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8" t="s">
        <v>796</v>
      </c>
      <c r="L763" s="21">
        <v>6.3</v>
      </c>
    </row>
    <row r="764" spans="1:12" x14ac:dyDescent="0.25">
      <c r="A764" t="str">
        <f t="shared" si="44"/>
        <v>2000-MI-MTX-125-633-2816</v>
      </c>
      <c r="B764" t="str">
        <f t="shared" si="45"/>
        <v>2000</v>
      </c>
      <c r="C764" s="18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8" t="s">
        <v>796</v>
      </c>
      <c r="L764" s="21">
        <v>6.9</v>
      </c>
    </row>
    <row r="765" spans="1:12" x14ac:dyDescent="0.25">
      <c r="A765" t="str">
        <f t="shared" si="44"/>
        <v>2000-MI-RTX-98-560-2710</v>
      </c>
      <c r="B765" t="str">
        <f t="shared" si="45"/>
        <v>2000</v>
      </c>
      <c r="C765" s="18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8" t="s">
        <v>796</v>
      </c>
      <c r="L765" s="21">
        <v>4.8</v>
      </c>
    </row>
    <row r="766" spans="1:12" x14ac:dyDescent="0.25">
      <c r="A766" t="str">
        <f t="shared" si="44"/>
        <v>2007-MI-SL--96-592-2438</v>
      </c>
      <c r="B766" t="str">
        <f t="shared" si="45"/>
        <v>2007</v>
      </c>
      <c r="C766" s="18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8" t="s">
        <v>819</v>
      </c>
      <c r="L766" s="21">
        <v>5.5</v>
      </c>
    </row>
    <row r="767" spans="1:12" x14ac:dyDescent="0.25">
      <c r="A767" t="str">
        <f t="shared" si="44"/>
        <v>2007-MI-SL--111-664-2436</v>
      </c>
      <c r="B767" t="str">
        <f t="shared" si="45"/>
        <v>2007</v>
      </c>
      <c r="C767" s="18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8" t="s">
        <v>819</v>
      </c>
      <c r="L767" s="21">
        <v>6</v>
      </c>
    </row>
    <row r="768" spans="1:12" x14ac:dyDescent="0.25">
      <c r="A768" t="str">
        <f t="shared" si="44"/>
        <v>2007-MI-SL--123-732-2435</v>
      </c>
      <c r="B768" t="str">
        <f t="shared" si="45"/>
        <v>2007</v>
      </c>
      <c r="C768" s="18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8" t="s">
        <v>819</v>
      </c>
      <c r="L768" s="21">
        <v>6.4</v>
      </c>
    </row>
    <row r="769" spans="1:12" x14ac:dyDescent="0.25">
      <c r="A769" t="str">
        <f t="shared" si="44"/>
        <v>2007-MI-SL--137-795-2433</v>
      </c>
      <c r="B769" t="str">
        <f t="shared" si="45"/>
        <v>2007</v>
      </c>
      <c r="C769" s="18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8" t="s">
        <v>819</v>
      </c>
      <c r="L769" s="21">
        <v>6.9</v>
      </c>
    </row>
    <row r="770" spans="1:12" x14ac:dyDescent="0.25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8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8" t="s">
        <v>839</v>
      </c>
      <c r="L770" s="21">
        <v>5</v>
      </c>
    </row>
    <row r="771" spans="1:12" x14ac:dyDescent="0.25">
      <c r="A771" t="str">
        <f t="shared" si="48"/>
        <v>2008-MI-SL--96-592-2438</v>
      </c>
      <c r="B771" t="str">
        <f t="shared" si="49"/>
        <v>2008</v>
      </c>
      <c r="C771" s="18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8" t="s">
        <v>839</v>
      </c>
      <c r="L771" s="21">
        <v>5.5</v>
      </c>
    </row>
    <row r="772" spans="1:12" x14ac:dyDescent="0.25">
      <c r="A772" t="str">
        <f t="shared" si="48"/>
        <v>2008-MI-SL--111-664-2436</v>
      </c>
      <c r="B772" t="str">
        <f t="shared" si="49"/>
        <v>2008</v>
      </c>
      <c r="C772" s="18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8" t="s">
        <v>839</v>
      </c>
      <c r="L772" s="21">
        <v>6</v>
      </c>
    </row>
    <row r="773" spans="1:12" x14ac:dyDescent="0.25">
      <c r="A773" t="str">
        <f t="shared" si="48"/>
        <v>2008-MI-SL--123-732-2435</v>
      </c>
      <c r="B773" t="str">
        <f t="shared" si="49"/>
        <v>2008</v>
      </c>
      <c r="C773" s="18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8" t="s">
        <v>839</v>
      </c>
      <c r="L773" s="21">
        <v>6.4</v>
      </c>
    </row>
    <row r="774" spans="1:12" x14ac:dyDescent="0.25">
      <c r="A774" t="str">
        <f t="shared" si="48"/>
        <v>2008-MI-SL--137-795-2433</v>
      </c>
      <c r="B774" t="str">
        <f t="shared" si="49"/>
        <v>2008</v>
      </c>
      <c r="C774" s="18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8" t="s">
        <v>839</v>
      </c>
      <c r="L774" s="21">
        <v>6.9</v>
      </c>
    </row>
    <row r="775" spans="1:12" x14ac:dyDescent="0.25">
      <c r="A775" t="str">
        <f t="shared" si="48"/>
        <v>2010-MI-Mis-63-470-2240</v>
      </c>
      <c r="B775" t="str">
        <f t="shared" si="49"/>
        <v>2010</v>
      </c>
      <c r="C775" s="18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8" t="s">
        <v>842</v>
      </c>
      <c r="L775" s="21">
        <v>4.7</v>
      </c>
    </row>
    <row r="776" spans="1:12" x14ac:dyDescent="0.25">
      <c r="A776" t="str">
        <f t="shared" si="48"/>
        <v>2010-MI-Mis-78-540-2360</v>
      </c>
      <c r="B776" t="str">
        <f t="shared" si="49"/>
        <v>2010</v>
      </c>
      <c r="C776" s="18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8" t="s">
        <v>842</v>
      </c>
      <c r="L776" s="21">
        <v>5.4</v>
      </c>
    </row>
    <row r="777" spans="1:12" x14ac:dyDescent="0.25">
      <c r="A777" t="str">
        <f t="shared" si="48"/>
        <v>2010-MI-Mis-95-592-2370</v>
      </c>
      <c r="B777" t="str">
        <f t="shared" si="49"/>
        <v>2010</v>
      </c>
      <c r="C777" s="18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8" t="s">
        <v>842</v>
      </c>
      <c r="L777" s="21">
        <v>5.8</v>
      </c>
    </row>
    <row r="778" spans="1:12" x14ac:dyDescent="0.25">
      <c r="A778" t="str">
        <f t="shared" si="48"/>
        <v>2010-MI-Mis-110-666-2350</v>
      </c>
      <c r="B778" t="str">
        <f t="shared" si="49"/>
        <v>2010</v>
      </c>
      <c r="C778" s="18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8" t="s">
        <v>842</v>
      </c>
      <c r="L778" s="21">
        <v>6.6</v>
      </c>
    </row>
    <row r="779" spans="1:12" x14ac:dyDescent="0.25">
      <c r="A779" t="str">
        <f t="shared" si="48"/>
        <v>2010-MI-Mis-123-746-2350</v>
      </c>
      <c r="B779" t="str">
        <f t="shared" si="49"/>
        <v>2010</v>
      </c>
      <c r="C779" s="18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8" t="s">
        <v>842</v>
      </c>
      <c r="L779" s="21">
        <v>7</v>
      </c>
    </row>
    <row r="780" spans="1:12" x14ac:dyDescent="0.25">
      <c r="A780" t="str">
        <f t="shared" si="48"/>
        <v>2010-MI-Mis-140-850-2400</v>
      </c>
      <c r="B780" t="str">
        <f t="shared" si="49"/>
        <v>2010</v>
      </c>
      <c r="C780" s="18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8" t="s">
        <v>842</v>
      </c>
      <c r="L780" s="21">
        <v>7.9</v>
      </c>
    </row>
    <row r="781" spans="1:12" x14ac:dyDescent="0.25">
      <c r="A781" t="str">
        <f t="shared" si="48"/>
        <v>2014-MI-Mis-73-470-2440</v>
      </c>
      <c r="B781" t="str">
        <f t="shared" si="49"/>
        <v>2014</v>
      </c>
      <c r="C781" s="18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8" t="s">
        <v>731</v>
      </c>
      <c r="L781" s="21">
        <v>5.4</v>
      </c>
    </row>
    <row r="782" spans="1:12" x14ac:dyDescent="0.25">
      <c r="A782" t="str">
        <f t="shared" si="48"/>
        <v>2014-MI-Mis-95-546-2553</v>
      </c>
      <c r="B782" t="str">
        <f t="shared" si="49"/>
        <v>2014</v>
      </c>
      <c r="C782" s="18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8" t="s">
        <v>731</v>
      </c>
      <c r="L782" s="21">
        <v>6.3</v>
      </c>
    </row>
    <row r="783" spans="1:12" x14ac:dyDescent="0.25">
      <c r="A783" t="str">
        <f t="shared" si="48"/>
        <v>2014-MI-Mis-91-570-2495</v>
      </c>
      <c r="B783" t="str">
        <f t="shared" si="49"/>
        <v>2014</v>
      </c>
      <c r="C783" s="18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8" t="s">
        <v>731</v>
      </c>
      <c r="L783" s="21">
        <v>6</v>
      </c>
    </row>
    <row r="784" spans="1:12" x14ac:dyDescent="0.25">
      <c r="A784" t="str">
        <f t="shared" si="48"/>
        <v>2014-MI-Mis-112-675-2490</v>
      </c>
      <c r="B784" t="str">
        <f t="shared" si="49"/>
        <v>2014</v>
      </c>
      <c r="C784" s="18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8" t="s">
        <v>731</v>
      </c>
      <c r="L784" s="21">
        <v>7</v>
      </c>
    </row>
    <row r="785" spans="1:12" x14ac:dyDescent="0.25">
      <c r="A785" t="str">
        <f t="shared" si="48"/>
        <v>2014-MI-Mis-137-820-2490</v>
      </c>
      <c r="B785" t="str">
        <f t="shared" si="49"/>
        <v>2014</v>
      </c>
      <c r="C785" s="18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8" t="s">
        <v>731</v>
      </c>
      <c r="L785" s="21">
        <v>8.1999999999999993</v>
      </c>
    </row>
    <row r="786" spans="1:12" x14ac:dyDescent="0.25">
      <c r="A786" t="str">
        <f t="shared" si="48"/>
        <v>2008-NA-SP -57-479-2216</v>
      </c>
      <c r="B786" t="str">
        <f t="shared" si="49"/>
        <v>2008</v>
      </c>
      <c r="C786" s="18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8" t="s">
        <v>819</v>
      </c>
      <c r="L786" s="21">
        <v>4.9000000000000004</v>
      </c>
    </row>
    <row r="787" spans="1:12" x14ac:dyDescent="0.25">
      <c r="A787" t="str">
        <f t="shared" si="48"/>
        <v>2008-NA-SP -80-557-2383</v>
      </c>
      <c r="B787" t="str">
        <f t="shared" si="49"/>
        <v>2008</v>
      </c>
      <c r="C787" s="18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8" t="s">
        <v>819</v>
      </c>
      <c r="L787" s="21">
        <v>5.6</v>
      </c>
    </row>
    <row r="788" spans="1:12" x14ac:dyDescent="0.25">
      <c r="A788" t="str">
        <f t="shared" si="48"/>
        <v>2008-NA-SP -89-592-2409</v>
      </c>
      <c r="B788" t="str">
        <f t="shared" si="49"/>
        <v>2008</v>
      </c>
      <c r="C788" s="18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8" t="s">
        <v>819</v>
      </c>
      <c r="L788" s="21">
        <v>6</v>
      </c>
    </row>
    <row r="789" spans="1:12" x14ac:dyDescent="0.25">
      <c r="A789" t="str">
        <f t="shared" si="48"/>
        <v>2008-NA-SP -104-649-2411</v>
      </c>
      <c r="B789" t="str">
        <f t="shared" si="49"/>
        <v>2008</v>
      </c>
      <c r="C789" s="18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8" t="s">
        <v>819</v>
      </c>
      <c r="L789" s="21">
        <v>6.6</v>
      </c>
    </row>
    <row r="790" spans="1:12" x14ac:dyDescent="0.25">
      <c r="A790" t="str">
        <f t="shared" si="48"/>
        <v>2008-NA-SP -128-763-2445</v>
      </c>
      <c r="B790" t="str">
        <f t="shared" si="49"/>
        <v>2008</v>
      </c>
      <c r="C790" s="18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8" t="s">
        <v>819</v>
      </c>
      <c r="L790" s="21">
        <v>7.1</v>
      </c>
    </row>
    <row r="791" spans="1:12" x14ac:dyDescent="0.25">
      <c r="A791" t="str">
        <f t="shared" si="48"/>
        <v>2010-NA-SP -57-479-2216</v>
      </c>
      <c r="B791" t="str">
        <f t="shared" si="49"/>
        <v>2010</v>
      </c>
      <c r="C791" s="18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8" t="s">
        <v>842</v>
      </c>
      <c r="L791" s="21">
        <v>4.9000000000000004</v>
      </c>
    </row>
    <row r="792" spans="1:12" x14ac:dyDescent="0.25">
      <c r="A792" t="str">
        <f t="shared" si="48"/>
        <v>2010-NA-SP -80-557-2383</v>
      </c>
      <c r="B792" t="str">
        <f t="shared" si="49"/>
        <v>2010</v>
      </c>
      <c r="C792" s="18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8" t="s">
        <v>842</v>
      </c>
      <c r="L792" s="21">
        <v>5.6</v>
      </c>
    </row>
    <row r="793" spans="1:12" x14ac:dyDescent="0.25">
      <c r="A793" t="str">
        <f t="shared" si="48"/>
        <v>2010-NA-SP -89-592-2409</v>
      </c>
      <c r="B793" t="str">
        <f t="shared" si="49"/>
        <v>2010</v>
      </c>
      <c r="C793" s="18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8" t="s">
        <v>842</v>
      </c>
      <c r="L793" s="21">
        <v>6</v>
      </c>
    </row>
    <row r="794" spans="1:12" x14ac:dyDescent="0.25">
      <c r="A794" t="str">
        <f t="shared" si="48"/>
        <v>2010-NA-SP -104-649-2411</v>
      </c>
      <c r="B794" t="str">
        <f t="shared" si="49"/>
        <v>2010</v>
      </c>
      <c r="C794" s="18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8" t="s">
        <v>842</v>
      </c>
      <c r="L794" s="21">
        <v>6.6</v>
      </c>
    </row>
    <row r="795" spans="1:12" x14ac:dyDescent="0.25">
      <c r="A795" t="str">
        <f t="shared" si="48"/>
        <v>2010-NA-SP -128-763-2445</v>
      </c>
      <c r="B795" t="str">
        <f t="shared" si="49"/>
        <v>2010</v>
      </c>
      <c r="C795" s="18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8" t="s">
        <v>842</v>
      </c>
      <c r="L795" s="21">
        <v>7.1</v>
      </c>
    </row>
    <row r="796" spans="1:12" x14ac:dyDescent="0.25">
      <c r="A796" t="str">
        <f t="shared" si="48"/>
        <v>2017-NE-RS:-135-803-2303</v>
      </c>
      <c r="B796" t="str">
        <f t="shared" si="49"/>
        <v>2017</v>
      </c>
      <c r="C796" s="18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8" t="s">
        <v>1361</v>
      </c>
      <c r="L796" s="21">
        <v>6.7</v>
      </c>
    </row>
    <row r="797" spans="1:12" x14ac:dyDescent="0.25">
      <c r="A797" t="str">
        <f t="shared" si="48"/>
        <v>2017-NE-RS:-135-803-2303</v>
      </c>
      <c r="B797" t="str">
        <f t="shared" si="49"/>
        <v>2017</v>
      </c>
      <c r="C797" s="18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8" t="s">
        <v>1361</v>
      </c>
      <c r="L797" s="21">
        <v>7.7</v>
      </c>
    </row>
    <row r="798" spans="1:12" x14ac:dyDescent="0.25">
      <c r="A798" t="str">
        <f t="shared" si="48"/>
        <v>2022-No-Cor-90-630-2289</v>
      </c>
      <c r="B798" t="str">
        <f t="shared" si="49"/>
        <v>2022</v>
      </c>
      <c r="C798" s="18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8" t="s">
        <v>1468</v>
      </c>
      <c r="L798" s="21">
        <v>5.8</v>
      </c>
    </row>
    <row r="799" spans="1:12" x14ac:dyDescent="0.25">
      <c r="A799" t="str">
        <f t="shared" si="48"/>
        <v>2022-No-Cor-106-680-2310</v>
      </c>
      <c r="B799" t="str">
        <f t="shared" si="49"/>
        <v>2022</v>
      </c>
      <c r="C799" s="18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8" t="s">
        <v>1468</v>
      </c>
      <c r="L799" s="21">
        <v>6.2</v>
      </c>
    </row>
    <row r="800" spans="1:12" x14ac:dyDescent="0.25">
      <c r="A800" t="str">
        <f t="shared" si="48"/>
        <v>2022-No-Cor-112-710-2310</v>
      </c>
      <c r="B800" t="str">
        <f t="shared" si="49"/>
        <v>2022</v>
      </c>
      <c r="C800" s="18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8" t="s">
        <v>1468</v>
      </c>
      <c r="L800" s="21">
        <v>6.5</v>
      </c>
    </row>
    <row r="801" spans="1:12" x14ac:dyDescent="0.25">
      <c r="A801" t="str">
        <f t="shared" si="48"/>
        <v>2022-No-Cor-127-800-2280</v>
      </c>
      <c r="B801" t="str">
        <f t="shared" si="49"/>
        <v>2022</v>
      </c>
      <c r="C801" s="18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8" t="s">
        <v>1468</v>
      </c>
      <c r="L801" s="21">
        <v>7</v>
      </c>
    </row>
    <row r="802" spans="1:12" x14ac:dyDescent="0.25">
      <c r="A802" t="str">
        <f t="shared" si="48"/>
        <v>2022-No-Cor-130-850-2280</v>
      </c>
      <c r="B802" t="str">
        <f t="shared" si="49"/>
        <v>2022</v>
      </c>
      <c r="C802" s="18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8" t="s">
        <v>1468</v>
      </c>
      <c r="L802" s="21">
        <v>7.5</v>
      </c>
    </row>
    <row r="803" spans="1:12" x14ac:dyDescent="0.25">
      <c r="A803" t="str">
        <f t="shared" si="48"/>
        <v>2010-PA-Sla-86-567-2368</v>
      </c>
      <c r="B803" t="str">
        <f t="shared" si="49"/>
        <v>2010</v>
      </c>
      <c r="C803" s="18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8" t="s">
        <v>842</v>
      </c>
      <c r="L803" s="21">
        <v>5.3</v>
      </c>
    </row>
    <row r="804" spans="1:12" x14ac:dyDescent="0.25">
      <c r="A804" t="str">
        <f t="shared" si="48"/>
        <v>2010-PA-Sla-113-681-2329</v>
      </c>
      <c r="B804" t="str">
        <f t="shared" si="49"/>
        <v>2010</v>
      </c>
      <c r="C804" s="18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8" t="s">
        <v>842</v>
      </c>
      <c r="L804" s="21">
        <v>6.2</v>
      </c>
    </row>
    <row r="805" spans="1:12" x14ac:dyDescent="0.25">
      <c r="A805" t="str">
        <f t="shared" si="48"/>
        <v>2010-PA-Sla-135-824-2280</v>
      </c>
      <c r="B805" t="str">
        <f t="shared" si="49"/>
        <v>2010</v>
      </c>
      <c r="C805" s="18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8" t="s">
        <v>842</v>
      </c>
      <c r="L805" s="21">
        <v>7.2</v>
      </c>
    </row>
    <row r="806" spans="1:12" x14ac:dyDescent="0.25">
      <c r="A806" t="str">
        <f t="shared" si="48"/>
        <v>2011-PA-Sla-103-645-2326</v>
      </c>
      <c r="B806" t="str">
        <f t="shared" si="49"/>
        <v>2011</v>
      </c>
      <c r="C806" s="18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8" t="s">
        <v>845</v>
      </c>
      <c r="L806" s="21">
        <v>5.9</v>
      </c>
    </row>
    <row r="807" spans="1:12" x14ac:dyDescent="0.25">
      <c r="A807" t="str">
        <f t="shared" si="48"/>
        <v>2011-PA-Sla-122-770-2325</v>
      </c>
      <c r="B807" t="str">
        <f t="shared" si="49"/>
        <v>2011</v>
      </c>
      <c r="C807" s="18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8" t="s">
        <v>845</v>
      </c>
      <c r="L807" s="21">
        <v>5.9</v>
      </c>
    </row>
    <row r="808" spans="1:12" x14ac:dyDescent="0.25">
      <c r="A808" t="str">
        <f t="shared" si="48"/>
        <v>2012-PA-Sla-92-593-2310</v>
      </c>
      <c r="B808" t="str">
        <f t="shared" si="49"/>
        <v>2012</v>
      </c>
      <c r="C808" s="18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8" t="s">
        <v>927</v>
      </c>
      <c r="L808" s="21">
        <v>5.5</v>
      </c>
    </row>
    <row r="809" spans="1:12" x14ac:dyDescent="0.25">
      <c r="A809" t="str">
        <f t="shared" si="48"/>
        <v>2012-PA-Sla-115-695-2317</v>
      </c>
      <c r="B809" t="str">
        <f t="shared" si="49"/>
        <v>2012</v>
      </c>
      <c r="C809" s="18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8" t="s">
        <v>927</v>
      </c>
      <c r="L809" s="21">
        <v>6.3</v>
      </c>
    </row>
    <row r="810" spans="1:12" x14ac:dyDescent="0.25">
      <c r="A810" t="str">
        <f t="shared" si="48"/>
        <v>2012-PA-Sla-122-774-2280</v>
      </c>
      <c r="B810" t="str">
        <f t="shared" si="49"/>
        <v>2012</v>
      </c>
      <c r="C810" s="18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8" t="s">
        <v>927</v>
      </c>
      <c r="L810" s="21">
        <v>6.8</v>
      </c>
    </row>
    <row r="811" spans="1:12" x14ac:dyDescent="0.25">
      <c r="A811" t="str">
        <f t="shared" si="48"/>
        <v>2012-PA-Sla-135-849-2264</v>
      </c>
      <c r="B811" t="str">
        <f t="shared" si="49"/>
        <v>2012</v>
      </c>
      <c r="C811" s="18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8" t="s">
        <v>927</v>
      </c>
      <c r="L811" s="21">
        <v>7.2</v>
      </c>
    </row>
    <row r="812" spans="1:12" x14ac:dyDescent="0.25">
      <c r="A812" t="str">
        <f t="shared" si="48"/>
        <v>2012-PA-Spe-61-433-2250</v>
      </c>
      <c r="B812" t="str">
        <f t="shared" si="49"/>
        <v>2012</v>
      </c>
      <c r="C812" s="18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8" t="s">
        <v>927</v>
      </c>
      <c r="L812" s="21">
        <v>4</v>
      </c>
    </row>
    <row r="813" spans="1:12" x14ac:dyDescent="0.25">
      <c r="A813" t="str">
        <f t="shared" si="48"/>
        <v>2012-PA-Spe-71-483-2250</v>
      </c>
      <c r="B813" t="str">
        <f t="shared" si="49"/>
        <v>2012</v>
      </c>
      <c r="C813" s="18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8" t="s">
        <v>927</v>
      </c>
      <c r="L813" s="21">
        <v>4.4000000000000004</v>
      </c>
    </row>
    <row r="814" spans="1:12" x14ac:dyDescent="0.25">
      <c r="A814" t="str">
        <f t="shared" si="48"/>
        <v>2012-PA-Spe-81-532-2265</v>
      </c>
      <c r="B814" t="str">
        <f t="shared" si="49"/>
        <v>2012</v>
      </c>
      <c r="C814" s="18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8" t="s">
        <v>927</v>
      </c>
      <c r="L814" s="21">
        <v>4.7</v>
      </c>
    </row>
    <row r="815" spans="1:12" x14ac:dyDescent="0.25">
      <c r="A815" t="str">
        <f t="shared" si="48"/>
        <v>2012-PA-Sla-128-810-2265</v>
      </c>
      <c r="B815" t="str">
        <f t="shared" si="49"/>
        <v>2012</v>
      </c>
      <c r="C815" s="18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8" t="s">
        <v>851</v>
      </c>
      <c r="L815" s="21">
        <v>6.9</v>
      </c>
    </row>
    <row r="816" spans="1:12" x14ac:dyDescent="0.25">
      <c r="A816" t="str">
        <f t="shared" si="48"/>
        <v>2012-PA-Spe-51-395-2250</v>
      </c>
      <c r="B816" t="str">
        <f t="shared" si="49"/>
        <v>2012</v>
      </c>
      <c r="C816" s="18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8" t="s">
        <v>851</v>
      </c>
      <c r="L816" s="21">
        <v>3.6</v>
      </c>
    </row>
    <row r="817" spans="1:12" x14ac:dyDescent="0.25">
      <c r="A817" t="str">
        <f t="shared" si="48"/>
        <v>2014-PA-SL -115-700-2315</v>
      </c>
      <c r="B817" t="str">
        <f t="shared" si="49"/>
        <v>2014</v>
      </c>
      <c r="C817" s="18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8" t="s">
        <v>731</v>
      </c>
      <c r="L817" s="21">
        <v>6.3</v>
      </c>
    </row>
    <row r="818" spans="1:12" x14ac:dyDescent="0.25">
      <c r="A818" t="str">
        <f t="shared" si="48"/>
        <v>2014-PA-SL -135-850-2265</v>
      </c>
      <c r="B818" t="str">
        <f t="shared" si="49"/>
        <v>2014</v>
      </c>
      <c r="C818" s="18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8" t="s">
        <v>731</v>
      </c>
      <c r="L818" s="21">
        <v>7.1</v>
      </c>
    </row>
    <row r="819" spans="1:12" x14ac:dyDescent="0.25">
      <c r="A819" t="str">
        <f t="shared" si="48"/>
        <v>2014-PA-SL -128-810-2265</v>
      </c>
      <c r="B819" t="str">
        <f t="shared" si="49"/>
        <v>2014</v>
      </c>
      <c r="C819" s="18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8" t="s">
        <v>1492</v>
      </c>
      <c r="L819" s="21">
        <v>6.1</v>
      </c>
    </row>
    <row r="820" spans="1:12" x14ac:dyDescent="0.25">
      <c r="A820" t="str">
        <f t="shared" si="48"/>
        <v>2014-PA-SL -135-850-2265</v>
      </c>
      <c r="B820" t="str">
        <f t="shared" si="49"/>
        <v>2014</v>
      </c>
      <c r="C820" s="18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8" t="s">
        <v>1492</v>
      </c>
      <c r="L820" s="21">
        <v>6.2</v>
      </c>
    </row>
    <row r="821" spans="1:12" x14ac:dyDescent="0.25">
      <c r="A821" t="str">
        <f t="shared" si="48"/>
        <v>2015-PA-SL -87-568-2345</v>
      </c>
      <c r="B821" t="str">
        <f t="shared" si="49"/>
        <v>2015</v>
      </c>
      <c r="C821" s="18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8" t="s">
        <v>1496</v>
      </c>
      <c r="L821" s="21">
        <v>5.2</v>
      </c>
    </row>
    <row r="822" spans="1:12" x14ac:dyDescent="0.25">
      <c r="A822" t="str">
        <f t="shared" si="48"/>
        <v>2015-PA-SL -92-594-2310</v>
      </c>
      <c r="B822" t="str">
        <f t="shared" si="49"/>
        <v>2015</v>
      </c>
      <c r="C822" s="18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8" t="s">
        <v>1496</v>
      </c>
      <c r="L822" s="21">
        <v>5.4</v>
      </c>
    </row>
    <row r="823" spans="1:12" x14ac:dyDescent="0.25">
      <c r="A823" t="str">
        <f t="shared" si="48"/>
        <v>2015-PA-SL -100-645-2304</v>
      </c>
      <c r="B823" t="str">
        <f t="shared" si="49"/>
        <v>2015</v>
      </c>
      <c r="C823" s="18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8" t="s">
        <v>1496</v>
      </c>
      <c r="L823" s="21">
        <v>5.6</v>
      </c>
    </row>
    <row r="824" spans="1:12" x14ac:dyDescent="0.25">
      <c r="A824" t="str">
        <f t="shared" si="48"/>
        <v>2015-PA-SL -110-681-2305</v>
      </c>
      <c r="B824" t="str">
        <f t="shared" si="49"/>
        <v>2015</v>
      </c>
      <c r="C824" s="18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8" t="s">
        <v>1496</v>
      </c>
      <c r="L824" s="21">
        <v>6</v>
      </c>
    </row>
    <row r="825" spans="1:12" x14ac:dyDescent="0.25">
      <c r="A825" t="str">
        <f t="shared" si="48"/>
        <v>2015-PA-SL -122-775-2280</v>
      </c>
      <c r="B825" t="str">
        <f t="shared" si="49"/>
        <v>2015</v>
      </c>
      <c r="C825" s="18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8" t="s">
        <v>1496</v>
      </c>
      <c r="L825" s="21">
        <v>6.6</v>
      </c>
    </row>
    <row r="826" spans="1:12" x14ac:dyDescent="0.25">
      <c r="A826" t="str">
        <f t="shared" si="48"/>
        <v>2015-PA-SL -115-700-2315</v>
      </c>
      <c r="B826" t="str">
        <f t="shared" si="49"/>
        <v>2015</v>
      </c>
      <c r="C826" s="18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8" t="s">
        <v>1496</v>
      </c>
      <c r="L826" s="21">
        <v>6.3</v>
      </c>
    </row>
    <row r="827" spans="1:12" x14ac:dyDescent="0.25">
      <c r="A827" t="str">
        <f t="shared" si="48"/>
        <v>2015-PA-SL -128-810-2265</v>
      </c>
      <c r="B827" t="str">
        <f t="shared" si="49"/>
        <v>2015</v>
      </c>
      <c r="C827" s="18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8" t="s">
        <v>1496</v>
      </c>
      <c r="L827" s="21">
        <v>6.9</v>
      </c>
    </row>
    <row r="828" spans="1:12" x14ac:dyDescent="0.25">
      <c r="A828" t="str">
        <f t="shared" si="48"/>
        <v>2015-PA-SL -128-810-2265</v>
      </c>
      <c r="B828" t="str">
        <f t="shared" si="49"/>
        <v>2015</v>
      </c>
      <c r="C828" s="18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8" t="s">
        <v>1496</v>
      </c>
      <c r="L828" s="21">
        <v>6.1</v>
      </c>
    </row>
    <row r="829" spans="1:12" x14ac:dyDescent="0.25">
      <c r="A829" t="str">
        <f t="shared" si="48"/>
        <v>2015-PA-SL -135-850-2265</v>
      </c>
      <c r="B829" t="str">
        <f t="shared" si="49"/>
        <v>2015</v>
      </c>
      <c r="C829" s="18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8" t="s">
        <v>1496</v>
      </c>
      <c r="L829" s="21">
        <v>7.1</v>
      </c>
    </row>
    <row r="830" spans="1:12" x14ac:dyDescent="0.25">
      <c r="A830" t="str">
        <f t="shared" si="48"/>
        <v>2015-PA-SL -135-850-2265</v>
      </c>
      <c r="B830" t="str">
        <f t="shared" si="49"/>
        <v>2015</v>
      </c>
      <c r="C830" s="18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8" t="s">
        <v>1496</v>
      </c>
      <c r="L830" s="21">
        <v>6.2</v>
      </c>
    </row>
    <row r="831" spans="1:12" x14ac:dyDescent="0.25">
      <c r="A831" t="str">
        <f t="shared" si="48"/>
        <v>2016-PA-SL -115-699-2340</v>
      </c>
      <c r="B831" t="str">
        <f t="shared" si="49"/>
        <v>2016</v>
      </c>
      <c r="C831" s="18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8" t="s">
        <v>1504</v>
      </c>
      <c r="L831" s="21">
        <v>6.3</v>
      </c>
    </row>
    <row r="832" spans="1:12" x14ac:dyDescent="0.25">
      <c r="A832" t="str">
        <f t="shared" si="48"/>
        <v>2016-PA-SL -128-810-2290</v>
      </c>
      <c r="B832" t="str">
        <f t="shared" si="49"/>
        <v>2016</v>
      </c>
      <c r="C832" s="18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8" t="s">
        <v>1504</v>
      </c>
      <c r="L832" s="21">
        <v>6.9</v>
      </c>
    </row>
    <row r="833" spans="1:12" x14ac:dyDescent="0.25">
      <c r="A833" t="str">
        <f t="shared" si="48"/>
        <v>2016-PA-SL -135-850-2290</v>
      </c>
      <c r="B833" t="str">
        <f t="shared" si="49"/>
        <v>2016</v>
      </c>
      <c r="C833" s="18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8" t="s">
        <v>1504</v>
      </c>
      <c r="L833" s="21">
        <v>7.1</v>
      </c>
    </row>
    <row r="834" spans="1:12" x14ac:dyDescent="0.25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8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8" t="s">
        <v>1508</v>
      </c>
      <c r="L834" s="21">
        <v>5.5</v>
      </c>
    </row>
    <row r="835" spans="1:12" x14ac:dyDescent="0.25">
      <c r="A835" t="str">
        <f t="shared" si="52"/>
        <v>2017-PA-Sla-110-686-2315</v>
      </c>
      <c r="B835" t="str">
        <f t="shared" si="53"/>
        <v>2017</v>
      </c>
      <c r="C835" s="18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8" t="s">
        <v>1508</v>
      </c>
      <c r="L835" s="21">
        <v>5.2</v>
      </c>
    </row>
    <row r="836" spans="1:12" x14ac:dyDescent="0.25">
      <c r="A836" t="str">
        <f t="shared" si="52"/>
        <v>2017-PA-Sla-110-682-2328</v>
      </c>
      <c r="B836" t="str">
        <f t="shared" si="53"/>
        <v>2017</v>
      </c>
      <c r="C836" s="18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8" t="s">
        <v>1508</v>
      </c>
      <c r="L836" s="21">
        <v>6.1</v>
      </c>
    </row>
    <row r="837" spans="1:12" x14ac:dyDescent="0.25">
      <c r="A837" t="str">
        <f t="shared" si="52"/>
        <v>2017-PA-Sla-115-708-2323</v>
      </c>
      <c r="B837" t="str">
        <f t="shared" si="53"/>
        <v>2017</v>
      </c>
      <c r="C837" s="18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8" t="s">
        <v>1508</v>
      </c>
      <c r="L837" s="21">
        <v>5.4</v>
      </c>
    </row>
    <row r="838" spans="1:12" x14ac:dyDescent="0.25">
      <c r="A838" t="str">
        <f t="shared" si="52"/>
        <v>2017-PA-Sla-115-698-2338</v>
      </c>
      <c r="B838" t="str">
        <f t="shared" si="53"/>
        <v>2017</v>
      </c>
      <c r="C838" s="18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8" t="s">
        <v>1508</v>
      </c>
      <c r="L838" s="21">
        <v>6.3</v>
      </c>
    </row>
    <row r="839" spans="1:12" x14ac:dyDescent="0.25">
      <c r="A839" t="str">
        <f t="shared" si="52"/>
        <v>2017-PA-Sla-125-772-2302</v>
      </c>
      <c r="B839" t="str">
        <f t="shared" si="53"/>
        <v>2017</v>
      </c>
      <c r="C839" s="18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8" t="s">
        <v>1508</v>
      </c>
      <c r="L839" s="21">
        <v>6.8</v>
      </c>
    </row>
    <row r="840" spans="1:12" x14ac:dyDescent="0.25">
      <c r="A840" t="str">
        <f t="shared" si="52"/>
        <v>2017-PA-Sla-130-808-2288</v>
      </c>
      <c r="B840" t="str">
        <f t="shared" si="53"/>
        <v>2017</v>
      </c>
      <c r="C840" s="18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8" t="s">
        <v>1508</v>
      </c>
      <c r="L840" s="21">
        <v>7</v>
      </c>
    </row>
    <row r="841" spans="1:12" x14ac:dyDescent="0.25">
      <c r="A841" t="str">
        <f t="shared" si="52"/>
        <v>2017-PA-Sla-130-808-2230</v>
      </c>
      <c r="B841" t="str">
        <f t="shared" si="53"/>
        <v>2017</v>
      </c>
      <c r="C841" s="18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8" t="s">
        <v>1508</v>
      </c>
      <c r="L841" s="21">
        <v>5.9</v>
      </c>
    </row>
    <row r="842" spans="1:12" x14ac:dyDescent="0.25">
      <c r="A842" t="str">
        <f t="shared" si="52"/>
        <v>2017-PA-Sla-140-848-2288</v>
      </c>
      <c r="B842" t="str">
        <f t="shared" si="53"/>
        <v>2017</v>
      </c>
      <c r="C842" s="18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8" t="s">
        <v>1508</v>
      </c>
      <c r="L842" s="21">
        <v>7.2</v>
      </c>
    </row>
    <row r="843" spans="1:12" x14ac:dyDescent="0.25">
      <c r="A843" t="str">
        <f t="shared" si="52"/>
        <v>2017-PA-Sla-140-849-2295</v>
      </c>
      <c r="B843" t="str">
        <f t="shared" si="53"/>
        <v>2017</v>
      </c>
      <c r="C843" s="18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8" t="s">
        <v>1508</v>
      </c>
      <c r="L843" s="21">
        <v>6.1</v>
      </c>
    </row>
    <row r="844" spans="1:12" x14ac:dyDescent="0.25">
      <c r="A844" t="str">
        <f t="shared" si="52"/>
        <v>2018-PA-Sla-87-568-2370</v>
      </c>
      <c r="B844" t="str">
        <f t="shared" si="53"/>
        <v>2018</v>
      </c>
      <c r="C844" s="18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8" t="s">
        <v>1519</v>
      </c>
      <c r="L844" s="21">
        <v>5.4</v>
      </c>
    </row>
    <row r="845" spans="1:12" x14ac:dyDescent="0.25">
      <c r="A845" t="str">
        <f t="shared" si="52"/>
        <v>2018-PA-Sla-87-568-2370</v>
      </c>
      <c r="B845" t="str">
        <f t="shared" si="53"/>
        <v>2018</v>
      </c>
      <c r="C845" s="18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8" t="s">
        <v>1519</v>
      </c>
      <c r="L845" s="21">
        <v>5.5</v>
      </c>
    </row>
    <row r="846" spans="1:12" x14ac:dyDescent="0.25">
      <c r="A846" t="str">
        <f t="shared" si="52"/>
        <v>2018-PA-Sla-92-594-2335</v>
      </c>
      <c r="B846" t="str">
        <f t="shared" si="53"/>
        <v>2018</v>
      </c>
      <c r="C846" s="18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8" t="s">
        <v>1519</v>
      </c>
      <c r="L846" s="21">
        <v>5.6</v>
      </c>
    </row>
    <row r="847" spans="1:12" x14ac:dyDescent="0.25">
      <c r="A847" t="str">
        <f t="shared" si="52"/>
        <v>2018-PA-Sla-92-594-2335</v>
      </c>
      <c r="B847" t="str">
        <f t="shared" si="53"/>
        <v>2018</v>
      </c>
      <c r="C847" s="18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8" t="s">
        <v>1519</v>
      </c>
      <c r="L847" s="21">
        <v>5.7</v>
      </c>
    </row>
    <row r="848" spans="1:12" x14ac:dyDescent="0.25">
      <c r="A848" t="str">
        <f t="shared" si="52"/>
        <v>2018-PA-Sla-95-622-2315</v>
      </c>
      <c r="B848" t="str">
        <f t="shared" si="53"/>
        <v>2018</v>
      </c>
      <c r="C848" s="18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8" t="s">
        <v>1519</v>
      </c>
      <c r="L848" s="21">
        <v>5.8</v>
      </c>
    </row>
    <row r="849" spans="1:12" x14ac:dyDescent="0.25">
      <c r="A849" t="str">
        <f t="shared" si="52"/>
        <v>2018-PA-Sla-100-645-2329</v>
      </c>
      <c r="B849" t="str">
        <f t="shared" si="53"/>
        <v>2018</v>
      </c>
      <c r="C849" s="18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8" t="s">
        <v>1519</v>
      </c>
      <c r="L849" s="21">
        <v>5.9</v>
      </c>
    </row>
    <row r="850" spans="1:12" x14ac:dyDescent="0.25">
      <c r="A850" t="str">
        <f t="shared" si="52"/>
        <v>2018-PA-Sla-100-645-2329</v>
      </c>
      <c r="B850" t="str">
        <f t="shared" si="53"/>
        <v>2018</v>
      </c>
      <c r="C850" s="18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8" t="s">
        <v>1519</v>
      </c>
      <c r="L850" s="21">
        <v>6</v>
      </c>
    </row>
    <row r="851" spans="1:12" x14ac:dyDescent="0.25">
      <c r="A851" t="str">
        <f t="shared" si="52"/>
        <v>2018-PA-Sla-110-682-2328</v>
      </c>
      <c r="B851" t="str">
        <f t="shared" si="53"/>
        <v>2018</v>
      </c>
      <c r="C851" s="18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8" t="s">
        <v>1519</v>
      </c>
      <c r="L851" s="21">
        <v>6.3</v>
      </c>
    </row>
    <row r="852" spans="1:12" x14ac:dyDescent="0.25">
      <c r="A852" t="str">
        <f t="shared" si="52"/>
        <v>2018-PA-Sla-115-698-2338</v>
      </c>
      <c r="B852" t="str">
        <f t="shared" si="53"/>
        <v>2018</v>
      </c>
      <c r="C852" s="18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8" t="s">
        <v>1519</v>
      </c>
      <c r="L852" s="21">
        <v>6.4</v>
      </c>
    </row>
    <row r="853" spans="1:12" x14ac:dyDescent="0.25">
      <c r="A853" t="str">
        <f t="shared" si="52"/>
        <v>2018-PA-Sla-125-772-2302</v>
      </c>
      <c r="B853" t="str">
        <f t="shared" si="53"/>
        <v>2018</v>
      </c>
      <c r="C853" s="18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8" t="s">
        <v>1519</v>
      </c>
      <c r="L853" s="21">
        <v>6.9</v>
      </c>
    </row>
    <row r="854" spans="1:12" x14ac:dyDescent="0.25">
      <c r="A854" t="str">
        <f t="shared" si="52"/>
        <v>2018-PA-Sla-130-808-2288</v>
      </c>
      <c r="B854" t="str">
        <f t="shared" si="53"/>
        <v>2018</v>
      </c>
      <c r="C854" s="18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8" t="s">
        <v>1519</v>
      </c>
      <c r="L854" s="21">
        <v>7.2</v>
      </c>
    </row>
    <row r="855" spans="1:12" x14ac:dyDescent="0.25">
      <c r="A855" t="str">
        <f t="shared" si="52"/>
        <v>2018-PA-Sla-140-848-2288</v>
      </c>
      <c r="B855" t="str">
        <f t="shared" si="53"/>
        <v>2018</v>
      </c>
      <c r="C855" s="18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8" t="s">
        <v>1519</v>
      </c>
      <c r="L855" s="21">
        <v>7.4</v>
      </c>
    </row>
    <row r="856" spans="1:12" x14ac:dyDescent="0.25">
      <c r="A856" t="str">
        <f t="shared" si="52"/>
        <v>2019-PA-Foi-165-908-2235</v>
      </c>
      <c r="B856" t="str">
        <f t="shared" si="53"/>
        <v>2019</v>
      </c>
      <c r="C856" s="18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8" t="s">
        <v>1532</v>
      </c>
      <c r="L856" s="21">
        <v>8.9</v>
      </c>
    </row>
    <row r="857" spans="1:12" x14ac:dyDescent="0.25">
      <c r="A857" t="str">
        <f t="shared" si="52"/>
        <v>2019-PA-Foi-185-908-2298</v>
      </c>
      <c r="B857" t="str">
        <f t="shared" si="53"/>
        <v>2019</v>
      </c>
      <c r="C857" s="18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8" t="s">
        <v>1532</v>
      </c>
      <c r="L857" s="21">
        <v>7.5</v>
      </c>
    </row>
    <row r="858" spans="1:12" x14ac:dyDescent="0.25">
      <c r="A858" t="str">
        <f t="shared" si="52"/>
        <v>2019-PA-Sla-95-622-2314</v>
      </c>
      <c r="B858" t="str">
        <f t="shared" si="53"/>
        <v>2019</v>
      </c>
      <c r="C858" s="18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8" t="s">
        <v>1532</v>
      </c>
      <c r="L858" s="21">
        <v>5.3</v>
      </c>
    </row>
    <row r="859" spans="1:12" x14ac:dyDescent="0.25">
      <c r="A859" t="str">
        <f t="shared" si="52"/>
        <v>2019-PA-Sla-110-686-2316</v>
      </c>
      <c r="B859" t="str">
        <f t="shared" si="53"/>
        <v>2019</v>
      </c>
      <c r="C859" s="18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8" t="s">
        <v>1532</v>
      </c>
      <c r="L859" s="21">
        <v>5.5</v>
      </c>
    </row>
    <row r="860" spans="1:12" x14ac:dyDescent="0.25">
      <c r="A860" t="str">
        <f t="shared" si="52"/>
        <v>2019-PA-Sla-110-682-2328</v>
      </c>
      <c r="B860" t="str">
        <f t="shared" si="53"/>
        <v>2019</v>
      </c>
      <c r="C860" s="18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8" t="s">
        <v>1532</v>
      </c>
      <c r="L860" s="21">
        <v>6.3</v>
      </c>
    </row>
    <row r="861" spans="1:12" x14ac:dyDescent="0.25">
      <c r="A861" t="str">
        <f t="shared" si="52"/>
        <v>2019-PA-Sla-110-682-2328</v>
      </c>
      <c r="B861" t="str">
        <f t="shared" si="53"/>
        <v>2019</v>
      </c>
      <c r="C861" s="18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8" t="s">
        <v>1532</v>
      </c>
      <c r="L861" s="21">
        <v>6.4</v>
      </c>
    </row>
    <row r="862" spans="1:12" x14ac:dyDescent="0.25">
      <c r="A862" t="str">
        <f t="shared" si="52"/>
        <v>2019-PA-Sla-115-707-2322</v>
      </c>
      <c r="B862" t="str">
        <f t="shared" si="53"/>
        <v>2019</v>
      </c>
      <c r="C862" s="18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8" t="s">
        <v>1532</v>
      </c>
      <c r="L862" s="21">
        <v>5.6</v>
      </c>
    </row>
    <row r="863" spans="1:12" x14ac:dyDescent="0.25">
      <c r="A863" t="str">
        <f t="shared" si="52"/>
        <v>2019-PA-Sla-115-695-2332</v>
      </c>
      <c r="B863" t="str">
        <f t="shared" si="53"/>
        <v>2019</v>
      </c>
      <c r="C863" s="18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8" t="s">
        <v>1532</v>
      </c>
      <c r="L863" s="21">
        <v>6.4</v>
      </c>
    </row>
    <row r="864" spans="1:12" x14ac:dyDescent="0.25">
      <c r="A864" t="str">
        <f t="shared" si="52"/>
        <v>2019-PA-Sla-115-695-2332</v>
      </c>
      <c r="B864" t="str">
        <f t="shared" si="53"/>
        <v>2019</v>
      </c>
      <c r="C864" s="18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8" t="s">
        <v>1532</v>
      </c>
      <c r="L864" s="21">
        <v>6.5</v>
      </c>
    </row>
    <row r="865" spans="1:12" x14ac:dyDescent="0.25">
      <c r="A865" t="str">
        <f t="shared" si="52"/>
        <v>2019-PA-Sla-125-772-2302</v>
      </c>
      <c r="B865" t="str">
        <f t="shared" si="53"/>
        <v>2019</v>
      </c>
      <c r="C865" s="18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8" t="s">
        <v>1532</v>
      </c>
      <c r="L865" s="21">
        <v>7.1</v>
      </c>
    </row>
    <row r="866" spans="1:12" x14ac:dyDescent="0.25">
      <c r="A866" t="str">
        <f t="shared" si="52"/>
        <v>2019-PA-Sla-125-772-2302</v>
      </c>
      <c r="B866" t="str">
        <f t="shared" si="53"/>
        <v>2019</v>
      </c>
      <c r="C866" s="18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8" t="s">
        <v>1532</v>
      </c>
      <c r="L866" s="21">
        <v>7.3</v>
      </c>
    </row>
    <row r="867" spans="1:12" x14ac:dyDescent="0.25">
      <c r="A867" t="str">
        <f t="shared" si="52"/>
        <v>2019-PA-Sla-130-808-2296</v>
      </c>
      <c r="B867" t="str">
        <f t="shared" si="53"/>
        <v>2019</v>
      </c>
      <c r="C867" s="18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8" t="s">
        <v>1532</v>
      </c>
      <c r="L867" s="21">
        <v>6.1</v>
      </c>
    </row>
    <row r="868" spans="1:12" x14ac:dyDescent="0.25">
      <c r="A868" t="str">
        <f t="shared" si="52"/>
        <v>2019-PA-Sla-130-808-2288</v>
      </c>
      <c r="B868" t="str">
        <f t="shared" si="53"/>
        <v>2019</v>
      </c>
      <c r="C868" s="18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8" t="s">
        <v>1532</v>
      </c>
      <c r="L868" s="21">
        <v>7.2</v>
      </c>
    </row>
    <row r="869" spans="1:12" x14ac:dyDescent="0.25">
      <c r="A869" t="str">
        <f t="shared" si="52"/>
        <v>2019-PA-Sla-130-808-2288</v>
      </c>
      <c r="B869" t="str">
        <f t="shared" si="53"/>
        <v>2019</v>
      </c>
      <c r="C869" s="18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8" t="s">
        <v>1532</v>
      </c>
      <c r="L869" s="21">
        <v>7.4</v>
      </c>
    </row>
    <row r="870" spans="1:12" x14ac:dyDescent="0.25">
      <c r="A870" t="str">
        <f t="shared" si="52"/>
        <v>2019-PA-Sla-140-849-2295</v>
      </c>
      <c r="B870" t="str">
        <f t="shared" si="53"/>
        <v>2019</v>
      </c>
      <c r="C870" s="18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8" t="s">
        <v>1532</v>
      </c>
      <c r="L870" s="21">
        <v>6.3</v>
      </c>
    </row>
    <row r="871" spans="1:12" x14ac:dyDescent="0.25">
      <c r="A871" t="str">
        <f t="shared" si="52"/>
        <v>2019-PA-Sla-140-848-2288</v>
      </c>
      <c r="B871" t="str">
        <f t="shared" si="53"/>
        <v>2019</v>
      </c>
      <c r="C871" s="18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8" t="s">
        <v>1532</v>
      </c>
      <c r="L871" s="21">
        <v>7.5</v>
      </c>
    </row>
    <row r="872" spans="1:12" x14ac:dyDescent="0.25">
      <c r="A872" t="str">
        <f t="shared" si="52"/>
        <v>2019-PA-Sla-140-848-2288</v>
      </c>
      <c r="B872" t="str">
        <f t="shared" si="53"/>
        <v>2019</v>
      </c>
      <c r="C872" s="18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8" t="s">
        <v>1532</v>
      </c>
      <c r="L872" s="21">
        <v>7.7</v>
      </c>
    </row>
    <row r="873" spans="1:12" x14ac:dyDescent="0.25">
      <c r="A873" t="str">
        <f t="shared" si="52"/>
        <v>2019-PA-Sla-150-906-2300</v>
      </c>
      <c r="B873" t="str">
        <f t="shared" si="53"/>
        <v>2019</v>
      </c>
      <c r="C873" s="18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8" t="s">
        <v>1532</v>
      </c>
      <c r="L873" s="21">
        <v>7.9</v>
      </c>
    </row>
    <row r="874" spans="1:12" x14ac:dyDescent="0.25">
      <c r="A874" t="str">
        <f t="shared" si="52"/>
        <v>2019-PA-Sla-150-906-2300</v>
      </c>
      <c r="B874" t="str">
        <f t="shared" si="53"/>
        <v>2019</v>
      </c>
      <c r="C874" s="18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8" t="s">
        <v>1532</v>
      </c>
      <c r="L874" s="21">
        <v>8.1999999999999993</v>
      </c>
    </row>
    <row r="875" spans="1:12" x14ac:dyDescent="0.25">
      <c r="A875" t="str">
        <f t="shared" si="52"/>
        <v>2020-PA-Sla-115-695-2332</v>
      </c>
      <c r="B875" t="str">
        <f t="shared" si="53"/>
        <v>2020</v>
      </c>
      <c r="C875" s="18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8" t="s">
        <v>1552</v>
      </c>
      <c r="L875" s="21">
        <v>6.4</v>
      </c>
    </row>
    <row r="876" spans="1:12" x14ac:dyDescent="0.25">
      <c r="A876" t="str">
        <f t="shared" si="52"/>
        <v>2020-PA-Sla-125-772-2302</v>
      </c>
      <c r="B876" t="str">
        <f t="shared" si="53"/>
        <v>2020</v>
      </c>
      <c r="C876" s="18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8" t="s">
        <v>1552</v>
      </c>
      <c r="L876" s="21">
        <v>7.1</v>
      </c>
    </row>
    <row r="877" spans="1:12" x14ac:dyDescent="0.25">
      <c r="A877" t="str">
        <f t="shared" si="52"/>
        <v>2020-PA-Sla-130-808-2288</v>
      </c>
      <c r="B877" t="str">
        <f t="shared" si="53"/>
        <v>2020</v>
      </c>
      <c r="C877" s="18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8" t="s">
        <v>1552</v>
      </c>
      <c r="L877" s="21">
        <v>7.2</v>
      </c>
    </row>
    <row r="878" spans="1:12" x14ac:dyDescent="0.25">
      <c r="A878" t="str">
        <f t="shared" si="52"/>
        <v>2020-PA-Sla-140-848-2288</v>
      </c>
      <c r="B878" t="str">
        <f t="shared" si="53"/>
        <v>2020</v>
      </c>
      <c r="C878" s="18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8" t="s">
        <v>1552</v>
      </c>
      <c r="L878" s="21">
        <v>7.5</v>
      </c>
    </row>
    <row r="879" spans="1:12" x14ac:dyDescent="0.25">
      <c r="A879" t="str">
        <f t="shared" si="52"/>
        <v>2020-PA-Sla-150-906-2300</v>
      </c>
      <c r="B879" t="str">
        <f t="shared" si="53"/>
        <v>2020</v>
      </c>
      <c r="C879" s="18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8" t="s">
        <v>1552</v>
      </c>
      <c r="L879" s="21">
        <v>7.9</v>
      </c>
    </row>
    <row r="880" spans="1:12" x14ac:dyDescent="0.25">
      <c r="A880" t="str">
        <f t="shared" si="52"/>
        <v>2020-PA-Sla-85-568-2370</v>
      </c>
      <c r="B880" t="str">
        <f t="shared" si="53"/>
        <v>2020</v>
      </c>
      <c r="C880" s="18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8" t="s">
        <v>1558</v>
      </c>
      <c r="L880" s="21">
        <v>5.3</v>
      </c>
    </row>
    <row r="881" spans="1:12" x14ac:dyDescent="0.25">
      <c r="A881" t="str">
        <f t="shared" si="52"/>
        <v>2020-PA-Sla-90-594-2335</v>
      </c>
      <c r="B881" t="str">
        <f t="shared" si="53"/>
        <v>2020</v>
      </c>
      <c r="C881" s="18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8" t="s">
        <v>1558</v>
      </c>
      <c r="L881" s="21">
        <v>5.5</v>
      </c>
    </row>
    <row r="882" spans="1:12" x14ac:dyDescent="0.25">
      <c r="A882" t="str">
        <f t="shared" si="52"/>
        <v>2020-PA-Sla-95-622-2314</v>
      </c>
      <c r="B882" t="str">
        <f t="shared" si="53"/>
        <v>2020</v>
      </c>
      <c r="C882" s="18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8" t="s">
        <v>1558</v>
      </c>
      <c r="L882" s="21">
        <v>5.6</v>
      </c>
    </row>
    <row r="883" spans="1:12" x14ac:dyDescent="0.25">
      <c r="A883" t="str">
        <f t="shared" si="52"/>
        <v>2020-PA-Sla-100-645-2329</v>
      </c>
      <c r="B883" t="str">
        <f t="shared" si="53"/>
        <v>2020</v>
      </c>
      <c r="C883" s="18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8" t="s">
        <v>1558</v>
      </c>
      <c r="L883" s="21">
        <v>5.7</v>
      </c>
    </row>
    <row r="884" spans="1:12" x14ac:dyDescent="0.25">
      <c r="A884" t="str">
        <f t="shared" si="52"/>
        <v>2023-PA-PAT-90-595-2335</v>
      </c>
      <c r="B884" t="str">
        <f t="shared" si="53"/>
        <v>2023</v>
      </c>
      <c r="C884" s="18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8" t="s">
        <v>1564</v>
      </c>
      <c r="L884" s="21">
        <v>5.66</v>
      </c>
    </row>
    <row r="885" spans="1:12" x14ac:dyDescent="0.25">
      <c r="A885" t="str">
        <f t="shared" si="52"/>
        <v>2023-PA-PAT-95-625-2315</v>
      </c>
      <c r="B885" t="str">
        <f t="shared" si="53"/>
        <v>2023</v>
      </c>
      <c r="C885" s="18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8" t="s">
        <v>1564</v>
      </c>
      <c r="L885" s="21">
        <v>5.87</v>
      </c>
    </row>
    <row r="886" spans="1:12" x14ac:dyDescent="0.25">
      <c r="A886" t="str">
        <f t="shared" si="52"/>
        <v>2023-PA-PAT-100-645-2325</v>
      </c>
      <c r="B886" t="str">
        <f t="shared" si="53"/>
        <v>2023</v>
      </c>
      <c r="C886" s="18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8" t="s">
        <v>1564</v>
      </c>
      <c r="L886" s="21">
        <v>5.94</v>
      </c>
    </row>
    <row r="887" spans="1:12" x14ac:dyDescent="0.25">
      <c r="A887" t="str">
        <f t="shared" si="52"/>
        <v>2023-PA-PAT-115-695-2335</v>
      </c>
      <c r="B887" t="str">
        <f t="shared" si="53"/>
        <v>2023</v>
      </c>
      <c r="C887" s="18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8" t="s">
        <v>1564</v>
      </c>
      <c r="L887" s="21">
        <v>6.46</v>
      </c>
    </row>
    <row r="888" spans="1:12" x14ac:dyDescent="0.25">
      <c r="A888" t="str">
        <f t="shared" si="52"/>
        <v>2023-PA-PAT-125-775-2305</v>
      </c>
      <c r="B888" t="str">
        <f t="shared" si="53"/>
        <v>2023</v>
      </c>
      <c r="C888" s="18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8" t="s">
        <v>1564</v>
      </c>
      <c r="L888" s="21">
        <v>7.05</v>
      </c>
    </row>
    <row r="889" spans="1:12" x14ac:dyDescent="0.25">
      <c r="A889" t="str">
        <f t="shared" si="52"/>
        <v>2023-PA-PAT-130-810-2290</v>
      </c>
      <c r="B889" t="str">
        <f t="shared" si="53"/>
        <v>2023</v>
      </c>
      <c r="C889" s="18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8" t="s">
        <v>1564</v>
      </c>
      <c r="L889" s="21">
        <v>7.23</v>
      </c>
    </row>
    <row r="890" spans="1:12" x14ac:dyDescent="0.25">
      <c r="A890" t="str">
        <f t="shared" si="52"/>
        <v>2023-PA-PAT-140-850-2290</v>
      </c>
      <c r="B890" t="str">
        <f t="shared" si="53"/>
        <v>2023</v>
      </c>
      <c r="C890" s="18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8" t="s">
        <v>1564</v>
      </c>
      <c r="L890" s="21">
        <v>7.59</v>
      </c>
    </row>
    <row r="891" spans="1:12" x14ac:dyDescent="0.25">
      <c r="A891" t="str">
        <f t="shared" si="52"/>
        <v>2024-PA-PAT-141-732-2060</v>
      </c>
      <c r="B891" t="str">
        <f t="shared" si="53"/>
        <v>2024</v>
      </c>
      <c r="C891" s="18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8" t="s">
        <v>1573</v>
      </c>
      <c r="L891" s="21">
        <v>7.9</v>
      </c>
    </row>
    <row r="892" spans="1:12" x14ac:dyDescent="0.25">
      <c r="A892" t="str">
        <f t="shared" si="52"/>
        <v>2024-PA-PAT-155-792-2070</v>
      </c>
      <c r="B892" t="str">
        <f t="shared" si="53"/>
        <v>2024</v>
      </c>
      <c r="C892" s="18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8" t="s">
        <v>1573</v>
      </c>
      <c r="L892" s="21">
        <v>8.3000000000000007</v>
      </c>
    </row>
    <row r="893" spans="1:12" x14ac:dyDescent="0.25">
      <c r="A893" t="str">
        <f t="shared" si="52"/>
        <v>2024-PA-PAT-169-852-2080</v>
      </c>
      <c r="B893" t="str">
        <f t="shared" si="53"/>
        <v>2024</v>
      </c>
      <c r="C893" s="18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8" t="s">
        <v>1573</v>
      </c>
      <c r="L893" s="21">
        <v>8.6999999999999993</v>
      </c>
    </row>
    <row r="894" spans="1:12" x14ac:dyDescent="0.25">
      <c r="A894" t="str">
        <f t="shared" si="52"/>
        <v>2024-PA-PAT-178-892-2090</v>
      </c>
      <c r="B894" t="str">
        <f t="shared" si="53"/>
        <v>2024</v>
      </c>
      <c r="C894" s="18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8" t="s">
        <v>1573</v>
      </c>
      <c r="L894" s="21">
        <v>9</v>
      </c>
    </row>
    <row r="895" spans="1:12" x14ac:dyDescent="0.25">
      <c r="A895" t="str">
        <f t="shared" si="52"/>
        <v>2023-PA-iQF-196-944-2199</v>
      </c>
      <c r="B895" t="str">
        <f t="shared" si="53"/>
        <v>2023</v>
      </c>
      <c r="C895" s="18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8" t="s">
        <v>1578</v>
      </c>
      <c r="L895" s="21">
        <v>10.9</v>
      </c>
    </row>
    <row r="896" spans="1:12" x14ac:dyDescent="0.25">
      <c r="A896" t="str">
        <f t="shared" si="52"/>
        <v>2025-PA-DEF-84-552-2320</v>
      </c>
      <c r="B896" t="str">
        <f t="shared" si="53"/>
        <v>2025</v>
      </c>
      <c r="C896" s="18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8" t="s">
        <v>1581</v>
      </c>
      <c r="L896" s="21">
        <v>5.2</v>
      </c>
    </row>
    <row r="897" spans="1:12" x14ac:dyDescent="0.25">
      <c r="A897" t="str">
        <f t="shared" si="52"/>
        <v>2025-PA-DEF-93-592-2320</v>
      </c>
      <c r="B897" t="str">
        <f t="shared" si="53"/>
        <v>2025</v>
      </c>
      <c r="C897" s="18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8" t="s">
        <v>1581</v>
      </c>
      <c r="L897" s="21">
        <v>5.5</v>
      </c>
    </row>
    <row r="898" spans="1:12" x14ac:dyDescent="0.25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8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8" t="s">
        <v>1581</v>
      </c>
      <c r="L898" s="21">
        <v>5.9</v>
      </c>
    </row>
    <row r="899" spans="1:12" x14ac:dyDescent="0.25">
      <c r="A899" t="str">
        <f t="shared" si="56"/>
        <v>2025-PA-DEF-93-591-2370</v>
      </c>
      <c r="B899" t="str">
        <f t="shared" si="57"/>
        <v>2025</v>
      </c>
      <c r="C899" s="18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8" t="s">
        <v>1581</v>
      </c>
      <c r="L899" s="21">
        <v>5.6</v>
      </c>
    </row>
    <row r="900" spans="1:12" x14ac:dyDescent="0.25">
      <c r="A900" t="str">
        <f t="shared" si="56"/>
        <v>2025-PA-DEF-103-641-2370</v>
      </c>
      <c r="B900" t="str">
        <f t="shared" si="57"/>
        <v>2025</v>
      </c>
      <c r="C900" s="18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8" t="s">
        <v>1581</v>
      </c>
      <c r="L900" s="21">
        <v>6</v>
      </c>
    </row>
    <row r="901" spans="1:12" x14ac:dyDescent="0.25">
      <c r="A901" t="str">
        <f t="shared" si="56"/>
        <v>2025-PA-FOI-149-800-2090</v>
      </c>
      <c r="B901" t="str">
        <f t="shared" si="57"/>
        <v>2025</v>
      </c>
      <c r="C901" s="18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8" t="s">
        <v>1581</v>
      </c>
      <c r="L901" s="21">
        <v>8.6</v>
      </c>
    </row>
    <row r="902" spans="1:12" x14ac:dyDescent="0.25">
      <c r="A902" t="str">
        <f t="shared" si="56"/>
        <v>2025-PA-FOI-160-850-2090</v>
      </c>
      <c r="B902" t="str">
        <f t="shared" si="57"/>
        <v>2025</v>
      </c>
      <c r="C902" s="18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8" t="s">
        <v>1581</v>
      </c>
      <c r="L902" s="21">
        <v>9</v>
      </c>
    </row>
    <row r="903" spans="1:12" x14ac:dyDescent="0.25">
      <c r="A903" t="str">
        <f t="shared" si="56"/>
        <v>2026-PA-PAT-116-690-2350</v>
      </c>
      <c r="B903" t="str">
        <f t="shared" si="57"/>
        <v>2026</v>
      </c>
      <c r="C903" s="18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8" t="s">
        <v>1590</v>
      </c>
      <c r="L903" s="21">
        <v>6.4</v>
      </c>
    </row>
    <row r="904" spans="1:12" x14ac:dyDescent="0.25">
      <c r="A904" t="str">
        <f t="shared" si="56"/>
        <v>2026-PA-PAT-113-690-2300</v>
      </c>
      <c r="B904" t="str">
        <f t="shared" si="57"/>
        <v>2026</v>
      </c>
      <c r="C904" s="18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8" t="s">
        <v>1590</v>
      </c>
      <c r="L904" s="21">
        <v>6.2</v>
      </c>
    </row>
    <row r="905" spans="1:12" x14ac:dyDescent="0.25">
      <c r="A905" t="str">
        <f t="shared" si="56"/>
        <v>2026-PA-PAT-92-600-2320</v>
      </c>
      <c r="B905" t="str">
        <f t="shared" si="57"/>
        <v>2026</v>
      </c>
      <c r="C905" s="18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8" t="s">
        <v>1590</v>
      </c>
      <c r="L905" s="21">
        <v>5.6</v>
      </c>
    </row>
    <row r="906" spans="1:12" x14ac:dyDescent="0.25">
      <c r="A906" t="str">
        <f t="shared" si="56"/>
        <v>2026-PA-PAT-97-630-2320</v>
      </c>
      <c r="B906" t="str">
        <f t="shared" si="57"/>
        <v>2026</v>
      </c>
      <c r="C906" s="18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8" t="s">
        <v>1590</v>
      </c>
      <c r="L906" s="21">
        <v>5.8</v>
      </c>
    </row>
    <row r="907" spans="1:12" x14ac:dyDescent="0.25">
      <c r="A907" t="str">
        <f t="shared" si="56"/>
        <v>2026-PA-PAT-115-705-2320</v>
      </c>
      <c r="B907" t="str">
        <f t="shared" si="57"/>
        <v>2026</v>
      </c>
      <c r="C907" s="18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8" t="s">
        <v>1590</v>
      </c>
      <c r="L907" s="21">
        <v>6.4</v>
      </c>
    </row>
    <row r="908" spans="1:12" x14ac:dyDescent="0.25">
      <c r="A908" t="str">
        <f t="shared" si="56"/>
        <v>2022-PH-IRI-192-909-2145</v>
      </c>
      <c r="B908" t="str">
        <f t="shared" si="57"/>
        <v>2022</v>
      </c>
      <c r="C908" s="18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8" t="s">
        <v>1597</v>
      </c>
      <c r="L908" s="21">
        <v>10.1</v>
      </c>
    </row>
    <row r="909" spans="1:12" x14ac:dyDescent="0.25">
      <c r="A909" t="str">
        <f t="shared" si="56"/>
        <v>2022-PH-IRI-181-855-2122</v>
      </c>
      <c r="B909" t="str">
        <f t="shared" si="57"/>
        <v>2022</v>
      </c>
      <c r="C909" s="18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8" t="s">
        <v>1599</v>
      </c>
      <c r="L909" s="21">
        <v>9.5500000000000007</v>
      </c>
    </row>
    <row r="910" spans="1:12" x14ac:dyDescent="0.25">
      <c r="A910" t="str">
        <f t="shared" si="56"/>
        <v>2022-PH-IRI-164-780-2100</v>
      </c>
      <c r="B910" t="str">
        <f t="shared" si="57"/>
        <v>2022</v>
      </c>
      <c r="C910" s="18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8" t="s">
        <v>1601</v>
      </c>
      <c r="L910" s="21">
        <v>9.1300000000000008</v>
      </c>
    </row>
    <row r="911" spans="1:12" x14ac:dyDescent="0.25">
      <c r="A911" t="str">
        <f t="shared" si="56"/>
        <v>2022-PH-IRI-181-855-2121</v>
      </c>
      <c r="B911" t="str">
        <f t="shared" si="57"/>
        <v>2022</v>
      </c>
      <c r="C911" s="18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8" t="s">
        <v>1603</v>
      </c>
      <c r="L911" s="21">
        <v>10.15</v>
      </c>
    </row>
    <row r="912" spans="1:12" x14ac:dyDescent="0.25">
      <c r="A912" t="str">
        <f t="shared" si="56"/>
        <v>2022-PH-IRI-164-780-2100</v>
      </c>
      <c r="B912" t="str">
        <f t="shared" si="57"/>
        <v>2022</v>
      </c>
      <c r="C912" s="18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8" t="s">
        <v>1605</v>
      </c>
      <c r="L912" s="21">
        <v>9.75</v>
      </c>
    </row>
    <row r="913" spans="1:12" x14ac:dyDescent="0.25">
      <c r="A913" t="str">
        <f t="shared" si="56"/>
        <v>2024-PH-INF-145-766-2070</v>
      </c>
      <c r="B913" t="str">
        <f t="shared" si="57"/>
        <v>2024</v>
      </c>
      <c r="C913" s="18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8" t="s">
        <v>1607</v>
      </c>
      <c r="L913" s="21">
        <v>8.44</v>
      </c>
    </row>
    <row r="914" spans="1:12" x14ac:dyDescent="0.25">
      <c r="A914" t="str">
        <f t="shared" si="56"/>
        <v>2024-PH-INF-171.7-861-2100</v>
      </c>
      <c r="B914" t="str">
        <f t="shared" si="57"/>
        <v>2024</v>
      </c>
      <c r="C914" s="18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8" t="s">
        <v>1609</v>
      </c>
      <c r="L914" s="21">
        <v>9.3000000000000007</v>
      </c>
    </row>
    <row r="915" spans="1:12" x14ac:dyDescent="0.25">
      <c r="A915" t="str">
        <f t="shared" si="56"/>
        <v>1999-RO-ROB-140-640-2720</v>
      </c>
      <c r="B915" t="str">
        <f t="shared" si="57"/>
        <v>1999</v>
      </c>
      <c r="C915" s="18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8" t="s">
        <v>793</v>
      </c>
      <c r="L915" s="21">
        <v>7</v>
      </c>
    </row>
    <row r="916" spans="1:12" x14ac:dyDescent="0.25">
      <c r="A916" t="str">
        <f t="shared" si="56"/>
        <v>1999-RO-ROB-150-710-2770</v>
      </c>
      <c r="B916" t="str">
        <f t="shared" si="57"/>
        <v>1999</v>
      </c>
      <c r="C916" s="18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8" t="s">
        <v>793</v>
      </c>
      <c r="L916" s="21">
        <v>7.3</v>
      </c>
    </row>
    <row r="917" spans="1:12" x14ac:dyDescent="0.25">
      <c r="A917" t="str">
        <f t="shared" si="56"/>
        <v>1999-RO-ROB-180-790-2800</v>
      </c>
      <c r="B917" t="str">
        <f t="shared" si="57"/>
        <v>1999</v>
      </c>
      <c r="C917" s="18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8" t="s">
        <v>793</v>
      </c>
      <c r="L917" s="21">
        <v>8</v>
      </c>
    </row>
    <row r="918" spans="1:12" x14ac:dyDescent="0.25">
      <c r="A918" t="str">
        <f t="shared" si="56"/>
        <v>99/0-RR-270-130-710-2690</v>
      </c>
      <c r="B918" t="str">
        <f t="shared" si="57"/>
        <v>99/0</v>
      </c>
      <c r="C918" s="18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8" t="s">
        <v>793</v>
      </c>
      <c r="L918" s="21">
        <v>6.8</v>
      </c>
    </row>
    <row r="919" spans="1:12" x14ac:dyDescent="0.25">
      <c r="A919" t="str">
        <f t="shared" si="56"/>
        <v>99/0-RR-280-140-770-2780</v>
      </c>
      <c r="B919" t="str">
        <f t="shared" si="57"/>
        <v>99/0</v>
      </c>
      <c r="C919" s="18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8" t="s">
        <v>793</v>
      </c>
      <c r="L919" s="21">
        <v>7.2</v>
      </c>
    </row>
    <row r="920" spans="1:12" x14ac:dyDescent="0.25">
      <c r="A920" t="str">
        <f t="shared" si="56"/>
        <v>98/9-RR-313-180-750-3090</v>
      </c>
      <c r="B920" t="str">
        <f t="shared" si="57"/>
        <v>98/9</v>
      </c>
      <c r="C920" s="18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8" t="s">
        <v>846</v>
      </c>
      <c r="L920" s="21">
        <v>7.8</v>
      </c>
    </row>
    <row r="921" spans="1:12" x14ac:dyDescent="0.25">
      <c r="A921" t="str">
        <f t="shared" si="56"/>
        <v>98/9-RR-270-108-580-2680</v>
      </c>
      <c r="B921" t="str">
        <f t="shared" si="57"/>
        <v>98/9</v>
      </c>
      <c r="C921" s="18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8" t="s">
        <v>846</v>
      </c>
      <c r="L921" s="21" t="s">
        <v>1620</v>
      </c>
    </row>
    <row r="922" spans="1:12" x14ac:dyDescent="0.25">
      <c r="A922" t="str">
        <f t="shared" si="56"/>
        <v>1999-RR-278-84-550-2750</v>
      </c>
      <c r="B922" t="str">
        <f t="shared" si="57"/>
        <v>1999</v>
      </c>
      <c r="C922" s="18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8" t="s">
        <v>793</v>
      </c>
      <c r="L922" s="21">
        <v>5.4</v>
      </c>
    </row>
    <row r="923" spans="1:12" x14ac:dyDescent="0.25">
      <c r="A923" t="str">
        <f t="shared" si="56"/>
        <v>2005-RR-SPI-90-563-2307</v>
      </c>
      <c r="B923" t="str">
        <f t="shared" si="57"/>
        <v>2005</v>
      </c>
      <c r="C923" s="18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8" t="s">
        <v>894</v>
      </c>
      <c r="L923" s="21">
        <v>5.7</v>
      </c>
    </row>
    <row r="924" spans="1:12" x14ac:dyDescent="0.25">
      <c r="A924" t="str">
        <f t="shared" si="56"/>
        <v>2005-RR-SPI-102-604-2309</v>
      </c>
      <c r="B924" t="str">
        <f t="shared" si="57"/>
        <v>2005</v>
      </c>
      <c r="C924" s="18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8" t="s">
        <v>894</v>
      </c>
      <c r="L924" s="21">
        <v>6</v>
      </c>
    </row>
    <row r="925" spans="1:12" x14ac:dyDescent="0.25">
      <c r="A925" t="str">
        <f t="shared" si="56"/>
        <v>2005-RR-SPI-116-640-2351</v>
      </c>
      <c r="B925" t="str">
        <f t="shared" si="57"/>
        <v>2005</v>
      </c>
      <c r="C925" s="18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8" t="s">
        <v>894</v>
      </c>
      <c r="L925" s="21">
        <v>6.3</v>
      </c>
    </row>
    <row r="926" spans="1:12" x14ac:dyDescent="0.25">
      <c r="A926" t="str">
        <f t="shared" si="56"/>
        <v>2005-RR-SPI-129-678-2349</v>
      </c>
      <c r="B926" t="str">
        <f t="shared" si="57"/>
        <v>2005</v>
      </c>
      <c r="C926" s="18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8" t="s">
        <v>894</v>
      </c>
      <c r="L926" s="21">
        <v>6.7</v>
      </c>
    </row>
    <row r="927" spans="1:12" x14ac:dyDescent="0.25">
      <c r="A927" t="str">
        <f t="shared" si="56"/>
        <v>2005-RR-SPI-149-730-2345</v>
      </c>
      <c r="B927" t="str">
        <f t="shared" si="57"/>
        <v>2005</v>
      </c>
      <c r="C927" s="18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8" t="s">
        <v>894</v>
      </c>
      <c r="L927" s="21">
        <v>7</v>
      </c>
    </row>
    <row r="928" spans="1:12" x14ac:dyDescent="0.25">
      <c r="A928" t="str">
        <f t="shared" si="56"/>
        <v>2008-RR-X-F-73-543-2260</v>
      </c>
      <c r="B928" t="str">
        <f t="shared" si="57"/>
        <v>2008</v>
      </c>
      <c r="C928" s="18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8" t="s">
        <v>819</v>
      </c>
      <c r="L928" s="21">
        <v>5</v>
      </c>
    </row>
    <row r="929" spans="1:12" x14ac:dyDescent="0.25">
      <c r="A929" t="str">
        <f t="shared" si="56"/>
        <v>2008-RR-X-F-79-596-2269</v>
      </c>
      <c r="B929" t="str">
        <f t="shared" si="57"/>
        <v>2008</v>
      </c>
      <c r="C929" s="18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8" t="s">
        <v>819</v>
      </c>
      <c r="L929" s="21">
        <v>5.5</v>
      </c>
    </row>
    <row r="930" spans="1:12" x14ac:dyDescent="0.25">
      <c r="A930" t="str">
        <f t="shared" si="56"/>
        <v>2008-RR-X-F-90-646-2265</v>
      </c>
      <c r="B930" t="str">
        <f t="shared" si="57"/>
        <v>2008</v>
      </c>
      <c r="C930" s="18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8" t="s">
        <v>819</v>
      </c>
      <c r="L930" s="21">
        <v>5.9</v>
      </c>
    </row>
    <row r="931" spans="1:12" x14ac:dyDescent="0.25">
      <c r="A931" t="str">
        <f t="shared" si="56"/>
        <v>2008-RR-X-F-103-697-2315</v>
      </c>
      <c r="B931" t="str">
        <f t="shared" si="57"/>
        <v>2008</v>
      </c>
      <c r="C931" s="18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8" t="s">
        <v>819</v>
      </c>
      <c r="L931" s="21">
        <v>6.2</v>
      </c>
    </row>
    <row r="932" spans="1:12" x14ac:dyDescent="0.25">
      <c r="A932" t="str">
        <f t="shared" si="56"/>
        <v>2008-RR-X-F-116-792-2360</v>
      </c>
      <c r="B932" t="str">
        <f t="shared" si="57"/>
        <v>2008</v>
      </c>
      <c r="C932" s="18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8" t="s">
        <v>819</v>
      </c>
      <c r="L932" s="21">
        <v>6.9</v>
      </c>
    </row>
    <row r="933" spans="1:12" x14ac:dyDescent="0.25">
      <c r="A933" t="str">
        <f t="shared" si="56"/>
        <v>2008-RR-X-F-128-847-2415</v>
      </c>
      <c r="B933" t="str">
        <f t="shared" si="57"/>
        <v>2008</v>
      </c>
      <c r="C933" s="18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8" t="s">
        <v>819</v>
      </c>
      <c r="L933" s="21">
        <v>7.5</v>
      </c>
    </row>
    <row r="934" spans="1:12" x14ac:dyDescent="0.25">
      <c r="A934" t="str">
        <f t="shared" si="56"/>
        <v>2009-RR-X-F-84-581-2380</v>
      </c>
      <c r="B934" t="str">
        <f t="shared" si="57"/>
        <v>2009</v>
      </c>
      <c r="C934" s="18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8" t="s">
        <v>824</v>
      </c>
      <c r="L934" s="21">
        <v>5.5</v>
      </c>
    </row>
    <row r="935" spans="1:12" x14ac:dyDescent="0.25">
      <c r="A935" t="str">
        <f t="shared" si="56"/>
        <v>2009-RR-X-F-98-641-2331</v>
      </c>
      <c r="B935" t="str">
        <f t="shared" si="57"/>
        <v>2009</v>
      </c>
      <c r="C935" s="18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8" t="s">
        <v>824</v>
      </c>
      <c r="L935" s="21">
        <v>5.9</v>
      </c>
    </row>
    <row r="936" spans="1:12" x14ac:dyDescent="0.25">
      <c r="A936" t="str">
        <f t="shared" si="56"/>
        <v>2009-RR-X-F-114-750-2280</v>
      </c>
      <c r="B936" t="str">
        <f t="shared" si="57"/>
        <v>2009</v>
      </c>
      <c r="C936" s="18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8" t="s">
        <v>824</v>
      </c>
      <c r="L936" s="21">
        <v>6.5</v>
      </c>
    </row>
    <row r="937" spans="1:12" x14ac:dyDescent="0.25">
      <c r="A937" t="str">
        <f t="shared" si="56"/>
        <v>2009-RR-X-F-126-841-2240</v>
      </c>
      <c r="B937" t="str">
        <f t="shared" si="57"/>
        <v>2009</v>
      </c>
      <c r="C937" s="18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8" t="s">
        <v>824</v>
      </c>
      <c r="L937" s="21">
        <v>7.3</v>
      </c>
    </row>
    <row r="938" spans="1:12" x14ac:dyDescent="0.25">
      <c r="A938" t="str">
        <f t="shared" si="56"/>
        <v>2009-RR-X-F-109-695-2350</v>
      </c>
      <c r="B938" t="str">
        <f t="shared" si="57"/>
        <v>2009</v>
      </c>
      <c r="C938" s="18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8" t="s">
        <v>824</v>
      </c>
      <c r="L938" s="21">
        <v>6.4</v>
      </c>
    </row>
    <row r="939" spans="1:12" x14ac:dyDescent="0.25">
      <c r="A939" t="str">
        <f t="shared" si="56"/>
        <v>2010-RR-X F-77-530-2344</v>
      </c>
      <c r="B939" t="str">
        <f t="shared" si="57"/>
        <v>2010</v>
      </c>
      <c r="C939" s="18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8" t="s">
        <v>842</v>
      </c>
      <c r="L939" s="21">
        <v>5.2</v>
      </c>
    </row>
    <row r="940" spans="1:12" x14ac:dyDescent="0.25">
      <c r="A940" t="str">
        <f t="shared" si="56"/>
        <v>2010-RR-X F-84-585-2396</v>
      </c>
      <c r="B940" t="str">
        <f t="shared" si="57"/>
        <v>2010</v>
      </c>
      <c r="C940" s="18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8" t="s">
        <v>842</v>
      </c>
      <c r="L940" s="21">
        <v>5.6</v>
      </c>
    </row>
    <row r="941" spans="1:12" x14ac:dyDescent="0.25">
      <c r="A941" t="str">
        <f t="shared" si="56"/>
        <v>2010-RR-X F-102-654-2346</v>
      </c>
      <c r="B941" t="str">
        <f t="shared" si="57"/>
        <v>2010</v>
      </c>
      <c r="C941" s="18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8" t="s">
        <v>842</v>
      </c>
      <c r="L941" s="21">
        <v>6</v>
      </c>
    </row>
    <row r="942" spans="1:12" x14ac:dyDescent="0.25">
      <c r="A942" t="str">
        <f t="shared" si="56"/>
        <v>2010-RR-X F-109-695-2350</v>
      </c>
      <c r="B942" t="str">
        <f t="shared" si="57"/>
        <v>2010</v>
      </c>
      <c r="C942" s="18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8" t="s">
        <v>842</v>
      </c>
      <c r="L942" s="21">
        <v>6.5</v>
      </c>
    </row>
    <row r="943" spans="1:12" x14ac:dyDescent="0.25">
      <c r="A943" t="str">
        <f t="shared" si="56"/>
        <v>2010-RR-X F-131-774-2296</v>
      </c>
      <c r="B943" t="str">
        <f t="shared" si="57"/>
        <v>2010</v>
      </c>
      <c r="C943" s="18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8" t="s">
        <v>842</v>
      </c>
      <c r="L943" s="21">
        <v>6.7</v>
      </c>
    </row>
    <row r="944" spans="1:12" x14ac:dyDescent="0.25">
      <c r="A944" t="str">
        <f t="shared" si="56"/>
        <v>2010-RR-X F-142-849-2295</v>
      </c>
      <c r="B944" t="str">
        <f t="shared" si="57"/>
        <v>2010</v>
      </c>
      <c r="C944" s="18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8" t="s">
        <v>842</v>
      </c>
      <c r="L944" s="21">
        <v>7</v>
      </c>
    </row>
    <row r="945" spans="1:12" x14ac:dyDescent="0.25">
      <c r="A945" t="str">
        <f t="shared" si="56"/>
        <v>2010-RR-Fir-98-648-2338</v>
      </c>
      <c r="B945" t="str">
        <f t="shared" si="57"/>
        <v>2010</v>
      </c>
      <c r="C945" s="18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8" t="s">
        <v>842</v>
      </c>
      <c r="L945" s="21">
        <v>6.9</v>
      </c>
    </row>
    <row r="946" spans="1:12" x14ac:dyDescent="0.25">
      <c r="A946" t="str">
        <f t="shared" si="56"/>
        <v>2010-RR-Fir-109-695-2300</v>
      </c>
      <c r="B946" t="str">
        <f t="shared" si="57"/>
        <v>2010</v>
      </c>
      <c r="C946" s="18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8" t="s">
        <v>842</v>
      </c>
      <c r="L946" s="21">
        <v>7.4</v>
      </c>
    </row>
    <row r="947" spans="1:12" x14ac:dyDescent="0.25">
      <c r="A947" t="str">
        <f t="shared" si="56"/>
        <v>2010-RR-Fir-114-750-2283</v>
      </c>
      <c r="B947" t="str">
        <f t="shared" si="57"/>
        <v>2010</v>
      </c>
      <c r="C947" s="18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8" t="s">
        <v>842</v>
      </c>
      <c r="L947" s="21">
        <v>7.6</v>
      </c>
    </row>
    <row r="948" spans="1:12" x14ac:dyDescent="0.25">
      <c r="A948" t="str">
        <f t="shared" si="56"/>
        <v>2010-RR-Fir-126-848-2242</v>
      </c>
      <c r="B948" t="str">
        <f t="shared" si="57"/>
        <v>2010</v>
      </c>
      <c r="C948" s="18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8" t="s">
        <v>842</v>
      </c>
      <c r="L948" s="21">
        <v>8.1</v>
      </c>
    </row>
    <row r="949" spans="1:12" x14ac:dyDescent="0.25">
      <c r="A949" t="str">
        <f t="shared" si="56"/>
        <v>2010-RR-Fir-84-570-2380</v>
      </c>
      <c r="B949" t="str">
        <f t="shared" si="57"/>
        <v>2010</v>
      </c>
      <c r="C949" s="18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8" t="s">
        <v>842</v>
      </c>
      <c r="L949" s="21">
        <v>6.9</v>
      </c>
    </row>
    <row r="950" spans="1:12" x14ac:dyDescent="0.25">
      <c r="A950" t="str">
        <f t="shared" si="56"/>
        <v>2010-RR-Fir-102-653-2332</v>
      </c>
      <c r="B950" t="str">
        <f t="shared" si="57"/>
        <v>2010</v>
      </c>
      <c r="C950" s="18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8" t="s">
        <v>842</v>
      </c>
      <c r="L950" s="21">
        <v>7.1</v>
      </c>
    </row>
    <row r="951" spans="1:12" x14ac:dyDescent="0.25">
      <c r="A951" t="str">
        <f t="shared" si="56"/>
        <v>2010-RR-Fir-109-695-2300</v>
      </c>
      <c r="B951" t="str">
        <f t="shared" si="57"/>
        <v>2010</v>
      </c>
      <c r="C951" s="18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8" t="s">
        <v>842</v>
      </c>
      <c r="L951" s="21">
        <v>7.4</v>
      </c>
    </row>
    <row r="952" spans="1:12" x14ac:dyDescent="0.25">
      <c r="A952" t="str">
        <f t="shared" si="56"/>
        <v>2010-RR-Fir-131-777-2283</v>
      </c>
      <c r="B952" t="str">
        <f t="shared" si="57"/>
        <v>2010</v>
      </c>
      <c r="C952" s="18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8" t="s">
        <v>842</v>
      </c>
      <c r="L952" s="21">
        <v>8.1999999999999993</v>
      </c>
    </row>
    <row r="953" spans="1:12" x14ac:dyDescent="0.25">
      <c r="A953" t="str">
        <f t="shared" si="56"/>
        <v>2010-RR-Fir-142-851-2284</v>
      </c>
      <c r="B953" t="str">
        <f t="shared" si="57"/>
        <v>2010</v>
      </c>
      <c r="C953" s="18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8" t="s">
        <v>842</v>
      </c>
      <c r="L953" s="21">
        <v>8.5</v>
      </c>
    </row>
    <row r="954" spans="1:12" x14ac:dyDescent="0.25">
      <c r="A954" t="str">
        <f t="shared" si="56"/>
        <v>2011-RR-X-F-77-530-2330</v>
      </c>
      <c r="B954" t="str">
        <f t="shared" si="57"/>
        <v>2011</v>
      </c>
      <c r="C954" s="18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8" t="s">
        <v>845</v>
      </c>
      <c r="L954" s="21">
        <v>5.4</v>
      </c>
    </row>
    <row r="955" spans="1:12" x14ac:dyDescent="0.25">
      <c r="A955" t="str">
        <f t="shared" si="56"/>
        <v>2011-RR-X-F-84-570-2380</v>
      </c>
      <c r="B955" t="str">
        <f t="shared" si="57"/>
        <v>2011</v>
      </c>
      <c r="C955" s="18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8" t="s">
        <v>845</v>
      </c>
      <c r="L955" s="21">
        <v>5.6</v>
      </c>
    </row>
    <row r="956" spans="1:12" x14ac:dyDescent="0.25">
      <c r="A956" t="str">
        <f t="shared" si="56"/>
        <v>2011-RR-X-F-102-654-2346</v>
      </c>
      <c r="B956" t="str">
        <f t="shared" si="57"/>
        <v>2011</v>
      </c>
      <c r="C956" s="18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8" t="s">
        <v>845</v>
      </c>
      <c r="L956" s="21">
        <v>6.2</v>
      </c>
    </row>
    <row r="957" spans="1:12" x14ac:dyDescent="0.25">
      <c r="A957" t="str">
        <f t="shared" si="56"/>
        <v>2011-RR-X-F-117-693-2332</v>
      </c>
      <c r="B957" t="str">
        <f t="shared" si="57"/>
        <v>2011</v>
      </c>
      <c r="C957" s="18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8" t="s">
        <v>845</v>
      </c>
      <c r="L957" s="21">
        <v>6.2</v>
      </c>
    </row>
    <row r="958" spans="1:12" x14ac:dyDescent="0.25">
      <c r="A958" t="str">
        <f t="shared" si="56"/>
        <v>2011-RR-X-F-121-791-2239</v>
      </c>
      <c r="B958" t="str">
        <f t="shared" si="57"/>
        <v>2011</v>
      </c>
      <c r="C958" s="18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8" t="s">
        <v>845</v>
      </c>
      <c r="L958" s="21">
        <v>6.5</v>
      </c>
    </row>
    <row r="959" spans="1:12" x14ac:dyDescent="0.25">
      <c r="A959" t="str">
        <f t="shared" si="56"/>
        <v>2011-RR-X-F-142-847-2239</v>
      </c>
      <c r="B959" t="str">
        <f t="shared" si="57"/>
        <v>2011</v>
      </c>
      <c r="C959" s="18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8" t="s">
        <v>845</v>
      </c>
      <c r="L959" s="21">
        <v>6.99</v>
      </c>
    </row>
    <row r="960" spans="1:12" x14ac:dyDescent="0.25">
      <c r="A960" t="str">
        <f t="shared" si="56"/>
        <v>2012-RR-X-F-84-570-2380</v>
      </c>
      <c r="B960" t="str">
        <f t="shared" si="57"/>
        <v>2012</v>
      </c>
      <c r="C960" s="18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8" t="s">
        <v>927</v>
      </c>
      <c r="L960" s="21">
        <v>5.6</v>
      </c>
    </row>
    <row r="961" spans="1:12" x14ac:dyDescent="0.25">
      <c r="A961" t="str">
        <f t="shared" si="56"/>
        <v>2012-RR-X-F-93-619-2337</v>
      </c>
      <c r="B961" t="str">
        <f t="shared" si="57"/>
        <v>2012</v>
      </c>
      <c r="C961" s="18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8" t="s">
        <v>927</v>
      </c>
      <c r="L961" s="21">
        <v>6</v>
      </c>
    </row>
    <row r="962" spans="1:12" x14ac:dyDescent="0.25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8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8" t="s">
        <v>927</v>
      </c>
      <c r="L962" s="21">
        <v>6.3</v>
      </c>
    </row>
    <row r="963" spans="1:12" x14ac:dyDescent="0.25">
      <c r="A963" t="str">
        <f t="shared" si="60"/>
        <v>2012-RR-X-F-117-699-2334</v>
      </c>
      <c r="B963" t="str">
        <f t="shared" si="61"/>
        <v>2012</v>
      </c>
      <c r="C963" s="18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8" t="s">
        <v>927</v>
      </c>
      <c r="L963" s="21">
        <v>6.32</v>
      </c>
    </row>
    <row r="964" spans="1:12" x14ac:dyDescent="0.25">
      <c r="A964" t="str">
        <f t="shared" si="60"/>
        <v>2012-RR-X-F-123-810-2270</v>
      </c>
      <c r="B964" t="str">
        <f t="shared" si="61"/>
        <v>2012</v>
      </c>
      <c r="C964" s="18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8" t="s">
        <v>927</v>
      </c>
      <c r="L964" s="21">
        <v>6.7</v>
      </c>
    </row>
    <row r="965" spans="1:12" x14ac:dyDescent="0.25">
      <c r="A965" t="str">
        <f t="shared" si="60"/>
        <v>2012-RR-X-F-134-850-2272</v>
      </c>
      <c r="B965" t="str">
        <f t="shared" si="61"/>
        <v>2012</v>
      </c>
      <c r="C965" s="18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8" t="s">
        <v>927</v>
      </c>
      <c r="L965" s="21">
        <v>7.25</v>
      </c>
    </row>
    <row r="966" spans="1:12" x14ac:dyDescent="0.25">
      <c r="A966" t="e">
        <f t="shared" si="60"/>
        <v>#VALUE!</v>
      </c>
      <c r="B966" t="str">
        <f t="shared" si="61"/>
        <v>2012</v>
      </c>
      <c r="C966" s="18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8" t="s">
        <v>927</v>
      </c>
      <c r="L966" s="21">
        <v>6.12</v>
      </c>
    </row>
    <row r="967" spans="1:12" x14ac:dyDescent="0.25">
      <c r="A967" t="str">
        <f t="shared" si="60"/>
        <v>2012-RR-Fir-102-654-2346</v>
      </c>
      <c r="B967" t="str">
        <f t="shared" si="61"/>
        <v>2012</v>
      </c>
      <c r="C967" s="18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8" t="s">
        <v>927</v>
      </c>
      <c r="L967" s="21">
        <v>6.95</v>
      </c>
    </row>
    <row r="968" spans="1:12" x14ac:dyDescent="0.25">
      <c r="A968" t="str">
        <f t="shared" si="60"/>
        <v>2012-RR-Fir-117-693-2332</v>
      </c>
      <c r="B968" t="str">
        <f t="shared" si="61"/>
        <v>2012</v>
      </c>
      <c r="C968" s="18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8" t="s">
        <v>927</v>
      </c>
      <c r="L968" s="21">
        <v>7.49</v>
      </c>
    </row>
    <row r="969" spans="1:12" x14ac:dyDescent="0.25">
      <c r="A969" t="str">
        <f t="shared" si="60"/>
        <v>2012-RR-Fir-121-791-2239</v>
      </c>
      <c r="B969" t="str">
        <f t="shared" si="61"/>
        <v>2012</v>
      </c>
      <c r="C969" s="18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8" t="s">
        <v>927</v>
      </c>
      <c r="L969" s="21">
        <v>7.96</v>
      </c>
    </row>
    <row r="970" spans="1:12" x14ac:dyDescent="0.25">
      <c r="A970" t="str">
        <f t="shared" si="60"/>
        <v>2012-RR-Fir-142-847-2239</v>
      </c>
      <c r="B970" t="str">
        <f t="shared" si="61"/>
        <v>2012</v>
      </c>
      <c r="C970" s="18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8" t="s">
        <v>927</v>
      </c>
      <c r="L970" s="21">
        <v>8.7100000000000009</v>
      </c>
    </row>
    <row r="971" spans="1:12" x14ac:dyDescent="0.25">
      <c r="A971" t="str">
        <f t="shared" si="60"/>
        <v>2013-RR-X-F-93-592-2332</v>
      </c>
      <c r="B971" t="str">
        <f t="shared" si="61"/>
        <v>2013</v>
      </c>
      <c r="C971" s="18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8" t="s">
        <v>927</v>
      </c>
      <c r="L971" s="21">
        <v>5.9</v>
      </c>
    </row>
    <row r="972" spans="1:12" x14ac:dyDescent="0.25">
      <c r="A972" t="str">
        <f t="shared" si="60"/>
        <v>2013-RR-X-F-93-619-2337</v>
      </c>
      <c r="B972" t="str">
        <f t="shared" si="61"/>
        <v>2013</v>
      </c>
      <c r="C972" s="18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8" t="s">
        <v>927</v>
      </c>
      <c r="L972" s="21">
        <v>6</v>
      </c>
    </row>
    <row r="973" spans="1:12" x14ac:dyDescent="0.25">
      <c r="A973" t="str">
        <f t="shared" si="60"/>
        <v>2013-RR-X-F-104-655-2340</v>
      </c>
      <c r="B973" t="str">
        <f t="shared" si="61"/>
        <v>2013</v>
      </c>
      <c r="C973" s="18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8" t="s">
        <v>927</v>
      </c>
      <c r="L973" s="21">
        <v>6.3</v>
      </c>
    </row>
    <row r="974" spans="1:12" x14ac:dyDescent="0.25">
      <c r="A974" t="str">
        <f t="shared" si="60"/>
        <v>2013-RR-X-F-119-700-2325</v>
      </c>
      <c r="B974" t="str">
        <f t="shared" si="61"/>
        <v>2013</v>
      </c>
      <c r="C974" s="18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8" t="s">
        <v>927</v>
      </c>
      <c r="L974" s="21">
        <v>6.3</v>
      </c>
    </row>
    <row r="975" spans="1:12" x14ac:dyDescent="0.25">
      <c r="A975" t="str">
        <f t="shared" si="60"/>
        <v>2013-RR-X-F-123-810-2260</v>
      </c>
      <c r="B975" t="str">
        <f t="shared" si="61"/>
        <v>2013</v>
      </c>
      <c r="C975" s="18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8" t="s">
        <v>927</v>
      </c>
      <c r="L975" s="21">
        <v>6.7</v>
      </c>
    </row>
    <row r="976" spans="1:12" x14ac:dyDescent="0.25">
      <c r="A976" t="str">
        <f t="shared" si="60"/>
        <v>2013-RR-X-F-138-850-2263</v>
      </c>
      <c r="B976" t="str">
        <f t="shared" si="61"/>
        <v>2013</v>
      </c>
      <c r="C976" s="18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8" t="s">
        <v>927</v>
      </c>
      <c r="L976" s="21">
        <v>7.25</v>
      </c>
    </row>
    <row r="977" spans="1:12" x14ac:dyDescent="0.25">
      <c r="A977" t="str">
        <f t="shared" si="60"/>
        <v>2014-RR-X-F-92.1-592-2332</v>
      </c>
      <c r="B977" t="str">
        <f t="shared" si="61"/>
        <v>2014</v>
      </c>
      <c r="C977" s="31" t="s">
        <v>731</v>
      </c>
      <c r="D977" s="30" t="s">
        <v>1614</v>
      </c>
      <c r="E977" s="30" t="s">
        <v>1678</v>
      </c>
      <c r="F977" s="30">
        <v>92.1</v>
      </c>
      <c r="G977">
        <f t="shared" si="62"/>
        <v>59</v>
      </c>
      <c r="H977">
        <f t="shared" si="63"/>
        <v>233</v>
      </c>
      <c r="I977" s="30">
        <v>592</v>
      </c>
      <c r="J977" s="30">
        <v>2332</v>
      </c>
      <c r="K977" s="31" t="s">
        <v>731</v>
      </c>
      <c r="L977" s="32">
        <v>5.9</v>
      </c>
    </row>
    <row r="978" spans="1:12" x14ac:dyDescent="0.25">
      <c r="A978" t="str">
        <f t="shared" si="60"/>
        <v>2014-RR-X-F-92.6-619-2337</v>
      </c>
      <c r="B978" t="str">
        <f t="shared" si="61"/>
        <v>2014</v>
      </c>
      <c r="C978" s="18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8" t="s">
        <v>731</v>
      </c>
      <c r="L978" s="21">
        <v>6</v>
      </c>
    </row>
    <row r="979" spans="1:12" x14ac:dyDescent="0.25">
      <c r="A979" t="str">
        <f t="shared" si="60"/>
        <v>2014-RR-X-F-107-650-2347</v>
      </c>
      <c r="B979" t="str">
        <f t="shared" si="61"/>
        <v>2014</v>
      </c>
      <c r="C979" s="18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8" t="s">
        <v>731</v>
      </c>
      <c r="L979" s="21">
        <v>6.5</v>
      </c>
    </row>
    <row r="980" spans="1:12" x14ac:dyDescent="0.25">
      <c r="A980" t="str">
        <f t="shared" si="60"/>
        <v>2014-RR-X-F-119-700-2325</v>
      </c>
      <c r="B980" t="str">
        <f t="shared" si="61"/>
        <v>2014</v>
      </c>
      <c r="C980" s="18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8" t="s">
        <v>731</v>
      </c>
      <c r="L980" s="21">
        <v>6.3</v>
      </c>
    </row>
    <row r="981" spans="1:12" x14ac:dyDescent="0.25">
      <c r="A981" t="str">
        <f t="shared" si="60"/>
        <v>2014-RR-X-F-123-810-2260</v>
      </c>
      <c r="B981" t="str">
        <f t="shared" si="61"/>
        <v>2014</v>
      </c>
      <c r="C981" s="18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8" t="s">
        <v>731</v>
      </c>
      <c r="L981" s="21">
        <v>6.7</v>
      </c>
    </row>
    <row r="982" spans="1:12" x14ac:dyDescent="0.25">
      <c r="A982" t="str">
        <f t="shared" si="60"/>
        <v>2014-RR-X-F-139-850-2263</v>
      </c>
      <c r="B982" t="str">
        <f t="shared" si="61"/>
        <v>2014</v>
      </c>
      <c r="C982" s="18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8" t="s">
        <v>731</v>
      </c>
      <c r="L982" s="21">
        <v>7.4</v>
      </c>
    </row>
    <row r="983" spans="1:12" x14ac:dyDescent="0.25">
      <c r="A983" t="str">
        <f t="shared" si="60"/>
        <v>2015-RR-X-F-77-530-2330</v>
      </c>
      <c r="B983" t="str">
        <f t="shared" si="61"/>
        <v>2015</v>
      </c>
      <c r="C983" s="18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8" t="s">
        <v>1685</v>
      </c>
      <c r="L983" s="21">
        <v>5.4</v>
      </c>
    </row>
    <row r="984" spans="1:12" x14ac:dyDescent="0.25">
      <c r="A984" t="str">
        <f t="shared" si="60"/>
        <v>2015-RR-X-F-90-582-2334</v>
      </c>
      <c r="B984" t="str">
        <f t="shared" si="61"/>
        <v>2015</v>
      </c>
      <c r="C984" s="18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8" t="s">
        <v>1685</v>
      </c>
      <c r="L984" s="21">
        <v>5.7</v>
      </c>
    </row>
    <row r="985" spans="1:12" x14ac:dyDescent="0.25">
      <c r="A985" t="str">
        <f t="shared" si="60"/>
        <v>2015-RR-X-F-97-620-2336</v>
      </c>
      <c r="B985" t="str">
        <f t="shared" si="61"/>
        <v>2015</v>
      </c>
      <c r="C985" s="18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8" t="s">
        <v>1685</v>
      </c>
      <c r="L985" s="21">
        <v>6.13</v>
      </c>
    </row>
    <row r="986" spans="1:12" x14ac:dyDescent="0.25">
      <c r="A986" t="str">
        <f t="shared" si="60"/>
        <v>2015-RR-X-F-107-650-2347</v>
      </c>
      <c r="B986" t="str">
        <f t="shared" si="61"/>
        <v>2015</v>
      </c>
      <c r="C986" s="18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8" t="s">
        <v>1685</v>
      </c>
      <c r="L986" s="21">
        <v>6.59</v>
      </c>
    </row>
    <row r="987" spans="1:12" x14ac:dyDescent="0.25">
      <c r="A987" t="str">
        <f t="shared" si="60"/>
        <v>2015-RR-X-F-119-699-2335</v>
      </c>
      <c r="B987" t="str">
        <f t="shared" si="61"/>
        <v>2015</v>
      </c>
      <c r="C987" s="18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8" t="s">
        <v>1685</v>
      </c>
      <c r="L987" s="21">
        <v>6.39</v>
      </c>
    </row>
    <row r="988" spans="1:12" x14ac:dyDescent="0.25">
      <c r="A988" t="str">
        <f t="shared" si="60"/>
        <v>2015-RR-X-F-133-805-2265</v>
      </c>
      <c r="B988" t="str">
        <f t="shared" si="61"/>
        <v>2015</v>
      </c>
      <c r="C988" s="18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8" t="s">
        <v>1685</v>
      </c>
      <c r="L988" s="21">
        <v>7.18</v>
      </c>
    </row>
    <row r="989" spans="1:12" x14ac:dyDescent="0.25">
      <c r="A989" t="str">
        <f t="shared" si="60"/>
        <v>2015-RR-X-F-143-850-2263</v>
      </c>
      <c r="B989" t="str">
        <f t="shared" si="61"/>
        <v>2015</v>
      </c>
      <c r="C989" s="18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8" t="s">
        <v>1685</v>
      </c>
      <c r="L989" s="21">
        <v>7.59</v>
      </c>
    </row>
    <row r="990" spans="1:12" x14ac:dyDescent="0.25">
      <c r="A990" t="str">
        <f t="shared" si="60"/>
        <v>2015-RR-X-F-77-530-2330</v>
      </c>
      <c r="B990" t="str">
        <f t="shared" si="61"/>
        <v>2015</v>
      </c>
      <c r="C990" s="18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8" t="s">
        <v>1685</v>
      </c>
      <c r="L990" s="21">
        <v>5.6</v>
      </c>
    </row>
    <row r="991" spans="1:12" x14ac:dyDescent="0.25">
      <c r="A991" t="str">
        <f t="shared" si="60"/>
        <v>2015-RR-X-F-90-582-2334</v>
      </c>
      <c r="B991" t="str">
        <f t="shared" si="61"/>
        <v>2015</v>
      </c>
      <c r="C991" s="18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8" t="s">
        <v>1685</v>
      </c>
      <c r="L991" s="21">
        <v>6.23</v>
      </c>
    </row>
    <row r="992" spans="1:12" x14ac:dyDescent="0.25">
      <c r="A992" t="str">
        <f t="shared" si="60"/>
        <v>2015-RR-X-F-97-620-2336</v>
      </c>
      <c r="B992" t="str">
        <f t="shared" si="61"/>
        <v>2015</v>
      </c>
      <c r="C992" s="18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8" t="s">
        <v>1685</v>
      </c>
      <c r="L992" s="21">
        <v>6.4</v>
      </c>
    </row>
    <row r="993" spans="1:12" x14ac:dyDescent="0.25">
      <c r="A993" t="str">
        <f t="shared" si="60"/>
        <v>2015-RR-X-F-107-650-2347</v>
      </c>
      <c r="B993" t="str">
        <f t="shared" si="61"/>
        <v>2015</v>
      </c>
      <c r="C993" s="18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8" t="s">
        <v>1685</v>
      </c>
      <c r="L993" s="21">
        <v>6.7</v>
      </c>
    </row>
    <row r="994" spans="1:12" x14ac:dyDescent="0.25">
      <c r="A994" t="str">
        <f t="shared" si="60"/>
        <v>2015-RR-X-F-119-699-2335</v>
      </c>
      <c r="B994" t="str">
        <f t="shared" si="61"/>
        <v>2015</v>
      </c>
      <c r="C994" s="18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8" t="s">
        <v>1685</v>
      </c>
      <c r="L994" s="21">
        <v>7.36</v>
      </c>
    </row>
    <row r="995" spans="1:12" x14ac:dyDescent="0.25">
      <c r="A995" t="str">
        <f t="shared" si="60"/>
        <v>2015-RR-X-F-133-805-2265</v>
      </c>
      <c r="B995" t="str">
        <f t="shared" si="61"/>
        <v>2015</v>
      </c>
      <c r="C995" s="18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8" t="s">
        <v>1685</v>
      </c>
      <c r="L995" s="21">
        <v>7.8</v>
      </c>
    </row>
    <row r="996" spans="1:12" x14ac:dyDescent="0.25">
      <c r="A996" t="str">
        <f t="shared" si="60"/>
        <v>2015-RR-X-F-143-850-2263</v>
      </c>
      <c r="B996" t="str">
        <f t="shared" si="61"/>
        <v>2015</v>
      </c>
      <c r="C996" s="18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8" t="s">
        <v>1685</v>
      </c>
      <c r="L996" s="21">
        <v>8.6999999999999993</v>
      </c>
    </row>
    <row r="997" spans="1:12" x14ac:dyDescent="0.25">
      <c r="A997" t="str">
        <f t="shared" si="60"/>
        <v>2016-RR-X-F-90-583-2346</v>
      </c>
      <c r="B997" t="str">
        <f t="shared" si="61"/>
        <v>2016</v>
      </c>
      <c r="C997" s="18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8" t="s">
        <v>1700</v>
      </c>
      <c r="L997" s="21">
        <v>5.79</v>
      </c>
    </row>
    <row r="998" spans="1:12" x14ac:dyDescent="0.25">
      <c r="A998" t="str">
        <f t="shared" si="60"/>
        <v>2016-RR-X-F-101-624-2346</v>
      </c>
      <c r="B998" t="str">
        <f t="shared" si="61"/>
        <v>2016</v>
      </c>
      <c r="C998" s="18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8" t="s">
        <v>1700</v>
      </c>
      <c r="L998" s="21">
        <v>6.2</v>
      </c>
    </row>
    <row r="999" spans="1:12" x14ac:dyDescent="0.25">
      <c r="A999" t="str">
        <f t="shared" si="60"/>
        <v>2016-RR-X-F-116-687-2346</v>
      </c>
      <c r="B999" t="str">
        <f t="shared" si="61"/>
        <v>2016</v>
      </c>
      <c r="C999" s="18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8" t="s">
        <v>1700</v>
      </c>
      <c r="L999" s="21">
        <v>6.7</v>
      </c>
    </row>
    <row r="1000" spans="1:12" x14ac:dyDescent="0.25">
      <c r="A1000" t="str">
        <f t="shared" si="60"/>
        <v>2016-RR-X-F-123-702-2347</v>
      </c>
      <c r="B1000" t="str">
        <f t="shared" si="61"/>
        <v>2016</v>
      </c>
      <c r="C1000" s="18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8" t="s">
        <v>1700</v>
      </c>
      <c r="L1000" s="21">
        <v>6.4</v>
      </c>
    </row>
    <row r="1001" spans="1:12" x14ac:dyDescent="0.25">
      <c r="A1001" t="str">
        <f t="shared" si="60"/>
        <v>2016-RR-X-F-139-813-2276</v>
      </c>
      <c r="B1001" t="str">
        <f t="shared" si="61"/>
        <v>2016</v>
      </c>
      <c r="C1001" s="18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8" t="s">
        <v>1700</v>
      </c>
      <c r="L1001" s="21">
        <v>7.2</v>
      </c>
    </row>
    <row r="1002" spans="1:12" x14ac:dyDescent="0.25">
      <c r="A1002" t="str">
        <f t="shared" si="60"/>
        <v>2016-RR-X-F-146-849-2280</v>
      </c>
      <c r="B1002" t="str">
        <f t="shared" si="61"/>
        <v>2016</v>
      </c>
      <c r="C1002" s="18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8" t="s">
        <v>1700</v>
      </c>
      <c r="L1002" s="21">
        <v>7.7</v>
      </c>
    </row>
    <row r="1003" spans="1:12" x14ac:dyDescent="0.25">
      <c r="A1003" t="str">
        <f t="shared" si="60"/>
        <v>2016-RR-X-F-101-624-2346</v>
      </c>
      <c r="B1003" t="str">
        <f t="shared" si="61"/>
        <v>2016</v>
      </c>
      <c r="C1003" s="18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8" t="s">
        <v>1700</v>
      </c>
      <c r="L1003" s="21">
        <v>6.7</v>
      </c>
    </row>
    <row r="1004" spans="1:12" x14ac:dyDescent="0.25">
      <c r="A1004" t="str">
        <f t="shared" si="60"/>
        <v>2016-RR-X-F-116-687-2346</v>
      </c>
      <c r="B1004" t="str">
        <f t="shared" si="61"/>
        <v>2016</v>
      </c>
      <c r="C1004" s="18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8" t="s">
        <v>1700</v>
      </c>
      <c r="L1004" s="21">
        <v>7.3</v>
      </c>
    </row>
    <row r="1005" spans="1:12" x14ac:dyDescent="0.25">
      <c r="A1005" t="str">
        <f t="shared" si="60"/>
        <v>2016-RR-X-F-123-702-2347</v>
      </c>
      <c r="B1005" t="str">
        <f t="shared" si="61"/>
        <v>2016</v>
      </c>
      <c r="C1005" s="18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8" t="s">
        <v>1700</v>
      </c>
      <c r="L1005" s="21">
        <v>7</v>
      </c>
    </row>
    <row r="1006" spans="1:12" x14ac:dyDescent="0.25">
      <c r="A1006" t="str">
        <f t="shared" si="60"/>
        <v>2016-RR-X-F-139-813-2276</v>
      </c>
      <c r="B1006" t="str">
        <f t="shared" si="61"/>
        <v>2016</v>
      </c>
      <c r="C1006" s="18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8" t="s">
        <v>1700</v>
      </c>
      <c r="L1006" s="21">
        <v>8</v>
      </c>
    </row>
    <row r="1007" spans="1:12" x14ac:dyDescent="0.25">
      <c r="A1007" t="str">
        <f t="shared" si="60"/>
        <v>2016-RR-FIR-100-648-2341</v>
      </c>
      <c r="B1007" t="str">
        <f t="shared" si="61"/>
        <v>2016</v>
      </c>
      <c r="C1007" s="18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8" t="s">
        <v>1700</v>
      </c>
      <c r="L1007" s="21">
        <v>6.5</v>
      </c>
    </row>
    <row r="1008" spans="1:12" x14ac:dyDescent="0.25">
      <c r="A1008" t="str">
        <f t="shared" si="60"/>
        <v>2016-RR-FIR-122-748-2342</v>
      </c>
      <c r="B1008" t="str">
        <f t="shared" si="61"/>
        <v>2016</v>
      </c>
      <c r="C1008" s="18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8" t="s">
        <v>1700</v>
      </c>
      <c r="L1008" s="21">
        <v>7.3</v>
      </c>
    </row>
    <row r="1009" spans="1:12" x14ac:dyDescent="0.25">
      <c r="A1009" t="str">
        <f t="shared" si="60"/>
        <v>2016-RR-FIR-109-698-2342</v>
      </c>
      <c r="B1009" t="str">
        <f t="shared" si="61"/>
        <v>2016</v>
      </c>
      <c r="C1009" s="18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8" t="s">
        <v>1700</v>
      </c>
      <c r="L1009" s="21">
        <v>6.8</v>
      </c>
    </row>
    <row r="1010" spans="1:12" x14ac:dyDescent="0.25">
      <c r="A1010" t="str">
        <f t="shared" si="60"/>
        <v>2016-RR-FIR-101-648-2341</v>
      </c>
      <c r="B1010" t="str">
        <f t="shared" si="61"/>
        <v>2016</v>
      </c>
      <c r="C1010" s="18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8" t="s">
        <v>1700</v>
      </c>
      <c r="L1010" s="21">
        <v>7</v>
      </c>
    </row>
    <row r="1011" spans="1:12" x14ac:dyDescent="0.25">
      <c r="A1011" t="str">
        <f t="shared" si="60"/>
        <v>2016-RR-FIR-122-748-2342</v>
      </c>
      <c r="B1011" t="str">
        <f t="shared" si="61"/>
        <v>2016</v>
      </c>
      <c r="C1011" s="18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8" t="s">
        <v>1700</v>
      </c>
      <c r="L1011" s="21">
        <v>7.8</v>
      </c>
    </row>
    <row r="1012" spans="1:12" x14ac:dyDescent="0.25">
      <c r="A1012" t="str">
        <f t="shared" si="60"/>
        <v>2016-RR-FIR-109-698-2342</v>
      </c>
      <c r="B1012" t="str">
        <f t="shared" si="61"/>
        <v>2016</v>
      </c>
      <c r="C1012" s="18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8" t="s">
        <v>1700</v>
      </c>
      <c r="L1012" s="21">
        <v>7.4</v>
      </c>
    </row>
    <row r="1013" spans="1:12" x14ac:dyDescent="0.25">
      <c r="A1013" t="str">
        <f t="shared" si="60"/>
        <v>2017-RR-X-F-90-583-2346</v>
      </c>
      <c r="B1013" t="str">
        <f t="shared" si="61"/>
        <v>2017</v>
      </c>
      <c r="C1013" s="18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8" t="s">
        <v>1717</v>
      </c>
      <c r="L1013" s="21">
        <v>5.7</v>
      </c>
    </row>
    <row r="1014" spans="1:12" x14ac:dyDescent="0.25">
      <c r="A1014" t="str">
        <f t="shared" si="60"/>
        <v>2017-RR-X-F-100-623-2345</v>
      </c>
      <c r="B1014" t="str">
        <f t="shared" si="61"/>
        <v>2017</v>
      </c>
      <c r="C1014" s="18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8" t="s">
        <v>1717</v>
      </c>
      <c r="L1014" s="21">
        <v>6.2</v>
      </c>
    </row>
    <row r="1015" spans="1:12" x14ac:dyDescent="0.25">
      <c r="A1015" t="str">
        <f t="shared" si="60"/>
        <v>2017-RR-X-F-108-703-2320</v>
      </c>
      <c r="B1015" t="str">
        <f t="shared" si="61"/>
        <v>2017</v>
      </c>
      <c r="C1015" s="18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8" t="s">
        <v>1717</v>
      </c>
      <c r="L1015" s="21">
        <v>6.7</v>
      </c>
    </row>
    <row r="1016" spans="1:12" x14ac:dyDescent="0.25">
      <c r="A1016" t="str">
        <f t="shared" si="60"/>
        <v>2017-RR-X-F-114-712-2317</v>
      </c>
      <c r="B1016" t="str">
        <f t="shared" si="61"/>
        <v>2017</v>
      </c>
      <c r="C1016" s="18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8" t="s">
        <v>1717</v>
      </c>
      <c r="L1016" s="21">
        <v>6.4</v>
      </c>
    </row>
    <row r="1017" spans="1:12" x14ac:dyDescent="0.25">
      <c r="A1017" t="str">
        <f t="shared" si="60"/>
        <v>2017-RR-X-F-132-835-2277</v>
      </c>
      <c r="B1017" t="str">
        <f t="shared" si="61"/>
        <v>2017</v>
      </c>
      <c r="C1017" s="18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8" t="s">
        <v>1722</v>
      </c>
      <c r="L1017" s="21">
        <v>7.2</v>
      </c>
    </row>
    <row r="1018" spans="1:12" x14ac:dyDescent="0.25">
      <c r="A1018" t="str">
        <f t="shared" si="60"/>
        <v>2017-RR-X-F-139-850-2282</v>
      </c>
      <c r="B1018" t="str">
        <f t="shared" si="61"/>
        <v>2017</v>
      </c>
      <c r="C1018" s="18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8" t="s">
        <v>1717</v>
      </c>
      <c r="L1018" s="21">
        <v>7.7</v>
      </c>
    </row>
    <row r="1019" spans="1:12" x14ac:dyDescent="0.25">
      <c r="A1019" t="str">
        <f t="shared" si="60"/>
        <v>2017-RR-FIR-100-648-2341</v>
      </c>
      <c r="B1019" t="str">
        <f t="shared" si="61"/>
        <v>2017</v>
      </c>
      <c r="C1019" s="18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8" t="s">
        <v>1717</v>
      </c>
      <c r="L1019" s="21">
        <v>6.5</v>
      </c>
    </row>
    <row r="1020" spans="1:12" x14ac:dyDescent="0.25">
      <c r="A1020" t="str">
        <f t="shared" si="60"/>
        <v>2017-RR-FIR-100-648-2341</v>
      </c>
      <c r="B1020" t="str">
        <f t="shared" si="61"/>
        <v>2017</v>
      </c>
      <c r="C1020" s="18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8" t="s">
        <v>1717</v>
      </c>
      <c r="L1020" s="21">
        <v>7.4</v>
      </c>
    </row>
    <row r="1021" spans="1:12" x14ac:dyDescent="0.25">
      <c r="A1021" t="str">
        <f t="shared" si="60"/>
        <v>2017-RR-FIR-109-698-2342</v>
      </c>
      <c r="B1021" t="str">
        <f t="shared" si="61"/>
        <v>2017</v>
      </c>
      <c r="C1021" s="18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8" t="s">
        <v>1717</v>
      </c>
      <c r="L1021" s="21">
        <v>6.8</v>
      </c>
    </row>
    <row r="1022" spans="1:12" x14ac:dyDescent="0.25">
      <c r="A1022" t="str">
        <f t="shared" si="60"/>
        <v>2017-RR-FIR-109-698-2342</v>
      </c>
      <c r="B1022" t="str">
        <f t="shared" si="61"/>
        <v>2017</v>
      </c>
      <c r="C1022" s="18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8" t="s">
        <v>1717</v>
      </c>
      <c r="L1022" s="21">
        <v>8.4</v>
      </c>
    </row>
    <row r="1023" spans="1:12" x14ac:dyDescent="0.25">
      <c r="A1023" t="str">
        <f t="shared" si="60"/>
        <v>2017-RR-FIR-122-748-2342</v>
      </c>
      <c r="B1023" t="str">
        <f t="shared" si="61"/>
        <v>2017</v>
      </c>
      <c r="C1023" s="18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8" t="s">
        <v>1717</v>
      </c>
      <c r="L1023" s="21">
        <v>7.3</v>
      </c>
    </row>
    <row r="1024" spans="1:12" x14ac:dyDescent="0.25">
      <c r="A1024" t="str">
        <f t="shared" si="60"/>
        <v>2017-RR-FIR-122-748-2342</v>
      </c>
      <c r="B1024" t="str">
        <f t="shared" si="61"/>
        <v>2017</v>
      </c>
      <c r="C1024" s="18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8" t="s">
        <v>1717</v>
      </c>
      <c r="L1024" s="21">
        <v>9.4</v>
      </c>
    </row>
    <row r="1025" spans="1:12" x14ac:dyDescent="0.25">
      <c r="A1025" t="str">
        <f t="shared" si="60"/>
        <v>2018-RR-X-F-77-530-2344</v>
      </c>
      <c r="B1025" t="str">
        <f t="shared" si="61"/>
        <v>2018</v>
      </c>
      <c r="C1025" s="18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8" t="s">
        <v>1731</v>
      </c>
      <c r="L1025" s="21">
        <v>5.4</v>
      </c>
    </row>
    <row r="1026" spans="1:12" x14ac:dyDescent="0.25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8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8" t="s">
        <v>1731</v>
      </c>
      <c r="L1026" s="21">
        <v>5.4</v>
      </c>
    </row>
    <row r="1027" spans="1:12" x14ac:dyDescent="0.25">
      <c r="A1027" t="str">
        <f t="shared" si="64"/>
        <v>2018-RR-X-F-101-623-2345</v>
      </c>
      <c r="B1027" t="str">
        <f t="shared" si="65"/>
        <v>2018</v>
      </c>
      <c r="C1027" s="18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8" t="s">
        <v>1731</v>
      </c>
      <c r="L1027" s="21">
        <v>6.1</v>
      </c>
    </row>
    <row r="1028" spans="1:12" x14ac:dyDescent="0.25">
      <c r="A1028" t="str">
        <f t="shared" si="64"/>
        <v>2018-RR-X-F-110-703-2320</v>
      </c>
      <c r="B1028" t="str">
        <f t="shared" si="65"/>
        <v>2018</v>
      </c>
      <c r="C1028" s="18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8" t="s">
        <v>1731</v>
      </c>
      <c r="L1028" s="21">
        <v>6.1</v>
      </c>
    </row>
    <row r="1029" spans="1:12" x14ac:dyDescent="0.25">
      <c r="A1029" t="str">
        <f t="shared" si="64"/>
        <v>2018-RR-X-F-117-712-2317</v>
      </c>
      <c r="B1029" t="str">
        <f t="shared" si="65"/>
        <v>2018</v>
      </c>
      <c r="C1029" s="18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8" t="s">
        <v>1731</v>
      </c>
      <c r="L1029" s="21">
        <v>6.4</v>
      </c>
    </row>
    <row r="1030" spans="1:12" x14ac:dyDescent="0.25">
      <c r="A1030" t="str">
        <f t="shared" si="64"/>
        <v>2018-RR-X-F-139-835-2272</v>
      </c>
      <c r="B1030" t="str">
        <f t="shared" si="65"/>
        <v>2018</v>
      </c>
      <c r="C1030" s="18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8" t="s">
        <v>1731</v>
      </c>
      <c r="L1030" s="21">
        <v>6</v>
      </c>
    </row>
    <row r="1031" spans="1:12" x14ac:dyDescent="0.25">
      <c r="A1031" t="str">
        <f t="shared" si="64"/>
        <v>2018-RR-X-F-150-845-2278</v>
      </c>
      <c r="B1031" t="str">
        <f t="shared" si="65"/>
        <v>2018</v>
      </c>
      <c r="C1031" s="18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8" t="s">
        <v>1731</v>
      </c>
      <c r="L1031" s="21">
        <v>6.1</v>
      </c>
    </row>
    <row r="1032" spans="1:12" x14ac:dyDescent="0.25">
      <c r="A1032" t="str">
        <f t="shared" si="64"/>
        <v>2019-RR-X-F-77-530-2344</v>
      </c>
      <c r="B1032" t="str">
        <f t="shared" si="65"/>
        <v>2019</v>
      </c>
      <c r="C1032" s="18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8" t="s">
        <v>1739</v>
      </c>
      <c r="L1032" s="21">
        <v>5.4</v>
      </c>
    </row>
    <row r="1033" spans="1:12" x14ac:dyDescent="0.25">
      <c r="A1033" t="str">
        <f t="shared" si="64"/>
        <v>2019-RR-X-F-92-593-2324</v>
      </c>
      <c r="B1033" t="str">
        <f t="shared" si="65"/>
        <v>2019</v>
      </c>
      <c r="C1033" s="18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8" t="s">
        <v>1741</v>
      </c>
      <c r="L1033" s="21">
        <v>5.4</v>
      </c>
    </row>
    <row r="1034" spans="1:12" x14ac:dyDescent="0.25">
      <c r="A1034" t="str">
        <f t="shared" si="64"/>
        <v>2019-RR-X-F-101-623-2345</v>
      </c>
      <c r="B1034" t="str">
        <f t="shared" si="65"/>
        <v>2019</v>
      </c>
      <c r="C1034" s="18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8" t="s">
        <v>1741</v>
      </c>
      <c r="L1034" s="21">
        <v>6.1</v>
      </c>
    </row>
    <row r="1035" spans="1:12" x14ac:dyDescent="0.25">
      <c r="A1035" t="str">
        <f t="shared" si="64"/>
        <v>2019-RR-X-F-110-703-2320</v>
      </c>
      <c r="B1035" t="str">
        <f t="shared" si="65"/>
        <v>2019</v>
      </c>
      <c r="C1035" s="18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8" t="s">
        <v>1741</v>
      </c>
      <c r="L1035" s="21">
        <v>6.1</v>
      </c>
    </row>
    <row r="1036" spans="1:12" x14ac:dyDescent="0.25">
      <c r="A1036" t="str">
        <f t="shared" si="64"/>
        <v>2019-RR-X-F-118-712-2317</v>
      </c>
      <c r="B1036" t="str">
        <f t="shared" si="65"/>
        <v>2019</v>
      </c>
      <c r="C1036" s="18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8" t="s">
        <v>1741</v>
      </c>
      <c r="L1036" s="21">
        <v>6.4</v>
      </c>
    </row>
    <row r="1037" spans="1:12" x14ac:dyDescent="0.25">
      <c r="A1037" t="str">
        <f t="shared" si="64"/>
        <v>2019-RR-X-F-122-750-2308</v>
      </c>
      <c r="B1037" t="str">
        <f t="shared" si="65"/>
        <v>2019</v>
      </c>
      <c r="C1037" s="18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8" t="s">
        <v>1741</v>
      </c>
      <c r="L1037" s="21">
        <v>6</v>
      </c>
    </row>
    <row r="1038" spans="1:12" x14ac:dyDescent="0.25">
      <c r="A1038" t="str">
        <f t="shared" si="64"/>
        <v>2019-RR-X-F-131-835-2267</v>
      </c>
      <c r="B1038" t="str">
        <f t="shared" si="65"/>
        <v>2019</v>
      </c>
      <c r="C1038" s="18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8" t="s">
        <v>1741</v>
      </c>
      <c r="L1038" s="21">
        <v>6</v>
      </c>
    </row>
    <row r="1039" spans="1:12" x14ac:dyDescent="0.25">
      <c r="A1039" t="str">
        <f t="shared" si="64"/>
        <v>2019-RR-X-F-138-847-2282</v>
      </c>
      <c r="B1039" t="str">
        <f t="shared" si="65"/>
        <v>2019</v>
      </c>
      <c r="C1039" s="18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8" t="s">
        <v>1741</v>
      </c>
      <c r="L1039" s="21">
        <v>6.1</v>
      </c>
    </row>
    <row r="1040" spans="1:12" x14ac:dyDescent="0.25">
      <c r="A1040" t="str">
        <f t="shared" si="64"/>
        <v>2019-RR-H-F-161-911-2244</v>
      </c>
      <c r="B1040" t="str">
        <f t="shared" si="65"/>
        <v>2019</v>
      </c>
      <c r="C1040" s="18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8" t="s">
        <v>1741</v>
      </c>
      <c r="L1040" s="21">
        <v>9</v>
      </c>
    </row>
    <row r="1041" spans="1:12" x14ac:dyDescent="0.25">
      <c r="A1041" t="str">
        <f t="shared" si="64"/>
        <v>2020-RR-X-F-92-593-2324</v>
      </c>
      <c r="B1041" t="str">
        <f t="shared" si="65"/>
        <v>2020</v>
      </c>
      <c r="C1041" s="18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8" t="s">
        <v>860</v>
      </c>
      <c r="L1041" s="21">
        <v>6.4</v>
      </c>
    </row>
    <row r="1042" spans="1:12" x14ac:dyDescent="0.25">
      <c r="A1042" t="str">
        <f t="shared" si="64"/>
        <v>2020-RR-X-F-101-623-2345</v>
      </c>
      <c r="B1042" t="str">
        <f t="shared" si="65"/>
        <v>2020</v>
      </c>
      <c r="C1042" s="18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8" t="s">
        <v>860</v>
      </c>
      <c r="L1042" s="21">
        <v>6.5</v>
      </c>
    </row>
    <row r="1043" spans="1:12" x14ac:dyDescent="0.25">
      <c r="A1043" t="str">
        <f t="shared" si="64"/>
        <v>2020-RR-X-F-110-703-2320</v>
      </c>
      <c r="B1043" t="str">
        <f t="shared" si="65"/>
        <v>2020</v>
      </c>
      <c r="C1043" s="18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8" t="s">
        <v>860</v>
      </c>
      <c r="L1043" s="21">
        <v>6.8</v>
      </c>
    </row>
    <row r="1044" spans="1:12" x14ac:dyDescent="0.25">
      <c r="A1044" t="str">
        <f t="shared" si="64"/>
        <v>2020-RR-X-F-118-712-2317</v>
      </c>
      <c r="B1044" t="str">
        <f t="shared" si="65"/>
        <v>2020</v>
      </c>
      <c r="C1044" s="18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8" t="s">
        <v>860</v>
      </c>
      <c r="L1044" s="21">
        <v>6.7</v>
      </c>
    </row>
    <row r="1045" spans="1:12" x14ac:dyDescent="0.25">
      <c r="A1045" t="str">
        <f t="shared" si="64"/>
        <v>2020-RR-X-F-122-750-2308</v>
      </c>
      <c r="B1045" t="str">
        <f t="shared" si="65"/>
        <v>2020</v>
      </c>
      <c r="C1045" s="18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8" t="s">
        <v>860</v>
      </c>
      <c r="L1045" s="21">
        <v>6.9</v>
      </c>
    </row>
    <row r="1046" spans="1:12" x14ac:dyDescent="0.25">
      <c r="A1046" t="str">
        <f t="shared" si="64"/>
        <v>2020-RR-X-F-134-835-2277</v>
      </c>
      <c r="B1046" t="str">
        <f t="shared" si="65"/>
        <v>2020</v>
      </c>
      <c r="C1046" s="18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8" t="s">
        <v>860</v>
      </c>
      <c r="L1046" s="21">
        <v>7.5</v>
      </c>
    </row>
    <row r="1047" spans="1:12" x14ac:dyDescent="0.25">
      <c r="A1047" t="str">
        <f t="shared" si="64"/>
        <v>2020-RR-X-F-140-850-2282</v>
      </c>
      <c r="B1047" t="str">
        <f t="shared" si="65"/>
        <v>2020</v>
      </c>
      <c r="C1047" s="18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8" t="s">
        <v>860</v>
      </c>
      <c r="L1047" s="21">
        <v>7.8</v>
      </c>
    </row>
    <row r="1048" spans="1:12" x14ac:dyDescent="0.25">
      <c r="A1048" t="str">
        <f t="shared" si="64"/>
        <v>2021-RR-H-F-140-810-210</v>
      </c>
      <c r="B1048" t="str">
        <f t="shared" si="65"/>
        <v>2021</v>
      </c>
      <c r="C1048" s="18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8" t="s">
        <v>1757</v>
      </c>
      <c r="L1048" s="21">
        <v>8.6</v>
      </c>
    </row>
    <row r="1049" spans="1:12" x14ac:dyDescent="0.25">
      <c r="A1049" t="str">
        <f t="shared" si="64"/>
        <v>2021-RR-H-F-140-810-210</v>
      </c>
      <c r="B1049" t="str">
        <f t="shared" si="65"/>
        <v>2021</v>
      </c>
      <c r="C1049" s="18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8" t="s">
        <v>1757</v>
      </c>
      <c r="L1049" s="21">
        <v>8</v>
      </c>
    </row>
    <row r="1050" spans="1:12" x14ac:dyDescent="0.25">
      <c r="A1050" t="str">
        <f t="shared" si="64"/>
        <v>2024-RR-H-F-160-860-2100</v>
      </c>
      <c r="B1050" t="str">
        <f t="shared" si="65"/>
        <v>2024</v>
      </c>
      <c r="C1050" s="18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8" t="s">
        <v>1760</v>
      </c>
      <c r="L1050" s="21">
        <v>9.5</v>
      </c>
    </row>
    <row r="1051" spans="1:12" x14ac:dyDescent="0.25">
      <c r="A1051" t="str">
        <f t="shared" si="64"/>
        <v>2024-RR-H-F-103-630-2315</v>
      </c>
      <c r="B1051" t="str">
        <f t="shared" si="65"/>
        <v>2024</v>
      </c>
      <c r="C1051" s="18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8" t="s">
        <v>1760</v>
      </c>
      <c r="L1051" s="21">
        <v>6.4</v>
      </c>
    </row>
    <row r="1052" spans="1:12" x14ac:dyDescent="0.25">
      <c r="A1052" t="str">
        <f t="shared" si="64"/>
        <v>2024-RR-H-F-124-727-2314</v>
      </c>
      <c r="B1052" t="str">
        <f t="shared" si="65"/>
        <v>2024</v>
      </c>
      <c r="C1052" s="18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8" t="s">
        <v>1760</v>
      </c>
      <c r="L1052" s="21">
        <v>7.3</v>
      </c>
    </row>
    <row r="1053" spans="1:12" x14ac:dyDescent="0.25">
      <c r="A1053" t="str">
        <f t="shared" si="64"/>
        <v>1998-SE-ALL-130-640-2720</v>
      </c>
      <c r="B1053" t="str">
        <f t="shared" si="65"/>
        <v>1998</v>
      </c>
      <c r="C1053" s="18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8" t="s">
        <v>846</v>
      </c>
      <c r="L1053" s="21">
        <v>8</v>
      </c>
    </row>
    <row r="1054" spans="1:12" x14ac:dyDescent="0.25">
      <c r="A1054" t="str">
        <f t="shared" si="64"/>
        <v>1998-SE-ALL-140-710-2770</v>
      </c>
      <c r="B1054" t="str">
        <f t="shared" si="65"/>
        <v>1998</v>
      </c>
      <c r="C1054" s="18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8" t="s">
        <v>846</v>
      </c>
      <c r="L1054" s="21">
        <v>8.5</v>
      </c>
    </row>
    <row r="1055" spans="1:12" x14ac:dyDescent="0.25">
      <c r="A1055" t="str">
        <f t="shared" si="64"/>
        <v>1999-SE-ALL-180-790-2800</v>
      </c>
      <c r="B1055" t="str">
        <f t="shared" si="65"/>
        <v>1999</v>
      </c>
      <c r="C1055" s="18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8" t="s">
        <v>793</v>
      </c>
      <c r="L1055" s="21">
        <v>8</v>
      </c>
    </row>
    <row r="1056" spans="1:12" x14ac:dyDescent="0.25">
      <c r="A1056" t="str">
        <f t="shared" si="64"/>
        <v>1999-SE-ALL-140-640-2720</v>
      </c>
      <c r="B1056" t="str">
        <f t="shared" si="65"/>
        <v>1999</v>
      </c>
      <c r="C1056" s="18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8" t="s">
        <v>793</v>
      </c>
      <c r="L1056" s="21">
        <v>7</v>
      </c>
    </row>
    <row r="1057" spans="1:12" x14ac:dyDescent="0.25">
      <c r="A1057" t="str">
        <f t="shared" si="64"/>
        <v>1999-SE-ALL-150-710-2770</v>
      </c>
      <c r="B1057" t="str">
        <f t="shared" si="65"/>
        <v>1999</v>
      </c>
      <c r="C1057" s="18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8" t="s">
        <v>793</v>
      </c>
      <c r="L1057" s="21">
        <v>7.3</v>
      </c>
    </row>
    <row r="1058" spans="1:12" x14ac:dyDescent="0.25">
      <c r="A1058" t="str">
        <f t="shared" si="64"/>
        <v>2026-SE-Meg-101-630-2286</v>
      </c>
      <c r="B1058" t="str">
        <f t="shared" si="65"/>
        <v>2026</v>
      </c>
      <c r="C1058" s="18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8" t="s">
        <v>1769</v>
      </c>
      <c r="L1058" s="21">
        <v>6.1</v>
      </c>
    </row>
    <row r="1059" spans="1:12" x14ac:dyDescent="0.25">
      <c r="A1059" t="str">
        <f t="shared" si="64"/>
        <v>2026-SE-Meg-122-725-2285</v>
      </c>
      <c r="B1059" t="str">
        <f t="shared" si="65"/>
        <v>2026</v>
      </c>
      <c r="C1059" s="18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8" t="s">
        <v>1769</v>
      </c>
      <c r="L1059" s="21">
        <v>6.75</v>
      </c>
    </row>
    <row r="1060" spans="1:12" x14ac:dyDescent="0.25">
      <c r="A1060" t="str">
        <f t="shared" si="64"/>
        <v>2026-SE-Hyd-157-840-2070</v>
      </c>
      <c r="B1060" t="str">
        <f t="shared" si="65"/>
        <v>2026</v>
      </c>
      <c r="C1060" s="18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8" t="s">
        <v>1769</v>
      </c>
      <c r="L1060" s="21">
        <v>8.5</v>
      </c>
    </row>
    <row r="1061" spans="1:12" x14ac:dyDescent="0.25">
      <c r="A1061" t="str">
        <f t="shared" si="64"/>
        <v>2018-SI-Sla-96-620-2333</v>
      </c>
      <c r="B1061" t="str">
        <f t="shared" si="65"/>
        <v>2018</v>
      </c>
      <c r="C1061" s="18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8" t="s">
        <v>984</v>
      </c>
      <c r="L1061" s="21">
        <v>6.1</v>
      </c>
    </row>
    <row r="1062" spans="1:12" x14ac:dyDescent="0.25">
      <c r="A1062" t="str">
        <f t="shared" si="64"/>
        <v>2018-SI-Sla-106-684-2310</v>
      </c>
      <c r="B1062" t="str">
        <f t="shared" si="65"/>
        <v>2018</v>
      </c>
      <c r="C1062" s="18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8" t="s">
        <v>984</v>
      </c>
      <c r="L1062" s="21">
        <v>6.2</v>
      </c>
    </row>
    <row r="1063" spans="1:12" x14ac:dyDescent="0.25">
      <c r="A1063" t="str">
        <f t="shared" si="64"/>
        <v>2018-SI-Sla-116-718-2330</v>
      </c>
      <c r="B1063" t="str">
        <f t="shared" si="65"/>
        <v>2018</v>
      </c>
      <c r="C1063" s="18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8" t="s">
        <v>984</v>
      </c>
      <c r="L1063" s="21">
        <v>6.5</v>
      </c>
    </row>
    <row r="1064" spans="1:12" x14ac:dyDescent="0.25">
      <c r="A1064" t="str">
        <f t="shared" si="64"/>
        <v>2018-SI-Sla-126-834-2290</v>
      </c>
      <c r="B1064" t="str">
        <f t="shared" si="65"/>
        <v>2018</v>
      </c>
      <c r="C1064" s="18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8" t="s">
        <v>984</v>
      </c>
      <c r="L1064" s="21">
        <v>7.2</v>
      </c>
    </row>
    <row r="1065" spans="1:12" x14ac:dyDescent="0.25">
      <c r="A1065" t="str">
        <f t="shared" si="64"/>
        <v>2018-SI-Sla-136-850-2280</v>
      </c>
      <c r="B1065" t="str">
        <f t="shared" si="65"/>
        <v>2018</v>
      </c>
      <c r="C1065" s="18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8" t="s">
        <v>984</v>
      </c>
      <c r="L1065" s="21">
        <v>7.5</v>
      </c>
    </row>
    <row r="1066" spans="1:12" x14ac:dyDescent="0.25">
      <c r="A1066" t="str">
        <f t="shared" si="64"/>
        <v>2019-SI-Sla-96-620-2333</v>
      </c>
      <c r="B1066" t="str">
        <f t="shared" si="65"/>
        <v>2019</v>
      </c>
      <c r="C1066" s="18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8" t="s">
        <v>1779</v>
      </c>
      <c r="L1066" s="21">
        <v>6.1</v>
      </c>
    </row>
    <row r="1067" spans="1:12" x14ac:dyDescent="0.25">
      <c r="A1067" t="str">
        <f t="shared" si="64"/>
        <v>2019-SI-Sla-106-684-2310</v>
      </c>
      <c r="B1067" t="str">
        <f t="shared" si="65"/>
        <v>2019</v>
      </c>
      <c r="C1067" s="18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8" t="s">
        <v>1779</v>
      </c>
      <c r="L1067" s="21">
        <v>6.2</v>
      </c>
    </row>
    <row r="1068" spans="1:12" x14ac:dyDescent="0.25">
      <c r="A1068" t="str">
        <f t="shared" si="64"/>
        <v>2019-SI-Sla-116-718-2330</v>
      </c>
      <c r="B1068" t="str">
        <f t="shared" si="65"/>
        <v>2019</v>
      </c>
      <c r="C1068" s="18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8" t="s">
        <v>1779</v>
      </c>
      <c r="L1068" s="21">
        <v>6.5</v>
      </c>
    </row>
    <row r="1069" spans="1:12" x14ac:dyDescent="0.25">
      <c r="A1069" t="str">
        <f t="shared" si="64"/>
        <v>2019-SI-Sla-126-834-2290</v>
      </c>
      <c r="B1069" t="str">
        <f t="shared" si="65"/>
        <v>2019</v>
      </c>
      <c r="C1069" s="18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8" t="s">
        <v>1779</v>
      </c>
      <c r="L1069" s="21">
        <v>7.2</v>
      </c>
    </row>
    <row r="1070" spans="1:12" x14ac:dyDescent="0.25">
      <c r="A1070" t="str">
        <f t="shared" si="64"/>
        <v>2019-SI-Sla-136-850-2280</v>
      </c>
      <c r="B1070" t="str">
        <f t="shared" si="65"/>
        <v>2019</v>
      </c>
      <c r="C1070" s="18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8" t="s">
        <v>1779</v>
      </c>
      <c r="L1070" s="21">
        <v>7.5</v>
      </c>
    </row>
    <row r="1071" spans="1:12" x14ac:dyDescent="0.25">
      <c r="A1071" t="str">
        <f t="shared" si="64"/>
        <v>2000-ST-W52-74-520-2680</v>
      </c>
      <c r="B1071" t="str">
        <f t="shared" si="65"/>
        <v>2000</v>
      </c>
      <c r="C1071" s="18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8" t="s">
        <v>796</v>
      </c>
      <c r="L1071" s="21">
        <v>5.2</v>
      </c>
    </row>
    <row r="1072" spans="1:12" x14ac:dyDescent="0.25">
      <c r="A1072" t="str">
        <f t="shared" si="64"/>
        <v>2000-ST-W55-91-550-2700</v>
      </c>
      <c r="B1072" t="str">
        <f t="shared" si="65"/>
        <v>2000</v>
      </c>
      <c r="C1072" s="18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8" t="s">
        <v>796</v>
      </c>
      <c r="L1072" s="21">
        <v>5.6</v>
      </c>
    </row>
    <row r="1073" spans="1:12" x14ac:dyDescent="0.25">
      <c r="A1073" t="str">
        <f t="shared" si="64"/>
        <v>1999-ST-SON-125-740-2730</v>
      </c>
      <c r="B1073" t="str">
        <f t="shared" si="65"/>
        <v>1999</v>
      </c>
      <c r="C1073" s="18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8" t="s">
        <v>793</v>
      </c>
      <c r="L1073" s="21">
        <v>6.5</v>
      </c>
    </row>
    <row r="1074" spans="1:12" x14ac:dyDescent="0.25">
      <c r="A1074" t="str">
        <f t="shared" si="64"/>
        <v>1999-ST-SON-145-740-2730</v>
      </c>
      <c r="B1074" t="str">
        <f t="shared" si="65"/>
        <v>1999</v>
      </c>
      <c r="C1074" s="18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8" t="s">
        <v>793</v>
      </c>
      <c r="L1074" s="21">
        <v>7.6</v>
      </c>
    </row>
    <row r="1075" spans="1:12" x14ac:dyDescent="0.25">
      <c r="A1075" t="str">
        <f t="shared" si="64"/>
        <v>1999-ST-SON-94-540-2740</v>
      </c>
      <c r="B1075" t="str">
        <f t="shared" si="65"/>
        <v>1999</v>
      </c>
      <c r="C1075" s="18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8" t="s">
        <v>793</v>
      </c>
      <c r="L1075" s="21">
        <v>5.6</v>
      </c>
    </row>
    <row r="1076" spans="1:12" x14ac:dyDescent="0.25">
      <c r="A1076" t="str">
        <f t="shared" si="64"/>
        <v>2004-ST-HYP-132-770-2170</v>
      </c>
      <c r="B1076" t="str">
        <f t="shared" si="65"/>
        <v>2004</v>
      </c>
      <c r="C1076" s="18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8" t="s">
        <v>799</v>
      </c>
      <c r="L1076" s="21">
        <v>6.5</v>
      </c>
    </row>
    <row r="1077" spans="1:12" x14ac:dyDescent="0.25">
      <c r="A1077" t="str">
        <f t="shared" si="64"/>
        <v>2003-ST-HYP-123-770-2300</v>
      </c>
      <c r="B1077" t="str">
        <f t="shared" si="65"/>
        <v>2003</v>
      </c>
      <c r="C1077" s="18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8" t="s">
        <v>799</v>
      </c>
      <c r="L1077" s="21">
        <v>6.5</v>
      </c>
    </row>
    <row r="1078" spans="1:12" x14ac:dyDescent="0.25">
      <c r="A1078" t="str">
        <f t="shared" si="64"/>
        <v>2004-ST-HYP-111-770-2180</v>
      </c>
      <c r="B1078" t="str">
        <f t="shared" si="65"/>
        <v>2004</v>
      </c>
      <c r="C1078" s="18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8" t="s">
        <v>799</v>
      </c>
      <c r="L1078" s="21">
        <v>6.3</v>
      </c>
    </row>
    <row r="1079" spans="1:12" x14ac:dyDescent="0.25">
      <c r="A1079" t="str">
        <f t="shared" si="64"/>
        <v>2003-ST-HYP-102-770-2260</v>
      </c>
      <c r="B1079" t="str">
        <f t="shared" si="65"/>
        <v>2003</v>
      </c>
      <c r="C1079" s="18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8" t="s">
        <v>799</v>
      </c>
      <c r="L1079" s="21">
        <v>6.3</v>
      </c>
    </row>
    <row r="1080" spans="1:12" x14ac:dyDescent="0.25">
      <c r="A1080" t="str">
        <f t="shared" si="64"/>
        <v>2004-ST-HYP-96-770-2190</v>
      </c>
      <c r="B1080" t="str">
        <f t="shared" si="65"/>
        <v>2004</v>
      </c>
      <c r="C1080" s="18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8" t="s">
        <v>799</v>
      </c>
      <c r="L1080" s="21">
        <v>6.1</v>
      </c>
    </row>
    <row r="1081" spans="1:12" x14ac:dyDescent="0.25">
      <c r="A1081" t="str">
        <f t="shared" si="64"/>
        <v>1999-ST-GO-225-820-2830</v>
      </c>
      <c r="B1081" t="str">
        <f t="shared" si="65"/>
        <v>1999</v>
      </c>
      <c r="C1081" s="18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8" t="s">
        <v>793</v>
      </c>
      <c r="L1081" s="21">
        <v>9</v>
      </c>
    </row>
    <row r="1082" spans="1:12" x14ac:dyDescent="0.25">
      <c r="A1082" t="str">
        <f t="shared" si="64"/>
        <v>2003-ST-SON-81-550-2550</v>
      </c>
      <c r="B1082" t="str">
        <f t="shared" si="65"/>
        <v>2003</v>
      </c>
      <c r="C1082" s="18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8" t="s">
        <v>799</v>
      </c>
      <c r="L1082" s="21">
        <v>5.3</v>
      </c>
    </row>
    <row r="1083" spans="1:12" x14ac:dyDescent="0.25">
      <c r="A1083" t="str">
        <f t="shared" si="64"/>
        <v>2004-ST-SON-90-560-2550</v>
      </c>
      <c r="B1083" t="str">
        <f t="shared" si="65"/>
        <v>2004</v>
      </c>
      <c r="C1083" s="18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8" t="s">
        <v>799</v>
      </c>
      <c r="L1083" s="21">
        <v>5.4</v>
      </c>
    </row>
    <row r="1084" spans="1:12" x14ac:dyDescent="0.25">
      <c r="A1084" t="str">
        <f t="shared" si="64"/>
        <v>2003-ST-SON-90-590-2600</v>
      </c>
      <c r="B1084" t="str">
        <f t="shared" si="65"/>
        <v>2003</v>
      </c>
      <c r="C1084" s="18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8" t="s">
        <v>799</v>
      </c>
      <c r="L1084" s="21">
        <v>5.5</v>
      </c>
    </row>
    <row r="1085" spans="1:12" x14ac:dyDescent="0.25">
      <c r="A1085" t="str">
        <f t="shared" si="64"/>
        <v>2004-ST-SON-100-590-2460</v>
      </c>
      <c r="B1085" t="str">
        <f t="shared" si="65"/>
        <v>2004</v>
      </c>
      <c r="C1085" s="18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8" t="s">
        <v>799</v>
      </c>
      <c r="L1085" s="21">
        <v>5.6</v>
      </c>
    </row>
    <row r="1086" spans="1:12" x14ac:dyDescent="0.25">
      <c r="A1086" t="str">
        <f t="shared" si="64"/>
        <v>2004-ST-SON-110-690-2360</v>
      </c>
      <c r="B1086" t="str">
        <f t="shared" si="65"/>
        <v>2004</v>
      </c>
      <c r="C1086" s="18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8" t="s">
        <v>799</v>
      </c>
      <c r="L1086" s="21">
        <v>5.9</v>
      </c>
    </row>
    <row r="1087" spans="1:12" x14ac:dyDescent="0.25">
      <c r="A1087" t="str">
        <f t="shared" si="64"/>
        <v>2005-ST-SON-124-746-2372</v>
      </c>
      <c r="B1087" t="str">
        <f t="shared" si="65"/>
        <v>2005</v>
      </c>
      <c r="C1087" s="18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8" t="s">
        <v>802</v>
      </c>
      <c r="L1087" s="21">
        <v>6.7</v>
      </c>
    </row>
    <row r="1088" spans="1:12" x14ac:dyDescent="0.25">
      <c r="A1088" t="str">
        <f t="shared" si="64"/>
        <v>2005-ST-CAR-159-818-2542</v>
      </c>
      <c r="B1088" t="str">
        <f t="shared" si="65"/>
        <v>2005</v>
      </c>
      <c r="C1088" s="18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8" t="s">
        <v>894</v>
      </c>
      <c r="L1088" s="21">
        <v>8.1</v>
      </c>
    </row>
    <row r="1089" spans="1:12" x14ac:dyDescent="0.25">
      <c r="A1089" t="str">
        <f t="shared" si="64"/>
        <v>2005-ST-PRO-72-546-2105</v>
      </c>
      <c r="B1089" t="str">
        <f t="shared" si="65"/>
        <v>2005</v>
      </c>
      <c r="C1089" s="18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8" t="s">
        <v>802</v>
      </c>
      <c r="L1089" s="21">
        <v>5.8</v>
      </c>
    </row>
    <row r="1090" spans="1:12" x14ac:dyDescent="0.25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8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8" t="s">
        <v>894</v>
      </c>
      <c r="L1090" s="21">
        <v>5.5</v>
      </c>
    </row>
    <row r="1091" spans="1:12" x14ac:dyDescent="0.25">
      <c r="A1091" t="str">
        <f t="shared" si="68"/>
        <v>2006-ST-SON-96-588-2450</v>
      </c>
      <c r="B1091" t="str">
        <f t="shared" si="69"/>
        <v>2006</v>
      </c>
      <c r="C1091" s="18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8" t="s">
        <v>894</v>
      </c>
      <c r="L1091" s="21">
        <v>6.1</v>
      </c>
    </row>
    <row r="1092" spans="1:12" x14ac:dyDescent="0.25">
      <c r="A1092" t="str">
        <f t="shared" si="68"/>
        <v>2006-ST-PRO-48-485-2117</v>
      </c>
      <c r="B1092" t="str">
        <f t="shared" si="69"/>
        <v>2006</v>
      </c>
      <c r="C1092" s="18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8" t="s">
        <v>894</v>
      </c>
      <c r="L1092" s="21" t="s">
        <v>153</v>
      </c>
    </row>
    <row r="1093" spans="1:12" x14ac:dyDescent="0.25">
      <c r="A1093" t="str">
        <f t="shared" si="68"/>
        <v>2006-ST-ISO-100-635-2329</v>
      </c>
      <c r="B1093" t="str">
        <f t="shared" si="69"/>
        <v>2006</v>
      </c>
      <c r="C1093" s="18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8" t="s">
        <v>894</v>
      </c>
      <c r="L1093" s="21">
        <v>6.3</v>
      </c>
    </row>
    <row r="1094" spans="1:12" x14ac:dyDescent="0.25">
      <c r="A1094" t="str">
        <f t="shared" si="68"/>
        <v>2006-ST-ISO-105-679-2330</v>
      </c>
      <c r="B1094" t="str">
        <f t="shared" si="69"/>
        <v>2006</v>
      </c>
      <c r="C1094" s="18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8" t="s">
        <v>894</v>
      </c>
      <c r="L1094" s="21">
        <v>6.5</v>
      </c>
    </row>
    <row r="1095" spans="1:12" x14ac:dyDescent="0.25">
      <c r="A1095" t="str">
        <f t="shared" si="68"/>
        <v>2006-ST-ISO-120-746-2305</v>
      </c>
      <c r="B1095" t="str">
        <f t="shared" si="69"/>
        <v>2006</v>
      </c>
      <c r="C1095" s="18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8" t="s">
        <v>894</v>
      </c>
      <c r="L1095" s="21">
        <v>7</v>
      </c>
    </row>
    <row r="1096" spans="1:12" x14ac:dyDescent="0.25">
      <c r="A1096" t="str">
        <f t="shared" si="68"/>
        <v>2006-ST-ISO-135-806-2280</v>
      </c>
      <c r="B1096" t="str">
        <f t="shared" si="69"/>
        <v>2006</v>
      </c>
      <c r="C1096" s="18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8" t="s">
        <v>894</v>
      </c>
      <c r="L1096" s="21">
        <v>7.3</v>
      </c>
    </row>
    <row r="1097" spans="1:12" x14ac:dyDescent="0.25">
      <c r="A1097" t="str">
        <f t="shared" si="68"/>
        <v>2007-ST-ISO-54-466-2198</v>
      </c>
      <c r="B1097" t="str">
        <f t="shared" si="69"/>
        <v>2007</v>
      </c>
      <c r="C1097" s="18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8" t="s">
        <v>812</v>
      </c>
      <c r="L1097" s="21">
        <v>4.4000000000000004</v>
      </c>
    </row>
    <row r="1098" spans="1:12" x14ac:dyDescent="0.25">
      <c r="A1098" t="str">
        <f t="shared" si="68"/>
        <v>2007-ST-ISO-87-564-2423</v>
      </c>
      <c r="B1098" t="str">
        <f t="shared" si="69"/>
        <v>2007</v>
      </c>
      <c r="C1098" s="18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8" t="s">
        <v>812</v>
      </c>
      <c r="L1098" s="21">
        <v>5.6</v>
      </c>
    </row>
    <row r="1099" spans="1:12" x14ac:dyDescent="0.25">
      <c r="A1099" t="str">
        <f t="shared" si="68"/>
        <v>2007-ST-ISO-93-589-2410</v>
      </c>
      <c r="B1099" t="str">
        <f t="shared" si="69"/>
        <v>2007</v>
      </c>
      <c r="C1099" s="18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8" t="s">
        <v>812</v>
      </c>
      <c r="L1099" s="21">
        <v>6.1</v>
      </c>
    </row>
    <row r="1100" spans="1:12" x14ac:dyDescent="0.25">
      <c r="A1100" t="str">
        <f t="shared" si="68"/>
        <v>2007-ST-ISO-96-635-2312</v>
      </c>
      <c r="B1100" t="str">
        <f t="shared" si="69"/>
        <v>2007</v>
      </c>
      <c r="C1100" s="18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8" t="s">
        <v>812</v>
      </c>
      <c r="L1100" s="21">
        <v>6.2</v>
      </c>
    </row>
    <row r="1101" spans="1:12" x14ac:dyDescent="0.25">
      <c r="A1101" t="str">
        <f t="shared" si="68"/>
        <v>2007-ST-ISO-108-680-2315</v>
      </c>
      <c r="B1101" t="str">
        <f t="shared" si="69"/>
        <v>2007</v>
      </c>
      <c r="C1101" s="18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8" t="s">
        <v>812</v>
      </c>
      <c r="L1101" s="21">
        <v>6.5</v>
      </c>
    </row>
    <row r="1102" spans="1:12" x14ac:dyDescent="0.25">
      <c r="A1102" t="str">
        <f t="shared" si="68"/>
        <v>2007-ST-ISO-120-748-2295</v>
      </c>
      <c r="B1102" t="str">
        <f t="shared" si="69"/>
        <v>2007</v>
      </c>
      <c r="C1102" s="18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8" t="s">
        <v>812</v>
      </c>
      <c r="L1102" s="21">
        <v>6.8</v>
      </c>
    </row>
    <row r="1103" spans="1:12" x14ac:dyDescent="0.25">
      <c r="A1103" t="str">
        <f t="shared" si="68"/>
        <v>2007-ST-ISO-129-800-2211</v>
      </c>
      <c r="B1103" t="str">
        <f t="shared" si="69"/>
        <v>2007</v>
      </c>
      <c r="C1103" s="18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8" t="s">
        <v>812</v>
      </c>
      <c r="L1103" s="21">
        <v>7.3</v>
      </c>
    </row>
    <row r="1104" spans="1:12" x14ac:dyDescent="0.25">
      <c r="A1104" t="str">
        <f t="shared" si="68"/>
        <v>2007-ST-S-T-138-720-2415</v>
      </c>
      <c r="B1104" t="str">
        <f t="shared" si="69"/>
        <v>2007</v>
      </c>
      <c r="C1104" s="18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8" t="s">
        <v>812</v>
      </c>
      <c r="L1104" s="21">
        <v>7.4</v>
      </c>
    </row>
    <row r="1105" spans="1:12" x14ac:dyDescent="0.25">
      <c r="A1105" t="str">
        <f t="shared" si="68"/>
        <v>2007-ST-S-T-123-674-2372</v>
      </c>
      <c r="B1105" t="str">
        <f t="shared" si="69"/>
        <v>2007</v>
      </c>
      <c r="C1105" s="18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8" t="s">
        <v>812</v>
      </c>
      <c r="L1105" s="21">
        <v>7.05</v>
      </c>
    </row>
    <row r="1106" spans="1:12" x14ac:dyDescent="0.25">
      <c r="A1106" t="str">
        <f t="shared" si="68"/>
        <v>2007-ST-S-T-117-640-2374</v>
      </c>
      <c r="B1106" t="str">
        <f t="shared" si="69"/>
        <v>2007</v>
      </c>
      <c r="C1106" s="18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8" t="s">
        <v>812</v>
      </c>
      <c r="L1106" s="21">
        <v>6.7</v>
      </c>
    </row>
    <row r="1107" spans="1:12" x14ac:dyDescent="0.25">
      <c r="A1107" t="str">
        <f t="shared" si="68"/>
        <v>2007-ST-S-T-105-605-2374</v>
      </c>
      <c r="B1107" t="str">
        <f t="shared" si="69"/>
        <v>2007</v>
      </c>
      <c r="C1107" s="18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8" t="s">
        <v>812</v>
      </c>
      <c r="L1107" s="21">
        <v>6.4</v>
      </c>
    </row>
    <row r="1108" spans="1:12" x14ac:dyDescent="0.25">
      <c r="A1108" t="str">
        <f t="shared" si="68"/>
        <v>2007-ST-S-T-99-596-2379</v>
      </c>
      <c r="B1108" t="str">
        <f t="shared" si="69"/>
        <v>2007</v>
      </c>
      <c r="C1108" s="18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8" t="s">
        <v>812</v>
      </c>
      <c r="L1108" s="21">
        <v>6.2</v>
      </c>
    </row>
    <row r="1109" spans="1:12" x14ac:dyDescent="0.25">
      <c r="A1109" t="str">
        <f t="shared" si="68"/>
        <v>2008-ST-ISO-82-545-2410</v>
      </c>
      <c r="B1109" t="str">
        <f t="shared" si="69"/>
        <v>2008</v>
      </c>
      <c r="C1109" s="18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8" t="s">
        <v>819</v>
      </c>
      <c r="L1109" s="21">
        <v>5.2</v>
      </c>
    </row>
    <row r="1110" spans="1:12" x14ac:dyDescent="0.25">
      <c r="A1110" t="str">
        <f t="shared" si="68"/>
        <v>2008-ST-ISO-86-564-2419</v>
      </c>
      <c r="B1110" t="str">
        <f t="shared" si="69"/>
        <v>2008</v>
      </c>
      <c r="C1110" s="18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8" t="s">
        <v>819</v>
      </c>
      <c r="L1110" s="21">
        <v>5.6</v>
      </c>
    </row>
    <row r="1111" spans="1:12" x14ac:dyDescent="0.25">
      <c r="A1111" t="str">
        <f t="shared" si="68"/>
        <v>2008-ST-ISO-96-588-2425</v>
      </c>
      <c r="B1111" t="str">
        <f t="shared" si="69"/>
        <v>2008</v>
      </c>
      <c r="C1111" s="18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8" t="s">
        <v>819</v>
      </c>
      <c r="L1111" s="21">
        <v>6.1</v>
      </c>
    </row>
    <row r="1112" spans="1:12" x14ac:dyDescent="0.25">
      <c r="A1112" t="str">
        <f t="shared" si="68"/>
        <v>2008-ST-ISO-96-637-2325</v>
      </c>
      <c r="B1112" t="str">
        <f t="shared" si="69"/>
        <v>2008</v>
      </c>
      <c r="C1112" s="18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8" t="s">
        <v>819</v>
      </c>
      <c r="L1112" s="21">
        <v>6.2</v>
      </c>
    </row>
    <row r="1113" spans="1:12" x14ac:dyDescent="0.25">
      <c r="A1113" t="str">
        <f t="shared" si="68"/>
        <v>2008-ST-ISO-108-682-2329</v>
      </c>
      <c r="B1113" t="str">
        <f t="shared" si="69"/>
        <v>2008</v>
      </c>
      <c r="C1113" s="18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8" t="s">
        <v>819</v>
      </c>
      <c r="L1113" s="21">
        <v>6.5</v>
      </c>
    </row>
    <row r="1114" spans="1:12" x14ac:dyDescent="0.25">
      <c r="A1114" t="str">
        <f t="shared" si="68"/>
        <v>2008-ST-ISO-114-751-2296</v>
      </c>
      <c r="B1114" t="str">
        <f t="shared" si="69"/>
        <v>2008</v>
      </c>
      <c r="C1114" s="18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8" t="s">
        <v>819</v>
      </c>
      <c r="L1114" s="21">
        <v>6.7</v>
      </c>
    </row>
    <row r="1115" spans="1:12" x14ac:dyDescent="0.25">
      <c r="A1115" t="str">
        <f t="shared" si="68"/>
        <v>2008-ST-ISO-126-849-2211</v>
      </c>
      <c r="B1115" t="str">
        <f t="shared" si="69"/>
        <v>2008</v>
      </c>
      <c r="C1115" s="18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8" t="s">
        <v>819</v>
      </c>
      <c r="L1115" s="21">
        <v>7.3</v>
      </c>
    </row>
    <row r="1116" spans="1:12" x14ac:dyDescent="0.25">
      <c r="A1116" t="str">
        <f t="shared" si="68"/>
        <v>2008-ST-ISO-138-850-2230</v>
      </c>
      <c r="B1116" t="str">
        <f t="shared" si="69"/>
        <v>2008</v>
      </c>
      <c r="C1116" s="18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8" t="s">
        <v>819</v>
      </c>
      <c r="L1116" s="21">
        <v>7.7</v>
      </c>
    </row>
    <row r="1117" spans="1:12" x14ac:dyDescent="0.25">
      <c r="A1117" t="str">
        <f t="shared" si="68"/>
        <v>2009-ST-ISO-84-547-2442</v>
      </c>
      <c r="B1117" t="str">
        <f t="shared" si="69"/>
        <v>2009</v>
      </c>
      <c r="C1117" s="18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8" t="s">
        <v>824</v>
      </c>
      <c r="L1117" s="21">
        <v>5.55</v>
      </c>
    </row>
    <row r="1118" spans="1:12" x14ac:dyDescent="0.25">
      <c r="A1118" t="str">
        <f t="shared" si="68"/>
        <v>2009-ST-ISO-86-562-2414</v>
      </c>
      <c r="B1118" t="str">
        <f t="shared" si="69"/>
        <v>2009</v>
      </c>
      <c r="C1118" s="18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8" t="s">
        <v>824</v>
      </c>
      <c r="L1118" s="21">
        <v>5.65</v>
      </c>
    </row>
    <row r="1119" spans="1:12" x14ac:dyDescent="0.25">
      <c r="A1119" t="str">
        <f t="shared" si="68"/>
        <v>2009-ST-ISO-92-585-2422</v>
      </c>
      <c r="B1119" t="str">
        <f t="shared" si="69"/>
        <v>2009</v>
      </c>
      <c r="C1119" s="18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8" t="s">
        <v>824</v>
      </c>
      <c r="L1119" s="21">
        <v>5.9</v>
      </c>
    </row>
    <row r="1120" spans="1:12" x14ac:dyDescent="0.25">
      <c r="A1120" t="str">
        <f t="shared" si="68"/>
        <v>2009-ST-ISO-97-636-2362</v>
      </c>
      <c r="B1120" t="str">
        <f t="shared" si="69"/>
        <v>2009</v>
      </c>
      <c r="C1120" s="18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8" t="s">
        <v>824</v>
      </c>
      <c r="L1120" s="21">
        <v>5.9</v>
      </c>
    </row>
    <row r="1121" spans="1:12" x14ac:dyDescent="0.25">
      <c r="A1121" t="str">
        <f t="shared" si="68"/>
        <v>2009-ST-ISO-110-683-2328</v>
      </c>
      <c r="B1121" t="str">
        <f t="shared" si="69"/>
        <v>2009</v>
      </c>
      <c r="C1121" s="18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8" t="s">
        <v>824</v>
      </c>
      <c r="L1121" s="21">
        <v>6.3</v>
      </c>
    </row>
    <row r="1122" spans="1:12" x14ac:dyDescent="0.25">
      <c r="A1122" t="str">
        <f t="shared" si="68"/>
        <v>2009-ST-ISO-113-750-2320</v>
      </c>
      <c r="B1122" t="str">
        <f t="shared" si="69"/>
        <v>2009</v>
      </c>
      <c r="C1122" s="18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8" t="s">
        <v>824</v>
      </c>
      <c r="L1122" s="21">
        <v>6.7</v>
      </c>
    </row>
    <row r="1123" spans="1:12" x14ac:dyDescent="0.25">
      <c r="A1123" t="str">
        <f t="shared" si="68"/>
        <v>2009-ST-ISO-127-850-2234</v>
      </c>
      <c r="B1123" t="str">
        <f t="shared" si="69"/>
        <v>2009</v>
      </c>
      <c r="C1123" s="18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8" t="s">
        <v>824</v>
      </c>
      <c r="L1123" s="21">
        <v>7.4</v>
      </c>
    </row>
    <row r="1124" spans="1:12" x14ac:dyDescent="0.25">
      <c r="A1124" t="str">
        <f t="shared" si="68"/>
        <v>2009-ST-ISO-137-850-2270</v>
      </c>
      <c r="B1124" t="str">
        <f t="shared" si="69"/>
        <v>2009</v>
      </c>
      <c r="C1124" s="18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8" t="s">
        <v>824</v>
      </c>
      <c r="L1124" s="21">
        <v>7.9</v>
      </c>
    </row>
    <row r="1125" spans="1:12" x14ac:dyDescent="0.25">
      <c r="A1125" t="str">
        <f t="shared" si="68"/>
        <v>2009-ST-ISO-53-440-2290</v>
      </c>
      <c r="B1125" t="str">
        <f t="shared" si="69"/>
        <v>2009</v>
      </c>
      <c r="C1125" s="18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8" t="s">
        <v>824</v>
      </c>
      <c r="L1125" s="21">
        <v>4.2</v>
      </c>
    </row>
    <row r="1126" spans="1:12" x14ac:dyDescent="0.25">
      <c r="A1126" t="str">
        <f t="shared" si="68"/>
        <v>2009-ST-ISO-64-490-2310</v>
      </c>
      <c r="B1126" t="str">
        <f t="shared" si="69"/>
        <v>2009</v>
      </c>
      <c r="C1126" s="18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8" t="s">
        <v>824</v>
      </c>
      <c r="L1126" s="21">
        <v>4.5999999999999996</v>
      </c>
    </row>
    <row r="1127" spans="1:12" x14ac:dyDescent="0.25">
      <c r="A1127" t="str">
        <f t="shared" si="68"/>
        <v>2009-ST-ISO-74-530-2302</v>
      </c>
      <c r="B1127" t="str">
        <f t="shared" si="69"/>
        <v>2009</v>
      </c>
      <c r="C1127" s="18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8" t="s">
        <v>824</v>
      </c>
      <c r="L1127" s="21">
        <v>5</v>
      </c>
    </row>
    <row r="1128" spans="1:12" x14ac:dyDescent="0.25">
      <c r="A1128" t="str">
        <f t="shared" si="68"/>
        <v>2010-ST-ISO-86-562-2453</v>
      </c>
      <c r="B1128" t="str">
        <f t="shared" si="69"/>
        <v>2010</v>
      </c>
      <c r="C1128" s="18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8" t="s">
        <v>839</v>
      </c>
      <c r="L1128" s="21">
        <v>5.65</v>
      </c>
    </row>
    <row r="1129" spans="1:12" x14ac:dyDescent="0.25">
      <c r="A1129" t="str">
        <f t="shared" si="68"/>
        <v>2010-ST-ISO-81-564-2457</v>
      </c>
      <c r="B1129" t="str">
        <f t="shared" si="69"/>
        <v>2010</v>
      </c>
      <c r="C1129" s="18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8" t="s">
        <v>839</v>
      </c>
      <c r="L1129" s="21">
        <v>5.45</v>
      </c>
    </row>
    <row r="1130" spans="1:12" x14ac:dyDescent="0.25">
      <c r="A1130" t="str">
        <f t="shared" si="68"/>
        <v>2010-ST-ISO-91-548-2388</v>
      </c>
      <c r="B1130" t="str">
        <f t="shared" si="69"/>
        <v>2010</v>
      </c>
      <c r="C1130" s="18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8" t="s">
        <v>839</v>
      </c>
      <c r="L1130" s="21">
        <v>5.76</v>
      </c>
    </row>
    <row r="1131" spans="1:12" x14ac:dyDescent="0.25">
      <c r="A1131" t="str">
        <f t="shared" si="68"/>
        <v>2010-ST-ISO-100-636-2367</v>
      </c>
      <c r="B1131" t="str">
        <f t="shared" si="69"/>
        <v>2010</v>
      </c>
      <c r="C1131" s="18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8" t="s">
        <v>839</v>
      </c>
      <c r="L1131" s="21">
        <v>5.77</v>
      </c>
    </row>
    <row r="1132" spans="1:12" x14ac:dyDescent="0.25">
      <c r="A1132" t="str">
        <f t="shared" si="68"/>
        <v>2010-ST-ISO-111-685-2382</v>
      </c>
      <c r="B1132" t="str">
        <f t="shared" si="69"/>
        <v>2010</v>
      </c>
      <c r="C1132" s="18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8" t="s">
        <v>839</v>
      </c>
      <c r="L1132" s="21">
        <v>6.03</v>
      </c>
    </row>
    <row r="1133" spans="1:12" x14ac:dyDescent="0.25">
      <c r="A1133" t="str">
        <f t="shared" si="68"/>
        <v>2010-ST-ISO-118-2317-2342</v>
      </c>
      <c r="B1133" t="str">
        <f t="shared" si="69"/>
        <v>2010</v>
      </c>
      <c r="C1133" s="18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8" t="s">
        <v>839</v>
      </c>
      <c r="L1133" s="21">
        <v>6.77</v>
      </c>
    </row>
    <row r="1134" spans="1:12" x14ac:dyDescent="0.25">
      <c r="A1134" t="str">
        <f t="shared" si="68"/>
        <v>2010-ST-ISO-129-851-2272</v>
      </c>
      <c r="B1134" t="str">
        <f t="shared" si="69"/>
        <v>2010</v>
      </c>
      <c r="C1134" s="18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8" t="s">
        <v>839</v>
      </c>
      <c r="L1134" s="21">
        <v>6.65</v>
      </c>
    </row>
    <row r="1135" spans="1:12" x14ac:dyDescent="0.25">
      <c r="A1135" t="str">
        <f t="shared" si="68"/>
        <v>2010-ST-ISO-137-850-2293</v>
      </c>
      <c r="B1135" t="str">
        <f t="shared" si="69"/>
        <v>2010</v>
      </c>
      <c r="C1135" s="18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8" t="s">
        <v>839</v>
      </c>
      <c r="L1135" s="21">
        <v>7.41</v>
      </c>
    </row>
    <row r="1136" spans="1:12" x14ac:dyDescent="0.25">
      <c r="A1136" t="str">
        <f t="shared" si="68"/>
        <v>2010-ST-ISO-84-580-2300</v>
      </c>
      <c r="B1136" t="str">
        <f t="shared" si="69"/>
        <v>2010</v>
      </c>
      <c r="C1136" s="18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8" t="s">
        <v>839</v>
      </c>
      <c r="L1136" s="21">
        <v>5.86</v>
      </c>
    </row>
    <row r="1137" spans="1:12" x14ac:dyDescent="0.25">
      <c r="A1137" t="str">
        <f t="shared" si="68"/>
        <v>2011-ST-I-S-82-564-2456</v>
      </c>
      <c r="B1137" t="str">
        <f t="shared" si="69"/>
        <v>2011</v>
      </c>
      <c r="C1137" s="18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8" t="s">
        <v>842</v>
      </c>
      <c r="L1137" s="21">
        <v>5.57</v>
      </c>
    </row>
    <row r="1138" spans="1:12" x14ac:dyDescent="0.25">
      <c r="A1138" t="str">
        <f t="shared" si="68"/>
        <v>2011-ST-I-S-86-855-2455</v>
      </c>
      <c r="B1138" t="str">
        <f t="shared" si="69"/>
        <v>2011</v>
      </c>
      <c r="C1138" s="18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8" t="s">
        <v>842</v>
      </c>
      <c r="L1138" s="21">
        <v>5.61</v>
      </c>
    </row>
    <row r="1139" spans="1:12" x14ac:dyDescent="0.25">
      <c r="A1139" t="str">
        <f t="shared" si="68"/>
        <v>2011-ST-I-S-91-599-2436</v>
      </c>
      <c r="B1139" t="str">
        <f t="shared" si="69"/>
        <v>2011</v>
      </c>
      <c r="C1139" s="18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8" t="s">
        <v>842</v>
      </c>
      <c r="L1139" s="21">
        <v>5.35</v>
      </c>
    </row>
    <row r="1140" spans="1:12" x14ac:dyDescent="0.25">
      <c r="A1140" t="str">
        <f t="shared" si="68"/>
        <v>2011-ST-I-S-94-638-2367</v>
      </c>
      <c r="B1140" t="str">
        <f t="shared" si="69"/>
        <v>2011</v>
      </c>
      <c r="C1140" s="18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8" t="s">
        <v>842</v>
      </c>
      <c r="L1140" s="21">
        <v>5.47</v>
      </c>
    </row>
    <row r="1141" spans="1:12" x14ac:dyDescent="0.25">
      <c r="A1141" t="str">
        <f t="shared" si="68"/>
        <v>2011-ST-I-S-108-686-2377</v>
      </c>
      <c r="B1141" t="str">
        <f t="shared" si="69"/>
        <v>2011</v>
      </c>
      <c r="C1141" s="18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8" t="s">
        <v>842</v>
      </c>
      <c r="L1141" s="21">
        <v>5.88</v>
      </c>
    </row>
    <row r="1142" spans="1:12" x14ac:dyDescent="0.25">
      <c r="A1142" t="str">
        <f t="shared" si="68"/>
        <v>2011-ST-I-S-118-751-2346</v>
      </c>
      <c r="B1142" t="str">
        <f t="shared" si="69"/>
        <v>2011</v>
      </c>
      <c r="C1142" s="18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8" t="s">
        <v>842</v>
      </c>
      <c r="L1142" s="21">
        <v>6.14</v>
      </c>
    </row>
    <row r="1143" spans="1:12" x14ac:dyDescent="0.25">
      <c r="A1143" t="str">
        <f t="shared" si="68"/>
        <v>2011-ST-I-S-118-803-2304</v>
      </c>
      <c r="B1143" t="str">
        <f t="shared" si="69"/>
        <v>2011</v>
      </c>
      <c r="C1143" s="18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8" t="s">
        <v>842</v>
      </c>
      <c r="L1143" s="21">
        <v>6.13</v>
      </c>
    </row>
    <row r="1144" spans="1:12" x14ac:dyDescent="0.25">
      <c r="A1144" t="str">
        <f t="shared" si="68"/>
        <v>2011-ST-I-S-128-849-2302</v>
      </c>
      <c r="B1144" t="str">
        <f t="shared" si="69"/>
        <v>2011</v>
      </c>
      <c r="C1144" s="18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8" t="s">
        <v>845</v>
      </c>
      <c r="L1144" s="21">
        <v>6.49</v>
      </c>
    </row>
    <row r="1145" spans="1:12" x14ac:dyDescent="0.25">
      <c r="A1145" t="str">
        <f t="shared" si="68"/>
        <v>2011-ST-I-S-138-849-2337</v>
      </c>
      <c r="B1145" t="str">
        <f t="shared" si="69"/>
        <v>2011</v>
      </c>
      <c r="C1145" s="18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8" t="s">
        <v>842</v>
      </c>
      <c r="L1145" s="21">
        <v>6.7</v>
      </c>
    </row>
    <row r="1146" spans="1:12" x14ac:dyDescent="0.25">
      <c r="A1146" t="str">
        <f t="shared" si="68"/>
        <v>2011-ST-I-S-57-437-2300</v>
      </c>
      <c r="B1146" t="str">
        <f t="shared" si="69"/>
        <v>2011</v>
      </c>
      <c r="C1146" s="18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8" t="s">
        <v>842</v>
      </c>
      <c r="L1146" s="21">
        <v>4.2</v>
      </c>
    </row>
    <row r="1147" spans="1:12" x14ac:dyDescent="0.25">
      <c r="A1147" t="str">
        <f t="shared" si="68"/>
        <v>2011-ST-I-S-64-493-2302</v>
      </c>
      <c r="B1147" t="str">
        <f t="shared" si="69"/>
        <v>2011</v>
      </c>
      <c r="C1147" s="18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8" t="s">
        <v>842</v>
      </c>
      <c r="L1147" s="21">
        <v>4.3499999999999996</v>
      </c>
    </row>
    <row r="1148" spans="1:12" x14ac:dyDescent="0.25">
      <c r="A1148" t="str">
        <f t="shared" si="68"/>
        <v>2011-ST-I-S-72-546-2298</v>
      </c>
      <c r="B1148" t="str">
        <f t="shared" si="69"/>
        <v>2011</v>
      </c>
      <c r="C1148" s="18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8" t="s">
        <v>842</v>
      </c>
      <c r="L1148" s="21">
        <v>4.68</v>
      </c>
    </row>
    <row r="1149" spans="1:12" x14ac:dyDescent="0.25">
      <c r="A1149" t="str">
        <f t="shared" si="68"/>
        <v>2011-ST-I-S-84-580-2305</v>
      </c>
      <c r="B1149" t="str">
        <f t="shared" si="69"/>
        <v>2011</v>
      </c>
      <c r="C1149" s="18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8" t="s">
        <v>842</v>
      </c>
      <c r="L1149" s="21">
        <v>5</v>
      </c>
    </row>
    <row r="1150" spans="1:12" x14ac:dyDescent="0.25">
      <c r="A1150" t="str">
        <f t="shared" si="68"/>
        <v>2012-ST-I-S-94-598-2411</v>
      </c>
      <c r="B1150" t="str">
        <f t="shared" si="69"/>
        <v>2012</v>
      </c>
      <c r="C1150" s="18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8" t="s">
        <v>845</v>
      </c>
      <c r="L1150" s="21">
        <v>5.63</v>
      </c>
    </row>
    <row r="1151" spans="1:12" x14ac:dyDescent="0.25">
      <c r="A1151" t="str">
        <f t="shared" si="68"/>
        <v>2012-ST-I-S-95-638-2344</v>
      </c>
      <c r="B1151" t="str">
        <f t="shared" si="69"/>
        <v>2012</v>
      </c>
      <c r="C1151" s="18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8" t="s">
        <v>845</v>
      </c>
      <c r="L1151" s="21">
        <v>5.78</v>
      </c>
    </row>
    <row r="1152" spans="1:12" x14ac:dyDescent="0.25">
      <c r="A1152" t="str">
        <f t="shared" si="68"/>
        <v>2012-ST-I-S-106-686-2351</v>
      </c>
      <c r="B1152" t="str">
        <f t="shared" si="69"/>
        <v>2012</v>
      </c>
      <c r="C1152" s="18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8" t="s">
        <v>845</v>
      </c>
      <c r="L1152" s="21">
        <v>6.05</v>
      </c>
    </row>
    <row r="1153" spans="1:12" x14ac:dyDescent="0.25">
      <c r="A1153" t="str">
        <f t="shared" si="68"/>
        <v>2012-ST-I-S-118-750-2356</v>
      </c>
      <c r="B1153" t="str">
        <f t="shared" si="69"/>
        <v>2012</v>
      </c>
      <c r="C1153" s="18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8" t="s">
        <v>845</v>
      </c>
      <c r="L1153" s="21">
        <v>6.37</v>
      </c>
    </row>
    <row r="1154" spans="1:12" x14ac:dyDescent="0.25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8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8" t="s">
        <v>845</v>
      </c>
      <c r="L1154" s="21">
        <v>6.41</v>
      </c>
    </row>
    <row r="1155" spans="1:12" x14ac:dyDescent="0.25">
      <c r="A1155" t="str">
        <f t="shared" si="72"/>
        <v>2012-ST-I-S-128-849-227</v>
      </c>
      <c r="B1155" t="str">
        <f t="shared" si="73"/>
        <v>2012</v>
      </c>
      <c r="C1155" s="18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8" t="s">
        <v>845</v>
      </c>
      <c r="L1155" s="21">
        <v>7.59</v>
      </c>
    </row>
    <row r="1156" spans="1:12" x14ac:dyDescent="0.25">
      <c r="A1156" t="str">
        <f t="shared" si="72"/>
        <v>2012-ST-I-S-138-849-2313</v>
      </c>
      <c r="B1156" t="str">
        <f t="shared" si="73"/>
        <v>2012</v>
      </c>
      <c r="C1156" s="18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8" t="s">
        <v>845</v>
      </c>
      <c r="L1156" s="21">
        <v>7.87</v>
      </c>
    </row>
    <row r="1157" spans="1:12" x14ac:dyDescent="0.25">
      <c r="A1157" t="str">
        <f t="shared" si="72"/>
        <v>2013-ST-I-S-93-597-2428</v>
      </c>
      <c r="B1157" t="str">
        <f t="shared" si="73"/>
        <v>2013</v>
      </c>
      <c r="C1157" s="18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8" t="s">
        <v>927</v>
      </c>
      <c r="L1157" s="21">
        <v>5.59</v>
      </c>
    </row>
    <row r="1158" spans="1:12" x14ac:dyDescent="0.25">
      <c r="A1158" t="str">
        <f t="shared" si="72"/>
        <v>2013-ST-I-S-96-636-2346</v>
      </c>
      <c r="B1158" t="str">
        <f t="shared" si="73"/>
        <v>2013</v>
      </c>
      <c r="C1158" s="18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8" t="s">
        <v>927</v>
      </c>
      <c r="L1158" s="21">
        <v>5.63</v>
      </c>
    </row>
    <row r="1159" spans="1:12" x14ac:dyDescent="0.25">
      <c r="A1159" t="str">
        <f t="shared" si="72"/>
        <v>2013-ST-I-S-105-683-2352</v>
      </c>
      <c r="B1159" t="str">
        <f t="shared" si="73"/>
        <v>2013</v>
      </c>
      <c r="C1159" s="18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8" t="s">
        <v>927</v>
      </c>
      <c r="L1159" s="21">
        <v>6.01</v>
      </c>
    </row>
    <row r="1160" spans="1:12" x14ac:dyDescent="0.25">
      <c r="A1160" t="str">
        <f t="shared" si="72"/>
        <v>2013-ST-I-S-110-754-2269</v>
      </c>
      <c r="B1160" t="str">
        <f t="shared" si="73"/>
        <v>2013</v>
      </c>
      <c r="C1160" s="18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8" t="s">
        <v>927</v>
      </c>
      <c r="L1160" s="21">
        <v>6.3</v>
      </c>
    </row>
    <row r="1161" spans="1:12" x14ac:dyDescent="0.25">
      <c r="A1161" t="str">
        <f t="shared" si="72"/>
        <v>2013-ST-I-S-121-805-2283</v>
      </c>
      <c r="B1161" t="str">
        <f t="shared" si="73"/>
        <v>2013</v>
      </c>
      <c r="C1161" s="18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8" t="s">
        <v>927</v>
      </c>
      <c r="L1161" s="21">
        <v>6.59</v>
      </c>
    </row>
    <row r="1162" spans="1:12" x14ac:dyDescent="0.25">
      <c r="A1162" t="str">
        <f t="shared" si="72"/>
        <v>2013-ST-I-S-129-850-2278</v>
      </c>
      <c r="B1162" t="str">
        <f t="shared" si="73"/>
        <v>2013</v>
      </c>
      <c r="C1162" s="18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8" t="s">
        <v>927</v>
      </c>
      <c r="L1162" s="21">
        <v>7.05</v>
      </c>
    </row>
    <row r="1163" spans="1:12" x14ac:dyDescent="0.25">
      <c r="A1163" t="str">
        <f t="shared" si="72"/>
        <v>2013-ST-I-S-82-567-2456</v>
      </c>
      <c r="B1163" t="str">
        <f t="shared" si="73"/>
        <v>2013</v>
      </c>
      <c r="C1163" s="18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8" t="s">
        <v>927</v>
      </c>
      <c r="L1163" s="21">
        <v>5.3</v>
      </c>
    </row>
    <row r="1164" spans="1:12" x14ac:dyDescent="0.25">
      <c r="A1164" t="str">
        <f t="shared" si="72"/>
        <v>2013-ST-I-S-87-565-2430</v>
      </c>
      <c r="B1164" t="str">
        <f t="shared" si="73"/>
        <v>2013</v>
      </c>
      <c r="C1164" s="18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8" t="s">
        <v>927</v>
      </c>
      <c r="L1164" s="21">
        <v>5.4</v>
      </c>
    </row>
    <row r="1165" spans="1:12" x14ac:dyDescent="0.25">
      <c r="A1165" t="str">
        <f t="shared" si="72"/>
        <v>2013-ST-I-S-136-850-2311</v>
      </c>
      <c r="B1165" t="str">
        <f t="shared" si="73"/>
        <v>2013</v>
      </c>
      <c r="C1165" s="18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8" t="s">
        <v>927</v>
      </c>
      <c r="L1165" s="21">
        <v>7</v>
      </c>
    </row>
    <row r="1166" spans="1:12" x14ac:dyDescent="0.25">
      <c r="A1166" t="str">
        <f t="shared" si="72"/>
        <v>2014-ST-I-S-82-582-2359</v>
      </c>
      <c r="B1166" t="str">
        <f t="shared" si="73"/>
        <v>2014</v>
      </c>
      <c r="C1166" s="18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8" t="s">
        <v>851</v>
      </c>
      <c r="L1166" s="21">
        <v>5.2</v>
      </c>
    </row>
    <row r="1167" spans="1:12" x14ac:dyDescent="0.25">
      <c r="A1167" t="str">
        <f t="shared" si="72"/>
        <v>2014-ST-I-S-82-582-2359</v>
      </c>
      <c r="B1167" t="str">
        <f t="shared" si="73"/>
        <v>2014</v>
      </c>
      <c r="C1167" s="18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8" t="s">
        <v>851</v>
      </c>
      <c r="L1167" s="21">
        <v>6</v>
      </c>
    </row>
    <row r="1168" spans="1:12" x14ac:dyDescent="0.25">
      <c r="A1168" t="str">
        <f t="shared" si="72"/>
        <v>2014-ST-I-S-87-588-2361</v>
      </c>
      <c r="B1168" t="str">
        <f t="shared" si="73"/>
        <v>2014</v>
      </c>
      <c r="C1168" s="18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8" t="s">
        <v>851</v>
      </c>
      <c r="L1168" s="21">
        <v>5.4</v>
      </c>
    </row>
    <row r="1169" spans="1:12" x14ac:dyDescent="0.25">
      <c r="A1169" t="str">
        <f t="shared" si="72"/>
        <v>2014-ST-I-S-87-588-2361</v>
      </c>
      <c r="B1169" t="str">
        <f t="shared" si="73"/>
        <v>2014</v>
      </c>
      <c r="C1169" s="18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8" t="s">
        <v>851</v>
      </c>
      <c r="L1169" s="21">
        <v>6</v>
      </c>
    </row>
    <row r="1170" spans="1:12" x14ac:dyDescent="0.25">
      <c r="A1170" t="str">
        <f t="shared" si="72"/>
        <v>2014-ST-I-S-93-629-2398</v>
      </c>
      <c r="B1170" t="str">
        <f t="shared" si="73"/>
        <v>2014</v>
      </c>
      <c r="C1170" s="18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8" t="s">
        <v>851</v>
      </c>
      <c r="L1170" s="21">
        <v>5.5</v>
      </c>
    </row>
    <row r="1171" spans="1:12" x14ac:dyDescent="0.25">
      <c r="A1171" t="str">
        <f t="shared" si="72"/>
        <v>2014-ST-I-S-93-629-2398</v>
      </c>
      <c r="B1171" t="str">
        <f t="shared" si="73"/>
        <v>2014</v>
      </c>
      <c r="C1171" s="18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8" t="s">
        <v>851</v>
      </c>
      <c r="L1171" s="21">
        <v>6.2</v>
      </c>
    </row>
    <row r="1172" spans="1:12" x14ac:dyDescent="0.25">
      <c r="A1172" t="str">
        <f t="shared" si="72"/>
        <v>2014-ST-I-S-95-656-2298</v>
      </c>
      <c r="B1172" t="str">
        <f t="shared" si="73"/>
        <v>2014</v>
      </c>
      <c r="C1172" s="18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8" t="s">
        <v>851</v>
      </c>
      <c r="L1172" s="21">
        <v>5.7</v>
      </c>
    </row>
    <row r="1173" spans="1:12" x14ac:dyDescent="0.25">
      <c r="A1173" t="str">
        <f t="shared" si="72"/>
        <v>2014-ST-I-S-95-656-2298</v>
      </c>
      <c r="B1173" t="str">
        <f t="shared" si="73"/>
        <v>2014</v>
      </c>
      <c r="C1173" s="18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8" t="s">
        <v>851</v>
      </c>
      <c r="L1173" s="21">
        <v>6.6</v>
      </c>
    </row>
    <row r="1174" spans="1:12" x14ac:dyDescent="0.25">
      <c r="A1174" t="str">
        <f t="shared" si="72"/>
        <v>2014-ST-I-S-105-696-2292</v>
      </c>
      <c r="B1174" t="str">
        <f t="shared" si="73"/>
        <v>2014</v>
      </c>
      <c r="C1174" s="18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8" t="s">
        <v>851</v>
      </c>
      <c r="L1174" s="21">
        <v>6</v>
      </c>
    </row>
    <row r="1175" spans="1:12" x14ac:dyDescent="0.25">
      <c r="A1175" t="str">
        <f t="shared" si="72"/>
        <v>2014-ST-I-S-105-696-2292</v>
      </c>
      <c r="B1175" t="str">
        <f t="shared" si="73"/>
        <v>2014</v>
      </c>
      <c r="C1175" s="18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8" t="s">
        <v>851</v>
      </c>
      <c r="L1175" s="21">
        <v>6.8</v>
      </c>
    </row>
    <row r="1176" spans="1:12" x14ac:dyDescent="0.25">
      <c r="A1176" t="str">
        <f t="shared" si="72"/>
        <v>2014-ST-I-S-112-734-2289</v>
      </c>
      <c r="B1176" t="str">
        <f t="shared" si="73"/>
        <v>2014</v>
      </c>
      <c r="C1176" s="18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8" t="s">
        <v>851</v>
      </c>
      <c r="L1176" s="21">
        <v>6.3</v>
      </c>
    </row>
    <row r="1177" spans="1:12" x14ac:dyDescent="0.25">
      <c r="A1177" t="str">
        <f t="shared" si="72"/>
        <v>2014-ST-I-S-112-754-2289</v>
      </c>
      <c r="B1177" t="str">
        <f t="shared" si="73"/>
        <v>2014</v>
      </c>
      <c r="C1177" s="18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8" t="s">
        <v>851</v>
      </c>
      <c r="L1177" s="21">
        <v>7.2</v>
      </c>
    </row>
    <row r="1178" spans="1:12" x14ac:dyDescent="0.25">
      <c r="A1178" t="str">
        <f t="shared" si="72"/>
        <v>2014-ST-I-S-121-803-2266</v>
      </c>
      <c r="B1178" t="str">
        <f t="shared" si="73"/>
        <v>2014</v>
      </c>
      <c r="C1178" s="18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8" t="s">
        <v>851</v>
      </c>
      <c r="L1178" s="21">
        <v>6.6</v>
      </c>
    </row>
    <row r="1179" spans="1:12" x14ac:dyDescent="0.25">
      <c r="A1179" t="str">
        <f t="shared" si="72"/>
        <v>2014-ST-I-S-121-803-2266</v>
      </c>
      <c r="B1179" t="str">
        <f t="shared" si="73"/>
        <v>2014</v>
      </c>
      <c r="C1179" s="18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8" t="s">
        <v>851</v>
      </c>
      <c r="L1179" s="21">
        <v>7.4</v>
      </c>
    </row>
    <row r="1180" spans="1:12" x14ac:dyDescent="0.25">
      <c r="A1180" t="str">
        <f t="shared" si="72"/>
        <v>2014-ST-I-S-131-849-2265</v>
      </c>
      <c r="B1180" t="str">
        <f t="shared" si="73"/>
        <v>2014</v>
      </c>
      <c r="C1180" s="18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8" t="s">
        <v>851</v>
      </c>
      <c r="L1180" s="21">
        <v>6.9</v>
      </c>
    </row>
    <row r="1181" spans="1:12" x14ac:dyDescent="0.25">
      <c r="A1181" t="str">
        <f t="shared" si="72"/>
        <v>2014-ST-I-S-131-849-2265</v>
      </c>
      <c r="B1181" t="str">
        <f t="shared" si="73"/>
        <v>2014</v>
      </c>
      <c r="C1181" s="18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8" t="s">
        <v>851</v>
      </c>
      <c r="L1181" s="21">
        <v>7.7</v>
      </c>
    </row>
    <row r="1182" spans="1:12" x14ac:dyDescent="0.25">
      <c r="A1182" t="str">
        <f t="shared" si="72"/>
        <v>2015-ST-I-S-82-583-2301</v>
      </c>
      <c r="B1182" t="str">
        <f t="shared" si="73"/>
        <v>2015</v>
      </c>
      <c r="C1182" s="18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8" t="s">
        <v>731</v>
      </c>
      <c r="L1182" s="21">
        <v>5.9</v>
      </c>
    </row>
    <row r="1183" spans="1:12" x14ac:dyDescent="0.25">
      <c r="A1183" t="str">
        <f t="shared" si="72"/>
        <v>2015-ST-I-S-82-583-2301</v>
      </c>
      <c r="B1183" t="str">
        <f t="shared" si="73"/>
        <v>2015</v>
      </c>
      <c r="C1183" s="18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8" t="s">
        <v>731</v>
      </c>
      <c r="L1183" s="21">
        <v>5.34</v>
      </c>
    </row>
    <row r="1184" spans="1:12" x14ac:dyDescent="0.25">
      <c r="A1184" t="str">
        <f t="shared" si="72"/>
        <v>2015-ST-I-S-86-599-2327</v>
      </c>
      <c r="B1184" t="str">
        <f t="shared" si="73"/>
        <v>2015</v>
      </c>
      <c r="C1184" s="18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8" t="s">
        <v>731</v>
      </c>
      <c r="L1184" s="21">
        <v>6.1</v>
      </c>
    </row>
    <row r="1185" spans="1:12" x14ac:dyDescent="0.25">
      <c r="A1185" t="str">
        <f t="shared" si="72"/>
        <v>2015-ST-I-S-86-599-2327</v>
      </c>
      <c r="B1185" t="str">
        <f t="shared" si="73"/>
        <v>2015</v>
      </c>
      <c r="C1185" s="18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8" t="s">
        <v>731</v>
      </c>
      <c r="L1185" s="21">
        <v>5.47</v>
      </c>
    </row>
    <row r="1186" spans="1:12" x14ac:dyDescent="0.25">
      <c r="A1186" t="str">
        <f t="shared" si="72"/>
        <v>2015-ST-I-S-90-629-2299</v>
      </c>
      <c r="B1186" t="str">
        <f t="shared" si="73"/>
        <v>2015</v>
      </c>
      <c r="C1186" s="18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8" t="s">
        <v>731</v>
      </c>
      <c r="L1186" s="21">
        <v>6.3</v>
      </c>
    </row>
    <row r="1187" spans="1:12" x14ac:dyDescent="0.25">
      <c r="A1187" t="str">
        <f t="shared" si="72"/>
        <v>2015-ST-I-S-90-629-2299</v>
      </c>
      <c r="B1187" t="str">
        <f t="shared" si="73"/>
        <v>2015</v>
      </c>
      <c r="C1187" s="18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8" t="s">
        <v>731</v>
      </c>
      <c r="L1187" s="21">
        <v>5.57</v>
      </c>
    </row>
    <row r="1188" spans="1:12" x14ac:dyDescent="0.25">
      <c r="A1188" t="str">
        <f t="shared" si="72"/>
        <v>2015-ST-I-S-94-655-2295</v>
      </c>
      <c r="B1188" t="str">
        <f t="shared" si="73"/>
        <v>2015</v>
      </c>
      <c r="C1188" s="18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8" t="s">
        <v>731</v>
      </c>
      <c r="L1188" s="21">
        <v>6.6</v>
      </c>
    </row>
    <row r="1189" spans="1:12" x14ac:dyDescent="0.25">
      <c r="A1189" t="str">
        <f t="shared" si="72"/>
        <v>2015-ST-I-S-94-655-2295</v>
      </c>
      <c r="B1189" t="str">
        <f t="shared" si="73"/>
        <v>2015</v>
      </c>
      <c r="C1189" s="18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8" t="s">
        <v>731</v>
      </c>
      <c r="L1189" s="21">
        <v>5.75</v>
      </c>
    </row>
    <row r="1190" spans="1:12" x14ac:dyDescent="0.25">
      <c r="A1190" t="str">
        <f t="shared" si="72"/>
        <v>2015-ST-I-S-106-706-2298</v>
      </c>
      <c r="B1190" t="str">
        <f t="shared" si="73"/>
        <v>2015</v>
      </c>
      <c r="C1190" s="18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8" t="s">
        <v>731</v>
      </c>
      <c r="L1190" s="21">
        <v>6.89</v>
      </c>
    </row>
    <row r="1191" spans="1:12" x14ac:dyDescent="0.25">
      <c r="A1191" t="str">
        <f t="shared" si="72"/>
        <v>2015-ST-I-S-106-706-2298</v>
      </c>
      <c r="B1191" t="str">
        <f t="shared" si="73"/>
        <v>2015</v>
      </c>
      <c r="C1191" s="18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8" t="s">
        <v>731</v>
      </c>
      <c r="L1191" s="21">
        <v>6.19</v>
      </c>
    </row>
    <row r="1192" spans="1:12" x14ac:dyDescent="0.25">
      <c r="A1192" t="str">
        <f t="shared" si="72"/>
        <v>2015-ST-I-S-111-753-2289</v>
      </c>
      <c r="B1192" t="str">
        <f t="shared" si="73"/>
        <v>2015</v>
      </c>
      <c r="C1192" s="18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8" t="s">
        <v>731</v>
      </c>
      <c r="L1192" s="21">
        <v>7.2</v>
      </c>
    </row>
    <row r="1193" spans="1:12" x14ac:dyDescent="0.25">
      <c r="A1193" t="str">
        <f t="shared" si="72"/>
        <v>2015-ST-I-S-111-753-2289</v>
      </c>
      <c r="B1193" t="str">
        <f t="shared" si="73"/>
        <v>2015</v>
      </c>
      <c r="C1193" s="18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8" t="s">
        <v>731</v>
      </c>
      <c r="L1193" s="21">
        <v>6.48</v>
      </c>
    </row>
    <row r="1194" spans="1:12" x14ac:dyDescent="0.25">
      <c r="A1194" t="str">
        <f t="shared" si="72"/>
        <v>2015-ST-I-S-122-803-2268</v>
      </c>
      <c r="B1194" t="str">
        <f t="shared" si="73"/>
        <v>2015</v>
      </c>
      <c r="C1194" s="18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8" t="s">
        <v>731</v>
      </c>
      <c r="L1194" s="21">
        <v>7.4</v>
      </c>
    </row>
    <row r="1195" spans="1:12" x14ac:dyDescent="0.25">
      <c r="A1195" t="str">
        <f t="shared" si="72"/>
        <v>2015-ST-I-S-122-803-2268</v>
      </c>
      <c r="B1195" t="str">
        <f t="shared" si="73"/>
        <v>2015</v>
      </c>
      <c r="C1195" s="18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8" t="s">
        <v>731</v>
      </c>
      <c r="L1195" s="21">
        <v>6.92</v>
      </c>
    </row>
    <row r="1196" spans="1:12" x14ac:dyDescent="0.25">
      <c r="A1196" t="str">
        <f t="shared" si="72"/>
        <v>2015-ST-I-S-130-850-2267</v>
      </c>
      <c r="B1196" t="str">
        <f t="shared" si="73"/>
        <v>2015</v>
      </c>
      <c r="C1196" s="18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8" t="s">
        <v>731</v>
      </c>
      <c r="L1196" s="21">
        <v>7.7</v>
      </c>
    </row>
    <row r="1197" spans="1:12" x14ac:dyDescent="0.25">
      <c r="A1197" t="str">
        <f t="shared" si="72"/>
        <v>2015-ST-I-S-130-850-2267</v>
      </c>
      <c r="B1197" t="str">
        <f t="shared" si="73"/>
        <v>2015</v>
      </c>
      <c r="C1197" s="18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8" t="s">
        <v>731</v>
      </c>
      <c r="L1197" s="21">
        <v>7.14</v>
      </c>
    </row>
    <row r="1198" spans="1:12" x14ac:dyDescent="0.25">
      <c r="A1198" t="str">
        <f t="shared" si="72"/>
        <v>2015-ST-Sla-111-753-2289</v>
      </c>
      <c r="B1198" t="str">
        <f t="shared" si="73"/>
        <v>2015</v>
      </c>
      <c r="C1198" s="18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8" t="s">
        <v>731</v>
      </c>
      <c r="L1198" s="21">
        <v>6.89</v>
      </c>
    </row>
    <row r="1199" spans="1:12" x14ac:dyDescent="0.25">
      <c r="A1199" t="str">
        <f t="shared" si="72"/>
        <v>2016-ST-ISO-82-583-2316</v>
      </c>
      <c r="B1199" t="str">
        <f t="shared" si="73"/>
        <v>2016</v>
      </c>
      <c r="C1199" s="18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8" t="s">
        <v>1118</v>
      </c>
      <c r="L1199" s="21">
        <v>5.3</v>
      </c>
    </row>
    <row r="1200" spans="1:12" x14ac:dyDescent="0.25">
      <c r="A1200" t="str">
        <f t="shared" si="72"/>
        <v>2016-ST-ISO-86-599-2342</v>
      </c>
      <c r="B1200" t="str">
        <f t="shared" si="73"/>
        <v>2016</v>
      </c>
      <c r="C1200" s="18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8" t="s">
        <v>1118</v>
      </c>
      <c r="L1200" s="21">
        <v>5.5</v>
      </c>
    </row>
    <row r="1201" spans="1:12" x14ac:dyDescent="0.25">
      <c r="A1201" t="str">
        <f t="shared" si="72"/>
        <v>2016-ST-ISO-90-629-2314</v>
      </c>
      <c r="B1201" t="str">
        <f t="shared" si="73"/>
        <v>2016</v>
      </c>
      <c r="C1201" s="18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8" t="s">
        <v>1118</v>
      </c>
      <c r="L1201" s="21">
        <v>5.6</v>
      </c>
    </row>
    <row r="1202" spans="1:12" x14ac:dyDescent="0.25">
      <c r="A1202" t="str">
        <f t="shared" si="72"/>
        <v>2016-ST-ISO-99-670-2310</v>
      </c>
      <c r="B1202" t="str">
        <f t="shared" si="73"/>
        <v>2016</v>
      </c>
      <c r="C1202" s="18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8" t="s">
        <v>1118</v>
      </c>
      <c r="L1202" s="21">
        <v>5.9</v>
      </c>
    </row>
    <row r="1203" spans="1:12" x14ac:dyDescent="0.25">
      <c r="A1203" t="str">
        <f t="shared" si="72"/>
        <v>2016-ST-ISO-108-709-2311</v>
      </c>
      <c r="B1203" t="str">
        <f t="shared" si="73"/>
        <v>2016</v>
      </c>
      <c r="C1203" s="18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8" t="s">
        <v>1118</v>
      </c>
      <c r="L1203" s="21">
        <v>6.2</v>
      </c>
    </row>
    <row r="1204" spans="1:12" x14ac:dyDescent="0.25">
      <c r="A1204" t="str">
        <f t="shared" si="72"/>
        <v>2016-ST-ISO-117-767-2308</v>
      </c>
      <c r="B1204" t="str">
        <f t="shared" si="73"/>
        <v>2016</v>
      </c>
      <c r="C1204" s="18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8" t="s">
        <v>1118</v>
      </c>
      <c r="L1204" s="21">
        <v>6.6</v>
      </c>
    </row>
    <row r="1205" spans="1:12" x14ac:dyDescent="0.25">
      <c r="A1205" t="str">
        <f t="shared" si="72"/>
        <v>2016-ST-ISO-128-820-2266</v>
      </c>
      <c r="B1205" t="str">
        <f t="shared" si="73"/>
        <v>2016</v>
      </c>
      <c r="C1205" s="18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8" t="s">
        <v>1118</v>
      </c>
      <c r="L1205" s="21">
        <v>6.9</v>
      </c>
    </row>
    <row r="1206" spans="1:12" x14ac:dyDescent="0.25">
      <c r="A1206" t="str">
        <f t="shared" si="72"/>
        <v>2016-ST-ISO-134-849-2284</v>
      </c>
      <c r="B1206" t="str">
        <f t="shared" si="73"/>
        <v>2016</v>
      </c>
      <c r="C1206" s="18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8" t="s">
        <v>1118</v>
      </c>
      <c r="L1206" s="21">
        <v>7.2</v>
      </c>
    </row>
    <row r="1207" spans="1:12" x14ac:dyDescent="0.25">
      <c r="A1207" t="str">
        <f t="shared" si="72"/>
        <v>2017-ST-ISO-69-502-2315</v>
      </c>
      <c r="B1207" t="str">
        <f t="shared" si="73"/>
        <v>2017</v>
      </c>
      <c r="C1207" s="18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8" t="s">
        <v>1881</v>
      </c>
      <c r="L1207" s="21">
        <v>4.5999999999999996</v>
      </c>
    </row>
    <row r="1208" spans="1:12" x14ac:dyDescent="0.25">
      <c r="A1208" t="str">
        <f t="shared" si="72"/>
        <v>2017-ST-ISO-77-552-2316</v>
      </c>
      <c r="B1208" t="str">
        <f t="shared" si="73"/>
        <v>2017</v>
      </c>
      <c r="C1208" s="18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8" t="s">
        <v>1881</v>
      </c>
      <c r="L1208" s="21">
        <v>4.8</v>
      </c>
    </row>
    <row r="1209" spans="1:12" x14ac:dyDescent="0.25">
      <c r="A1209" t="str">
        <f t="shared" si="72"/>
        <v>2017-ST-ISO-82-589-2310</v>
      </c>
      <c r="B1209" t="str">
        <f t="shared" si="73"/>
        <v>2017</v>
      </c>
      <c r="C1209" s="18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8" t="s">
        <v>1881</v>
      </c>
      <c r="L1209" s="21">
        <v>5</v>
      </c>
    </row>
    <row r="1210" spans="1:12" x14ac:dyDescent="0.25">
      <c r="A1210" t="str">
        <f t="shared" si="72"/>
        <v>2017-ST-ISO-84-600-2316</v>
      </c>
      <c r="B1210" t="str">
        <f t="shared" si="73"/>
        <v>2017</v>
      </c>
      <c r="C1210" s="18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8" t="s">
        <v>1881</v>
      </c>
      <c r="L1210" s="21">
        <v>5.25</v>
      </c>
    </row>
    <row r="1211" spans="1:12" x14ac:dyDescent="0.25">
      <c r="A1211" t="str">
        <f t="shared" si="72"/>
        <v>2017-ST-ISO-90-620-2315</v>
      </c>
      <c r="B1211" t="str">
        <f t="shared" si="73"/>
        <v>2017</v>
      </c>
      <c r="C1211" s="18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8" t="s">
        <v>1881</v>
      </c>
      <c r="L1211" s="21">
        <v>5.42</v>
      </c>
    </row>
    <row r="1212" spans="1:12" x14ac:dyDescent="0.25">
      <c r="A1212" t="str">
        <f t="shared" si="72"/>
        <v>2017-ST-ISO-105-672-2307</v>
      </c>
      <c r="B1212" t="str">
        <f t="shared" si="73"/>
        <v>2017</v>
      </c>
      <c r="C1212" s="18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8" t="s">
        <v>1881</v>
      </c>
      <c r="L1212" s="21">
        <v>5.85</v>
      </c>
    </row>
    <row r="1213" spans="1:12" x14ac:dyDescent="0.25">
      <c r="A1213" t="str">
        <f t="shared" si="72"/>
        <v>2017-ST-ISO-107-708-2312</v>
      </c>
      <c r="B1213" t="str">
        <f t="shared" si="73"/>
        <v>2017</v>
      </c>
      <c r="C1213" s="18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8" t="s">
        <v>1881</v>
      </c>
      <c r="L1213" s="21">
        <v>6.04</v>
      </c>
    </row>
    <row r="1214" spans="1:12" x14ac:dyDescent="0.25">
      <c r="A1214" t="str">
        <f t="shared" si="72"/>
        <v>2017-ST-ISO-117-767-2308</v>
      </c>
      <c r="B1214" t="str">
        <f t="shared" si="73"/>
        <v>2017</v>
      </c>
      <c r="C1214" s="18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8" t="s">
        <v>1881</v>
      </c>
      <c r="L1214" s="21">
        <v>6.36</v>
      </c>
    </row>
    <row r="1215" spans="1:12" x14ac:dyDescent="0.25">
      <c r="A1215" t="str">
        <f t="shared" si="72"/>
        <v>2017-ST-ISO-134-820-2306</v>
      </c>
      <c r="B1215" t="str">
        <f t="shared" si="73"/>
        <v>2017</v>
      </c>
      <c r="C1215" s="18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8" t="s">
        <v>1881</v>
      </c>
      <c r="L1215" s="21">
        <v>6.9</v>
      </c>
    </row>
    <row r="1216" spans="1:12" x14ac:dyDescent="0.25">
      <c r="A1216" t="str">
        <f t="shared" si="72"/>
        <v>2017-ST-ISO-142-850-2309</v>
      </c>
      <c r="B1216" t="str">
        <f t="shared" si="73"/>
        <v>2017</v>
      </c>
      <c r="C1216" s="18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8" t="s">
        <v>1881</v>
      </c>
      <c r="L1216" s="21">
        <v>7.15</v>
      </c>
    </row>
    <row r="1217" spans="1:12" x14ac:dyDescent="0.25">
      <c r="A1217" t="str">
        <f t="shared" si="72"/>
        <v>2018-ST-ISO-82-589-2310</v>
      </c>
      <c r="B1217" t="str">
        <f t="shared" si="73"/>
        <v>2018</v>
      </c>
      <c r="C1217" s="18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8" t="s">
        <v>1886</v>
      </c>
      <c r="L1217" s="21">
        <v>5.0999999999999996</v>
      </c>
    </row>
    <row r="1218" spans="1:12" x14ac:dyDescent="0.25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8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8" t="s">
        <v>1886</v>
      </c>
      <c r="L1218" s="21">
        <v>5.3</v>
      </c>
    </row>
    <row r="1219" spans="1:12" x14ac:dyDescent="0.25">
      <c r="A1219" t="str">
        <f t="shared" si="76"/>
        <v>2018-ST-ISO-91-623-2320</v>
      </c>
      <c r="B1219" t="str">
        <f t="shared" si="77"/>
        <v>2018</v>
      </c>
      <c r="C1219" s="18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8" t="s">
        <v>1886</v>
      </c>
      <c r="L1219" s="21">
        <v>5.5</v>
      </c>
    </row>
    <row r="1220" spans="1:12" x14ac:dyDescent="0.25">
      <c r="A1220" t="str">
        <f t="shared" si="76"/>
        <v>2018-ST-ISO-104-674-2310</v>
      </c>
      <c r="B1220" t="str">
        <f t="shared" si="77"/>
        <v>2018</v>
      </c>
      <c r="C1220" s="18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8" t="s">
        <v>1886</v>
      </c>
      <c r="L1220" s="21">
        <v>5.95</v>
      </c>
    </row>
    <row r="1221" spans="1:12" x14ac:dyDescent="0.25">
      <c r="A1221" t="str">
        <f t="shared" si="76"/>
        <v>2018-ST-ISO-111-719-2311</v>
      </c>
      <c r="B1221" t="str">
        <f t="shared" si="77"/>
        <v>2018</v>
      </c>
      <c r="C1221" s="18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8" t="s">
        <v>1886</v>
      </c>
      <c r="L1221" s="21">
        <v>6.15</v>
      </c>
    </row>
    <row r="1222" spans="1:12" x14ac:dyDescent="0.25">
      <c r="A1222" t="str">
        <f t="shared" si="76"/>
        <v>2018-ST-ISO-131-772-2281</v>
      </c>
      <c r="B1222" t="str">
        <f t="shared" si="77"/>
        <v>2018</v>
      </c>
      <c r="C1222" s="18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8" t="s">
        <v>1886</v>
      </c>
      <c r="L1222" s="21">
        <v>6.95</v>
      </c>
    </row>
    <row r="1223" spans="1:12" x14ac:dyDescent="0.25">
      <c r="A1223" t="str">
        <f t="shared" si="76"/>
        <v>2018-ST-ISO-136-828-2292</v>
      </c>
      <c r="B1223" t="str">
        <f t="shared" si="77"/>
        <v>2018</v>
      </c>
      <c r="C1223" s="18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8" t="s">
        <v>1886</v>
      </c>
      <c r="L1223" s="21">
        <v>7.15</v>
      </c>
    </row>
    <row r="1224" spans="1:12" x14ac:dyDescent="0.25">
      <c r="A1224" t="str">
        <f t="shared" si="76"/>
        <v>2018-ST-ISO-139-848-2280</v>
      </c>
      <c r="B1224" t="str">
        <f t="shared" si="77"/>
        <v>2018</v>
      </c>
      <c r="C1224" s="18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8" t="s">
        <v>1886</v>
      </c>
      <c r="L1224" s="21">
        <v>7.4</v>
      </c>
    </row>
    <row r="1225" spans="1:12" x14ac:dyDescent="0.25">
      <c r="A1225" t="str">
        <f t="shared" si="76"/>
        <v>2018-ST-ISO-160-910-2281</v>
      </c>
      <c r="B1225" t="str">
        <f t="shared" si="77"/>
        <v>2018</v>
      </c>
      <c r="C1225" s="18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8" t="s">
        <v>1886</v>
      </c>
      <c r="L1225" s="21">
        <v>7.6</v>
      </c>
    </row>
    <row r="1226" spans="1:12" x14ac:dyDescent="0.25">
      <c r="A1226" t="str">
        <f t="shared" si="76"/>
        <v>2019-ST-ISO-53-439-2250</v>
      </c>
      <c r="B1226" t="str">
        <f t="shared" si="77"/>
        <v>2019</v>
      </c>
      <c r="C1226" s="18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8" t="s">
        <v>1889</v>
      </c>
      <c r="L1226" s="21">
        <v>4.38</v>
      </c>
    </row>
    <row r="1227" spans="1:12" x14ac:dyDescent="0.25">
      <c r="A1227" t="str">
        <f t="shared" si="76"/>
        <v>2019-ST-ISO-77-552-2316</v>
      </c>
      <c r="B1227" t="str">
        <f t="shared" si="77"/>
        <v>2019</v>
      </c>
      <c r="C1227" s="18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8" t="s">
        <v>1889</v>
      </c>
      <c r="L1227" s="21">
        <v>4.75</v>
      </c>
    </row>
    <row r="1228" spans="1:12" x14ac:dyDescent="0.25">
      <c r="A1228" t="str">
        <f t="shared" si="76"/>
        <v>2019-ST-ISO-82-589-2310</v>
      </c>
      <c r="B1228" t="str">
        <f t="shared" si="77"/>
        <v>2019</v>
      </c>
      <c r="C1228" s="18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8" t="s">
        <v>1889</v>
      </c>
      <c r="L1228" s="21">
        <v>5.2</v>
      </c>
    </row>
    <row r="1229" spans="1:12" x14ac:dyDescent="0.25">
      <c r="A1229" t="str">
        <f t="shared" si="76"/>
        <v>2019-ST-ISO-84-600-2316</v>
      </c>
      <c r="B1229" t="str">
        <f t="shared" si="77"/>
        <v>2019</v>
      </c>
      <c r="C1229" s="18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8" t="s">
        <v>1889</v>
      </c>
      <c r="L1229" s="21">
        <v>5.5</v>
      </c>
    </row>
    <row r="1230" spans="1:12" x14ac:dyDescent="0.25">
      <c r="A1230" t="str">
        <f t="shared" si="76"/>
        <v>2019-ST-ISO-95-628-2282</v>
      </c>
      <c r="B1230" t="str">
        <f t="shared" si="77"/>
        <v>2019</v>
      </c>
      <c r="C1230" s="18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8" t="s">
        <v>1889</v>
      </c>
      <c r="L1230" s="21">
        <v>5.7</v>
      </c>
    </row>
    <row r="1231" spans="1:12" x14ac:dyDescent="0.25">
      <c r="A1231" t="str">
        <f t="shared" si="76"/>
        <v>2019-ST-ISO-113-670-2285</v>
      </c>
      <c r="B1231" t="str">
        <f t="shared" si="77"/>
        <v>2019</v>
      </c>
      <c r="C1231" s="18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8" t="s">
        <v>1889</v>
      </c>
      <c r="L1231" s="21">
        <v>6.1</v>
      </c>
    </row>
    <row r="1232" spans="1:12" x14ac:dyDescent="0.25">
      <c r="A1232" t="str">
        <f t="shared" si="76"/>
        <v>2019-ST-ISO-118-720-2282</v>
      </c>
      <c r="B1232" t="str">
        <f t="shared" si="77"/>
        <v>2019</v>
      </c>
      <c r="C1232" s="18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8" t="s">
        <v>1889</v>
      </c>
      <c r="L1232" s="21">
        <v>6.4</v>
      </c>
    </row>
    <row r="1233" spans="1:12" x14ac:dyDescent="0.25">
      <c r="A1233" t="str">
        <f t="shared" si="76"/>
        <v>2019-ST-ISO-130-772-2281</v>
      </c>
      <c r="B1233" t="str">
        <f t="shared" si="77"/>
        <v>2019</v>
      </c>
      <c r="C1233" s="18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8" t="s">
        <v>1889</v>
      </c>
      <c r="L1233" s="21">
        <v>7</v>
      </c>
    </row>
    <row r="1234" spans="1:12" x14ac:dyDescent="0.25">
      <c r="A1234" t="str">
        <f t="shared" si="76"/>
        <v>2019-ST-ISO-136-828-2292</v>
      </c>
      <c r="B1234" t="str">
        <f t="shared" si="77"/>
        <v>2019</v>
      </c>
      <c r="C1234" s="18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8" t="s">
        <v>1889</v>
      </c>
      <c r="L1234" s="21">
        <v>7.38</v>
      </c>
    </row>
    <row r="1235" spans="1:12" x14ac:dyDescent="0.25">
      <c r="A1235" t="str">
        <f t="shared" si="76"/>
        <v>2019-ST-ISO-139-850-2282</v>
      </c>
      <c r="B1235" t="str">
        <f t="shared" si="77"/>
        <v>2019</v>
      </c>
      <c r="C1235" s="18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8" t="s">
        <v>1889</v>
      </c>
      <c r="L1235" s="21">
        <v>7.48</v>
      </c>
    </row>
    <row r="1236" spans="1:12" x14ac:dyDescent="0.25">
      <c r="A1236" t="str">
        <f t="shared" si="76"/>
        <v>2019-ST-ISO-160-910-2281</v>
      </c>
      <c r="B1236" t="str">
        <f t="shared" si="77"/>
        <v>2019</v>
      </c>
      <c r="C1236" s="18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8" t="s">
        <v>1889</v>
      </c>
      <c r="L1236" s="21">
        <v>8.1</v>
      </c>
    </row>
    <row r="1237" spans="1:12" x14ac:dyDescent="0.25">
      <c r="A1237" t="str">
        <f t="shared" si="76"/>
        <v>2019-ST-FOI-194-910-2286</v>
      </c>
      <c r="B1237" t="str">
        <f t="shared" si="77"/>
        <v>2019</v>
      </c>
      <c r="C1237" s="18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8" t="s">
        <v>1889</v>
      </c>
      <c r="L1237" s="21">
        <v>9.65</v>
      </c>
    </row>
    <row r="1238" spans="1:12" x14ac:dyDescent="0.25">
      <c r="A1238" t="str">
        <f t="shared" si="76"/>
        <v>2020-ST-ISO-86-602-2252</v>
      </c>
      <c r="B1238" t="str">
        <f t="shared" si="77"/>
        <v>2020</v>
      </c>
      <c r="C1238" s="18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8" t="s">
        <v>1901</v>
      </c>
      <c r="L1238" s="21">
        <v>5.5</v>
      </c>
    </row>
    <row r="1239" spans="1:12" x14ac:dyDescent="0.25">
      <c r="A1239" t="str">
        <f t="shared" si="76"/>
        <v>2020-ST-ISO-96-631-2253</v>
      </c>
      <c r="B1239" t="str">
        <f t="shared" si="77"/>
        <v>2020</v>
      </c>
      <c r="C1239" s="18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8" t="s">
        <v>1901</v>
      </c>
      <c r="L1239" s="21">
        <v>5.84</v>
      </c>
    </row>
    <row r="1240" spans="1:12" x14ac:dyDescent="0.25">
      <c r="A1240" t="str">
        <f t="shared" si="76"/>
        <v>2020-ST-ISO-113-670-2285</v>
      </c>
      <c r="B1240" t="str">
        <f t="shared" si="77"/>
        <v>2020</v>
      </c>
      <c r="C1240" s="18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8" t="s">
        <v>1901</v>
      </c>
      <c r="L1240" s="21">
        <v>6.29</v>
      </c>
    </row>
    <row r="1241" spans="1:12" x14ac:dyDescent="0.25">
      <c r="A1241" t="str">
        <f t="shared" si="76"/>
        <v>2020-ST-ISO-123-723-2283</v>
      </c>
      <c r="B1241" t="str">
        <f t="shared" si="77"/>
        <v>2020</v>
      </c>
      <c r="C1241" s="18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8" t="s">
        <v>1901</v>
      </c>
      <c r="L1241" s="21">
        <v>6.7</v>
      </c>
    </row>
    <row r="1242" spans="1:12" x14ac:dyDescent="0.25">
      <c r="A1242" t="str">
        <f t="shared" si="76"/>
        <v>2020-ST-ISO-126-770-2283</v>
      </c>
      <c r="B1242" t="str">
        <f t="shared" si="77"/>
        <v>2020</v>
      </c>
      <c r="C1242" s="18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8" t="s">
        <v>1901</v>
      </c>
      <c r="L1242" s="21">
        <v>7.1</v>
      </c>
    </row>
    <row r="1243" spans="1:12" x14ac:dyDescent="0.25">
      <c r="A1243" t="str">
        <f t="shared" si="76"/>
        <v>2020-ST-ISO-138-832-2281</v>
      </c>
      <c r="B1243" t="str">
        <f t="shared" si="77"/>
        <v>2020</v>
      </c>
      <c r="C1243" s="18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8" t="s">
        <v>1901</v>
      </c>
      <c r="L1243" s="21">
        <v>7.52</v>
      </c>
    </row>
    <row r="1244" spans="1:12" x14ac:dyDescent="0.25">
      <c r="A1244" t="str">
        <f t="shared" si="76"/>
        <v>2020-ST-ISO-139-850-2279</v>
      </c>
      <c r="B1244" t="str">
        <f t="shared" si="77"/>
        <v>2020</v>
      </c>
      <c r="C1244" s="18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8" t="s">
        <v>1901</v>
      </c>
      <c r="L1244" s="21">
        <v>7.68</v>
      </c>
    </row>
    <row r="1245" spans="1:12" x14ac:dyDescent="0.25">
      <c r="A1245" t="str">
        <f t="shared" si="76"/>
        <v>2021-ST-ISO-86-602-2252</v>
      </c>
      <c r="B1245" t="str">
        <f t="shared" si="77"/>
        <v>2021</v>
      </c>
      <c r="C1245" s="18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8" t="s">
        <v>1151</v>
      </c>
      <c r="L1245" s="21">
        <v>5.5</v>
      </c>
    </row>
    <row r="1246" spans="1:12" x14ac:dyDescent="0.25">
      <c r="A1246" t="str">
        <f t="shared" si="76"/>
        <v>2021-ST-ISO-94-630-2255</v>
      </c>
      <c r="B1246" t="str">
        <f t="shared" si="77"/>
        <v>2021</v>
      </c>
      <c r="C1246" s="18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8" t="s">
        <v>1151</v>
      </c>
      <c r="L1246" s="21">
        <v>5.7</v>
      </c>
    </row>
    <row r="1247" spans="1:12" x14ac:dyDescent="0.25">
      <c r="A1247" t="str">
        <f t="shared" si="76"/>
        <v>2021-ST-ISO-113-670-2285</v>
      </c>
      <c r="B1247" t="str">
        <f t="shared" si="77"/>
        <v>2021</v>
      </c>
      <c r="C1247" s="18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8" t="s">
        <v>1151</v>
      </c>
      <c r="L1247" s="21">
        <v>6.1</v>
      </c>
    </row>
    <row r="1248" spans="1:12" x14ac:dyDescent="0.25">
      <c r="A1248" t="str">
        <f t="shared" si="76"/>
        <v>2021-ST-ISO-122-725-2282</v>
      </c>
      <c r="B1248" t="str">
        <f t="shared" si="77"/>
        <v>2021</v>
      </c>
      <c r="C1248" s="18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8" t="s">
        <v>1151</v>
      </c>
      <c r="L1248" s="21">
        <v>6.6</v>
      </c>
    </row>
    <row r="1249" spans="1:12" x14ac:dyDescent="0.25">
      <c r="A1249" t="str">
        <f t="shared" si="76"/>
        <v>2021-ST-ISO-127-777-2285</v>
      </c>
      <c r="B1249" t="str">
        <f t="shared" si="77"/>
        <v>2021</v>
      </c>
      <c r="C1249" s="18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8" t="s">
        <v>1151</v>
      </c>
      <c r="L1249" s="21">
        <v>6.8</v>
      </c>
    </row>
    <row r="1250" spans="1:12" x14ac:dyDescent="0.25">
      <c r="A1250" t="str">
        <f t="shared" si="76"/>
        <v>2021-ST-ISO-134-831-2285</v>
      </c>
      <c r="B1250" t="str">
        <f t="shared" si="77"/>
        <v>2021</v>
      </c>
      <c r="C1250" s="18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8" t="s">
        <v>1151</v>
      </c>
      <c r="L1250" s="21">
        <v>7.3</v>
      </c>
    </row>
    <row r="1251" spans="1:12" x14ac:dyDescent="0.25">
      <c r="A1251" t="str">
        <f t="shared" si="76"/>
        <v>2021-ST-ISO-139-850-2279</v>
      </c>
      <c r="B1251" t="str">
        <f t="shared" si="77"/>
        <v>2021</v>
      </c>
      <c r="C1251" s="18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8" t="s">
        <v>1151</v>
      </c>
      <c r="L1251" s="21">
        <v>7.5</v>
      </c>
    </row>
    <row r="1252" spans="1:12" x14ac:dyDescent="0.25">
      <c r="A1252" t="str">
        <f t="shared" si="76"/>
        <v>2021-ST-FOI-145-715-2200</v>
      </c>
      <c r="B1252" t="str">
        <f t="shared" si="77"/>
        <v>2021</v>
      </c>
      <c r="C1252" s="18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8" t="s">
        <v>1151</v>
      </c>
      <c r="L1252" s="21">
        <v>8.1</v>
      </c>
    </row>
    <row r="1253" spans="1:12" x14ac:dyDescent="0.25">
      <c r="A1253" t="str">
        <f t="shared" si="76"/>
        <v>2021-ST-FOI-167-806-2180</v>
      </c>
      <c r="B1253" t="str">
        <f t="shared" si="77"/>
        <v>2021</v>
      </c>
      <c r="C1253" s="18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8" t="s">
        <v>1151</v>
      </c>
      <c r="L1253" s="21">
        <v>8.6999999999999993</v>
      </c>
    </row>
    <row r="1254" spans="1:12" x14ac:dyDescent="0.25">
      <c r="A1254" t="str">
        <f t="shared" si="76"/>
        <v>2021-ST-FOI-145-715-2200</v>
      </c>
      <c r="B1254" t="str">
        <f t="shared" si="77"/>
        <v>2021</v>
      </c>
      <c r="C1254" s="18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8" t="s">
        <v>1151</v>
      </c>
      <c r="L1254" s="21">
        <v>8.1</v>
      </c>
    </row>
    <row r="1255" spans="1:12" x14ac:dyDescent="0.25">
      <c r="A1255" t="str">
        <f t="shared" si="76"/>
        <v>2022-ST-iSo-86-602-2252</v>
      </c>
      <c r="B1255" t="str">
        <f t="shared" si="77"/>
        <v>2022</v>
      </c>
      <c r="C1255" s="18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8" t="s">
        <v>1154</v>
      </c>
      <c r="L1255" s="21">
        <v>5.5</v>
      </c>
    </row>
    <row r="1256" spans="1:12" x14ac:dyDescent="0.25">
      <c r="A1256" t="str">
        <f t="shared" si="76"/>
        <v>2022-ST-iSo-94-630-2250</v>
      </c>
      <c r="B1256" t="str">
        <f t="shared" si="77"/>
        <v>2022</v>
      </c>
      <c r="C1256" s="18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8" t="s">
        <v>1154</v>
      </c>
      <c r="L1256" s="21">
        <v>5.7</v>
      </c>
    </row>
    <row r="1257" spans="1:12" x14ac:dyDescent="0.25">
      <c r="A1257" t="str">
        <f t="shared" si="76"/>
        <v>2022-ST-iSo-113-672-2286</v>
      </c>
      <c r="B1257" t="str">
        <f t="shared" si="77"/>
        <v>2022</v>
      </c>
      <c r="C1257" s="18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8" t="s">
        <v>1154</v>
      </c>
      <c r="L1257" s="21">
        <v>6</v>
      </c>
    </row>
    <row r="1258" spans="1:12" x14ac:dyDescent="0.25">
      <c r="A1258" t="str">
        <f t="shared" si="76"/>
        <v>2022-ST-iSo-124-727-2283</v>
      </c>
      <c r="B1258" t="str">
        <f t="shared" si="77"/>
        <v>2022</v>
      </c>
      <c r="C1258" s="18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8" t="s">
        <v>1154</v>
      </c>
      <c r="L1258" s="21">
        <v>6.4</v>
      </c>
    </row>
    <row r="1259" spans="1:12" x14ac:dyDescent="0.25">
      <c r="A1259" t="str">
        <f t="shared" si="76"/>
        <v>2022-ST-iSo-127-777-2285</v>
      </c>
      <c r="B1259" t="str">
        <f t="shared" si="77"/>
        <v>2022</v>
      </c>
      <c r="C1259" s="18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8" t="s">
        <v>1154</v>
      </c>
      <c r="L1259" s="21">
        <v>6.6</v>
      </c>
    </row>
    <row r="1260" spans="1:12" x14ac:dyDescent="0.25">
      <c r="A1260" t="str">
        <f t="shared" si="76"/>
        <v>2022-ST-iSo-134-831-2285</v>
      </c>
      <c r="B1260" t="str">
        <f t="shared" si="77"/>
        <v>2022</v>
      </c>
      <c r="C1260" s="18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8" t="s">
        <v>1154</v>
      </c>
      <c r="L1260" s="21">
        <v>6.8</v>
      </c>
    </row>
    <row r="1261" spans="1:12" x14ac:dyDescent="0.25">
      <c r="A1261" t="str">
        <f t="shared" si="76"/>
        <v>2022-ST-iSo-140-850-2282</v>
      </c>
      <c r="B1261" t="str">
        <f t="shared" si="77"/>
        <v>2022</v>
      </c>
      <c r="C1261" s="18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8" t="s">
        <v>1154</v>
      </c>
      <c r="L1261" s="21">
        <v>7.2</v>
      </c>
    </row>
    <row r="1262" spans="1:12" x14ac:dyDescent="0.25">
      <c r="A1262" t="str">
        <f t="shared" si="76"/>
        <v>2022-ST-Foi-163-814-2094</v>
      </c>
      <c r="B1262" t="str">
        <f t="shared" si="77"/>
        <v>2022</v>
      </c>
      <c r="C1262" s="18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8" t="s">
        <v>1913</v>
      </c>
      <c r="L1262" s="21">
        <v>8.6</v>
      </c>
    </row>
    <row r="1263" spans="1:12" x14ac:dyDescent="0.25">
      <c r="A1263" t="str">
        <f t="shared" si="76"/>
        <v>2022-ST-Foi-191-910-2104</v>
      </c>
      <c r="B1263" t="str">
        <f t="shared" si="77"/>
        <v>2022</v>
      </c>
      <c r="C1263" s="18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8" t="s">
        <v>1913</v>
      </c>
      <c r="L1263" s="21">
        <v>9.8000000000000007</v>
      </c>
    </row>
    <row r="1264" spans="1:12" x14ac:dyDescent="0.25">
      <c r="A1264" t="str">
        <f t="shared" si="76"/>
        <v>2023-ST-X-1-161-779-2097</v>
      </c>
      <c r="B1264" t="str">
        <f t="shared" si="77"/>
        <v>2023</v>
      </c>
      <c r="C1264" s="18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8" t="s">
        <v>1913</v>
      </c>
      <c r="L1264" s="21">
        <v>8.6999999999999993</v>
      </c>
    </row>
    <row r="1265" spans="1:12" x14ac:dyDescent="0.25">
      <c r="A1265" t="str">
        <f t="shared" si="76"/>
        <v>2023-ST-X-1-176-846-2101</v>
      </c>
      <c r="B1265" t="str">
        <f t="shared" si="77"/>
        <v>2023</v>
      </c>
      <c r="C1265" s="18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8" t="s">
        <v>1913</v>
      </c>
      <c r="L1265" s="21">
        <v>9.1</v>
      </c>
    </row>
    <row r="1266" spans="1:12" x14ac:dyDescent="0.25">
      <c r="A1266" t="str">
        <f t="shared" si="76"/>
        <v>2023-ST-X-1-189-910-2095</v>
      </c>
      <c r="B1266" t="str">
        <f t="shared" si="77"/>
        <v>2023</v>
      </c>
      <c r="C1266" s="18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8" t="s">
        <v>1913</v>
      </c>
      <c r="L1266" s="21">
        <v>9.5</v>
      </c>
    </row>
    <row r="1267" spans="1:12" x14ac:dyDescent="0.25">
      <c r="A1267" t="str">
        <f t="shared" si="76"/>
        <v>2023-ST-iSo-87-602-2253</v>
      </c>
      <c r="B1267" t="str">
        <f t="shared" si="77"/>
        <v>2023</v>
      </c>
      <c r="C1267" s="18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8" t="s">
        <v>1918</v>
      </c>
      <c r="L1267" s="21">
        <v>5.5</v>
      </c>
    </row>
    <row r="1268" spans="1:12" x14ac:dyDescent="0.25">
      <c r="A1268" t="str">
        <f t="shared" si="76"/>
        <v>2023-ST-iSo-94-630-2255</v>
      </c>
      <c r="B1268" t="str">
        <f t="shared" si="77"/>
        <v>2023</v>
      </c>
      <c r="C1268" s="18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8" t="s">
        <v>1918</v>
      </c>
      <c r="L1268" s="21">
        <v>5.7</v>
      </c>
    </row>
    <row r="1269" spans="1:12" x14ac:dyDescent="0.25">
      <c r="A1269" t="str">
        <f t="shared" si="76"/>
        <v>2023-ST-iSo-113-672-2286</v>
      </c>
      <c r="B1269" t="str">
        <f t="shared" si="77"/>
        <v>2023</v>
      </c>
      <c r="C1269" s="18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8" t="s">
        <v>1918</v>
      </c>
      <c r="L1269" s="21">
        <v>6.1</v>
      </c>
    </row>
    <row r="1270" spans="1:12" x14ac:dyDescent="0.25">
      <c r="A1270" t="str">
        <f t="shared" si="76"/>
        <v>2023-ST-iSo-124-727-2283</v>
      </c>
      <c r="B1270" t="str">
        <f t="shared" si="77"/>
        <v>2023</v>
      </c>
      <c r="C1270" s="18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8" t="s">
        <v>1918</v>
      </c>
      <c r="L1270" s="21">
        <v>6.5</v>
      </c>
    </row>
    <row r="1271" spans="1:12" x14ac:dyDescent="0.25">
      <c r="A1271" t="str">
        <f t="shared" si="76"/>
        <v>2023-ST-iSo-129-776-2283</v>
      </c>
      <c r="B1271" t="str">
        <f t="shared" si="77"/>
        <v>2023</v>
      </c>
      <c r="C1271" s="18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8" t="s">
        <v>1918</v>
      </c>
      <c r="L1271" s="21">
        <v>6.6</v>
      </c>
    </row>
    <row r="1272" spans="1:12" x14ac:dyDescent="0.25">
      <c r="A1272" t="str">
        <f t="shared" si="76"/>
        <v>2023-ST-iSo-134-830-2284</v>
      </c>
      <c r="B1272" t="str">
        <f t="shared" si="77"/>
        <v>2023</v>
      </c>
      <c r="C1272" s="18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8" t="s">
        <v>1918</v>
      </c>
      <c r="L1272" s="21">
        <v>6.9</v>
      </c>
    </row>
    <row r="1273" spans="1:12" x14ac:dyDescent="0.25">
      <c r="A1273" t="str">
        <f t="shared" si="76"/>
        <v>2023-ST-iSo-140-850-2282</v>
      </c>
      <c r="B1273" t="str">
        <f t="shared" si="77"/>
        <v>2023</v>
      </c>
      <c r="C1273" s="18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8" t="s">
        <v>1918</v>
      </c>
      <c r="L1273" s="21">
        <v>7.2</v>
      </c>
    </row>
    <row r="1274" spans="1:12" x14ac:dyDescent="0.25">
      <c r="A1274" t="str">
        <f t="shared" si="76"/>
        <v>2024-ST-X-1-156-747-2232</v>
      </c>
      <c r="B1274" t="str">
        <f t="shared" si="77"/>
        <v>2024</v>
      </c>
      <c r="C1274" s="18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8" t="s">
        <v>1918</v>
      </c>
      <c r="L1274" s="21">
        <v>8.1999999999999993</v>
      </c>
    </row>
    <row r="1275" spans="1:12" x14ac:dyDescent="0.25">
      <c r="A1275" t="str">
        <f t="shared" si="76"/>
        <v>2024-ST-X-1-166-787-2251</v>
      </c>
      <c r="B1275" t="str">
        <f t="shared" si="77"/>
        <v>2024</v>
      </c>
      <c r="C1275" s="18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8" t="s">
        <v>1918</v>
      </c>
      <c r="L1275" s="21">
        <v>8.8000000000000007</v>
      </c>
    </row>
    <row r="1276" spans="1:12" x14ac:dyDescent="0.25">
      <c r="A1276" t="str">
        <f t="shared" si="76"/>
        <v>2024-ST-X-1-182-851-2252</v>
      </c>
      <c r="B1276" t="str">
        <f t="shared" si="77"/>
        <v>2024</v>
      </c>
      <c r="C1276" s="18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8" t="s">
        <v>1918</v>
      </c>
      <c r="L1276" s="21">
        <v>9.3000000000000007</v>
      </c>
    </row>
    <row r="1277" spans="1:12" x14ac:dyDescent="0.25">
      <c r="A1277" t="str">
        <f t="shared" si="76"/>
        <v>2024-ST-X-1-188-888-2250</v>
      </c>
      <c r="B1277" t="str">
        <f t="shared" si="77"/>
        <v>2024</v>
      </c>
      <c r="C1277" s="18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8" t="s">
        <v>1918</v>
      </c>
      <c r="L1277" s="21">
        <v>9.6999999999999993</v>
      </c>
    </row>
    <row r="1278" spans="1:12" x14ac:dyDescent="0.25">
      <c r="A1278" t="str">
        <f t="shared" si="76"/>
        <v>2020-ST-iQF-153-848-2152</v>
      </c>
      <c r="B1278" t="str">
        <f t="shared" si="77"/>
        <v>2020</v>
      </c>
      <c r="C1278" s="18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8" t="s">
        <v>1923</v>
      </c>
      <c r="L1278" s="21">
        <v>11.6</v>
      </c>
    </row>
    <row r="1279" spans="1:12" x14ac:dyDescent="0.25">
      <c r="A1279" t="str">
        <f t="shared" si="76"/>
        <v>2020-ST-iQF-196-944-2199</v>
      </c>
      <c r="B1279" t="str">
        <f t="shared" si="77"/>
        <v>2020</v>
      </c>
      <c r="C1279" s="18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8" t="s">
        <v>1924</v>
      </c>
      <c r="L1279" s="21">
        <v>10.9</v>
      </c>
    </row>
    <row r="1280" spans="1:12" x14ac:dyDescent="0.25">
      <c r="A1280" t="str">
        <f t="shared" si="76"/>
        <v>2024-ST-iSo-87-602-2253</v>
      </c>
      <c r="B1280" t="str">
        <f t="shared" si="77"/>
        <v>2024</v>
      </c>
      <c r="C1280" s="18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8" t="s">
        <v>1925</v>
      </c>
      <c r="L1280" s="21">
        <v>5.6</v>
      </c>
    </row>
    <row r="1281" spans="1:12" x14ac:dyDescent="0.25">
      <c r="A1281" t="str">
        <f t="shared" si="76"/>
        <v>2024-ST-iSo-98-632-2267</v>
      </c>
      <c r="B1281" t="str">
        <f t="shared" si="77"/>
        <v>2024</v>
      </c>
      <c r="C1281" s="18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8" t="s">
        <v>1925</v>
      </c>
      <c r="L1281" s="21">
        <v>6</v>
      </c>
    </row>
    <row r="1282" spans="1:12" x14ac:dyDescent="0.25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8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8" t="s">
        <v>1925</v>
      </c>
      <c r="L1282" s="21">
        <v>6.2</v>
      </c>
    </row>
    <row r="1283" spans="1:12" x14ac:dyDescent="0.25">
      <c r="A1283" t="str">
        <f t="shared" si="80"/>
        <v>2024-ST-iSo-123-727-2285</v>
      </c>
      <c r="B1283" t="str">
        <f t="shared" si="81"/>
        <v>2024</v>
      </c>
      <c r="C1283" s="18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8" t="s">
        <v>1925</v>
      </c>
      <c r="L1283" s="21">
        <v>6.5</v>
      </c>
    </row>
    <row r="1284" spans="1:12" x14ac:dyDescent="0.25">
      <c r="A1284" t="str">
        <f t="shared" si="80"/>
        <v>2024-ST-iSo-129-776-2283</v>
      </c>
      <c r="B1284" t="str">
        <f t="shared" si="81"/>
        <v>2024</v>
      </c>
      <c r="C1284" s="18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8" t="s">
        <v>1925</v>
      </c>
      <c r="L1284" s="21">
        <v>6.8</v>
      </c>
    </row>
    <row r="1285" spans="1:12" x14ac:dyDescent="0.25">
      <c r="A1285" t="str">
        <f t="shared" si="80"/>
        <v>2024-ST-iSo-140-850-2282</v>
      </c>
      <c r="B1285" t="str">
        <f t="shared" si="81"/>
        <v>2024</v>
      </c>
      <c r="C1285" s="18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8" t="s">
        <v>1925</v>
      </c>
      <c r="L1285" s="21">
        <v>7.2</v>
      </c>
    </row>
    <row r="1286" spans="1:12" x14ac:dyDescent="0.25">
      <c r="A1286" t="str">
        <f t="shared" si="80"/>
        <v>2025-ST-iSo-97.5-632-2267</v>
      </c>
      <c r="B1286" t="str">
        <f t="shared" si="81"/>
        <v>2025</v>
      </c>
      <c r="C1286" s="18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8" t="s">
        <v>1926</v>
      </c>
      <c r="L1286" s="21">
        <v>6</v>
      </c>
    </row>
    <row r="1287" spans="1:12" x14ac:dyDescent="0.25">
      <c r="A1287" t="str">
        <f t="shared" si="80"/>
        <v>2025-ST-iSo-110.2-670-2287</v>
      </c>
      <c r="B1287" t="str">
        <f t="shared" si="81"/>
        <v>2025</v>
      </c>
      <c r="C1287" s="18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8" t="s">
        <v>1926</v>
      </c>
      <c r="L1287" s="21">
        <v>6.2</v>
      </c>
    </row>
    <row r="1288" spans="1:12" x14ac:dyDescent="0.25">
      <c r="A1288" t="str">
        <f t="shared" si="80"/>
        <v>2025-ST-iSo-122.8-727-2285</v>
      </c>
      <c r="B1288" t="str">
        <f t="shared" si="81"/>
        <v>2025</v>
      </c>
      <c r="C1288" s="18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8" t="s">
        <v>1926</v>
      </c>
      <c r="L1288" s="21">
        <v>6.5</v>
      </c>
    </row>
    <row r="1289" spans="1:12" x14ac:dyDescent="0.25">
      <c r="A1289" t="str">
        <f t="shared" si="80"/>
        <v>2025-ST-iSo-129-767-2288</v>
      </c>
      <c r="B1289" t="str">
        <f t="shared" si="81"/>
        <v>2025</v>
      </c>
      <c r="C1289" s="18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8" t="s">
        <v>1926</v>
      </c>
      <c r="L1289" s="21">
        <v>6.9</v>
      </c>
    </row>
    <row r="1290" spans="1:12" x14ac:dyDescent="0.25">
      <c r="A1290" t="str">
        <f t="shared" si="80"/>
        <v>2025-ST-iSo-146.6-850-2288</v>
      </c>
      <c r="B1290" t="str">
        <f t="shared" si="81"/>
        <v>2025</v>
      </c>
      <c r="C1290" s="18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8" t="s">
        <v>1926</v>
      </c>
      <c r="L1290" s="21">
        <v>7.4</v>
      </c>
    </row>
    <row r="1291" spans="1:12" x14ac:dyDescent="0.25">
      <c r="A1291" t="str">
        <f t="shared" si="80"/>
        <v>2025-ST-x-1-169-850-2253</v>
      </c>
      <c r="B1291" t="str">
        <f t="shared" si="81"/>
        <v>2025</v>
      </c>
      <c r="C1291" s="18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8" t="s">
        <v>1926</v>
      </c>
      <c r="L1291" s="21">
        <v>9.0299999999999994</v>
      </c>
    </row>
    <row r="1292" spans="1:12" x14ac:dyDescent="0.25">
      <c r="A1292" t="str">
        <f t="shared" si="80"/>
        <v>2025-ST-x-1-177.3-888-2253</v>
      </c>
      <c r="B1292" t="str">
        <f t="shared" si="81"/>
        <v>2025</v>
      </c>
      <c r="C1292" s="18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8" t="s">
        <v>1926</v>
      </c>
      <c r="L1292" s="21">
        <v>9.6</v>
      </c>
    </row>
    <row r="1293" spans="1:12" x14ac:dyDescent="0.25">
      <c r="A1293" t="str">
        <f t="shared" si="80"/>
        <v>2025-ST-x-1-150-747-2258</v>
      </c>
      <c r="B1293" t="str">
        <f t="shared" si="81"/>
        <v>2025</v>
      </c>
      <c r="C1293" s="18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8" t="s">
        <v>1930</v>
      </c>
      <c r="L1293" s="21">
        <v>8.3000000000000007</v>
      </c>
    </row>
    <row r="1294" spans="1:12" x14ac:dyDescent="0.25">
      <c r="A1294" t="str">
        <f t="shared" si="80"/>
        <v>2025-ST-x-1-160.8-787-2259</v>
      </c>
      <c r="B1294" t="str">
        <f t="shared" si="81"/>
        <v>2025</v>
      </c>
      <c r="C1294" s="18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8" t="s">
        <v>1930</v>
      </c>
      <c r="L1294" s="21">
        <v>8.8000000000000007</v>
      </c>
    </row>
    <row r="1295" spans="1:12" x14ac:dyDescent="0.25">
      <c r="A1295" t="str">
        <f t="shared" si="80"/>
        <v>2025-ST-iSo-86.5-600-2251</v>
      </c>
      <c r="B1295" t="str">
        <f t="shared" si="81"/>
        <v>2025</v>
      </c>
      <c r="C1295" s="18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8" t="s">
        <v>1926</v>
      </c>
      <c r="L1295" s="21">
        <v>5.7</v>
      </c>
    </row>
    <row r="1296" spans="1:12" x14ac:dyDescent="0.25">
      <c r="A1296" t="str">
        <f t="shared" si="80"/>
        <v>2026-ST-X-1-152.4-783-2210</v>
      </c>
      <c r="B1296" t="str">
        <f t="shared" si="81"/>
        <v>2026</v>
      </c>
      <c r="C1296" s="18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8" t="s">
        <v>1414</v>
      </c>
      <c r="L1296" s="21">
        <v>8.6</v>
      </c>
    </row>
    <row r="1297" spans="1:12" x14ac:dyDescent="0.25">
      <c r="A1297" t="str">
        <f t="shared" si="80"/>
        <v>2026-ST-X-1-165.5-850-2253</v>
      </c>
      <c r="B1297" t="str">
        <f t="shared" si="81"/>
        <v>2026</v>
      </c>
      <c r="C1297" s="18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8" t="s">
        <v>1414</v>
      </c>
      <c r="L1297" s="21">
        <v>9</v>
      </c>
    </row>
    <row r="1298" spans="1:12" x14ac:dyDescent="0.25">
      <c r="A1298" t="str">
        <f t="shared" si="80"/>
        <v>2026-ST-iSo-90.5-600-2251</v>
      </c>
      <c r="B1298" t="str">
        <f t="shared" si="81"/>
        <v>2026</v>
      </c>
      <c r="C1298" s="18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8" t="s">
        <v>1414</v>
      </c>
      <c r="L1298" s="21">
        <v>5.7</v>
      </c>
    </row>
    <row r="1299" spans="1:12" x14ac:dyDescent="0.25">
      <c r="A1299" t="str">
        <f t="shared" si="80"/>
        <v>2026-ST-iSo-97.8-632-2267</v>
      </c>
      <c r="B1299" t="str">
        <f t="shared" si="81"/>
        <v>2026</v>
      </c>
      <c r="C1299" s="18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8" t="s">
        <v>1414</v>
      </c>
      <c r="L1299" s="21">
        <v>6.05</v>
      </c>
    </row>
    <row r="1300" spans="1:12" x14ac:dyDescent="0.25">
      <c r="A1300" t="str">
        <f t="shared" si="80"/>
        <v>2026-ST-iSo-110.8-670-2287</v>
      </c>
      <c r="B1300" t="str">
        <f t="shared" si="81"/>
        <v>2026</v>
      </c>
      <c r="C1300" s="18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8" t="s">
        <v>1414</v>
      </c>
      <c r="L1300" s="21">
        <v>6.34</v>
      </c>
    </row>
    <row r="1301" spans="1:12" x14ac:dyDescent="0.25">
      <c r="A1301" t="str">
        <f t="shared" si="80"/>
        <v>2026-ST-iSo-122.8-727-2285</v>
      </c>
      <c r="B1301" t="str">
        <f t="shared" si="81"/>
        <v>2026</v>
      </c>
      <c r="C1301" s="18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8" t="s">
        <v>1414</v>
      </c>
      <c r="L1301" s="21">
        <v>6.66</v>
      </c>
    </row>
    <row r="1302" spans="1:12" x14ac:dyDescent="0.25">
      <c r="A1302" t="str">
        <f t="shared" si="80"/>
        <v>2026-ST-iSo-129-767-2288</v>
      </c>
      <c r="B1302" t="str">
        <f t="shared" si="81"/>
        <v>2026</v>
      </c>
      <c r="C1302" s="18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8" t="s">
        <v>1414</v>
      </c>
      <c r="L1302" s="21">
        <v>6.81</v>
      </c>
    </row>
    <row r="1303" spans="1:12" x14ac:dyDescent="0.25">
      <c r="A1303" t="str">
        <f t="shared" si="80"/>
        <v>2026-ST-iSo-146.6-850-2288</v>
      </c>
      <c r="B1303" t="str">
        <f t="shared" si="81"/>
        <v>2026</v>
      </c>
      <c r="C1303" s="18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8" t="s">
        <v>1414</v>
      </c>
      <c r="L1303" s="21">
        <v>7.65</v>
      </c>
    </row>
    <row r="1304" spans="1:12" x14ac:dyDescent="0.25">
      <c r="A1304" t="str">
        <f t="shared" si="80"/>
        <v>2005-T1-SR -60-500-2387</v>
      </c>
      <c r="B1304" t="str">
        <f t="shared" si="81"/>
        <v>2005</v>
      </c>
      <c r="C1304" s="18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8" t="s">
        <v>894</v>
      </c>
      <c r="L1304" s="21" t="s">
        <v>1939</v>
      </c>
    </row>
    <row r="1305" spans="1:12" x14ac:dyDescent="0.25">
      <c r="A1305" t="str">
        <f t="shared" si="80"/>
        <v>2005-T1-RS -90-598-2446</v>
      </c>
      <c r="B1305" t="str">
        <f t="shared" si="81"/>
        <v>2005</v>
      </c>
      <c r="C1305" s="18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8" t="s">
        <v>894</v>
      </c>
      <c r="L1305" s="21" t="s">
        <v>1939</v>
      </c>
    </row>
    <row r="1306" spans="1:12" x14ac:dyDescent="0.25">
      <c r="A1306" t="str">
        <f t="shared" si="80"/>
        <v>2005-T1-RS -110-661-2478</v>
      </c>
      <c r="B1306" t="str">
        <f t="shared" si="81"/>
        <v>2005</v>
      </c>
      <c r="C1306" s="18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8" t="s">
        <v>894</v>
      </c>
      <c r="L1306" s="21" t="s">
        <v>1939</v>
      </c>
    </row>
    <row r="1307" spans="1:12" x14ac:dyDescent="0.25">
      <c r="A1307" t="str">
        <f t="shared" si="80"/>
        <v>2005-T1-RS -130-742-2472</v>
      </c>
      <c r="B1307" t="str">
        <f t="shared" si="81"/>
        <v>2005</v>
      </c>
      <c r="C1307" s="18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8" t="s">
        <v>894</v>
      </c>
      <c r="L1307" s="21" t="s">
        <v>1939</v>
      </c>
    </row>
    <row r="1308" spans="1:12" x14ac:dyDescent="0.25">
      <c r="A1308" t="str">
        <f t="shared" si="80"/>
        <v>2006-T1-RS -85-541-2364</v>
      </c>
      <c r="B1308" t="str">
        <f t="shared" si="81"/>
        <v>2006</v>
      </c>
      <c r="C1308" s="18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8" t="s">
        <v>812</v>
      </c>
      <c r="L1308" s="21">
        <v>5.4</v>
      </c>
    </row>
    <row r="1309" spans="1:12" x14ac:dyDescent="0.25">
      <c r="A1309" t="str">
        <f t="shared" si="80"/>
        <v>2006-T1-RS -118-596-2389</v>
      </c>
      <c r="B1309" t="str">
        <f t="shared" si="81"/>
        <v>2006</v>
      </c>
      <c r="C1309" s="18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8" t="s">
        <v>812</v>
      </c>
      <c r="L1309" s="21">
        <v>5.7</v>
      </c>
    </row>
    <row r="1310" spans="1:12" x14ac:dyDescent="0.25">
      <c r="A1310" t="str">
        <f t="shared" si="80"/>
        <v>2006-T1-RS -115-660-2384</v>
      </c>
      <c r="B1310" t="str">
        <f t="shared" si="81"/>
        <v>2006</v>
      </c>
      <c r="C1310" s="18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8" t="s">
        <v>812</v>
      </c>
      <c r="L1310" s="21">
        <v>6.1</v>
      </c>
    </row>
    <row r="1311" spans="1:12" x14ac:dyDescent="0.25">
      <c r="A1311" t="str">
        <f t="shared" si="80"/>
        <v>2006-T1-RS -125-737-2383</v>
      </c>
      <c r="B1311" t="str">
        <f t="shared" si="81"/>
        <v>2006</v>
      </c>
      <c r="C1311" s="18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8" t="s">
        <v>812</v>
      </c>
      <c r="L1311" s="21">
        <v>6.5</v>
      </c>
    </row>
    <row r="1312" spans="1:12" x14ac:dyDescent="0.25">
      <c r="A1312" t="str">
        <f t="shared" si="80"/>
        <v>2006-T1-RS -140-794-2378</v>
      </c>
      <c r="B1312" t="str">
        <f t="shared" si="81"/>
        <v>2006</v>
      </c>
      <c r="C1312" s="18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8" t="s">
        <v>812</v>
      </c>
      <c r="L1312" s="21">
        <v>6.8</v>
      </c>
    </row>
    <row r="1313" spans="1:12" x14ac:dyDescent="0.25">
      <c r="A1313" t="str">
        <f t="shared" si="80"/>
        <v>2010-T1-RS5-83-545-2410</v>
      </c>
      <c r="B1313" t="str">
        <f t="shared" si="81"/>
        <v>2010</v>
      </c>
      <c r="C1313" s="18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8" t="s">
        <v>842</v>
      </c>
      <c r="L1313" s="21">
        <v>5.4</v>
      </c>
    </row>
    <row r="1314" spans="1:12" x14ac:dyDescent="0.25">
      <c r="A1314" t="str">
        <f t="shared" si="80"/>
        <v>2010-T1-RS5-93-593-2410</v>
      </c>
      <c r="B1314" t="str">
        <f t="shared" si="81"/>
        <v>2010</v>
      </c>
      <c r="C1314" s="18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8" t="s">
        <v>842</v>
      </c>
      <c r="L1314" s="21">
        <v>5.8</v>
      </c>
    </row>
    <row r="1315" spans="1:12" x14ac:dyDescent="0.25">
      <c r="A1315" t="str">
        <f t="shared" si="80"/>
        <v>2010-T1-RS6-111-674-2390</v>
      </c>
      <c r="B1315" t="str">
        <f t="shared" si="81"/>
        <v>2010</v>
      </c>
      <c r="C1315" s="18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8" t="s">
        <v>842</v>
      </c>
      <c r="L1315" s="21">
        <v>6.8</v>
      </c>
    </row>
    <row r="1316" spans="1:12" x14ac:dyDescent="0.25">
      <c r="A1316" t="str">
        <f t="shared" si="80"/>
        <v>2010-T1-SR7-123-757-2385</v>
      </c>
      <c r="B1316" t="str">
        <f t="shared" si="81"/>
        <v>2010</v>
      </c>
      <c r="C1316" s="18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8" t="s">
        <v>842</v>
      </c>
      <c r="L1316" s="21">
        <v>6.8</v>
      </c>
    </row>
    <row r="1317" spans="1:12" x14ac:dyDescent="0.25">
      <c r="A1317" t="str">
        <f t="shared" si="80"/>
        <v>2010-T1-SR8-133.5-845-2385</v>
      </c>
      <c r="B1317" t="str">
        <f t="shared" si="81"/>
        <v>2010</v>
      </c>
      <c r="C1317" s="18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8" t="s">
        <v>842</v>
      </c>
      <c r="L1317" s="21">
        <v>7.4</v>
      </c>
    </row>
    <row r="1318" spans="1:12" x14ac:dyDescent="0.25">
      <c r="A1318" t="str">
        <f t="shared" si="80"/>
        <v>2005-TA-MAN-63-491-2237</v>
      </c>
      <c r="B1318" t="str">
        <f t="shared" si="81"/>
        <v>2005</v>
      </c>
      <c r="C1318" s="18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8" t="s">
        <v>812</v>
      </c>
      <c r="L1318" s="21">
        <v>4.5</v>
      </c>
    </row>
    <row r="1319" spans="1:12" x14ac:dyDescent="0.25">
      <c r="A1319" t="str">
        <f t="shared" si="80"/>
        <v>2005-TA-MAN-85-592-2248</v>
      </c>
      <c r="B1319" t="str">
        <f t="shared" si="81"/>
        <v>2005</v>
      </c>
      <c r="C1319" s="18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8" t="s">
        <v>812</v>
      </c>
      <c r="L1319" s="21">
        <v>5.3</v>
      </c>
    </row>
    <row r="1320" spans="1:12" x14ac:dyDescent="0.25">
      <c r="A1320" t="str">
        <f t="shared" si="80"/>
        <v>2005-TA-MAN-100-680-2255</v>
      </c>
      <c r="B1320" t="str">
        <f t="shared" si="81"/>
        <v>2005</v>
      </c>
      <c r="C1320" s="18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8" t="s">
        <v>812</v>
      </c>
      <c r="L1320" s="21">
        <v>5.7</v>
      </c>
    </row>
    <row r="1321" spans="1:12" x14ac:dyDescent="0.25">
      <c r="A1321" t="str">
        <f t="shared" si="80"/>
        <v>2005-TA-MAN-115-750-2275</v>
      </c>
      <c r="B1321" t="str">
        <f t="shared" si="81"/>
        <v>2005</v>
      </c>
      <c r="C1321" s="18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8" t="s">
        <v>812</v>
      </c>
      <c r="L1321" s="21">
        <v>6.2</v>
      </c>
    </row>
    <row r="1322" spans="1:12" x14ac:dyDescent="0.25">
      <c r="A1322" t="str">
        <f t="shared" si="80"/>
        <v>2007-TA-MAN-63-491-2237</v>
      </c>
      <c r="B1322" t="str">
        <f t="shared" si="81"/>
        <v>2007</v>
      </c>
      <c r="C1322" s="18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8" t="s">
        <v>812</v>
      </c>
      <c r="L1322" s="21">
        <v>4.5</v>
      </c>
    </row>
    <row r="1323" spans="1:12" x14ac:dyDescent="0.25">
      <c r="A1323" t="str">
        <f t="shared" si="80"/>
        <v>2007-TA-MAN-78-592-2280</v>
      </c>
      <c r="B1323" t="str">
        <f t="shared" si="81"/>
        <v>2007</v>
      </c>
      <c r="C1323" s="18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8" t="s">
        <v>812</v>
      </c>
      <c r="L1323" s="21">
        <v>4.9000000000000004</v>
      </c>
    </row>
    <row r="1324" spans="1:12" x14ac:dyDescent="0.25">
      <c r="A1324" t="str">
        <f t="shared" si="80"/>
        <v>2007-TA-MAN-93-670-2280</v>
      </c>
      <c r="B1324" t="str">
        <f t="shared" si="81"/>
        <v>2007</v>
      </c>
      <c r="C1324" s="18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8" t="s">
        <v>812</v>
      </c>
      <c r="L1324" s="21">
        <v>5.6</v>
      </c>
    </row>
    <row r="1325" spans="1:12" x14ac:dyDescent="0.25">
      <c r="A1325" t="str">
        <f t="shared" si="80"/>
        <v>2007-TA-MAN-110-741-2320</v>
      </c>
      <c r="B1325" t="str">
        <f t="shared" si="81"/>
        <v>2007</v>
      </c>
      <c r="C1325" s="18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8" t="s">
        <v>812</v>
      </c>
      <c r="L1325" s="21" t="s">
        <v>1939</v>
      </c>
    </row>
    <row r="1326" spans="1:12" x14ac:dyDescent="0.25">
      <c r="A1326" t="str">
        <f t="shared" si="80"/>
        <v>2007-TA-MAN-123-800-2340</v>
      </c>
      <c r="B1326" t="str">
        <f t="shared" si="81"/>
        <v>2007</v>
      </c>
      <c r="C1326" s="18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8" t="s">
        <v>812</v>
      </c>
      <c r="L1326" s="21" t="s">
        <v>1939</v>
      </c>
    </row>
    <row r="1327" spans="1:12" x14ac:dyDescent="0.25">
      <c r="A1327" t="str">
        <f t="shared" si="80"/>
        <v>2008-TA-MAN-78-539-2372</v>
      </c>
      <c r="B1327" t="str">
        <f t="shared" si="81"/>
        <v>2008</v>
      </c>
      <c r="C1327" s="18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8" t="s">
        <v>819</v>
      </c>
      <c r="L1327" s="21">
        <v>5.9</v>
      </c>
    </row>
    <row r="1328" spans="1:12" x14ac:dyDescent="0.25">
      <c r="A1328" t="str">
        <f t="shared" si="80"/>
        <v>2008-TA-MAN-82-589-2330</v>
      </c>
      <c r="B1328" t="str">
        <f t="shared" si="81"/>
        <v>2008</v>
      </c>
      <c r="C1328" s="18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8" t="s">
        <v>819</v>
      </c>
      <c r="L1328" s="21">
        <v>6.08</v>
      </c>
    </row>
    <row r="1329" spans="1:12" x14ac:dyDescent="0.25">
      <c r="A1329" t="str">
        <f t="shared" si="80"/>
        <v>2009-TA-MAN-63-491-2237</v>
      </c>
      <c r="B1329" t="str">
        <f t="shared" si="81"/>
        <v>2009</v>
      </c>
      <c r="C1329" s="18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8" t="s">
        <v>824</v>
      </c>
      <c r="L1329" s="21">
        <v>5</v>
      </c>
    </row>
    <row r="1330" spans="1:12" x14ac:dyDescent="0.25">
      <c r="A1330" t="str">
        <f t="shared" si="80"/>
        <v>2009-TA-MAN-74-542-2362</v>
      </c>
      <c r="B1330" t="str">
        <f t="shared" si="81"/>
        <v>2009</v>
      </c>
      <c r="C1330" s="18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8" t="s">
        <v>824</v>
      </c>
      <c r="L1330" s="21">
        <v>5.6</v>
      </c>
    </row>
    <row r="1331" spans="1:12" x14ac:dyDescent="0.25">
      <c r="A1331" t="str">
        <f t="shared" si="80"/>
        <v>2009-TA-MAN-86-592-2324</v>
      </c>
      <c r="B1331" t="str">
        <f t="shared" si="81"/>
        <v>2009</v>
      </c>
      <c r="C1331" s="18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8" t="s">
        <v>824</v>
      </c>
      <c r="L1331" s="21">
        <v>5.9</v>
      </c>
    </row>
    <row r="1332" spans="1:12" x14ac:dyDescent="0.25">
      <c r="A1332" t="str">
        <f t="shared" si="80"/>
        <v>2009-TA-MAN-98-635-2324</v>
      </c>
      <c r="B1332" t="str">
        <f t="shared" si="81"/>
        <v>2009</v>
      </c>
      <c r="C1332" s="18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8" t="s">
        <v>824</v>
      </c>
      <c r="L1332" s="21">
        <v>6.3</v>
      </c>
    </row>
    <row r="1333" spans="1:12" x14ac:dyDescent="0.25">
      <c r="A1333" t="str">
        <f t="shared" si="80"/>
        <v>2009-TA-MAN-110-691-2322</v>
      </c>
      <c r="B1333" t="str">
        <f t="shared" si="81"/>
        <v>2009</v>
      </c>
      <c r="C1333" s="18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8" t="s">
        <v>824</v>
      </c>
      <c r="L1333" s="21">
        <v>6.5</v>
      </c>
    </row>
    <row r="1334" spans="1:12" x14ac:dyDescent="0.25">
      <c r="A1334" t="str">
        <f t="shared" si="80"/>
        <v>2009-TA-MAN-125-791-2315</v>
      </c>
      <c r="B1334" t="str">
        <f t="shared" si="81"/>
        <v>2009</v>
      </c>
      <c r="C1334" s="18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8" t="s">
        <v>824</v>
      </c>
      <c r="L1334" s="21">
        <v>6.8</v>
      </c>
    </row>
    <row r="1335" spans="1:12" x14ac:dyDescent="0.25">
      <c r="A1335" t="str">
        <f t="shared" si="80"/>
        <v>2009-TA-MAN-137-847-2315</v>
      </c>
      <c r="B1335" t="str">
        <f t="shared" si="81"/>
        <v>2009</v>
      </c>
      <c r="C1335" s="18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8" t="s">
        <v>824</v>
      </c>
      <c r="L1335" s="21">
        <v>7.1</v>
      </c>
    </row>
    <row r="1336" spans="1:12" x14ac:dyDescent="0.25">
      <c r="A1336" t="str">
        <f t="shared" si="80"/>
        <v>2009-TA-MAN-87-691-2325</v>
      </c>
      <c r="B1336" t="str">
        <f t="shared" si="81"/>
        <v>2009</v>
      </c>
      <c r="C1336" s="18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8" t="s">
        <v>839</v>
      </c>
      <c r="L1336" s="21">
        <v>5.9</v>
      </c>
    </row>
    <row r="1337" spans="1:12" x14ac:dyDescent="0.25">
      <c r="A1337" t="str">
        <f t="shared" si="80"/>
        <v>2010-TA-MAN-103-657-2325</v>
      </c>
      <c r="B1337" t="str">
        <f t="shared" si="81"/>
        <v>2010</v>
      </c>
      <c r="C1337" s="18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8" t="s">
        <v>842</v>
      </c>
      <c r="L1337" s="21">
        <v>6.4</v>
      </c>
    </row>
    <row r="1338" spans="1:12" x14ac:dyDescent="0.25">
      <c r="A1338" t="str">
        <f t="shared" si="80"/>
        <v>2010-TA-MAN-108-691-2320</v>
      </c>
      <c r="B1338" t="str">
        <f t="shared" si="81"/>
        <v>2010</v>
      </c>
      <c r="C1338" s="18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8" t="s">
        <v>842</v>
      </c>
      <c r="L1338" s="21">
        <v>6.3</v>
      </c>
    </row>
    <row r="1339" spans="1:12" x14ac:dyDescent="0.25">
      <c r="A1339" t="str">
        <f t="shared" si="80"/>
        <v>2010-TA-MAN-120-751-2322</v>
      </c>
      <c r="B1339" t="str">
        <f t="shared" si="81"/>
        <v>2010</v>
      </c>
      <c r="C1339" s="18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8" t="s">
        <v>842</v>
      </c>
      <c r="L1339" s="21">
        <v>6.9</v>
      </c>
    </row>
    <row r="1340" spans="1:12" x14ac:dyDescent="0.25">
      <c r="A1340" t="str">
        <f t="shared" si="80"/>
        <v>2010-TA-MAN-137-847-2315</v>
      </c>
      <c r="B1340" t="str">
        <f t="shared" si="81"/>
        <v>2010</v>
      </c>
      <c r="C1340" s="18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8" t="s">
        <v>842</v>
      </c>
      <c r="L1340" s="21">
        <v>7.5</v>
      </c>
    </row>
    <row r="1341" spans="1:12" x14ac:dyDescent="0.25">
      <c r="A1341" t="str">
        <f t="shared" si="80"/>
        <v>2010-TA-MAN-124-791-2315</v>
      </c>
      <c r="B1341" t="str">
        <f t="shared" si="81"/>
        <v>2010</v>
      </c>
      <c r="C1341" s="18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8" t="s">
        <v>842</v>
      </c>
      <c r="L1341" s="21">
        <v>7.1</v>
      </c>
    </row>
    <row r="1342" spans="1:12" x14ac:dyDescent="0.25">
      <c r="A1342" t="e">
        <f t="shared" si="80"/>
        <v>#VALUE!</v>
      </c>
      <c r="B1342" t="str">
        <f t="shared" si="81"/>
        <v>2011</v>
      </c>
      <c r="C1342" s="18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5" t="e">
        <f t="shared" si="83"/>
        <v>#VALUE!</v>
      </c>
      <c r="I1342">
        <v>491</v>
      </c>
      <c r="J1342" t="s">
        <v>153</v>
      </c>
      <c r="K1342" s="18" t="s">
        <v>845</v>
      </c>
      <c r="L1342" s="21">
        <v>4.7</v>
      </c>
    </row>
    <row r="1343" spans="1:12" x14ac:dyDescent="0.25">
      <c r="A1343" t="e">
        <f t="shared" si="80"/>
        <v>#VALUE!</v>
      </c>
      <c r="B1343" t="str">
        <f t="shared" si="81"/>
        <v>2011</v>
      </c>
      <c r="C1343" s="18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5" t="e">
        <f t="shared" si="83"/>
        <v>#VALUE!</v>
      </c>
      <c r="I1343">
        <v>542</v>
      </c>
      <c r="J1343" t="s">
        <v>153</v>
      </c>
      <c r="K1343" s="18" t="s">
        <v>845</v>
      </c>
      <c r="L1343" s="21">
        <v>5.4</v>
      </c>
    </row>
    <row r="1344" spans="1:12" x14ac:dyDescent="0.25">
      <c r="A1344" t="e">
        <f t="shared" si="80"/>
        <v>#VALUE!</v>
      </c>
      <c r="B1344" t="str">
        <f t="shared" si="81"/>
        <v>2011</v>
      </c>
      <c r="C1344" s="18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5" t="e">
        <f t="shared" si="83"/>
        <v>#VALUE!</v>
      </c>
      <c r="I1344">
        <v>591</v>
      </c>
      <c r="J1344" t="s">
        <v>153</v>
      </c>
      <c r="K1344" s="18" t="s">
        <v>845</v>
      </c>
      <c r="L1344" s="21">
        <v>5.7</v>
      </c>
    </row>
    <row r="1345" spans="1:12" x14ac:dyDescent="0.25">
      <c r="A1345" t="e">
        <f t="shared" si="80"/>
        <v>#VALUE!</v>
      </c>
      <c r="B1345" t="str">
        <f t="shared" si="81"/>
        <v>2011</v>
      </c>
      <c r="C1345" s="18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5" t="e">
        <f t="shared" si="83"/>
        <v>#VALUE!</v>
      </c>
      <c r="I1345">
        <v>657</v>
      </c>
      <c r="J1345" t="s">
        <v>153</v>
      </c>
      <c r="K1345" s="18" t="s">
        <v>845</v>
      </c>
      <c r="L1345" s="21">
        <v>6.3</v>
      </c>
    </row>
    <row r="1346" spans="1:12" x14ac:dyDescent="0.25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8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5" t="e">
        <f t="shared" si="83"/>
        <v>#VALUE!</v>
      </c>
      <c r="I1346">
        <v>691</v>
      </c>
      <c r="J1346" t="s">
        <v>153</v>
      </c>
      <c r="K1346" s="18" t="s">
        <v>845</v>
      </c>
      <c r="L1346" s="21">
        <v>6.4</v>
      </c>
    </row>
    <row r="1347" spans="1:12" x14ac:dyDescent="0.25">
      <c r="A1347" t="e">
        <f t="shared" si="84"/>
        <v>#VALUE!</v>
      </c>
      <c r="B1347" t="str">
        <f t="shared" si="85"/>
        <v>2011</v>
      </c>
      <c r="C1347" s="18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5" t="e">
        <f t="shared" ref="H1347:H1410" si="87">TRUNC(J1347/10)</f>
        <v>#VALUE!</v>
      </c>
      <c r="I1347">
        <v>751</v>
      </c>
      <c r="J1347" t="s">
        <v>153</v>
      </c>
      <c r="K1347" s="18" t="s">
        <v>845</v>
      </c>
      <c r="L1347" s="21">
        <v>7.2</v>
      </c>
    </row>
    <row r="1348" spans="1:12" x14ac:dyDescent="0.25">
      <c r="A1348" t="e">
        <f t="shared" si="84"/>
        <v>#VALUE!</v>
      </c>
      <c r="B1348" t="str">
        <f t="shared" si="85"/>
        <v>2011</v>
      </c>
      <c r="C1348" s="18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5" t="e">
        <f t="shared" si="87"/>
        <v>#VALUE!</v>
      </c>
      <c r="I1348">
        <v>793</v>
      </c>
      <c r="J1348" t="s">
        <v>153</v>
      </c>
      <c r="K1348" s="18" t="s">
        <v>845</v>
      </c>
      <c r="L1348" s="21">
        <v>7.3</v>
      </c>
    </row>
    <row r="1349" spans="1:12" x14ac:dyDescent="0.25">
      <c r="A1349" t="e">
        <f t="shared" si="84"/>
        <v>#VALUE!</v>
      </c>
      <c r="B1349" t="str">
        <f t="shared" si="85"/>
        <v>2011</v>
      </c>
      <c r="C1349" s="18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5" t="e">
        <f t="shared" si="87"/>
        <v>#VALUE!</v>
      </c>
      <c r="I1349">
        <v>847</v>
      </c>
      <c r="J1349" t="s">
        <v>153</v>
      </c>
      <c r="K1349" s="18" t="s">
        <v>845</v>
      </c>
      <c r="L1349" s="21">
        <v>7.9</v>
      </c>
    </row>
    <row r="1350" spans="1:12" x14ac:dyDescent="0.25">
      <c r="A1350" t="e">
        <f t="shared" si="84"/>
        <v>#VALUE!</v>
      </c>
      <c r="B1350" t="str">
        <f t="shared" si="85"/>
        <v>2011</v>
      </c>
      <c r="C1350" s="18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5" t="e">
        <f t="shared" si="87"/>
        <v>#VALUE!</v>
      </c>
      <c r="I1350">
        <v>657</v>
      </c>
      <c r="J1350" t="s">
        <v>153</v>
      </c>
      <c r="K1350" s="18" t="s">
        <v>845</v>
      </c>
      <c r="L1350" s="21">
        <v>6.2</v>
      </c>
    </row>
    <row r="1351" spans="1:12" x14ac:dyDescent="0.25">
      <c r="A1351" t="e">
        <f t="shared" si="84"/>
        <v>#VALUE!</v>
      </c>
      <c r="B1351" t="str">
        <f t="shared" si="85"/>
        <v>2011</v>
      </c>
      <c r="C1351" s="18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5" t="e">
        <f t="shared" si="87"/>
        <v>#VALUE!</v>
      </c>
      <c r="I1351">
        <v>657</v>
      </c>
      <c r="J1351" t="s">
        <v>153</v>
      </c>
      <c r="K1351" s="18" t="s">
        <v>845</v>
      </c>
      <c r="L1351" s="21">
        <v>6.3</v>
      </c>
    </row>
    <row r="1352" spans="1:12" x14ac:dyDescent="0.25">
      <c r="A1352" t="e">
        <f t="shared" si="84"/>
        <v>#VALUE!</v>
      </c>
      <c r="B1352" t="str">
        <f t="shared" si="85"/>
        <v>2011</v>
      </c>
      <c r="C1352" s="18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5" t="e">
        <f t="shared" si="87"/>
        <v>#VALUE!</v>
      </c>
      <c r="I1352">
        <v>751</v>
      </c>
      <c r="J1352" t="s">
        <v>153</v>
      </c>
      <c r="K1352" s="18" t="s">
        <v>845</v>
      </c>
      <c r="L1352" s="21">
        <v>6.9</v>
      </c>
    </row>
    <row r="1353" spans="1:12" x14ac:dyDescent="0.25">
      <c r="A1353" t="e">
        <f t="shared" si="84"/>
        <v>#VALUE!</v>
      </c>
      <c r="B1353" t="str">
        <f t="shared" si="85"/>
        <v>2011</v>
      </c>
      <c r="C1353" s="18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5" t="e">
        <f t="shared" si="87"/>
        <v>#VALUE!</v>
      </c>
      <c r="I1353">
        <v>793</v>
      </c>
      <c r="J1353" t="s">
        <v>153</v>
      </c>
      <c r="K1353" s="18" t="s">
        <v>845</v>
      </c>
      <c r="L1353" s="21">
        <v>7.1</v>
      </c>
    </row>
    <row r="1354" spans="1:12" x14ac:dyDescent="0.25">
      <c r="A1354" t="e">
        <f t="shared" si="84"/>
        <v>#VALUE!</v>
      </c>
      <c r="B1354" t="str">
        <f t="shared" si="85"/>
        <v>2011</v>
      </c>
      <c r="C1354" s="18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8" t="s">
        <v>845</v>
      </c>
      <c r="L1354" s="21">
        <v>7.5</v>
      </c>
    </row>
    <row r="1355" spans="1:12" x14ac:dyDescent="0.25">
      <c r="A1355" t="str">
        <f t="shared" si="84"/>
        <v>2012-TA-Man-113-710-2330</v>
      </c>
      <c r="B1355" t="str">
        <f t="shared" si="85"/>
        <v>2012</v>
      </c>
      <c r="C1355" s="18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8" t="s">
        <v>927</v>
      </c>
      <c r="L1355" s="21" t="s">
        <v>153</v>
      </c>
    </row>
    <row r="1356" spans="1:12" x14ac:dyDescent="0.25">
      <c r="A1356" t="str">
        <f t="shared" si="84"/>
        <v>2012-TA-Man-134-848-2300</v>
      </c>
      <c r="B1356" t="str">
        <f t="shared" si="85"/>
        <v>2012</v>
      </c>
      <c r="C1356" s="18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8" t="s">
        <v>927</v>
      </c>
      <c r="L1356" s="21" t="s">
        <v>153</v>
      </c>
    </row>
    <row r="1357" spans="1:12" x14ac:dyDescent="0.25">
      <c r="A1357" t="str">
        <f t="shared" si="84"/>
        <v>2012-TA-Man-95-610-2330</v>
      </c>
      <c r="B1357" t="str">
        <f t="shared" si="85"/>
        <v>2012</v>
      </c>
      <c r="C1357" s="18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8" t="s">
        <v>927</v>
      </c>
      <c r="L1357" s="21" t="s">
        <v>153</v>
      </c>
    </row>
    <row r="1358" spans="1:12" x14ac:dyDescent="0.25">
      <c r="A1358" t="str">
        <f t="shared" si="84"/>
        <v>2012-TA-Man-63-491-2237</v>
      </c>
      <c r="B1358" t="str">
        <f t="shared" si="85"/>
        <v>2012</v>
      </c>
      <c r="C1358" s="18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8" t="s">
        <v>927</v>
      </c>
      <c r="L1358" s="21">
        <v>4.7</v>
      </c>
    </row>
    <row r="1359" spans="1:12" x14ac:dyDescent="0.25">
      <c r="A1359" t="str">
        <f t="shared" si="84"/>
        <v>2012-TA-Man-80-542-2362</v>
      </c>
      <c r="B1359" t="str">
        <f t="shared" si="85"/>
        <v>2012</v>
      </c>
      <c r="C1359" s="18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8" t="s">
        <v>927</v>
      </c>
      <c r="L1359" s="21">
        <v>5.4</v>
      </c>
    </row>
    <row r="1360" spans="1:12" x14ac:dyDescent="0.25">
      <c r="A1360" t="str">
        <f t="shared" si="84"/>
        <v>2012-TA-Man-87-591-2325</v>
      </c>
      <c r="B1360" t="str">
        <f t="shared" si="85"/>
        <v>2012</v>
      </c>
      <c r="C1360" s="18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8" t="s">
        <v>927</v>
      </c>
      <c r="L1360" s="21">
        <v>5.7</v>
      </c>
    </row>
    <row r="1361" spans="1:12" x14ac:dyDescent="0.25">
      <c r="A1361" t="str">
        <f t="shared" si="84"/>
        <v>2012-TA-Man-103-657-2325</v>
      </c>
      <c r="B1361" t="str">
        <f t="shared" si="85"/>
        <v>2012</v>
      </c>
      <c r="C1361" s="18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8" t="s">
        <v>927</v>
      </c>
      <c r="L1361" s="21">
        <v>6.3</v>
      </c>
    </row>
    <row r="1362" spans="1:12" x14ac:dyDescent="0.25">
      <c r="A1362" t="str">
        <f t="shared" si="84"/>
        <v>2012-TA-Man-113-691-2318</v>
      </c>
      <c r="B1362" t="str">
        <f t="shared" si="85"/>
        <v>2012</v>
      </c>
      <c r="C1362" s="18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8" t="s">
        <v>927</v>
      </c>
      <c r="L1362" s="21">
        <v>6.4</v>
      </c>
    </row>
    <row r="1363" spans="1:12" x14ac:dyDescent="0.25">
      <c r="A1363" t="str">
        <f t="shared" si="84"/>
        <v>2012-TA-Man-120-751-2322</v>
      </c>
      <c r="B1363" t="str">
        <f t="shared" si="85"/>
        <v>2012</v>
      </c>
      <c r="C1363" s="18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8" t="s">
        <v>927</v>
      </c>
      <c r="L1363" s="21">
        <v>7.2</v>
      </c>
    </row>
    <row r="1364" spans="1:12" x14ac:dyDescent="0.25">
      <c r="A1364" t="str">
        <f t="shared" si="84"/>
        <v>2012-TA-Man-128-793-2322</v>
      </c>
      <c r="B1364" t="str">
        <f t="shared" si="85"/>
        <v>2012</v>
      </c>
      <c r="C1364" s="18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8" t="s">
        <v>927</v>
      </c>
      <c r="L1364" s="21">
        <v>7.3</v>
      </c>
    </row>
    <row r="1365" spans="1:12" x14ac:dyDescent="0.25">
      <c r="A1365" t="str">
        <f t="shared" si="84"/>
        <v>2012-TA-Man-137-847-2315</v>
      </c>
      <c r="B1365" t="str">
        <f t="shared" si="85"/>
        <v>2012</v>
      </c>
      <c r="C1365" s="18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8" t="s">
        <v>927</v>
      </c>
      <c r="L1365" s="21">
        <v>7.9</v>
      </c>
    </row>
    <row r="1366" spans="1:12" x14ac:dyDescent="0.25">
      <c r="A1366" t="str">
        <f t="shared" si="84"/>
        <v>2012-TA-Man-103-657-2325</v>
      </c>
      <c r="B1366" t="str">
        <f t="shared" si="85"/>
        <v>2012</v>
      </c>
      <c r="C1366" s="18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8" t="s">
        <v>927</v>
      </c>
      <c r="L1366" s="21">
        <v>6.2</v>
      </c>
    </row>
    <row r="1367" spans="1:12" x14ac:dyDescent="0.25">
      <c r="A1367" t="str">
        <f t="shared" si="84"/>
        <v>2012-TA-Man-113-657-2318</v>
      </c>
      <c r="B1367" t="str">
        <f t="shared" si="85"/>
        <v>2012</v>
      </c>
      <c r="C1367" s="18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8" t="s">
        <v>927</v>
      </c>
      <c r="L1367" s="21">
        <v>6.3</v>
      </c>
    </row>
    <row r="1368" spans="1:12" x14ac:dyDescent="0.25">
      <c r="A1368" t="str">
        <f t="shared" si="84"/>
        <v>2012-TA-Man-120-751-2322</v>
      </c>
      <c r="B1368" t="str">
        <f t="shared" si="85"/>
        <v>2012</v>
      </c>
      <c r="C1368" s="18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8" t="s">
        <v>927</v>
      </c>
      <c r="L1368" s="21">
        <v>6.9</v>
      </c>
    </row>
    <row r="1369" spans="1:12" x14ac:dyDescent="0.25">
      <c r="A1369" t="str">
        <f t="shared" si="84"/>
        <v>2012-TA-Man-128-793-2322</v>
      </c>
      <c r="B1369" t="str">
        <f t="shared" si="85"/>
        <v>2012</v>
      </c>
      <c r="C1369" s="18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8" t="s">
        <v>927</v>
      </c>
      <c r="L1369" s="21">
        <v>7.1</v>
      </c>
    </row>
    <row r="1370" spans="1:12" x14ac:dyDescent="0.25">
      <c r="A1370" t="str">
        <f t="shared" si="84"/>
        <v>2012-TA-Man-137-847-2315</v>
      </c>
      <c r="B1370" t="str">
        <f t="shared" si="85"/>
        <v>2012</v>
      </c>
      <c r="C1370" s="18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8" t="s">
        <v>927</v>
      </c>
      <c r="L1370" s="21">
        <v>7.5</v>
      </c>
    </row>
    <row r="1371" spans="1:12" x14ac:dyDescent="0.25">
      <c r="A1371" t="str">
        <f t="shared" si="84"/>
        <v>2012-TA-Man-137-843-2323</v>
      </c>
      <c r="B1371" t="str">
        <f t="shared" si="85"/>
        <v>2012</v>
      </c>
      <c r="C1371" s="18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8" t="s">
        <v>927</v>
      </c>
      <c r="L1371" s="21">
        <v>7.5</v>
      </c>
    </row>
    <row r="1372" spans="1:12" x14ac:dyDescent="0.25">
      <c r="A1372" t="str">
        <f t="shared" si="84"/>
        <v>2013-TA-Man-88-590-2378</v>
      </c>
      <c r="B1372" t="str">
        <f t="shared" si="85"/>
        <v>2013</v>
      </c>
      <c r="C1372" s="18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8" t="s">
        <v>851</v>
      </c>
      <c r="L1372" s="21">
        <v>5.8</v>
      </c>
    </row>
    <row r="1373" spans="1:12" x14ac:dyDescent="0.25">
      <c r="A1373" t="str">
        <f t="shared" si="84"/>
        <v>2013-TA-Man-98-611-233</v>
      </c>
      <c r="B1373" t="str">
        <f t="shared" si="85"/>
        <v>2013</v>
      </c>
      <c r="C1373" s="18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8" t="s">
        <v>851</v>
      </c>
      <c r="L1373" s="21">
        <v>6</v>
      </c>
    </row>
    <row r="1374" spans="1:12" x14ac:dyDescent="0.25">
      <c r="A1374" t="str">
        <f t="shared" si="84"/>
        <v>2013-TA-Man-106-661-2324</v>
      </c>
      <c r="B1374" t="str">
        <f t="shared" si="85"/>
        <v>2013</v>
      </c>
      <c r="C1374" s="18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8" t="s">
        <v>851</v>
      </c>
      <c r="L1374" s="21">
        <v>6.2</v>
      </c>
    </row>
    <row r="1375" spans="1:12" x14ac:dyDescent="0.25">
      <c r="A1375" t="str">
        <f t="shared" si="84"/>
        <v>2013-TA-Man-116-712-2326</v>
      </c>
      <c r="B1375" t="str">
        <f t="shared" si="85"/>
        <v>2013</v>
      </c>
      <c r="C1375" s="18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8" t="s">
        <v>851</v>
      </c>
      <c r="L1375" s="21">
        <v>6.6</v>
      </c>
    </row>
    <row r="1376" spans="1:12" x14ac:dyDescent="0.25">
      <c r="A1376" t="str">
        <f t="shared" si="84"/>
        <v>2013-TA-Man-131-820-2321</v>
      </c>
      <c r="B1376" t="str">
        <f t="shared" si="85"/>
        <v>2013</v>
      </c>
      <c r="C1376" s="18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8" t="s">
        <v>851</v>
      </c>
      <c r="L1376" s="21">
        <v>7.2</v>
      </c>
    </row>
    <row r="1377" spans="1:12" x14ac:dyDescent="0.25">
      <c r="A1377" t="str">
        <f t="shared" si="84"/>
        <v>2013-TA-Man-131-850-2322</v>
      </c>
      <c r="B1377" t="str">
        <f t="shared" si="85"/>
        <v>2013</v>
      </c>
      <c r="C1377" s="18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8" t="s">
        <v>851</v>
      </c>
      <c r="L1377" s="21">
        <v>7.3</v>
      </c>
    </row>
    <row r="1378" spans="1:12" x14ac:dyDescent="0.25">
      <c r="A1378" t="str">
        <f t="shared" si="84"/>
        <v>2014-TA-Man-88-590-2358</v>
      </c>
      <c r="B1378" t="str">
        <f t="shared" si="85"/>
        <v>2014</v>
      </c>
      <c r="C1378" s="18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8" t="s">
        <v>731</v>
      </c>
      <c r="L1378" s="21">
        <v>5.8</v>
      </c>
    </row>
    <row r="1379" spans="1:12" x14ac:dyDescent="0.25">
      <c r="A1379" t="str">
        <f t="shared" si="84"/>
        <v>2014-TA-Man-97-612-2376</v>
      </c>
      <c r="B1379" t="str">
        <f t="shared" si="85"/>
        <v>2014</v>
      </c>
      <c r="C1379" s="18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8" t="s">
        <v>731</v>
      </c>
      <c r="L1379" s="21">
        <v>6</v>
      </c>
    </row>
    <row r="1380" spans="1:12" x14ac:dyDescent="0.25">
      <c r="A1380" t="str">
        <f t="shared" si="84"/>
        <v>2014-TA-Man-106-661-2304</v>
      </c>
      <c r="B1380" t="str">
        <f t="shared" si="85"/>
        <v>2014</v>
      </c>
      <c r="C1380" s="18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8" t="s">
        <v>731</v>
      </c>
      <c r="L1380" s="21">
        <v>6.2</v>
      </c>
    </row>
    <row r="1381" spans="1:12" x14ac:dyDescent="0.25">
      <c r="A1381" t="str">
        <f t="shared" si="84"/>
        <v>2014-TA-Man-118-712-2301</v>
      </c>
      <c r="B1381" t="str">
        <f t="shared" si="85"/>
        <v>2014</v>
      </c>
      <c r="C1381" s="18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8" t="s">
        <v>731</v>
      </c>
      <c r="L1381" s="21">
        <v>6.6</v>
      </c>
    </row>
    <row r="1382" spans="1:12" x14ac:dyDescent="0.25">
      <c r="A1382" t="str">
        <f t="shared" si="84"/>
        <v>2014-TA-Man-128-811-2296</v>
      </c>
      <c r="B1382" t="str">
        <f t="shared" si="85"/>
        <v>2014</v>
      </c>
      <c r="C1382" s="18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8" t="s">
        <v>731</v>
      </c>
      <c r="L1382" s="21">
        <v>7.2</v>
      </c>
    </row>
    <row r="1383" spans="1:12" x14ac:dyDescent="0.25">
      <c r="A1383" t="str">
        <f t="shared" si="84"/>
        <v>2014-TA-Man-135-851-2295</v>
      </c>
      <c r="B1383" t="str">
        <f t="shared" si="85"/>
        <v>2014</v>
      </c>
      <c r="C1383" s="18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8" t="s">
        <v>731</v>
      </c>
      <c r="L1383" s="21">
        <v>7.3</v>
      </c>
    </row>
    <row r="1384" spans="1:12" x14ac:dyDescent="0.25">
      <c r="A1384" t="str">
        <f t="shared" si="84"/>
        <v>2015-TA-Man-88-590-2358</v>
      </c>
      <c r="B1384" t="str">
        <f t="shared" si="85"/>
        <v>2015</v>
      </c>
      <c r="C1384" s="18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8" t="s">
        <v>1973</v>
      </c>
      <c r="L1384" s="21">
        <v>5.8</v>
      </c>
    </row>
    <row r="1385" spans="1:12" x14ac:dyDescent="0.25">
      <c r="A1385" t="str">
        <f t="shared" si="84"/>
        <v>2015-TA-Man-97-612-2376</v>
      </c>
      <c r="B1385" t="str">
        <f t="shared" si="85"/>
        <v>2015</v>
      </c>
      <c r="C1385" s="18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8" t="s">
        <v>1973</v>
      </c>
      <c r="L1385" s="21">
        <v>6</v>
      </c>
    </row>
    <row r="1386" spans="1:12" x14ac:dyDescent="0.25">
      <c r="A1386" t="str">
        <f t="shared" si="84"/>
        <v>2015-TA-Man-106-661-2304</v>
      </c>
      <c r="B1386" t="str">
        <f t="shared" si="85"/>
        <v>2015</v>
      </c>
      <c r="C1386" s="18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8" t="s">
        <v>1973</v>
      </c>
      <c r="L1386" s="21">
        <v>6.2</v>
      </c>
    </row>
    <row r="1387" spans="1:12" x14ac:dyDescent="0.25">
      <c r="A1387" t="str">
        <f t="shared" si="84"/>
        <v>2015-TA-Man-116-712-2301</v>
      </c>
      <c r="B1387" t="str">
        <f t="shared" si="85"/>
        <v>2015</v>
      </c>
      <c r="C1387" s="18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8" t="s">
        <v>1973</v>
      </c>
      <c r="L1387" s="21">
        <v>6.6</v>
      </c>
    </row>
    <row r="1388" spans="1:12" x14ac:dyDescent="0.25">
      <c r="A1388" t="str">
        <f t="shared" si="84"/>
        <v>2015-TA-Man-132-811-2296</v>
      </c>
      <c r="B1388" t="str">
        <f t="shared" si="85"/>
        <v>2015</v>
      </c>
      <c r="C1388" s="18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8" t="s">
        <v>1973</v>
      </c>
      <c r="L1388" s="21">
        <v>7.2</v>
      </c>
    </row>
    <row r="1389" spans="1:12" x14ac:dyDescent="0.25">
      <c r="A1389" t="str">
        <f t="shared" si="84"/>
        <v>2015-TA-Man-135-851-2295</v>
      </c>
      <c r="B1389" t="str">
        <f t="shared" si="85"/>
        <v>2015</v>
      </c>
      <c r="C1389" s="18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8" t="s">
        <v>1973</v>
      </c>
      <c r="L1389" s="21">
        <v>7.3</v>
      </c>
    </row>
    <row r="1390" spans="1:12" x14ac:dyDescent="0.25">
      <c r="A1390" t="str">
        <f t="shared" si="84"/>
        <v>2016-TA-Man-91-594-2326</v>
      </c>
      <c r="B1390" t="str">
        <f t="shared" si="85"/>
        <v>2016</v>
      </c>
      <c r="C1390" s="18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8" t="s">
        <v>1978</v>
      </c>
      <c r="L1390" s="21">
        <v>5.8</v>
      </c>
    </row>
    <row r="1391" spans="1:12" x14ac:dyDescent="0.25">
      <c r="A1391" t="str">
        <f t="shared" si="84"/>
        <v>2016-TA-Man-99-619-2325</v>
      </c>
      <c r="B1391" t="str">
        <f t="shared" si="85"/>
        <v>2016</v>
      </c>
      <c r="C1391" s="18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8" t="s">
        <v>1978</v>
      </c>
      <c r="L1391" s="21">
        <v>6</v>
      </c>
    </row>
    <row r="1392" spans="1:12" x14ac:dyDescent="0.25">
      <c r="A1392" t="str">
        <f t="shared" si="84"/>
        <v>2016-TA-Man-106-661-2324</v>
      </c>
      <c r="B1392" t="str">
        <f t="shared" si="85"/>
        <v>2016</v>
      </c>
      <c r="C1392" s="18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8" t="s">
        <v>1978</v>
      </c>
      <c r="L1392" s="21">
        <v>6.2</v>
      </c>
    </row>
    <row r="1393" spans="1:12" x14ac:dyDescent="0.25">
      <c r="A1393" t="str">
        <f t="shared" si="84"/>
        <v>2016-TA-Man-122-712-2321</v>
      </c>
      <c r="B1393" t="str">
        <f t="shared" si="85"/>
        <v>2016</v>
      </c>
      <c r="C1393" s="18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8" t="s">
        <v>1978</v>
      </c>
      <c r="L1393" s="21">
        <v>6.6</v>
      </c>
    </row>
    <row r="1394" spans="1:12" x14ac:dyDescent="0.25">
      <c r="A1394" t="str">
        <f t="shared" si="84"/>
        <v>2016-TA-Man-132-811-2316</v>
      </c>
      <c r="B1394" t="str">
        <f t="shared" si="85"/>
        <v>2016</v>
      </c>
      <c r="C1394" s="18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8" t="s">
        <v>1978</v>
      </c>
      <c r="L1394" s="21">
        <v>7.2</v>
      </c>
    </row>
    <row r="1395" spans="1:12" x14ac:dyDescent="0.25">
      <c r="A1395" t="str">
        <f t="shared" si="84"/>
        <v>2016-TA-Man-135-851-2315</v>
      </c>
      <c r="B1395" t="str">
        <f t="shared" si="85"/>
        <v>2016</v>
      </c>
      <c r="C1395" s="18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8" t="s">
        <v>1978</v>
      </c>
      <c r="L1395" s="21">
        <v>7.3</v>
      </c>
    </row>
    <row r="1396" spans="1:12" x14ac:dyDescent="0.25">
      <c r="A1396" t="str">
        <f t="shared" si="84"/>
        <v>2017-TA-Man-91-594-2326</v>
      </c>
      <c r="B1396" t="str">
        <f t="shared" si="85"/>
        <v>2017</v>
      </c>
      <c r="C1396" s="18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8" t="s">
        <v>1979</v>
      </c>
      <c r="L1396" s="21">
        <v>5.8</v>
      </c>
    </row>
    <row r="1397" spans="1:12" x14ac:dyDescent="0.25">
      <c r="A1397" t="str">
        <f t="shared" si="84"/>
        <v>2017-TA-Man-99-619-2325</v>
      </c>
      <c r="B1397" t="str">
        <f t="shared" si="85"/>
        <v>2017</v>
      </c>
      <c r="C1397" s="18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8" t="s">
        <v>1979</v>
      </c>
      <c r="L1397" s="21">
        <v>6</v>
      </c>
    </row>
    <row r="1398" spans="1:12" x14ac:dyDescent="0.25">
      <c r="A1398" t="str">
        <f t="shared" si="84"/>
        <v>2017-TA-Man-106-661-2324</v>
      </c>
      <c r="B1398" t="str">
        <f t="shared" si="85"/>
        <v>2017</v>
      </c>
      <c r="C1398" s="18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8" t="s">
        <v>1979</v>
      </c>
      <c r="L1398" s="21">
        <v>6.2</v>
      </c>
    </row>
    <row r="1399" spans="1:12" x14ac:dyDescent="0.25">
      <c r="A1399" t="str">
        <f t="shared" si="84"/>
        <v>2017-TA-Man-118-712-2324</v>
      </c>
      <c r="B1399" t="str">
        <f t="shared" si="85"/>
        <v>2017</v>
      </c>
      <c r="C1399" s="18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8" t="s">
        <v>1979</v>
      </c>
      <c r="L1399" s="21">
        <v>6.6</v>
      </c>
    </row>
    <row r="1400" spans="1:12" x14ac:dyDescent="0.25">
      <c r="A1400" t="str">
        <f t="shared" si="84"/>
        <v>2017-TA-Man-132-811-2316</v>
      </c>
      <c r="B1400" t="str">
        <f t="shared" si="85"/>
        <v>2017</v>
      </c>
      <c r="C1400" s="18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8" t="s">
        <v>1979</v>
      </c>
      <c r="L1400" s="21">
        <v>7.2</v>
      </c>
    </row>
    <row r="1401" spans="1:12" x14ac:dyDescent="0.25">
      <c r="A1401" t="str">
        <f t="shared" si="84"/>
        <v>2017-TA-Man-133-850-2316</v>
      </c>
      <c r="B1401" t="str">
        <f t="shared" si="85"/>
        <v>2017</v>
      </c>
      <c r="C1401" s="18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8" t="s">
        <v>1979</v>
      </c>
      <c r="L1401" s="21">
        <v>7.2</v>
      </c>
    </row>
    <row r="1402" spans="1:12" x14ac:dyDescent="0.25">
      <c r="A1402" t="str">
        <f t="shared" si="84"/>
        <v>2019-TA-Man-97-617-2325</v>
      </c>
      <c r="B1402" t="str">
        <f t="shared" si="85"/>
        <v>2019</v>
      </c>
      <c r="C1402" s="18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8" t="s">
        <v>1264</v>
      </c>
      <c r="L1402" s="21">
        <v>6</v>
      </c>
    </row>
    <row r="1403" spans="1:12" x14ac:dyDescent="0.25">
      <c r="A1403" t="str">
        <f t="shared" si="84"/>
        <v>2019-TA-Man-107-661-2320</v>
      </c>
      <c r="B1403" t="str">
        <f t="shared" si="85"/>
        <v>2019</v>
      </c>
      <c r="C1403" s="18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8" t="s">
        <v>1264</v>
      </c>
      <c r="L1403" s="21">
        <v>6</v>
      </c>
    </row>
    <row r="1404" spans="1:12" x14ac:dyDescent="0.25">
      <c r="A1404" t="str">
        <f t="shared" si="84"/>
        <v>2019-TA-Man-118-711-2320</v>
      </c>
      <c r="B1404" t="str">
        <f t="shared" si="85"/>
        <v>2019</v>
      </c>
      <c r="C1404" s="18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8" t="s">
        <v>1264</v>
      </c>
      <c r="L1404" s="21">
        <v>6.6</v>
      </c>
    </row>
    <row r="1405" spans="1:12" x14ac:dyDescent="0.25">
      <c r="A1405" t="str">
        <f t="shared" si="84"/>
        <v>2019-TA-Man-127-810-2316</v>
      </c>
      <c r="B1405" t="str">
        <f t="shared" si="85"/>
        <v>2019</v>
      </c>
      <c r="C1405" s="18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8" t="s">
        <v>1264</v>
      </c>
      <c r="L1405" s="21">
        <v>7.1</v>
      </c>
    </row>
    <row r="1406" spans="1:12" x14ac:dyDescent="0.25">
      <c r="A1406" t="str">
        <f t="shared" si="84"/>
        <v>2019-TA-Man-138-848-2319</v>
      </c>
      <c r="B1406" t="str">
        <f t="shared" si="85"/>
        <v>2019</v>
      </c>
      <c r="C1406" s="18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8" t="s">
        <v>1264</v>
      </c>
      <c r="L1406" s="21">
        <v>7.5</v>
      </c>
    </row>
    <row r="1407" spans="1:12" x14ac:dyDescent="0.25">
      <c r="A1407" t="str">
        <f t="shared" si="84"/>
        <v>2019-TA-Air-181-911-2250</v>
      </c>
      <c r="B1407" t="str">
        <f t="shared" si="85"/>
        <v>2019</v>
      </c>
      <c r="C1407" s="18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8" t="s">
        <v>1264</v>
      </c>
      <c r="L1407" s="21">
        <v>9</v>
      </c>
    </row>
    <row r="1408" spans="1:12" x14ac:dyDescent="0.25">
      <c r="A1408" t="str">
        <f t="shared" si="84"/>
        <v>2020-TA-MAN-97-617-2325</v>
      </c>
      <c r="B1408" t="str">
        <f t="shared" si="85"/>
        <v>2020</v>
      </c>
      <c r="C1408" s="18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8" t="s">
        <v>860</v>
      </c>
      <c r="L1408" s="21">
        <v>6</v>
      </c>
    </row>
    <row r="1409" spans="1:12" x14ac:dyDescent="0.25">
      <c r="A1409" t="str">
        <f t="shared" si="84"/>
        <v>2020-TA-MAN-107-661-2320</v>
      </c>
      <c r="B1409" t="str">
        <f t="shared" si="85"/>
        <v>2020</v>
      </c>
      <c r="C1409" s="18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8" t="s">
        <v>860</v>
      </c>
      <c r="L1409" s="21">
        <v>6</v>
      </c>
    </row>
    <row r="1410" spans="1:12" x14ac:dyDescent="0.25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8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8" t="s">
        <v>860</v>
      </c>
      <c r="L1410" s="21">
        <v>6.6</v>
      </c>
    </row>
    <row r="1411" spans="1:12" x14ac:dyDescent="0.25">
      <c r="A1411" t="str">
        <f t="shared" si="88"/>
        <v>2020-TA-MAN-132-772-2320</v>
      </c>
      <c r="B1411" t="str">
        <f t="shared" si="89"/>
        <v>2020</v>
      </c>
      <c r="C1411" s="18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8" t="s">
        <v>860</v>
      </c>
      <c r="L1411" s="21">
        <v>7.1</v>
      </c>
    </row>
    <row r="1412" spans="1:12" x14ac:dyDescent="0.25">
      <c r="A1412" t="str">
        <f t="shared" si="88"/>
        <v>2020-TA-MAN-127-810-2316</v>
      </c>
      <c r="B1412" t="str">
        <f t="shared" si="89"/>
        <v>2020</v>
      </c>
      <c r="C1412" s="18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8" t="s">
        <v>860</v>
      </c>
      <c r="L1412" s="21">
        <v>7.1</v>
      </c>
    </row>
    <row r="1413" spans="1:12" x14ac:dyDescent="0.25">
      <c r="A1413" t="str">
        <f t="shared" si="88"/>
        <v>2020-TA-MAN-138-848-2319</v>
      </c>
      <c r="B1413" t="str">
        <f t="shared" si="89"/>
        <v>2020</v>
      </c>
      <c r="C1413" s="18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8" t="s">
        <v>860</v>
      </c>
      <c r="L1413" s="21">
        <v>7.5</v>
      </c>
    </row>
    <row r="1414" spans="1:12" x14ac:dyDescent="0.25">
      <c r="A1414" t="str">
        <f t="shared" si="88"/>
        <v>2024-TA-MAN-96-610-2330</v>
      </c>
      <c r="B1414" t="str">
        <f t="shared" si="89"/>
        <v>2024</v>
      </c>
      <c r="C1414" s="18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8" t="s">
        <v>1991</v>
      </c>
      <c r="L1414" s="21">
        <v>6.1</v>
      </c>
    </row>
    <row r="1415" spans="1:12" x14ac:dyDescent="0.25">
      <c r="A1415" t="str">
        <f t="shared" si="88"/>
        <v>2024-TA-MAN-102-640-2330</v>
      </c>
      <c r="B1415" t="str">
        <f t="shared" si="89"/>
        <v>2024</v>
      </c>
      <c r="C1415" s="18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8" t="s">
        <v>1991</v>
      </c>
      <c r="L1415" s="21">
        <v>6</v>
      </c>
    </row>
    <row r="1416" spans="1:12" x14ac:dyDescent="0.25">
      <c r="A1416" t="str">
        <f t="shared" si="88"/>
        <v>2024-TA-MAN-106-660-2330</v>
      </c>
      <c r="B1416" t="str">
        <f t="shared" si="89"/>
        <v>2024</v>
      </c>
      <c r="C1416" s="18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8" t="s">
        <v>1991</v>
      </c>
      <c r="L1416" s="21">
        <v>6.2</v>
      </c>
    </row>
    <row r="1417" spans="1:12" x14ac:dyDescent="0.25">
      <c r="A1417" t="str">
        <f t="shared" si="88"/>
        <v>2024-TA-MAN-116-710-2330</v>
      </c>
      <c r="B1417" t="str">
        <f t="shared" si="89"/>
        <v>2024</v>
      </c>
      <c r="C1417" s="18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8" t="s">
        <v>1991</v>
      </c>
      <c r="L1417" s="21">
        <v>6.8</v>
      </c>
    </row>
    <row r="1418" spans="1:12" x14ac:dyDescent="0.25">
      <c r="A1418" t="str">
        <f t="shared" si="88"/>
        <v>2024-TA-MAN-132-772-2320</v>
      </c>
      <c r="B1418" t="str">
        <f t="shared" si="89"/>
        <v>2024</v>
      </c>
      <c r="C1418" s="18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8" t="s">
        <v>1991</v>
      </c>
      <c r="L1418" s="21">
        <v>7.4</v>
      </c>
    </row>
    <row r="1419" spans="1:12" x14ac:dyDescent="0.25">
      <c r="A1419" t="str">
        <f t="shared" si="88"/>
        <v>2024-TA-MAN-138-848-2319</v>
      </c>
      <c r="B1419" t="str">
        <f t="shared" si="89"/>
        <v>2024</v>
      </c>
      <c r="C1419" s="18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8" t="s">
        <v>1991</v>
      </c>
      <c r="L1419" s="21">
        <v>7.8</v>
      </c>
    </row>
    <row r="1420" spans="1:12" x14ac:dyDescent="0.25">
      <c r="A1420" t="str">
        <f t="shared" si="88"/>
        <v>2025-TA-MAN-96-610-2330</v>
      </c>
      <c r="B1420" t="str">
        <f t="shared" si="89"/>
        <v>2025</v>
      </c>
      <c r="C1420" s="18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8" t="s">
        <v>1991</v>
      </c>
      <c r="L1420" s="21">
        <v>6.1</v>
      </c>
    </row>
    <row r="1421" spans="1:12" x14ac:dyDescent="0.25">
      <c r="A1421" t="str">
        <f t="shared" si="88"/>
        <v>2025-TA-MAN-102-640-2330</v>
      </c>
      <c r="B1421" t="str">
        <f t="shared" si="89"/>
        <v>2025</v>
      </c>
      <c r="C1421" s="18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8" t="s">
        <v>1991</v>
      </c>
      <c r="L1421" s="21">
        <v>6</v>
      </c>
    </row>
    <row r="1422" spans="1:12" x14ac:dyDescent="0.25">
      <c r="A1422" t="str">
        <f t="shared" si="88"/>
        <v>2025-TA-MAN-106-660-2330</v>
      </c>
      <c r="B1422" t="str">
        <f t="shared" si="89"/>
        <v>2025</v>
      </c>
      <c r="C1422" s="18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8" t="s">
        <v>1991</v>
      </c>
      <c r="L1422" s="21">
        <v>6.2</v>
      </c>
    </row>
    <row r="1423" spans="1:12" x14ac:dyDescent="0.25">
      <c r="A1423" t="str">
        <f t="shared" si="88"/>
        <v>2025-TA-MAN-116-710-2330</v>
      </c>
      <c r="B1423" t="str">
        <f t="shared" si="89"/>
        <v>2025</v>
      </c>
      <c r="C1423" s="18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8" t="s">
        <v>1991</v>
      </c>
      <c r="L1423" s="21">
        <v>6.8</v>
      </c>
    </row>
    <row r="1424" spans="1:12" x14ac:dyDescent="0.25">
      <c r="A1424" t="str">
        <f t="shared" si="88"/>
        <v>2025-TA-MAN-132-772-2320</v>
      </c>
      <c r="B1424" t="str">
        <f t="shared" si="89"/>
        <v>2025</v>
      </c>
      <c r="C1424" s="18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8" t="s">
        <v>1991</v>
      </c>
      <c r="L1424" s="21">
        <v>7.4</v>
      </c>
    </row>
    <row r="1425" spans="1:12" x14ac:dyDescent="0.25">
      <c r="A1425" t="str">
        <f t="shared" si="88"/>
        <v>2025-TA-MAN-138-848-2319</v>
      </c>
      <c r="B1425" t="str">
        <f t="shared" si="89"/>
        <v>2025</v>
      </c>
      <c r="C1425" s="18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8" t="s">
        <v>1991</v>
      </c>
      <c r="L1425" s="21">
        <v>7.8</v>
      </c>
    </row>
    <row r="1426" spans="1:12" x14ac:dyDescent="0.25">
      <c r="A1426" t="str">
        <f t="shared" si="88"/>
        <v>2024-TA-Air-156-760-2100</v>
      </c>
      <c r="B1426" t="str">
        <f t="shared" si="89"/>
        <v>2024</v>
      </c>
      <c r="C1426" s="18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8" t="s">
        <v>1993</v>
      </c>
      <c r="L1426" s="21">
        <v>8.6</v>
      </c>
    </row>
    <row r="1427" spans="1:12" x14ac:dyDescent="0.25">
      <c r="A1427" t="str">
        <f t="shared" si="88"/>
        <v>2024-TA-Air-188-860-2114</v>
      </c>
      <c r="B1427" t="str">
        <f t="shared" si="89"/>
        <v>2024</v>
      </c>
      <c r="C1427" s="18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8" t="s">
        <v>1993</v>
      </c>
      <c r="L1427" s="21">
        <v>10.1</v>
      </c>
    </row>
    <row r="1428" spans="1:12" x14ac:dyDescent="0.25">
      <c r="A1428" t="str">
        <f t="shared" si="88"/>
        <v>2025-TA-Man-156-760-2100</v>
      </c>
      <c r="B1428" t="str">
        <f t="shared" si="89"/>
        <v>2025</v>
      </c>
      <c r="C1428" s="18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8" t="s">
        <v>1993</v>
      </c>
      <c r="L1428" s="21">
        <v>8.6</v>
      </c>
    </row>
    <row r="1429" spans="1:12" x14ac:dyDescent="0.25">
      <c r="A1429" t="str">
        <f t="shared" si="88"/>
        <v>2025-TA-Man-188-860-2114</v>
      </c>
      <c r="B1429" t="str">
        <f t="shared" si="89"/>
        <v>2025</v>
      </c>
      <c r="C1429" s="18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8" t="s">
        <v>1993</v>
      </c>
      <c r="L1429" s="21">
        <v>10.1</v>
      </c>
    </row>
    <row r="1430" spans="1:12" x14ac:dyDescent="0.25">
      <c r="A1430" t="str">
        <f t="shared" si="88"/>
        <v>2019-TA-Tec-130-813-2303</v>
      </c>
      <c r="B1430" t="str">
        <f t="shared" si="89"/>
        <v>2019</v>
      </c>
      <c r="C1430" s="18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8" t="s">
        <v>1154</v>
      </c>
      <c r="L1430" s="21">
        <v>9.5</v>
      </c>
    </row>
    <row r="1431" spans="1:12" x14ac:dyDescent="0.25">
      <c r="A1431" t="str">
        <f t="shared" si="88"/>
        <v>2006-TI-HYP-87-591-2405</v>
      </c>
      <c r="B1431" t="str">
        <f t="shared" si="89"/>
        <v>2006</v>
      </c>
      <c r="C1431" s="18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8" t="s">
        <v>812</v>
      </c>
      <c r="L1431" s="21">
        <v>6.5</v>
      </c>
    </row>
    <row r="1432" spans="1:12" x14ac:dyDescent="0.25">
      <c r="A1432" t="str">
        <f t="shared" si="88"/>
        <v>2006-TI-HYP-96-669-2400</v>
      </c>
      <c r="B1432" t="str">
        <f t="shared" si="89"/>
        <v>2006</v>
      </c>
      <c r="C1432" s="18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8" t="s">
        <v>894</v>
      </c>
      <c r="L1432" s="21">
        <v>7</v>
      </c>
    </row>
    <row r="1433" spans="1:12" x14ac:dyDescent="0.25">
      <c r="A1433" t="str">
        <f t="shared" si="88"/>
        <v>2006-TI-HYP-105-669-2410</v>
      </c>
      <c r="B1433" t="str">
        <f t="shared" si="89"/>
        <v>2006</v>
      </c>
      <c r="C1433" s="18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8" t="s">
        <v>894</v>
      </c>
      <c r="L1433" s="21">
        <v>7.4</v>
      </c>
    </row>
    <row r="1434" spans="1:12" x14ac:dyDescent="0.25">
      <c r="A1434" t="str">
        <f t="shared" si="88"/>
        <v>2006-TI-HYP-120-788-2400</v>
      </c>
      <c r="B1434" t="str">
        <f t="shared" si="89"/>
        <v>2006</v>
      </c>
      <c r="C1434" s="18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8" t="s">
        <v>894</v>
      </c>
      <c r="L1434" s="21">
        <v>7.8</v>
      </c>
    </row>
    <row r="1435" spans="1:12" x14ac:dyDescent="0.25">
      <c r="A1435" t="str">
        <f t="shared" si="88"/>
        <v>2007-TI-HYP-87-591-2405</v>
      </c>
      <c r="B1435" t="str">
        <f t="shared" si="89"/>
        <v>2007</v>
      </c>
      <c r="C1435" s="18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8" t="s">
        <v>819</v>
      </c>
      <c r="L1435" s="21">
        <v>6.5</v>
      </c>
    </row>
    <row r="1436" spans="1:12" x14ac:dyDescent="0.25">
      <c r="A1436" t="str">
        <f t="shared" si="88"/>
        <v>2007-TI-HYP-91-642-2380</v>
      </c>
      <c r="B1436" t="str">
        <f t="shared" si="89"/>
        <v>2007</v>
      </c>
      <c r="C1436" s="18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8" t="s">
        <v>819</v>
      </c>
      <c r="L1436" s="21">
        <v>6.85</v>
      </c>
    </row>
    <row r="1437" spans="1:12" x14ac:dyDescent="0.25">
      <c r="A1437" t="str">
        <f t="shared" si="88"/>
        <v>2007-TI-HYP-114-741-2353</v>
      </c>
      <c r="B1437" t="str">
        <f t="shared" si="89"/>
        <v>2007</v>
      </c>
      <c r="C1437" s="18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8" t="s">
        <v>819</v>
      </c>
      <c r="L1437" s="21">
        <v>7.4</v>
      </c>
    </row>
    <row r="1438" spans="1:12" x14ac:dyDescent="0.25">
      <c r="A1438" t="str">
        <f t="shared" si="88"/>
        <v>2007-TI-HYP-126-801-2393</v>
      </c>
      <c r="B1438" t="str">
        <f t="shared" si="89"/>
        <v>2007</v>
      </c>
      <c r="C1438" s="18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8" t="s">
        <v>819</v>
      </c>
      <c r="L1438" s="21">
        <v>7.8</v>
      </c>
    </row>
    <row r="1439" spans="1:12" x14ac:dyDescent="0.25">
      <c r="A1439" t="str">
        <f t="shared" si="88"/>
        <v>2024-WE-WE -94-590-2299</v>
      </c>
      <c r="B1439" t="str">
        <f t="shared" si="89"/>
        <v>2024</v>
      </c>
      <c r="C1439" s="18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8" t="s">
        <v>2021</v>
      </c>
      <c r="L1439" s="21">
        <v>6.3</v>
      </c>
    </row>
    <row r="1440" spans="1:12" x14ac:dyDescent="0.25">
      <c r="A1440" t="str">
        <f t="shared" si="88"/>
        <v>2024-WE-WE -99-630-2299</v>
      </c>
      <c r="B1440" t="str">
        <f t="shared" si="89"/>
        <v>2024</v>
      </c>
      <c r="C1440" s="18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8" t="s">
        <v>2021</v>
      </c>
      <c r="L1440" s="21">
        <v>6.4</v>
      </c>
    </row>
    <row r="1441" spans="1:12" x14ac:dyDescent="0.25">
      <c r="A1441" t="str">
        <f t="shared" si="88"/>
        <v>2024-WE-WE -112-695-2290</v>
      </c>
      <c r="B1441" t="str">
        <f t="shared" si="89"/>
        <v>2024</v>
      </c>
      <c r="C1441" s="18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8" t="s">
        <v>2021</v>
      </c>
      <c r="L1441" s="21">
        <v>6.8</v>
      </c>
    </row>
    <row r="1442" spans="1:12" x14ac:dyDescent="0.25">
      <c r="A1442" t="str">
        <f t="shared" si="88"/>
        <v>2024-WE-WE -121-736-2290</v>
      </c>
      <c r="B1442" t="str">
        <f t="shared" si="89"/>
        <v>2024</v>
      </c>
      <c r="C1442" s="18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8" t="s">
        <v>2021</v>
      </c>
      <c r="L1442" s="21">
        <v>7.2</v>
      </c>
    </row>
    <row r="1443" spans="1:12" x14ac:dyDescent="0.25">
      <c r="A1443" t="str">
        <f t="shared" si="88"/>
        <v>2024-WE-WE -135-840-2290</v>
      </c>
      <c r="B1443" t="str">
        <f t="shared" si="89"/>
        <v>2024</v>
      </c>
      <c r="C1443" s="18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8" t="s">
        <v>2021</v>
      </c>
      <c r="L1443" s="21">
        <v>8.4</v>
      </c>
    </row>
    <row r="1444" spans="1:12" x14ac:dyDescent="0.25">
      <c r="A1444" t="str">
        <f t="shared" si="88"/>
        <v>2024-WE-WE -135-785-2110</v>
      </c>
      <c r="B1444" t="str">
        <f t="shared" si="89"/>
        <v>2024</v>
      </c>
      <c r="C1444" s="18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8" t="s">
        <v>2021</v>
      </c>
      <c r="L1444" s="21">
        <v>7.6</v>
      </c>
    </row>
    <row r="1445" spans="1:12" x14ac:dyDescent="0.25">
      <c r="A1445" t="str">
        <f t="shared" si="88"/>
        <v>2024-WE-WE -165-850-2110</v>
      </c>
      <c r="B1445" t="str">
        <f t="shared" si="89"/>
        <v>2024</v>
      </c>
      <c r="C1445" s="18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8" t="s">
        <v>2021</v>
      </c>
      <c r="L1445" s="21">
        <v>8.9</v>
      </c>
    </row>
    <row r="1446" spans="1:12" x14ac:dyDescent="0.25">
      <c r="A1446" t="str">
        <f t="shared" si="88"/>
        <v>2024-WE-WE -172-880-2110</v>
      </c>
      <c r="B1446" t="str">
        <f t="shared" si="89"/>
        <v>2024</v>
      </c>
      <c r="C1446" s="18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8" t="s">
        <v>2021</v>
      </c>
      <c r="L1446" s="21">
        <v>9.1999999999999993</v>
      </c>
    </row>
    <row r="1447" spans="1:12" x14ac:dyDescent="0.25">
      <c r="A1447" t="str">
        <f t="shared" si="88"/>
        <v>2025-WE-WE -99-630-2290</v>
      </c>
      <c r="B1447" t="str">
        <f t="shared" si="89"/>
        <v>2025</v>
      </c>
      <c r="C1447" s="18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8" t="s">
        <v>2021</v>
      </c>
      <c r="L1447" s="21">
        <v>6.2</v>
      </c>
    </row>
    <row r="1448" spans="1:12" x14ac:dyDescent="0.25">
      <c r="A1448" t="str">
        <f t="shared" si="88"/>
        <v>2025-WE-WE -94-590-2299</v>
      </c>
      <c r="B1448" t="str">
        <f t="shared" si="89"/>
        <v>2025</v>
      </c>
      <c r="C1448" s="18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8" t="s">
        <v>2021</v>
      </c>
      <c r="L1448" s="21">
        <v>6</v>
      </c>
    </row>
    <row r="1449" spans="1:12" x14ac:dyDescent="0.25">
      <c r="A1449" t="str">
        <f t="shared" si="88"/>
        <v>2025-WE-WE -112-695-2299</v>
      </c>
      <c r="B1449" t="str">
        <f t="shared" si="89"/>
        <v>2025</v>
      </c>
      <c r="C1449" s="18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8" t="s">
        <v>2021</v>
      </c>
      <c r="L1449" s="21">
        <v>6.8</v>
      </c>
    </row>
    <row r="1450" spans="1:12" x14ac:dyDescent="0.25">
      <c r="A1450" t="str">
        <f t="shared" si="88"/>
        <v>2025-WE-WE -112-694-2299</v>
      </c>
      <c r="B1450" t="str">
        <f t="shared" si="89"/>
        <v>2025</v>
      </c>
      <c r="C1450" s="18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8" t="s">
        <v>2021</v>
      </c>
      <c r="L1450" s="21">
        <v>6.8</v>
      </c>
    </row>
    <row r="1451" spans="1:12" x14ac:dyDescent="0.25">
      <c r="A1451" t="str">
        <f t="shared" si="88"/>
        <v>2025-WE-WE -99-630-2300</v>
      </c>
      <c r="B1451" t="str">
        <f t="shared" si="89"/>
        <v>2025</v>
      </c>
      <c r="C1451" s="18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8" t="s">
        <v>2021</v>
      </c>
      <c r="L1451" s="21">
        <v>6.3</v>
      </c>
    </row>
    <row r="1452" spans="1:12" x14ac:dyDescent="0.25">
      <c r="A1452" t="str">
        <f t="shared" si="88"/>
        <v>2025-WE-WE -121-736-2290</v>
      </c>
      <c r="B1452" t="str">
        <f t="shared" si="89"/>
        <v>2025</v>
      </c>
      <c r="C1452" s="18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8" t="s">
        <v>2021</v>
      </c>
      <c r="L1452" s="21">
        <v>7.2</v>
      </c>
    </row>
    <row r="1453" spans="1:12" x14ac:dyDescent="0.25">
      <c r="A1453" t="str">
        <f t="shared" si="88"/>
        <v>2025-WE-WE -121-735-2290</v>
      </c>
      <c r="B1453" t="str">
        <f t="shared" si="89"/>
        <v>2025</v>
      </c>
      <c r="C1453" s="18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8" t="s">
        <v>2021</v>
      </c>
      <c r="L1453" s="21">
        <v>7.2</v>
      </c>
    </row>
    <row r="1454" spans="1:12" x14ac:dyDescent="0.25">
      <c r="A1454" t="str">
        <f t="shared" si="88"/>
        <v>2025-WE-WE -133-781-2289</v>
      </c>
      <c r="B1454" t="str">
        <f t="shared" si="89"/>
        <v>2025</v>
      </c>
      <c r="C1454" s="18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8" t="s">
        <v>2021</v>
      </c>
      <c r="L1454" s="21">
        <v>7.6</v>
      </c>
    </row>
    <row r="1455" spans="1:12" x14ac:dyDescent="0.25">
      <c r="A1455" t="str">
        <f t="shared" si="88"/>
        <v>2025-WE-WE -135-840-2290</v>
      </c>
      <c r="B1455" t="str">
        <f t="shared" si="89"/>
        <v>2025</v>
      </c>
      <c r="C1455" s="18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8" t="s">
        <v>2021</v>
      </c>
      <c r="L1455" s="21">
        <v>8.1999999999999993</v>
      </c>
    </row>
    <row r="1456" spans="1:12" x14ac:dyDescent="0.25">
      <c r="A1456" t="str">
        <f t="shared" si="88"/>
        <v>2025-WE-WE -165-850-2110</v>
      </c>
      <c r="B1456" t="str">
        <f t="shared" si="89"/>
        <v>2025</v>
      </c>
      <c r="C1456" s="18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8" t="s">
        <v>2021</v>
      </c>
      <c r="L1456" s="21">
        <v>8.9</v>
      </c>
    </row>
    <row r="1457" spans="1:12" x14ac:dyDescent="0.25">
      <c r="A1457" t="str">
        <f t="shared" si="88"/>
        <v>2025-WE-WE -160-850-2109</v>
      </c>
      <c r="B1457" t="str">
        <f t="shared" si="89"/>
        <v>2025</v>
      </c>
      <c r="C1457" s="18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8" t="s">
        <v>2021</v>
      </c>
      <c r="L1457" s="21">
        <v>9.1</v>
      </c>
    </row>
    <row r="1458" spans="1:12" x14ac:dyDescent="0.25">
      <c r="A1458" t="str">
        <f t="shared" si="88"/>
        <v>2025-WE-WE -172-880-2110</v>
      </c>
      <c r="B1458" t="str">
        <f t="shared" si="89"/>
        <v>2025</v>
      </c>
      <c r="C1458" s="18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8" t="s">
        <v>2021</v>
      </c>
      <c r="L1458" s="21">
        <v>9.3000000000000007</v>
      </c>
    </row>
    <row r="1459" spans="1:12" x14ac:dyDescent="0.25">
      <c r="A1459" t="str">
        <f t="shared" si="88"/>
        <v>2025-WE-WE -135-785-2110</v>
      </c>
      <c r="B1459" t="str">
        <f t="shared" si="89"/>
        <v>2025</v>
      </c>
      <c r="C1459" s="18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8" t="s">
        <v>2021</v>
      </c>
      <c r="L1459" s="21">
        <v>8.5</v>
      </c>
    </row>
    <row r="1460" spans="1:12" x14ac:dyDescent="0.25">
      <c r="A1460" t="str">
        <f t="shared" si="88"/>
        <v>2026-WE-WE -91-588-2300</v>
      </c>
      <c r="B1460" t="str">
        <f t="shared" si="89"/>
        <v>2026</v>
      </c>
      <c r="C1460" s="18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8" t="s">
        <v>1414</v>
      </c>
      <c r="L1460" s="21">
        <v>6.3</v>
      </c>
    </row>
    <row r="1461" spans="1:12" x14ac:dyDescent="0.25">
      <c r="A1461" t="str">
        <f t="shared" si="88"/>
        <v>2026-WE-WE -99-630-2299</v>
      </c>
      <c r="B1461" t="str">
        <f t="shared" si="89"/>
        <v>2026</v>
      </c>
      <c r="C1461" s="18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8" t="s">
        <v>1414</v>
      </c>
      <c r="L1461" s="21">
        <v>6.5</v>
      </c>
    </row>
    <row r="1462" spans="1:12" x14ac:dyDescent="0.25">
      <c r="A1462" t="str">
        <f t="shared" si="88"/>
        <v>2026-WE-WE -112-675-2290</v>
      </c>
      <c r="B1462" t="str">
        <f t="shared" si="89"/>
        <v>2026</v>
      </c>
      <c r="C1462" s="18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8" t="s">
        <v>1414</v>
      </c>
      <c r="L1462" s="21">
        <v>7</v>
      </c>
    </row>
    <row r="1463" spans="1:12" x14ac:dyDescent="0.25">
      <c r="A1463" t="str">
        <f t="shared" si="88"/>
        <v>2026-WE-WE -120-730-2289</v>
      </c>
      <c r="B1463" t="str">
        <f t="shared" si="89"/>
        <v>2026</v>
      </c>
      <c r="C1463" s="18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8" t="s">
        <v>1414</v>
      </c>
      <c r="L1463" s="21">
        <v>7.2</v>
      </c>
    </row>
    <row r="1464" spans="1:12" x14ac:dyDescent="0.25">
      <c r="A1464" t="str">
        <f t="shared" si="88"/>
        <v>2026-WE-WE -135-781-2288</v>
      </c>
      <c r="B1464" t="str">
        <f t="shared" si="89"/>
        <v>2026</v>
      </c>
      <c r="C1464" s="18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8" t="s">
        <v>1414</v>
      </c>
      <c r="L1464" s="21">
        <v>7.6</v>
      </c>
    </row>
    <row r="1465" spans="1:12" x14ac:dyDescent="0.25">
      <c r="A1465" t="str">
        <f t="shared" si="88"/>
        <v>2026-WE-WE -141-839-2289</v>
      </c>
      <c r="B1465" t="str">
        <f t="shared" si="89"/>
        <v>2026</v>
      </c>
      <c r="C1465" s="18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8" t="s">
        <v>1414</v>
      </c>
      <c r="L1465" s="21">
        <v>8.3000000000000007</v>
      </c>
    </row>
    <row r="1466" spans="1:12" x14ac:dyDescent="0.25">
      <c r="A1466" t="str">
        <f t="shared" si="88"/>
        <v>2026-WE-WE -165-850-2109</v>
      </c>
      <c r="B1466" t="str">
        <f t="shared" si="89"/>
        <v>2026</v>
      </c>
      <c r="C1466" s="18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8" t="s">
        <v>1414</v>
      </c>
      <c r="L1466" s="21">
        <v>9.9</v>
      </c>
    </row>
    <row r="1467" spans="1:12" x14ac:dyDescent="0.25">
      <c r="K1467"/>
    </row>
    <row r="1468" spans="1:12" x14ac:dyDescent="0.25">
      <c r="K1468"/>
    </row>
    <row r="1469" spans="1:12" x14ac:dyDescent="0.25">
      <c r="K1469"/>
    </row>
    <row r="1470" spans="1:12" x14ac:dyDescent="0.25">
      <c r="K1470"/>
    </row>
    <row r="1471" spans="1:12" x14ac:dyDescent="0.25">
      <c r="K1471"/>
    </row>
    <row r="1472" spans="1:12" x14ac:dyDescent="0.25">
      <c r="K1472"/>
    </row>
    <row r="1473" spans="11:11" x14ac:dyDescent="0.25">
      <c r="K1473"/>
    </row>
    <row r="1474" spans="11:11" x14ac:dyDescent="0.25">
      <c r="K1474"/>
    </row>
    <row r="1475" spans="11:11" x14ac:dyDescent="0.25">
      <c r="K1475"/>
    </row>
    <row r="1476" spans="11:11" x14ac:dyDescent="0.25">
      <c r="K1476"/>
    </row>
    <row r="1477" spans="11:11" x14ac:dyDescent="0.25">
      <c r="K1477"/>
    </row>
    <row r="1478" spans="11:11" x14ac:dyDescent="0.25">
      <c r="K1478"/>
    </row>
    <row r="1479" spans="11:11" x14ac:dyDescent="0.25">
      <c r="K1479"/>
    </row>
    <row r="1480" spans="11:11" x14ac:dyDescent="0.25">
      <c r="K1480"/>
    </row>
    <row r="1481" spans="11:11" x14ac:dyDescent="0.25">
      <c r="K1481"/>
    </row>
    <row r="1482" spans="11:11" x14ac:dyDescent="0.25">
      <c r="K1482"/>
    </row>
    <row r="1483" spans="11:11" x14ac:dyDescent="0.25">
      <c r="K1483"/>
    </row>
    <row r="1484" spans="11:11" x14ac:dyDescent="0.25">
      <c r="K1484"/>
    </row>
    <row r="1485" spans="11:11" x14ac:dyDescent="0.25">
      <c r="K1485"/>
    </row>
    <row r="1486" spans="11:11" x14ac:dyDescent="0.25">
      <c r="K1486"/>
    </row>
    <row r="1487" spans="11:11" x14ac:dyDescent="0.25">
      <c r="K1487"/>
    </row>
  </sheetData>
  <autoFilter ref="A1:J1466" xr:uid="{F327D491-38A9-4555-8897-62693548B5FD}"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H61" sqref="H61"/>
    </sheetView>
  </sheetViews>
  <sheetFormatPr defaultRowHeight="15" outlineLevelCol="1" x14ac:dyDescent="0.25"/>
  <cols>
    <col min="2" max="2" width="16.42578125" customWidth="1"/>
    <col min="3" max="3" width="26.28515625" bestFit="1" customWidth="1"/>
    <col min="4" max="4" width="12" bestFit="1" customWidth="1"/>
    <col min="5" max="5" width="10.28515625" bestFit="1" customWidth="1"/>
    <col min="6" max="6" width="7.28515625" bestFit="1" customWidth="1"/>
    <col min="7" max="7" width="19" bestFit="1" customWidth="1"/>
    <col min="8" max="8" width="38.28515625" bestFit="1" customWidth="1"/>
    <col min="9" max="9" width="18.42578125" bestFit="1" customWidth="1"/>
    <col min="10" max="10" width="6.28515625" customWidth="1"/>
    <col min="11" max="11" width="33" customWidth="1"/>
    <col min="12" max="14" width="9.140625" customWidth="1" outlineLevel="1"/>
    <col min="15" max="15" width="4.7109375" customWidth="1"/>
    <col min="17" max="17" width="24.140625" style="9" bestFit="1" customWidth="1"/>
  </cols>
  <sheetData>
    <row r="1" spans="1:17" ht="43.5" customHeigh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25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Catalogue'!H:H),-1)</f>
        <v>233</v>
      </c>
      <c r="Q2" s="12" t="str">
        <f>_xlfn.XLOOKUP(K2,'Boards Catalogue'!H:H,'Boards Catalogue'!H:H,,-1)</f>
        <v>2018-Fa-Bla-100-62-231</v>
      </c>
    </row>
    <row r="3" spans="1:17" x14ac:dyDescent="0.25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Catalogue'!H:H),-1)</f>
        <v>235</v>
      </c>
      <c r="Q3" s="12" t="str">
        <f>_xlfn.XLOOKUP(K3,'Boards Catalogue'!H:H,'Boards Catalogue'!H:H,,-1)</f>
        <v>2018-Fa-Bla-115-66-232</v>
      </c>
    </row>
    <row r="4" spans="1:17" x14ac:dyDescent="0.25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Catalogue'!H:H),-1)</f>
        <v>235</v>
      </c>
      <c r="Q4" s="12" t="str">
        <f>_xlfn.XLOOKUP(K4,'Boards Catalogue'!H:H,'Boards Catalogue'!H:H,,-1)</f>
        <v>2018-Fa-Bla-115-66-232</v>
      </c>
    </row>
    <row r="5" spans="1:17" x14ac:dyDescent="0.25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Catalogue'!H:H),-1)</f>
        <v>237</v>
      </c>
      <c r="Q5" s="12" t="str">
        <f>_xlfn.XLOOKUP(K5,'Boards Catalogue'!H:H,'Boards Catalogue'!H:H,,-1)</f>
        <v>2018-Fa-Bla-130-70-233</v>
      </c>
    </row>
    <row r="6" spans="1:17" x14ac:dyDescent="0.25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Catalogue'!H:H),-1)</f>
        <v>237</v>
      </c>
      <c r="Q6" s="12" t="str">
        <f>_xlfn.XLOOKUP(K6,'Boards Catalogue'!H:H,'Boards Catalogue'!H:H,,-1)</f>
        <v>2018-Fa-Bla-130-70-233</v>
      </c>
    </row>
    <row r="7" spans="1:17" x14ac:dyDescent="0.25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Catalogue'!H:H),-1)</f>
        <v>239</v>
      </c>
      <c r="Q7" s="12" t="str">
        <f>_xlfn.XLOOKUP(K7,'Boards Catalogue'!H:H,'Boards Catalogue'!H:H,,-1)</f>
        <v>2018-Fa-Bla-145-77-235</v>
      </c>
    </row>
    <row r="8" spans="1:17" x14ac:dyDescent="0.25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Catalogue'!H:H),-1)</f>
        <v>241</v>
      </c>
      <c r="Q8" s="12" t="str">
        <f>_xlfn.XLOOKUP(K8,'Boards Catalogue'!H:H,'Boards Catalogue'!H:H,,-1)</f>
        <v>2018-Fa-Fal-114-71-230</v>
      </c>
    </row>
    <row r="9" spans="1:17" x14ac:dyDescent="0.25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Catalogue'!H:H),-1)</f>
        <v>243</v>
      </c>
      <c r="Q9" s="12" t="str">
        <f>_xlfn.XLOOKUP(K9,'Boards Catalogue'!H:H,'Boards Catalogue'!H:H,,-1)</f>
        <v>2018-Fa-Fal-129-80-230</v>
      </c>
    </row>
    <row r="10" spans="1:17" x14ac:dyDescent="0.25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Catalogue'!H:H),-1)</f>
        <v>250</v>
      </c>
      <c r="Q10" s="12" t="str">
        <f>_xlfn.XLOOKUP(K10,'Boards Catalogue'!H:H,'Boards Catalogue'!H:H,,-1)</f>
        <v>2018-Fa-Fal-89-60-235</v>
      </c>
    </row>
    <row r="11" spans="1:17" x14ac:dyDescent="0.25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Catalogue'!H:H),-1)</f>
        <v>245</v>
      </c>
      <c r="Q11" s="12" t="str">
        <f>_xlfn.XLOOKUP(K11,'Boards Catalogue'!H:H,'Boards Catalogue'!H:H,,-1)</f>
        <v>2018-Fa-Fal-159-90-230</v>
      </c>
    </row>
    <row r="12" spans="1:17" x14ac:dyDescent="0.25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Catalogue'!H:H),-1)</f>
        <v>-1</v>
      </c>
      <c r="Q12" s="12" t="str">
        <f>_xlfn.XLOOKUP(K12,'Boards Catalogue'!H:H,'Boards Catalogue'!H:H,,-1)</f>
        <v>2018-Fa-Fal-54-44-230</v>
      </c>
    </row>
    <row r="13" spans="1:17" x14ac:dyDescent="0.25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Catalogue'!H:H),-1)</f>
        <v>-1</v>
      </c>
      <c r="Q13" s="12" t="str">
        <f>_xlfn.XLOOKUP(K13,'Boards Catalogue'!H:H,'Boards Catalogue'!H:H,,-1)</f>
        <v>2018-Fa-Fal-70-52-230</v>
      </c>
    </row>
    <row r="14" spans="1:17" x14ac:dyDescent="0.25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Catalogue'!H:H),-1)</f>
        <v>248</v>
      </c>
      <c r="Q14" s="12" t="str">
        <f>_xlfn.XLOOKUP(K14,'Boards Catalogue'!H:H,'Boards Catalogue'!H:H,,-1)</f>
        <v>2018-Fa-Fal-70-52-230</v>
      </c>
    </row>
    <row r="15" spans="1:17" x14ac:dyDescent="0.25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Catalogue'!H:H),-1)</f>
        <v>242</v>
      </c>
      <c r="Q15" s="12" t="str">
        <f>_xlfn.XLOOKUP(K15,'Boards Catalogue'!H:H,'Boards Catalogue'!H:H,,-1)</f>
        <v>2018-Fa-Fal-121-75-230</v>
      </c>
    </row>
    <row r="16" spans="1:17" x14ac:dyDescent="0.25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Catalogue'!H:H),-1)</f>
        <v>244</v>
      </c>
      <c r="Q16" s="12" t="str">
        <f>_xlfn.XLOOKUP(K16,'Boards Catalogue'!H:H,'Boards Catalogue'!H:H,,-1)</f>
        <v>2018-Fa-Fal-136-85-225</v>
      </c>
    </row>
    <row r="17" spans="1:17" x14ac:dyDescent="0.25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Catalogue'!H:H),-1)</f>
        <v>251</v>
      </c>
      <c r="Q17" s="12" t="str">
        <f>_xlfn.XLOOKUP(K17,'Boards Catalogue'!H:H,'Boards Catalogue'!H:H,,-1)</f>
        <v>2018-Fa-Fal-98-63-235</v>
      </c>
    </row>
    <row r="18" spans="1:17" x14ac:dyDescent="0.25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Catalogue'!H:H),-1)</f>
        <v>-1</v>
      </c>
      <c r="Q18" s="12" t="str">
        <f>_xlfn.XLOOKUP(K18,'Boards Catalogue'!H:H,'Boards Catalogue'!H:H,,-1)</f>
        <v>2018-Fa-Fal-98-63-235</v>
      </c>
    </row>
    <row r="19" spans="1:17" x14ac:dyDescent="0.25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Catalogue'!H:H),-1)</f>
        <v>-1</v>
      </c>
      <c r="Q19" s="12" t="str">
        <f>_xlfn.XLOOKUP(K19,'Boards Catalogue'!H:H,'Boards Catalogue'!H:H,,-1)</f>
        <v>2018-Fa-Fre-115-65-231</v>
      </c>
    </row>
    <row r="20" spans="1:17" x14ac:dyDescent="0.25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Catalogue'!H:H),-1)</f>
        <v>-1</v>
      </c>
      <c r="Q20" s="12" t="str">
        <f>_xlfn.XLOOKUP(K20,'Boards Catalogue'!H:H,'Boards Catalogue'!H:H,,-1)</f>
        <v>2018-Fa-Fre-105-62-229</v>
      </c>
    </row>
    <row r="21" spans="1:17" x14ac:dyDescent="0.25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Catalogue'!H:H),-1)</f>
        <v>-1</v>
      </c>
      <c r="Q21" s="12" t="str">
        <f>_xlfn.XLOOKUP(K21,'Boards Catalogue'!H:H,'Boards Catalogue'!H:H,,-1)</f>
        <v>2018-Fa-Fre-85-57-225</v>
      </c>
    </row>
    <row r="22" spans="1:17" x14ac:dyDescent="0.25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Catalogue'!H:H),-1)</f>
        <v>271</v>
      </c>
      <c r="Q22" s="12" t="str">
        <f>_xlfn.XLOOKUP(K22,'Boards Catalogue'!H:H,'Boards Catalogue'!H:H,,-1)</f>
        <v>2018-Fa-Gec-133-78-246</v>
      </c>
    </row>
    <row r="23" spans="1:17" x14ac:dyDescent="0.25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Catalogue'!H:H),-1)</f>
        <v>268</v>
      </c>
      <c r="Q23" s="12" t="str">
        <f>_xlfn.XLOOKUP(K23,'Boards Catalogue'!H:H,'Boards Catalogue'!H:H,,-1)</f>
        <v>2018-Fa-Gec-120-76-242</v>
      </c>
    </row>
    <row r="24" spans="1:17" x14ac:dyDescent="0.25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Catalogue'!H:H),-1)</f>
        <v>-1</v>
      </c>
      <c r="Q24" s="12" t="str">
        <f>_xlfn.XLOOKUP(K24,'Boards Catalogue'!H:H,'Boards Catalogue'!H:H,,-1)</f>
        <v>2018-Fa-Gec-120-76-242</v>
      </c>
    </row>
    <row r="25" spans="1:17" x14ac:dyDescent="0.25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Catalogue'!H:H),-1)</f>
        <v>282</v>
      </c>
      <c r="Q25" s="12" t="str">
        <f>_xlfn.XLOOKUP(K25,'Boards Catalogue'!H:H,'Boards Catalogue'!H:H,,-1)</f>
        <v>2018-Fa-Gri-82-58-224</v>
      </c>
    </row>
    <row r="26" spans="1:17" x14ac:dyDescent="0.25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Catalogue'!H:H),-1)</f>
        <v>284</v>
      </c>
      <c r="Q26" s="12" t="str">
        <f>_xlfn.XLOOKUP(K26,'Boards Catalogue'!H:H,'Boards Catalogue'!H:H,,-1)</f>
        <v>2018-Fa-Gri-99-62-229</v>
      </c>
    </row>
    <row r="27" spans="1:17" x14ac:dyDescent="0.25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Catalogue'!H:H),-1)</f>
        <v>-1</v>
      </c>
      <c r="Q27" s="12" t="str">
        <f>_xlfn.XLOOKUP(K27,'Boards Catalogue'!H:H,'Boards Catalogue'!H:H,,-1)</f>
        <v>2018-Fa-Gri-99-62-229</v>
      </c>
    </row>
    <row r="28" spans="1:17" x14ac:dyDescent="0.25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Catalogue'!H:H),-1)</f>
        <v>-1</v>
      </c>
      <c r="Q28" s="12" t="str">
        <f>_xlfn.XLOOKUP(K28,'Boards Catalogue'!H:H,'Boards Catalogue'!H:H,,-1)</f>
        <v>2018-Fa-Gri-99-62-229</v>
      </c>
    </row>
    <row r="29" spans="1:17" x14ac:dyDescent="0.25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Catalogue'!H:H),-1)</f>
        <v>-1</v>
      </c>
      <c r="Q29" s="12" t="str">
        <f>_xlfn.XLOOKUP(K29,'Boards Catalogue'!H:H,'Boards Catalogue'!H:H,,-1)</f>
        <v>2018-Fa-Rip-187-73-274</v>
      </c>
    </row>
    <row r="30" spans="1:17" x14ac:dyDescent="0.25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Catalogue'!H:H),-1)</f>
        <v>-1</v>
      </c>
      <c r="Q30" s="12" t="str">
        <f>_xlfn.XLOOKUP(K30,'Boards Catalogue'!H:H,'Boards Catalogue'!H:H,,-1)</f>
        <v>2018-Fa-Ska-93-62-225</v>
      </c>
    </row>
    <row r="31" spans="1:17" x14ac:dyDescent="0.25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Catalogue'!H:H),-1)</f>
        <v>-1</v>
      </c>
      <c r="Q31" s="12" t="str">
        <f>_xlfn.XLOOKUP(K31,'Boards Catalogue'!H:H,'Boards Catalogue'!H:H,,-1)</f>
        <v>2018-Fa-Ska-93-62-225</v>
      </c>
    </row>
    <row r="32" spans="1:17" x14ac:dyDescent="0.25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Catalogue'!H:H),-1)</f>
        <v>294</v>
      </c>
      <c r="Q32" s="12" t="str">
        <f>_xlfn.XLOOKUP(K32,'Boards Catalogue'!H:H,'Boards Catalogue'!H:H,,-1)</f>
        <v>2018-Fa-Stu-99-60-218</v>
      </c>
    </row>
    <row r="33" spans="1:17" x14ac:dyDescent="0.25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Catalogue'!H:H),-1)</f>
        <v>298</v>
      </c>
      <c r="Q33" s="12" t="str">
        <f>_xlfn.XLOOKUP(K33,'Boards Catalogue'!H:H,'Boards Catalogue'!H:H,,-1)</f>
        <v>2018-Fa-Vip-220-85-285</v>
      </c>
    </row>
    <row r="34" spans="1:17" x14ac:dyDescent="0.25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Catalogue'!H:H),-1)</f>
        <v>-1</v>
      </c>
      <c r="Q34" s="12" t="str">
        <f>_xlfn.XLOOKUP(K34,'Boards Catalogue'!H:H,'Boards Catalogue'!H:H,,-1)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H47" sqref="H47"/>
    </sheetView>
  </sheetViews>
  <sheetFormatPr defaultColWidth="72.28515625" defaultRowHeight="15" x14ac:dyDescent="0.25"/>
  <cols>
    <col min="1" max="1" width="12.42578125" bestFit="1" customWidth="1"/>
    <col min="2" max="2" width="8.5703125" bestFit="1" customWidth="1"/>
    <col min="3" max="3" width="41.28515625" bestFit="1" customWidth="1"/>
    <col min="4" max="4" width="14.85546875" bestFit="1" customWidth="1"/>
    <col min="5" max="5" width="9.140625" bestFit="1" customWidth="1"/>
    <col min="6" max="6" width="14.42578125" bestFit="1" customWidth="1"/>
    <col min="7" max="7" width="18.28515625" bestFit="1" customWidth="1"/>
    <col min="8" max="8" width="39.5703125" customWidth="1"/>
    <col min="9" max="9" width="37.28515625" bestFit="1" customWidth="1"/>
    <col min="10" max="10" width="20.7109375" bestFit="1" customWidth="1"/>
    <col min="11" max="11" width="9.5703125" customWidth="1"/>
    <col min="12" max="12" width="15.7109375" bestFit="1" customWidth="1"/>
  </cols>
  <sheetData>
    <row r="1" spans="1:11" ht="90" customHeight="1" x14ac:dyDescent="0.25"/>
    <row r="2" spans="1:11" x14ac:dyDescent="0.25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25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F94-05D8-41A4-AD8E-FCC365B39F79}">
  <sheetPr codeName="Sheet5">
    <tabColor theme="4"/>
  </sheetPr>
  <dimension ref="A1:S84"/>
  <sheetViews>
    <sheetView zoomScale="70" zoomScaleNormal="70" workbookViewId="0">
      <selection activeCell="Y47" sqref="Y47"/>
    </sheetView>
  </sheetViews>
  <sheetFormatPr defaultRowHeight="15" x14ac:dyDescent="0.25"/>
  <cols>
    <col min="1" max="1" width="8.140625" bestFit="1" customWidth="1"/>
    <col min="2" max="2" width="8.5703125" bestFit="1" customWidth="1"/>
    <col min="3" max="3" width="20.7109375" bestFit="1" customWidth="1"/>
    <col min="4" max="4" width="11.5703125" bestFit="1" customWidth="1"/>
    <col min="6" max="6" width="11.140625" bestFit="1" customWidth="1"/>
    <col min="7" max="7" width="31.7109375" bestFit="1" customWidth="1"/>
    <col min="8" max="8" width="27.42578125" bestFit="1" customWidth="1"/>
    <col min="9" max="9" width="37.85546875" bestFit="1" customWidth="1"/>
    <col min="10" max="10" width="20.7109375" bestFit="1" customWidth="1"/>
    <col min="25" max="25" width="34.140625" bestFit="1" customWidth="1"/>
  </cols>
  <sheetData>
    <row r="1" spans="1:19" ht="109.5" customHeight="1" x14ac:dyDescent="0.25">
      <c r="A1" s="4" t="s">
        <v>279</v>
      </c>
      <c r="B1" s="4" t="s">
        <v>3</v>
      </c>
      <c r="C1" s="4" t="s">
        <v>121</v>
      </c>
      <c r="D1" s="4" t="s">
        <v>122</v>
      </c>
      <c r="E1" s="4" t="s">
        <v>123</v>
      </c>
      <c r="F1" s="4" t="s">
        <v>124</v>
      </c>
      <c r="G1" s="4" t="s">
        <v>125</v>
      </c>
      <c r="H1" s="4" t="s">
        <v>126</v>
      </c>
      <c r="I1" s="4" t="s">
        <v>127</v>
      </c>
      <c r="J1" s="4" t="s">
        <v>128</v>
      </c>
    </row>
    <row r="2" spans="1:19" x14ac:dyDescent="0.25">
      <c r="A2">
        <v>2020</v>
      </c>
      <c r="B2" t="s">
        <v>1</v>
      </c>
      <c r="C2" t="s">
        <v>639</v>
      </c>
      <c r="D2">
        <v>60</v>
      </c>
      <c r="E2">
        <v>52</v>
      </c>
      <c r="F2">
        <v>218</v>
      </c>
      <c r="G2" t="s">
        <v>640</v>
      </c>
      <c r="H2" t="s">
        <v>141</v>
      </c>
      <c r="I2" t="s">
        <v>641</v>
      </c>
      <c r="J2" t="s">
        <v>642</v>
      </c>
      <c r="M2" s="15">
        <f>_xlfn.REGEXREPLACE(D2,"[^0-9.]","")+0</f>
        <v>60</v>
      </c>
      <c r="N2" s="15">
        <f t="shared" ref="N2" si="0">_xlfn.REGEXREPLACE(E2,"[^0-9.]","")+0</f>
        <v>52</v>
      </c>
      <c r="O2" s="15">
        <f t="shared" ref="O2" si="1">_xlfn.REGEXREPLACE(F2,"[^0-9.]","")+0</f>
        <v>218</v>
      </c>
      <c r="Q2">
        <v>60</v>
      </c>
      <c r="R2">
        <v>52</v>
      </c>
      <c r="S2">
        <v>218</v>
      </c>
    </row>
    <row r="3" spans="1:19" x14ac:dyDescent="0.25">
      <c r="A3">
        <v>2020</v>
      </c>
      <c r="B3" t="s">
        <v>1</v>
      </c>
      <c r="C3" t="s">
        <v>643</v>
      </c>
      <c r="D3">
        <v>68</v>
      </c>
      <c r="E3">
        <v>54</v>
      </c>
      <c r="F3">
        <v>220</v>
      </c>
      <c r="G3" t="s">
        <v>644</v>
      </c>
      <c r="H3" t="s">
        <v>141</v>
      </c>
      <c r="I3" t="s">
        <v>641</v>
      </c>
      <c r="J3" t="s">
        <v>143</v>
      </c>
      <c r="M3" s="15">
        <f t="shared" ref="M3:M66" si="2">_xlfn.REGEXREPLACE(D3,"[^0-9.]","")+0</f>
        <v>68</v>
      </c>
      <c r="N3" s="15">
        <f t="shared" ref="N3:N66" si="3">_xlfn.REGEXREPLACE(E3,"[^0-9.]","")+0</f>
        <v>54</v>
      </c>
      <c r="O3" s="15">
        <f t="shared" ref="O3:O66" si="4">_xlfn.REGEXREPLACE(F3,"[^0-9.]","")+0</f>
        <v>220</v>
      </c>
      <c r="Q3">
        <v>68</v>
      </c>
      <c r="R3">
        <v>54</v>
      </c>
      <c r="S3">
        <v>220</v>
      </c>
    </row>
    <row r="4" spans="1:19" x14ac:dyDescent="0.25">
      <c r="A4">
        <v>2020</v>
      </c>
      <c r="B4" t="s">
        <v>1</v>
      </c>
      <c r="C4" t="s">
        <v>643</v>
      </c>
      <c r="D4">
        <v>75</v>
      </c>
      <c r="E4">
        <v>56</v>
      </c>
      <c r="F4">
        <v>222</v>
      </c>
      <c r="G4" t="s">
        <v>644</v>
      </c>
      <c r="H4" t="s">
        <v>145</v>
      </c>
      <c r="I4" t="s">
        <v>153</v>
      </c>
      <c r="J4" t="s">
        <v>133</v>
      </c>
      <c r="M4" s="15">
        <f t="shared" si="2"/>
        <v>75</v>
      </c>
      <c r="N4" s="15">
        <f t="shared" si="3"/>
        <v>56</v>
      </c>
      <c r="O4" s="15">
        <f t="shared" si="4"/>
        <v>222</v>
      </c>
      <c r="Q4">
        <v>75</v>
      </c>
      <c r="R4">
        <v>56</v>
      </c>
      <c r="S4">
        <v>222</v>
      </c>
    </row>
    <row r="5" spans="1:19" x14ac:dyDescent="0.25">
      <c r="A5">
        <v>2020</v>
      </c>
      <c r="B5" t="s">
        <v>1</v>
      </c>
      <c r="C5" t="s">
        <v>643</v>
      </c>
      <c r="D5">
        <v>82</v>
      </c>
      <c r="E5">
        <v>58</v>
      </c>
      <c r="F5">
        <v>224</v>
      </c>
      <c r="G5" t="s">
        <v>644</v>
      </c>
      <c r="H5" t="s">
        <v>145</v>
      </c>
      <c r="I5" t="s">
        <v>146</v>
      </c>
      <c r="J5" t="s">
        <v>135</v>
      </c>
      <c r="M5" s="15">
        <f t="shared" si="2"/>
        <v>82</v>
      </c>
      <c r="N5" s="15">
        <f t="shared" si="3"/>
        <v>58</v>
      </c>
      <c r="O5" s="15">
        <f t="shared" si="4"/>
        <v>224</v>
      </c>
      <c r="Q5">
        <v>82</v>
      </c>
      <c r="R5">
        <v>58</v>
      </c>
      <c r="S5">
        <v>224</v>
      </c>
    </row>
    <row r="6" spans="1:19" x14ac:dyDescent="0.25">
      <c r="A6">
        <v>2020</v>
      </c>
      <c r="B6" t="s">
        <v>1</v>
      </c>
      <c r="C6" t="s">
        <v>643</v>
      </c>
      <c r="D6">
        <v>86</v>
      </c>
      <c r="E6">
        <v>58.5</v>
      </c>
      <c r="F6">
        <v>225</v>
      </c>
      <c r="G6" t="s">
        <v>644</v>
      </c>
      <c r="H6" t="s">
        <v>145</v>
      </c>
      <c r="I6" t="s">
        <v>153</v>
      </c>
      <c r="J6" t="s">
        <v>158</v>
      </c>
      <c r="M6" s="15">
        <f t="shared" si="2"/>
        <v>86</v>
      </c>
      <c r="N6" s="15">
        <f t="shared" si="3"/>
        <v>58.5</v>
      </c>
      <c r="O6" s="15">
        <f t="shared" si="4"/>
        <v>225</v>
      </c>
      <c r="Q6">
        <v>86</v>
      </c>
      <c r="R6">
        <v>58.5</v>
      </c>
      <c r="S6">
        <v>225</v>
      </c>
    </row>
    <row r="7" spans="1:19" x14ac:dyDescent="0.25">
      <c r="A7">
        <v>2020</v>
      </c>
      <c r="B7" t="s">
        <v>1</v>
      </c>
      <c r="C7" t="s">
        <v>643</v>
      </c>
      <c r="D7">
        <v>92</v>
      </c>
      <c r="E7">
        <v>59.5</v>
      </c>
      <c r="F7">
        <v>226</v>
      </c>
      <c r="G7" t="s">
        <v>644</v>
      </c>
      <c r="H7" t="s">
        <v>145</v>
      </c>
      <c r="I7" t="s">
        <v>149</v>
      </c>
      <c r="J7" t="s">
        <v>138</v>
      </c>
      <c r="M7" s="15">
        <f t="shared" si="2"/>
        <v>92</v>
      </c>
      <c r="N7" s="15">
        <f t="shared" si="3"/>
        <v>59.5</v>
      </c>
      <c r="O7" s="15">
        <f t="shared" si="4"/>
        <v>226</v>
      </c>
      <c r="Q7">
        <v>92</v>
      </c>
      <c r="R7">
        <v>59.5</v>
      </c>
      <c r="S7">
        <v>226</v>
      </c>
    </row>
    <row r="8" spans="1:19" x14ac:dyDescent="0.25">
      <c r="A8">
        <v>2020</v>
      </c>
      <c r="B8" t="s">
        <v>1</v>
      </c>
      <c r="C8" t="s">
        <v>643</v>
      </c>
      <c r="D8">
        <v>102</v>
      </c>
      <c r="E8">
        <v>61</v>
      </c>
      <c r="F8">
        <v>228</v>
      </c>
      <c r="G8" t="s">
        <v>644</v>
      </c>
      <c r="H8" t="s">
        <v>145</v>
      </c>
      <c r="I8" t="s">
        <v>160</v>
      </c>
      <c r="J8" t="s">
        <v>139</v>
      </c>
      <c r="M8" s="15">
        <f t="shared" si="2"/>
        <v>102</v>
      </c>
      <c r="N8" s="15">
        <f t="shared" si="3"/>
        <v>61</v>
      </c>
      <c r="O8" s="15">
        <f t="shared" si="4"/>
        <v>228</v>
      </c>
      <c r="Q8">
        <v>102</v>
      </c>
      <c r="R8">
        <v>61</v>
      </c>
      <c r="S8">
        <v>228</v>
      </c>
    </row>
    <row r="9" spans="1:19" x14ac:dyDescent="0.25">
      <c r="A9">
        <v>2020</v>
      </c>
      <c r="B9" t="s">
        <v>1</v>
      </c>
      <c r="C9" t="s">
        <v>646</v>
      </c>
      <c r="D9">
        <v>76</v>
      </c>
      <c r="E9">
        <v>55</v>
      </c>
      <c r="F9">
        <v>212</v>
      </c>
      <c r="G9" t="s">
        <v>644</v>
      </c>
      <c r="H9" t="s">
        <v>647</v>
      </c>
      <c r="I9" t="s">
        <v>645</v>
      </c>
      <c r="J9" t="s">
        <v>133</v>
      </c>
      <c r="M9" s="15">
        <f t="shared" si="2"/>
        <v>76</v>
      </c>
      <c r="N9" s="15">
        <f t="shared" si="3"/>
        <v>55</v>
      </c>
      <c r="O9" s="15">
        <f t="shared" si="4"/>
        <v>212</v>
      </c>
      <c r="Q9">
        <v>76</v>
      </c>
      <c r="R9">
        <v>55</v>
      </c>
      <c r="S9">
        <v>212</v>
      </c>
    </row>
    <row r="10" spans="1:19" x14ac:dyDescent="0.25">
      <c r="A10">
        <v>2020</v>
      </c>
      <c r="B10" t="s">
        <v>1</v>
      </c>
      <c r="C10" t="s">
        <v>646</v>
      </c>
      <c r="D10">
        <v>82</v>
      </c>
      <c r="E10">
        <v>56</v>
      </c>
      <c r="F10">
        <v>214</v>
      </c>
      <c r="G10" t="s">
        <v>644</v>
      </c>
      <c r="H10" t="s">
        <v>647</v>
      </c>
      <c r="I10" t="s">
        <v>645</v>
      </c>
      <c r="J10" t="s">
        <v>135</v>
      </c>
      <c r="M10" s="15">
        <f t="shared" si="2"/>
        <v>82</v>
      </c>
      <c r="N10" s="15">
        <f t="shared" si="3"/>
        <v>56</v>
      </c>
      <c r="O10" s="15">
        <f t="shared" si="4"/>
        <v>214</v>
      </c>
      <c r="Q10">
        <v>82</v>
      </c>
      <c r="R10">
        <v>56</v>
      </c>
      <c r="S10">
        <v>214</v>
      </c>
    </row>
    <row r="11" spans="1:19" x14ac:dyDescent="0.25">
      <c r="A11">
        <v>2020</v>
      </c>
      <c r="B11" t="s">
        <v>1</v>
      </c>
      <c r="C11" t="s">
        <v>646</v>
      </c>
      <c r="D11">
        <v>89</v>
      </c>
      <c r="E11">
        <v>57.5</v>
      </c>
      <c r="F11">
        <v>215</v>
      </c>
      <c r="G11" t="s">
        <v>644</v>
      </c>
      <c r="H11" t="s">
        <v>647</v>
      </c>
      <c r="I11" t="s">
        <v>648</v>
      </c>
      <c r="J11" t="s">
        <v>138</v>
      </c>
      <c r="M11" s="15">
        <f t="shared" si="2"/>
        <v>89</v>
      </c>
      <c r="N11" s="15">
        <f t="shared" si="3"/>
        <v>57.5</v>
      </c>
      <c r="O11" s="15">
        <f t="shared" si="4"/>
        <v>215</v>
      </c>
      <c r="Q11">
        <v>89</v>
      </c>
      <c r="R11">
        <v>57.5</v>
      </c>
      <c r="S11">
        <v>215</v>
      </c>
    </row>
    <row r="12" spans="1:19" x14ac:dyDescent="0.25">
      <c r="A12">
        <v>2020</v>
      </c>
      <c r="B12" t="s">
        <v>1</v>
      </c>
      <c r="C12" t="s">
        <v>646</v>
      </c>
      <c r="D12">
        <v>99</v>
      </c>
      <c r="E12">
        <v>60</v>
      </c>
      <c r="F12">
        <v>218</v>
      </c>
      <c r="G12" t="s">
        <v>644</v>
      </c>
      <c r="H12" t="s">
        <v>647</v>
      </c>
      <c r="I12" t="s">
        <v>648</v>
      </c>
      <c r="J12" t="s">
        <v>139</v>
      </c>
      <c r="M12" s="15">
        <f t="shared" si="2"/>
        <v>99</v>
      </c>
      <c r="N12" s="15">
        <f t="shared" si="3"/>
        <v>60</v>
      </c>
      <c r="O12" s="15">
        <f t="shared" si="4"/>
        <v>218</v>
      </c>
      <c r="Q12">
        <v>99</v>
      </c>
      <c r="R12">
        <v>60</v>
      </c>
      <c r="S12">
        <v>218</v>
      </c>
    </row>
    <row r="13" spans="1:19" x14ac:dyDescent="0.25">
      <c r="A13" s="14">
        <v>2020</v>
      </c>
      <c r="B13" s="14" t="s">
        <v>1</v>
      </c>
      <c r="C13" s="14" t="s">
        <v>650</v>
      </c>
      <c r="D13" s="14">
        <v>85</v>
      </c>
      <c r="E13" s="14">
        <v>58.5</v>
      </c>
      <c r="F13" s="14">
        <v>229</v>
      </c>
      <c r="G13" s="14" t="s">
        <v>649</v>
      </c>
      <c r="H13" s="14" t="s">
        <v>651</v>
      </c>
      <c r="I13" s="14" t="s">
        <v>160</v>
      </c>
      <c r="J13" s="14" t="s">
        <v>158</v>
      </c>
      <c r="K13" s="14"/>
      <c r="L13" s="14"/>
      <c r="M13" s="15">
        <f t="shared" si="2"/>
        <v>85</v>
      </c>
      <c r="N13" s="15">
        <f t="shared" si="3"/>
        <v>58.5</v>
      </c>
      <c r="O13" s="15">
        <f t="shared" si="4"/>
        <v>229</v>
      </c>
      <c r="Q13">
        <v>85</v>
      </c>
      <c r="R13">
        <v>58.5</v>
      </c>
      <c r="S13">
        <v>229</v>
      </c>
    </row>
    <row r="14" spans="1:19" x14ac:dyDescent="0.25">
      <c r="A14" s="14">
        <v>2020</v>
      </c>
      <c r="B14" s="14" t="s">
        <v>1</v>
      </c>
      <c r="C14" s="14" t="s">
        <v>650</v>
      </c>
      <c r="D14" s="14">
        <v>95</v>
      </c>
      <c r="E14" s="14">
        <v>61</v>
      </c>
      <c r="F14" s="14">
        <v>230</v>
      </c>
      <c r="G14" s="14" t="s">
        <v>649</v>
      </c>
      <c r="H14" s="14" t="s">
        <v>651</v>
      </c>
      <c r="I14" s="14" t="s">
        <v>162</v>
      </c>
      <c r="J14" s="14" t="s">
        <v>138</v>
      </c>
      <c r="K14" s="14"/>
      <c r="L14" s="14"/>
      <c r="M14" s="15">
        <f t="shared" si="2"/>
        <v>95</v>
      </c>
      <c r="N14" s="15">
        <f t="shared" si="3"/>
        <v>61</v>
      </c>
      <c r="O14" s="15">
        <f t="shared" si="4"/>
        <v>230</v>
      </c>
      <c r="Q14">
        <v>95</v>
      </c>
      <c r="R14">
        <v>61</v>
      </c>
      <c r="S14">
        <v>230</v>
      </c>
    </row>
    <row r="15" spans="1:19" x14ac:dyDescent="0.25">
      <c r="A15" s="14">
        <v>2020</v>
      </c>
      <c r="B15" s="14" t="s">
        <v>1</v>
      </c>
      <c r="C15" s="14" t="s">
        <v>650</v>
      </c>
      <c r="D15" s="14">
        <v>105</v>
      </c>
      <c r="E15" s="14">
        <v>63</v>
      </c>
      <c r="F15" s="14">
        <v>231</v>
      </c>
      <c r="G15" s="14" t="s">
        <v>652</v>
      </c>
      <c r="H15" s="14" t="s">
        <v>651</v>
      </c>
      <c r="I15" s="14" t="s">
        <v>653</v>
      </c>
      <c r="J15" s="14" t="s">
        <v>163</v>
      </c>
      <c r="K15" s="14"/>
      <c r="L15" s="14"/>
      <c r="M15" s="15">
        <f t="shared" si="2"/>
        <v>105</v>
      </c>
      <c r="N15" s="15">
        <f t="shared" si="3"/>
        <v>63</v>
      </c>
      <c r="O15" s="15">
        <f t="shared" si="4"/>
        <v>231</v>
      </c>
      <c r="Q15">
        <v>105</v>
      </c>
      <c r="R15">
        <v>63</v>
      </c>
      <c r="S15">
        <v>231</v>
      </c>
    </row>
    <row r="16" spans="1:19" x14ac:dyDescent="0.25">
      <c r="A16" s="14">
        <v>2020</v>
      </c>
      <c r="B16" s="14" t="s">
        <v>1</v>
      </c>
      <c r="C16" s="14" t="s">
        <v>650</v>
      </c>
      <c r="D16" s="14">
        <v>115</v>
      </c>
      <c r="E16" s="14">
        <v>65</v>
      </c>
      <c r="F16" s="14">
        <v>232</v>
      </c>
      <c r="G16" s="14" t="s">
        <v>153</v>
      </c>
      <c r="H16" s="14" t="s">
        <v>651</v>
      </c>
      <c r="I16" s="14" t="s">
        <v>654</v>
      </c>
      <c r="J16" s="14" t="s">
        <v>166</v>
      </c>
      <c r="K16" s="14"/>
      <c r="L16" s="14"/>
      <c r="M16" s="15">
        <f t="shared" si="2"/>
        <v>115</v>
      </c>
      <c r="N16" s="15">
        <f t="shared" si="3"/>
        <v>65</v>
      </c>
      <c r="O16" s="15">
        <f t="shared" si="4"/>
        <v>232</v>
      </c>
      <c r="Q16">
        <v>115</v>
      </c>
      <c r="R16">
        <v>65</v>
      </c>
      <c r="S16">
        <v>232</v>
      </c>
    </row>
    <row r="17" spans="1:19" x14ac:dyDescent="0.25">
      <c r="A17">
        <v>2020</v>
      </c>
      <c r="B17" t="s">
        <v>1</v>
      </c>
      <c r="C17" t="s">
        <v>655</v>
      </c>
      <c r="D17">
        <v>75</v>
      </c>
      <c r="E17">
        <v>56</v>
      </c>
      <c r="F17">
        <v>228</v>
      </c>
      <c r="G17" t="s">
        <v>644</v>
      </c>
      <c r="H17" t="s">
        <v>651</v>
      </c>
      <c r="I17" t="s">
        <v>157</v>
      </c>
      <c r="J17" t="s">
        <v>135</v>
      </c>
      <c r="M17" s="15">
        <f t="shared" si="2"/>
        <v>75</v>
      </c>
      <c r="N17" s="15">
        <f t="shared" si="3"/>
        <v>56</v>
      </c>
      <c r="O17" s="15">
        <f t="shared" si="4"/>
        <v>228</v>
      </c>
      <c r="Q17">
        <v>75</v>
      </c>
      <c r="R17">
        <v>56</v>
      </c>
      <c r="S17">
        <v>228</v>
      </c>
    </row>
    <row r="18" spans="1:19" x14ac:dyDescent="0.25">
      <c r="A18">
        <v>2020</v>
      </c>
      <c r="B18" t="s">
        <v>1</v>
      </c>
      <c r="C18" t="s">
        <v>655</v>
      </c>
      <c r="D18">
        <v>85</v>
      </c>
      <c r="E18">
        <v>58.5</v>
      </c>
      <c r="F18">
        <v>229</v>
      </c>
      <c r="G18" t="s">
        <v>644</v>
      </c>
      <c r="H18" t="s">
        <v>651</v>
      </c>
      <c r="I18" t="s">
        <v>160</v>
      </c>
      <c r="J18" t="s">
        <v>158</v>
      </c>
      <c r="M18" s="15">
        <f t="shared" si="2"/>
        <v>85</v>
      </c>
      <c r="N18" s="15">
        <f t="shared" si="3"/>
        <v>58.5</v>
      </c>
      <c r="O18" s="15">
        <f t="shared" si="4"/>
        <v>229</v>
      </c>
      <c r="Q18">
        <v>85</v>
      </c>
      <c r="R18">
        <v>58.5</v>
      </c>
      <c r="S18">
        <v>229</v>
      </c>
    </row>
    <row r="19" spans="1:19" x14ac:dyDescent="0.25">
      <c r="A19">
        <v>2020</v>
      </c>
      <c r="B19" t="s">
        <v>1</v>
      </c>
      <c r="C19" t="s">
        <v>655</v>
      </c>
      <c r="D19">
        <v>95</v>
      </c>
      <c r="E19">
        <v>61</v>
      </c>
      <c r="F19">
        <v>230</v>
      </c>
      <c r="G19" t="s">
        <v>644</v>
      </c>
      <c r="H19" t="s">
        <v>651</v>
      </c>
      <c r="I19" t="s">
        <v>162</v>
      </c>
      <c r="J19" t="s">
        <v>138</v>
      </c>
      <c r="M19" s="15">
        <f t="shared" si="2"/>
        <v>95</v>
      </c>
      <c r="N19" s="15">
        <f t="shared" si="3"/>
        <v>61</v>
      </c>
      <c r="O19" s="15">
        <f t="shared" si="4"/>
        <v>230</v>
      </c>
      <c r="Q19">
        <v>95</v>
      </c>
      <c r="R19">
        <v>61</v>
      </c>
      <c r="S19">
        <v>230</v>
      </c>
    </row>
    <row r="20" spans="1:19" x14ac:dyDescent="0.25">
      <c r="A20">
        <v>2020</v>
      </c>
      <c r="B20" t="s">
        <v>1</v>
      </c>
      <c r="C20" t="s">
        <v>655</v>
      </c>
      <c r="D20">
        <v>105</v>
      </c>
      <c r="E20">
        <v>63</v>
      </c>
      <c r="F20">
        <v>231</v>
      </c>
      <c r="G20" t="s">
        <v>644</v>
      </c>
      <c r="H20" t="s">
        <v>651</v>
      </c>
      <c r="I20" t="s">
        <v>653</v>
      </c>
      <c r="J20" t="s">
        <v>163</v>
      </c>
      <c r="M20" s="15">
        <f t="shared" si="2"/>
        <v>105</v>
      </c>
      <c r="N20" s="15">
        <f t="shared" si="3"/>
        <v>63</v>
      </c>
      <c r="O20" s="15">
        <f t="shared" si="4"/>
        <v>231</v>
      </c>
      <c r="Q20">
        <v>105</v>
      </c>
      <c r="R20">
        <v>63</v>
      </c>
      <c r="S20">
        <v>231</v>
      </c>
    </row>
    <row r="21" spans="1:19" x14ac:dyDescent="0.25">
      <c r="A21">
        <v>2020</v>
      </c>
      <c r="B21" t="s">
        <v>1</v>
      </c>
      <c r="C21" t="s">
        <v>655</v>
      </c>
      <c r="D21">
        <v>115</v>
      </c>
      <c r="E21">
        <v>65</v>
      </c>
      <c r="F21">
        <v>232</v>
      </c>
      <c r="G21" t="s">
        <v>644</v>
      </c>
      <c r="H21" t="s">
        <v>651</v>
      </c>
      <c r="I21" t="s">
        <v>654</v>
      </c>
      <c r="J21" t="s">
        <v>166</v>
      </c>
      <c r="M21" s="15">
        <f t="shared" si="2"/>
        <v>115</v>
      </c>
      <c r="N21" s="15">
        <f t="shared" si="3"/>
        <v>65</v>
      </c>
      <c r="O21" s="15">
        <f t="shared" si="4"/>
        <v>232</v>
      </c>
      <c r="Q21">
        <v>115</v>
      </c>
      <c r="R21">
        <v>65</v>
      </c>
      <c r="S21">
        <v>232</v>
      </c>
    </row>
    <row r="22" spans="1:19" x14ac:dyDescent="0.25">
      <c r="A22" s="14">
        <v>2020</v>
      </c>
      <c r="B22" s="14" t="s">
        <v>1</v>
      </c>
      <c r="C22" s="14" t="s">
        <v>72</v>
      </c>
      <c r="D22" s="14">
        <v>75</v>
      </c>
      <c r="E22" s="14">
        <v>56</v>
      </c>
      <c r="F22" s="14">
        <v>228</v>
      </c>
      <c r="G22" s="14" t="s">
        <v>709</v>
      </c>
      <c r="H22" s="14" t="s">
        <v>651</v>
      </c>
      <c r="I22" s="14" t="s">
        <v>656</v>
      </c>
      <c r="J22" s="14" t="s">
        <v>135</v>
      </c>
      <c r="K22" s="14"/>
      <c r="L22" s="14"/>
      <c r="M22" s="15">
        <f t="shared" si="2"/>
        <v>75</v>
      </c>
      <c r="N22" s="15">
        <f t="shared" si="3"/>
        <v>56</v>
      </c>
      <c r="O22" s="15">
        <f t="shared" si="4"/>
        <v>228</v>
      </c>
      <c r="Q22">
        <v>75</v>
      </c>
      <c r="R22">
        <v>56</v>
      </c>
      <c r="S22">
        <v>228</v>
      </c>
    </row>
    <row r="23" spans="1:19" x14ac:dyDescent="0.25">
      <c r="A23" s="14">
        <v>2020</v>
      </c>
      <c r="B23" s="14" t="s">
        <v>1</v>
      </c>
      <c r="C23" s="14" t="s">
        <v>72</v>
      </c>
      <c r="D23" s="14">
        <v>85</v>
      </c>
      <c r="E23" s="14">
        <v>58.5</v>
      </c>
      <c r="F23" s="14">
        <v>229</v>
      </c>
      <c r="G23" s="14" t="s">
        <v>709</v>
      </c>
      <c r="H23" s="14" t="s">
        <v>651</v>
      </c>
      <c r="I23" s="14" t="s">
        <v>658</v>
      </c>
      <c r="J23" s="14" t="s">
        <v>158</v>
      </c>
      <c r="K23" s="14"/>
      <c r="L23" s="14"/>
      <c r="M23" s="15">
        <f t="shared" si="2"/>
        <v>85</v>
      </c>
      <c r="N23" s="15">
        <f t="shared" si="3"/>
        <v>58.5</v>
      </c>
      <c r="O23" s="15">
        <f t="shared" si="4"/>
        <v>229</v>
      </c>
      <c r="Q23">
        <v>85</v>
      </c>
      <c r="R23">
        <v>58.5</v>
      </c>
      <c r="S23">
        <v>229</v>
      </c>
    </row>
    <row r="24" spans="1:19" x14ac:dyDescent="0.25">
      <c r="A24" s="14">
        <v>2020</v>
      </c>
      <c r="B24" s="14" t="s">
        <v>1</v>
      </c>
      <c r="C24" s="14" t="s">
        <v>72</v>
      </c>
      <c r="D24" s="14">
        <v>95</v>
      </c>
      <c r="E24" s="14">
        <v>61</v>
      </c>
      <c r="F24" s="14">
        <v>230</v>
      </c>
      <c r="G24" s="14" t="s">
        <v>709</v>
      </c>
      <c r="H24" s="14" t="s">
        <v>651</v>
      </c>
      <c r="I24" s="14" t="s">
        <v>660</v>
      </c>
      <c r="J24" s="14" t="s">
        <v>138</v>
      </c>
      <c r="K24" s="14"/>
      <c r="L24" s="14"/>
      <c r="M24" s="15">
        <f t="shared" si="2"/>
        <v>95</v>
      </c>
      <c r="N24" s="15">
        <f t="shared" si="3"/>
        <v>61</v>
      </c>
      <c r="O24" s="15">
        <f t="shared" si="4"/>
        <v>230</v>
      </c>
      <c r="Q24">
        <v>95</v>
      </c>
      <c r="R24">
        <v>61</v>
      </c>
      <c r="S24">
        <v>230</v>
      </c>
    </row>
    <row r="25" spans="1:19" x14ac:dyDescent="0.25">
      <c r="A25" s="14">
        <v>2020</v>
      </c>
      <c r="B25" s="14" t="s">
        <v>1</v>
      </c>
      <c r="C25" s="14" t="s">
        <v>72</v>
      </c>
      <c r="D25" s="14">
        <v>105</v>
      </c>
      <c r="E25" s="14">
        <v>63</v>
      </c>
      <c r="F25" s="14">
        <v>231</v>
      </c>
      <c r="G25" s="14" t="s">
        <v>709</v>
      </c>
      <c r="H25" s="14" t="s">
        <v>651</v>
      </c>
      <c r="I25" s="14" t="s">
        <v>661</v>
      </c>
      <c r="J25" s="14" t="s">
        <v>163</v>
      </c>
      <c r="K25" s="14"/>
      <c r="L25" s="14"/>
      <c r="M25" s="15">
        <f t="shared" si="2"/>
        <v>105</v>
      </c>
      <c r="N25" s="15">
        <f t="shared" si="3"/>
        <v>63</v>
      </c>
      <c r="O25" s="15">
        <f t="shared" si="4"/>
        <v>231</v>
      </c>
      <c r="Q25">
        <v>105</v>
      </c>
      <c r="R25">
        <v>63</v>
      </c>
      <c r="S25">
        <v>231</v>
      </c>
    </row>
    <row r="26" spans="1:19" x14ac:dyDescent="0.25">
      <c r="A26">
        <v>2020</v>
      </c>
      <c r="B26" t="s">
        <v>1</v>
      </c>
      <c r="C26" t="s">
        <v>664</v>
      </c>
      <c r="D26">
        <v>85</v>
      </c>
      <c r="E26">
        <v>60</v>
      </c>
      <c r="F26">
        <v>225</v>
      </c>
      <c r="G26" t="s">
        <v>644</v>
      </c>
      <c r="H26" t="s">
        <v>179</v>
      </c>
      <c r="I26" t="s">
        <v>662</v>
      </c>
      <c r="J26" t="s">
        <v>133</v>
      </c>
      <c r="M26" s="15">
        <f t="shared" si="2"/>
        <v>85</v>
      </c>
      <c r="N26" s="15">
        <f t="shared" si="3"/>
        <v>60</v>
      </c>
      <c r="O26" s="15">
        <f t="shared" si="4"/>
        <v>225</v>
      </c>
      <c r="Q26">
        <v>85</v>
      </c>
      <c r="R26">
        <v>60</v>
      </c>
      <c r="S26">
        <v>225</v>
      </c>
    </row>
    <row r="27" spans="1:19" x14ac:dyDescent="0.25">
      <c r="A27">
        <v>2020</v>
      </c>
      <c r="B27" t="s">
        <v>1</v>
      </c>
      <c r="C27" t="s">
        <v>664</v>
      </c>
      <c r="D27">
        <v>92</v>
      </c>
      <c r="E27">
        <v>62</v>
      </c>
      <c r="F27">
        <v>220</v>
      </c>
      <c r="G27" t="s">
        <v>644</v>
      </c>
      <c r="H27" t="s">
        <v>179</v>
      </c>
      <c r="I27" t="s">
        <v>663</v>
      </c>
      <c r="J27" t="s">
        <v>183</v>
      </c>
      <c r="M27" s="15">
        <f t="shared" si="2"/>
        <v>92</v>
      </c>
      <c r="N27" s="15">
        <f t="shared" si="3"/>
        <v>62</v>
      </c>
      <c r="O27" s="15">
        <f t="shared" si="4"/>
        <v>220</v>
      </c>
      <c r="Q27">
        <v>92</v>
      </c>
      <c r="R27">
        <v>62</v>
      </c>
      <c r="S27">
        <v>220</v>
      </c>
    </row>
    <row r="28" spans="1:19" x14ac:dyDescent="0.25">
      <c r="A28">
        <v>2020</v>
      </c>
      <c r="B28" t="s">
        <v>1</v>
      </c>
      <c r="C28" t="s">
        <v>664</v>
      </c>
      <c r="D28">
        <v>99</v>
      </c>
      <c r="E28">
        <v>65</v>
      </c>
      <c r="F28">
        <v>225</v>
      </c>
      <c r="G28" t="s">
        <v>644</v>
      </c>
      <c r="H28" t="s">
        <v>179</v>
      </c>
      <c r="I28" t="s">
        <v>665</v>
      </c>
      <c r="J28" t="s">
        <v>138</v>
      </c>
      <c r="M28" s="15">
        <f t="shared" si="2"/>
        <v>99</v>
      </c>
      <c r="N28" s="15">
        <f t="shared" si="3"/>
        <v>65</v>
      </c>
      <c r="O28" s="15">
        <f t="shared" si="4"/>
        <v>225</v>
      </c>
      <c r="Q28">
        <v>99</v>
      </c>
      <c r="R28">
        <v>65</v>
      </c>
      <c r="S28">
        <v>225</v>
      </c>
    </row>
    <row r="29" spans="1:19" x14ac:dyDescent="0.25">
      <c r="A29">
        <v>2020</v>
      </c>
      <c r="B29" t="s">
        <v>1</v>
      </c>
      <c r="C29" t="s">
        <v>664</v>
      </c>
      <c r="D29">
        <v>108</v>
      </c>
      <c r="E29">
        <v>66.5</v>
      </c>
      <c r="F29">
        <v>226</v>
      </c>
      <c r="G29" t="s">
        <v>644</v>
      </c>
      <c r="H29" t="s">
        <v>179</v>
      </c>
      <c r="I29" t="s">
        <v>666</v>
      </c>
      <c r="J29" t="s">
        <v>188</v>
      </c>
      <c r="M29" s="15">
        <f t="shared" si="2"/>
        <v>108</v>
      </c>
      <c r="N29" s="15">
        <f t="shared" si="3"/>
        <v>66.5</v>
      </c>
      <c r="O29" s="15">
        <f t="shared" si="4"/>
        <v>226</v>
      </c>
      <c r="Q29">
        <v>108</v>
      </c>
      <c r="R29">
        <v>66.5</v>
      </c>
      <c r="S29">
        <v>226</v>
      </c>
    </row>
    <row r="30" spans="1:19" x14ac:dyDescent="0.25">
      <c r="A30" s="14">
        <v>2020</v>
      </c>
      <c r="B30" s="14" t="s">
        <v>1</v>
      </c>
      <c r="C30" s="14" t="s">
        <v>667</v>
      </c>
      <c r="D30" s="14">
        <v>100</v>
      </c>
      <c r="E30" s="14">
        <v>62</v>
      </c>
      <c r="F30" s="14">
        <v>231</v>
      </c>
      <c r="G30" s="14" t="s">
        <v>709</v>
      </c>
      <c r="H30" s="14" t="s">
        <v>283</v>
      </c>
      <c r="I30" s="14" t="s">
        <v>190</v>
      </c>
      <c r="J30" s="14" t="s">
        <v>233</v>
      </c>
      <c r="K30" s="14"/>
      <c r="L30" s="14"/>
      <c r="M30" s="15">
        <f t="shared" si="2"/>
        <v>100</v>
      </c>
      <c r="N30" s="15">
        <f t="shared" si="3"/>
        <v>62</v>
      </c>
      <c r="O30" s="15">
        <f t="shared" si="4"/>
        <v>231</v>
      </c>
      <c r="Q30">
        <v>100</v>
      </c>
      <c r="R30">
        <v>62</v>
      </c>
      <c r="S30">
        <v>231</v>
      </c>
    </row>
    <row r="31" spans="1:19" x14ac:dyDescent="0.25">
      <c r="A31" s="14">
        <v>2020</v>
      </c>
      <c r="B31" s="14" t="s">
        <v>1</v>
      </c>
      <c r="C31" s="14" t="s">
        <v>667</v>
      </c>
      <c r="D31" s="14">
        <v>115</v>
      </c>
      <c r="E31" s="14">
        <v>66</v>
      </c>
      <c r="F31" s="14">
        <v>232</v>
      </c>
      <c r="G31" s="14" t="s">
        <v>709</v>
      </c>
      <c r="H31" s="14" t="s">
        <v>283</v>
      </c>
      <c r="I31" s="14" t="s">
        <v>195</v>
      </c>
      <c r="J31" s="14" t="s">
        <v>235</v>
      </c>
      <c r="K31" s="14"/>
      <c r="L31" s="14"/>
      <c r="M31" s="15">
        <f t="shared" si="2"/>
        <v>115</v>
      </c>
      <c r="N31" s="15">
        <f t="shared" si="3"/>
        <v>66</v>
      </c>
      <c r="O31" s="15">
        <f t="shared" si="4"/>
        <v>232</v>
      </c>
      <c r="Q31">
        <v>115</v>
      </c>
      <c r="R31">
        <v>66</v>
      </c>
      <c r="S31">
        <v>232</v>
      </c>
    </row>
    <row r="32" spans="1:19" x14ac:dyDescent="0.25">
      <c r="A32" s="14">
        <v>2020</v>
      </c>
      <c r="B32" s="14" t="s">
        <v>1</v>
      </c>
      <c r="C32" s="14" t="s">
        <v>667</v>
      </c>
      <c r="D32" s="14">
        <v>130</v>
      </c>
      <c r="E32" s="14">
        <v>70</v>
      </c>
      <c r="F32" s="14">
        <v>233</v>
      </c>
      <c r="G32" s="14" t="s">
        <v>709</v>
      </c>
      <c r="H32" s="14" t="s">
        <v>153</v>
      </c>
      <c r="I32" s="14" t="s">
        <v>201</v>
      </c>
      <c r="J32" s="14" t="s">
        <v>199</v>
      </c>
      <c r="K32" s="14"/>
      <c r="L32" s="14"/>
      <c r="M32" s="15">
        <f t="shared" si="2"/>
        <v>130</v>
      </c>
      <c r="N32" s="15">
        <f t="shared" si="3"/>
        <v>70</v>
      </c>
      <c r="O32" s="15">
        <f t="shared" si="4"/>
        <v>233</v>
      </c>
      <c r="Q32">
        <v>130</v>
      </c>
      <c r="R32">
        <v>70</v>
      </c>
      <c r="S32">
        <v>233</v>
      </c>
    </row>
    <row r="33" spans="1:19" x14ac:dyDescent="0.25">
      <c r="A33" s="14">
        <v>2020</v>
      </c>
      <c r="B33" s="14" t="s">
        <v>1</v>
      </c>
      <c r="C33" s="14" t="s">
        <v>667</v>
      </c>
      <c r="D33" s="14">
        <v>145</v>
      </c>
      <c r="E33" s="14">
        <v>77</v>
      </c>
      <c r="F33" s="14">
        <v>235</v>
      </c>
      <c r="G33" s="14" t="s">
        <v>709</v>
      </c>
      <c r="H33" s="14" t="s">
        <v>153</v>
      </c>
      <c r="I33" s="14" t="s">
        <v>209</v>
      </c>
      <c r="J33" s="14" t="s">
        <v>238</v>
      </c>
      <c r="K33" s="14"/>
      <c r="L33" s="14"/>
      <c r="M33" s="15">
        <f t="shared" si="2"/>
        <v>145</v>
      </c>
      <c r="N33" s="15">
        <f t="shared" si="3"/>
        <v>77</v>
      </c>
      <c r="O33" s="15">
        <f t="shared" si="4"/>
        <v>235</v>
      </c>
      <c r="Q33">
        <v>145</v>
      </c>
      <c r="R33">
        <v>77</v>
      </c>
      <c r="S33">
        <v>235</v>
      </c>
    </row>
    <row r="34" spans="1:19" x14ac:dyDescent="0.25">
      <c r="A34">
        <v>2020</v>
      </c>
      <c r="B34" t="s">
        <v>1</v>
      </c>
      <c r="C34" t="s">
        <v>670</v>
      </c>
      <c r="D34">
        <v>100</v>
      </c>
      <c r="E34">
        <v>62</v>
      </c>
      <c r="F34">
        <v>231</v>
      </c>
      <c r="G34" t="s">
        <v>592</v>
      </c>
      <c r="H34" t="s">
        <v>283</v>
      </c>
      <c r="I34" t="s">
        <v>668</v>
      </c>
      <c r="J34" t="s">
        <v>233</v>
      </c>
      <c r="M34" s="15">
        <f t="shared" si="2"/>
        <v>100</v>
      </c>
      <c r="N34" s="15">
        <f t="shared" si="3"/>
        <v>62</v>
      </c>
      <c r="O34" s="15">
        <f t="shared" si="4"/>
        <v>231</v>
      </c>
      <c r="Q34">
        <v>100</v>
      </c>
      <c r="R34">
        <v>62</v>
      </c>
      <c r="S34">
        <v>231</v>
      </c>
    </row>
    <row r="35" spans="1:19" x14ac:dyDescent="0.25">
      <c r="A35">
        <v>2020</v>
      </c>
      <c r="B35" t="s">
        <v>1</v>
      </c>
      <c r="C35" t="s">
        <v>670</v>
      </c>
      <c r="D35">
        <v>115</v>
      </c>
      <c r="E35">
        <v>66</v>
      </c>
      <c r="F35">
        <v>232</v>
      </c>
      <c r="G35" t="s">
        <v>592</v>
      </c>
      <c r="H35" t="s">
        <v>283</v>
      </c>
      <c r="I35" t="s">
        <v>669</v>
      </c>
      <c r="J35" t="s">
        <v>235</v>
      </c>
      <c r="M35" s="15">
        <f t="shared" si="2"/>
        <v>115</v>
      </c>
      <c r="N35" s="15">
        <f t="shared" si="3"/>
        <v>66</v>
      </c>
      <c r="O35" s="15">
        <f t="shared" si="4"/>
        <v>232</v>
      </c>
      <c r="Q35">
        <v>115</v>
      </c>
      <c r="R35">
        <v>66</v>
      </c>
      <c r="S35">
        <v>232</v>
      </c>
    </row>
    <row r="36" spans="1:19" x14ac:dyDescent="0.25">
      <c r="A36">
        <v>2020</v>
      </c>
      <c r="B36" t="s">
        <v>1</v>
      </c>
      <c r="C36" t="s">
        <v>670</v>
      </c>
      <c r="D36">
        <v>130</v>
      </c>
      <c r="E36">
        <v>70</v>
      </c>
      <c r="F36">
        <v>233</v>
      </c>
      <c r="G36" t="s">
        <v>592</v>
      </c>
      <c r="H36" t="s">
        <v>283</v>
      </c>
      <c r="I36" t="s">
        <v>671</v>
      </c>
      <c r="J36" t="s">
        <v>199</v>
      </c>
      <c r="M36" s="15">
        <f t="shared" si="2"/>
        <v>130</v>
      </c>
      <c r="N36" s="15">
        <f t="shared" si="3"/>
        <v>70</v>
      </c>
      <c r="O36" s="15">
        <f t="shared" si="4"/>
        <v>233</v>
      </c>
      <c r="Q36">
        <v>130</v>
      </c>
      <c r="R36">
        <v>70</v>
      </c>
      <c r="S36">
        <v>233</v>
      </c>
    </row>
    <row r="37" spans="1:19" x14ac:dyDescent="0.25">
      <c r="A37">
        <v>2020</v>
      </c>
      <c r="B37" t="s">
        <v>1</v>
      </c>
      <c r="C37" t="s">
        <v>670</v>
      </c>
      <c r="D37">
        <v>145</v>
      </c>
      <c r="E37">
        <v>77</v>
      </c>
      <c r="F37">
        <v>235</v>
      </c>
      <c r="G37" t="s">
        <v>592</v>
      </c>
      <c r="H37" t="s">
        <v>283</v>
      </c>
      <c r="I37" t="s">
        <v>672</v>
      </c>
      <c r="J37" t="s">
        <v>238</v>
      </c>
      <c r="M37" s="15">
        <f t="shared" si="2"/>
        <v>145</v>
      </c>
      <c r="N37" s="15">
        <f t="shared" si="3"/>
        <v>77</v>
      </c>
      <c r="O37" s="15">
        <f t="shared" si="4"/>
        <v>235</v>
      </c>
      <c r="Q37">
        <v>145</v>
      </c>
      <c r="R37">
        <v>77</v>
      </c>
      <c r="S37">
        <v>235</v>
      </c>
    </row>
    <row r="38" spans="1:19" x14ac:dyDescent="0.25">
      <c r="A38" s="14">
        <v>2020</v>
      </c>
      <c r="B38" s="14" t="s">
        <v>1</v>
      </c>
      <c r="C38" s="14" t="s">
        <v>673</v>
      </c>
      <c r="D38" s="14">
        <v>100</v>
      </c>
      <c r="E38" s="14">
        <v>66</v>
      </c>
      <c r="F38" s="14">
        <v>239</v>
      </c>
      <c r="G38" s="14" t="s">
        <v>709</v>
      </c>
      <c r="H38" s="14" t="s">
        <v>179</v>
      </c>
      <c r="I38" s="14" t="s">
        <v>192</v>
      </c>
      <c r="J38" s="14" t="s">
        <v>193</v>
      </c>
      <c r="K38" s="14"/>
      <c r="L38" s="14"/>
      <c r="M38" s="15">
        <f t="shared" si="2"/>
        <v>100</v>
      </c>
      <c r="N38" s="15">
        <f t="shared" si="3"/>
        <v>66</v>
      </c>
      <c r="O38" s="15">
        <f t="shared" si="4"/>
        <v>239</v>
      </c>
      <c r="Q38">
        <v>100</v>
      </c>
      <c r="R38">
        <v>66</v>
      </c>
      <c r="S38">
        <v>239</v>
      </c>
    </row>
    <row r="39" spans="1:19" x14ac:dyDescent="0.25">
      <c r="A39" s="14">
        <v>2020</v>
      </c>
      <c r="B39" s="14" t="s">
        <v>1</v>
      </c>
      <c r="C39" s="14" t="s">
        <v>673</v>
      </c>
      <c r="D39" s="14">
        <v>110</v>
      </c>
      <c r="E39" s="14">
        <v>72</v>
      </c>
      <c r="F39" s="14">
        <v>239</v>
      </c>
      <c r="G39" s="14" t="s">
        <v>709</v>
      </c>
      <c r="H39" s="14" t="s">
        <v>179</v>
      </c>
      <c r="I39" s="14" t="s">
        <v>195</v>
      </c>
      <c r="J39" s="14" t="s">
        <v>196</v>
      </c>
      <c r="K39" s="14"/>
      <c r="L39" s="14"/>
      <c r="M39" s="15">
        <f t="shared" si="2"/>
        <v>110</v>
      </c>
      <c r="N39" s="15">
        <f t="shared" si="3"/>
        <v>72</v>
      </c>
      <c r="O39" s="15">
        <f t="shared" si="4"/>
        <v>239</v>
      </c>
      <c r="Q39">
        <v>110</v>
      </c>
      <c r="R39">
        <v>72</v>
      </c>
      <c r="S39">
        <v>239</v>
      </c>
    </row>
    <row r="40" spans="1:19" x14ac:dyDescent="0.25">
      <c r="A40" s="14">
        <v>2020</v>
      </c>
      <c r="B40" s="14" t="s">
        <v>1</v>
      </c>
      <c r="C40" s="14" t="s">
        <v>673</v>
      </c>
      <c r="D40" s="14">
        <v>122</v>
      </c>
      <c r="E40" s="14">
        <v>77</v>
      </c>
      <c r="F40" s="14">
        <v>242</v>
      </c>
      <c r="G40" s="14" t="s">
        <v>709</v>
      </c>
      <c r="H40" s="14" t="s">
        <v>179</v>
      </c>
      <c r="I40" s="14" t="s">
        <v>198</v>
      </c>
      <c r="J40" s="14" t="s">
        <v>199</v>
      </c>
      <c r="K40" s="14"/>
      <c r="L40" s="14"/>
      <c r="M40" s="15">
        <f t="shared" si="2"/>
        <v>122</v>
      </c>
      <c r="N40" s="15">
        <f t="shared" si="3"/>
        <v>77</v>
      </c>
      <c r="O40" s="15">
        <f t="shared" si="4"/>
        <v>242</v>
      </c>
      <c r="Q40">
        <v>122</v>
      </c>
      <c r="R40">
        <v>77</v>
      </c>
      <c r="S40">
        <v>242</v>
      </c>
    </row>
    <row r="41" spans="1:19" x14ac:dyDescent="0.25">
      <c r="A41" s="14">
        <v>2020</v>
      </c>
      <c r="B41" s="14" t="s">
        <v>1</v>
      </c>
      <c r="C41" s="14" t="s">
        <v>673</v>
      </c>
      <c r="D41" s="14">
        <v>135</v>
      </c>
      <c r="E41" s="14">
        <v>79</v>
      </c>
      <c r="F41" s="14">
        <v>246</v>
      </c>
      <c r="G41" s="14" t="s">
        <v>709</v>
      </c>
      <c r="H41" s="14" t="s">
        <v>179</v>
      </c>
      <c r="I41" s="14" t="s">
        <v>201</v>
      </c>
      <c r="J41" s="14" t="s">
        <v>202</v>
      </c>
      <c r="K41" s="14"/>
      <c r="L41" s="14"/>
      <c r="M41" s="15">
        <f t="shared" si="2"/>
        <v>135</v>
      </c>
      <c r="N41" s="15">
        <f t="shared" si="3"/>
        <v>79</v>
      </c>
      <c r="O41" s="15">
        <f t="shared" si="4"/>
        <v>246</v>
      </c>
      <c r="Q41">
        <v>135</v>
      </c>
      <c r="R41">
        <v>79</v>
      </c>
      <c r="S41">
        <v>246</v>
      </c>
    </row>
    <row r="42" spans="1:19" x14ac:dyDescent="0.25">
      <c r="A42" s="14">
        <v>2020</v>
      </c>
      <c r="B42" s="14" t="s">
        <v>1</v>
      </c>
      <c r="C42" s="14" t="s">
        <v>673</v>
      </c>
      <c r="D42" s="14">
        <v>148</v>
      </c>
      <c r="E42" s="14">
        <v>83</v>
      </c>
      <c r="F42" s="14">
        <v>250</v>
      </c>
      <c r="G42" s="14" t="s">
        <v>709</v>
      </c>
      <c r="H42" s="14" t="s">
        <v>179</v>
      </c>
      <c r="I42" s="14" t="s">
        <v>204</v>
      </c>
      <c r="J42" s="14" t="s">
        <v>205</v>
      </c>
      <c r="K42" s="14"/>
      <c r="L42" s="14"/>
      <c r="M42" s="15">
        <f t="shared" si="2"/>
        <v>148</v>
      </c>
      <c r="N42" s="15">
        <f t="shared" si="3"/>
        <v>83</v>
      </c>
      <c r="O42" s="15">
        <f t="shared" si="4"/>
        <v>250</v>
      </c>
      <c r="Q42">
        <v>148</v>
      </c>
      <c r="R42">
        <v>83</v>
      </c>
      <c r="S42">
        <v>250</v>
      </c>
    </row>
    <row r="43" spans="1:19" x14ac:dyDescent="0.25">
      <c r="A43">
        <v>2020</v>
      </c>
      <c r="B43" t="s">
        <v>1</v>
      </c>
      <c r="C43" t="s">
        <v>674</v>
      </c>
      <c r="D43">
        <v>110</v>
      </c>
      <c r="E43">
        <v>72</v>
      </c>
      <c r="F43">
        <v>239</v>
      </c>
      <c r="G43" t="s">
        <v>708</v>
      </c>
      <c r="H43" t="s">
        <v>179</v>
      </c>
      <c r="I43" t="s">
        <v>195</v>
      </c>
      <c r="J43" t="s">
        <v>196</v>
      </c>
      <c r="M43" s="15">
        <f t="shared" si="2"/>
        <v>110</v>
      </c>
      <c r="N43" s="15">
        <f t="shared" si="3"/>
        <v>72</v>
      </c>
      <c r="O43" s="15">
        <f t="shared" si="4"/>
        <v>239</v>
      </c>
      <c r="Q43">
        <v>110</v>
      </c>
      <c r="R43">
        <v>72</v>
      </c>
      <c r="S43">
        <v>239</v>
      </c>
    </row>
    <row r="44" spans="1:19" x14ac:dyDescent="0.25">
      <c r="A44">
        <v>2020</v>
      </c>
      <c r="B44" t="s">
        <v>1</v>
      </c>
      <c r="C44" t="s">
        <v>674</v>
      </c>
      <c r="D44">
        <v>122</v>
      </c>
      <c r="E44">
        <v>77</v>
      </c>
      <c r="F44">
        <v>242</v>
      </c>
      <c r="G44" t="s">
        <v>708</v>
      </c>
      <c r="H44" t="s">
        <v>179</v>
      </c>
      <c r="I44" t="s">
        <v>198</v>
      </c>
      <c r="J44" t="s">
        <v>199</v>
      </c>
      <c r="M44" s="15">
        <f t="shared" si="2"/>
        <v>122</v>
      </c>
      <c r="N44" s="15">
        <f t="shared" si="3"/>
        <v>77</v>
      </c>
      <c r="O44" s="15">
        <f t="shared" si="4"/>
        <v>242</v>
      </c>
      <c r="Q44">
        <v>122</v>
      </c>
      <c r="R44">
        <v>77</v>
      </c>
      <c r="S44">
        <v>242</v>
      </c>
    </row>
    <row r="45" spans="1:19" x14ac:dyDescent="0.25">
      <c r="A45">
        <v>2020</v>
      </c>
      <c r="B45" t="s">
        <v>1</v>
      </c>
      <c r="C45" t="s">
        <v>674</v>
      </c>
      <c r="D45">
        <v>135</v>
      </c>
      <c r="E45">
        <v>79</v>
      </c>
      <c r="F45">
        <v>246</v>
      </c>
      <c r="G45" t="s">
        <v>708</v>
      </c>
      <c r="H45" t="s">
        <v>179</v>
      </c>
      <c r="I45" t="s">
        <v>201</v>
      </c>
      <c r="J45" t="s">
        <v>202</v>
      </c>
      <c r="M45" s="15">
        <f t="shared" si="2"/>
        <v>135</v>
      </c>
      <c r="N45" s="15">
        <f t="shared" si="3"/>
        <v>79</v>
      </c>
      <c r="O45" s="15">
        <f t="shared" si="4"/>
        <v>246</v>
      </c>
      <c r="Q45">
        <v>135</v>
      </c>
      <c r="R45">
        <v>79</v>
      </c>
      <c r="S45">
        <v>246</v>
      </c>
    </row>
    <row r="46" spans="1:19" x14ac:dyDescent="0.25">
      <c r="A46" s="14">
        <v>2020</v>
      </c>
      <c r="B46" s="14" t="s">
        <v>1</v>
      </c>
      <c r="C46" s="14" t="s">
        <v>677</v>
      </c>
      <c r="D46" s="14">
        <v>100</v>
      </c>
      <c r="E46" s="14">
        <v>66</v>
      </c>
      <c r="F46" s="14">
        <v>239</v>
      </c>
      <c r="G46" s="14" t="s">
        <v>592</v>
      </c>
      <c r="H46" s="14" t="s">
        <v>179</v>
      </c>
      <c r="I46" s="14" t="s">
        <v>675</v>
      </c>
      <c r="J46" s="14" t="s">
        <v>193</v>
      </c>
      <c r="K46" s="14"/>
      <c r="L46" s="14"/>
      <c r="M46" s="15">
        <f t="shared" si="2"/>
        <v>100</v>
      </c>
      <c r="N46" s="15">
        <f t="shared" si="3"/>
        <v>66</v>
      </c>
      <c r="O46" s="15">
        <f t="shared" si="4"/>
        <v>239</v>
      </c>
      <c r="Q46">
        <v>100</v>
      </c>
      <c r="R46">
        <v>66</v>
      </c>
      <c r="S46">
        <v>239</v>
      </c>
    </row>
    <row r="47" spans="1:19" x14ac:dyDescent="0.25">
      <c r="A47" s="14">
        <v>2020</v>
      </c>
      <c r="B47" s="14" t="s">
        <v>1</v>
      </c>
      <c r="C47" s="14" t="s">
        <v>677</v>
      </c>
      <c r="D47" s="14">
        <v>110</v>
      </c>
      <c r="E47" s="14">
        <v>72</v>
      </c>
      <c r="F47" s="14">
        <v>239</v>
      </c>
      <c r="G47" s="14" t="s">
        <v>592</v>
      </c>
      <c r="H47" s="14" t="s">
        <v>179</v>
      </c>
      <c r="I47" s="14" t="s">
        <v>669</v>
      </c>
      <c r="J47" s="14" t="s">
        <v>196</v>
      </c>
      <c r="K47" s="14"/>
      <c r="L47" s="14"/>
      <c r="M47" s="15">
        <f t="shared" si="2"/>
        <v>110</v>
      </c>
      <c r="N47" s="15">
        <f t="shared" si="3"/>
        <v>72</v>
      </c>
      <c r="O47" s="15">
        <f t="shared" si="4"/>
        <v>239</v>
      </c>
      <c r="Q47">
        <v>110</v>
      </c>
      <c r="R47">
        <v>72</v>
      </c>
      <c r="S47">
        <v>239</v>
      </c>
    </row>
    <row r="48" spans="1:19" x14ac:dyDescent="0.25">
      <c r="A48" s="14">
        <v>2020</v>
      </c>
      <c r="B48" s="14" t="s">
        <v>1</v>
      </c>
      <c r="C48" s="14" t="s">
        <v>677</v>
      </c>
      <c r="D48" s="14">
        <v>122</v>
      </c>
      <c r="E48" s="14">
        <v>77</v>
      </c>
      <c r="F48" s="14">
        <v>242</v>
      </c>
      <c r="G48" s="14" t="s">
        <v>592</v>
      </c>
      <c r="H48" s="14" t="s">
        <v>179</v>
      </c>
      <c r="I48" s="14" t="s">
        <v>676</v>
      </c>
      <c r="J48" s="14" t="s">
        <v>199</v>
      </c>
      <c r="K48" s="14"/>
      <c r="L48" s="14"/>
      <c r="M48" s="15">
        <f t="shared" si="2"/>
        <v>122</v>
      </c>
      <c r="N48" s="15">
        <f t="shared" si="3"/>
        <v>77</v>
      </c>
      <c r="O48" s="15">
        <f t="shared" si="4"/>
        <v>242</v>
      </c>
      <c r="Q48">
        <v>122</v>
      </c>
      <c r="R48">
        <v>77</v>
      </c>
      <c r="S48">
        <v>242</v>
      </c>
    </row>
    <row r="49" spans="1:19" x14ac:dyDescent="0.25">
      <c r="A49" s="14">
        <v>2020</v>
      </c>
      <c r="B49" s="14" t="s">
        <v>1</v>
      </c>
      <c r="C49" s="14" t="s">
        <v>677</v>
      </c>
      <c r="D49" s="14">
        <v>135</v>
      </c>
      <c r="E49" s="14">
        <v>79</v>
      </c>
      <c r="F49" s="14">
        <v>246</v>
      </c>
      <c r="G49" s="14" t="s">
        <v>592</v>
      </c>
      <c r="H49" s="14" t="s">
        <v>179</v>
      </c>
      <c r="I49" s="14" t="s">
        <v>671</v>
      </c>
      <c r="J49" s="14" t="s">
        <v>202</v>
      </c>
      <c r="K49" s="14"/>
      <c r="L49" s="14"/>
      <c r="M49" s="15">
        <f t="shared" si="2"/>
        <v>135</v>
      </c>
      <c r="N49" s="15">
        <f t="shared" si="3"/>
        <v>79</v>
      </c>
      <c r="O49" s="15">
        <f t="shared" si="4"/>
        <v>246</v>
      </c>
      <c r="Q49">
        <v>135</v>
      </c>
      <c r="R49">
        <v>79</v>
      </c>
      <c r="S49">
        <v>246</v>
      </c>
    </row>
    <row r="50" spans="1:19" x14ac:dyDescent="0.25">
      <c r="A50" s="14">
        <v>2020</v>
      </c>
      <c r="B50" s="14" t="s">
        <v>1</v>
      </c>
      <c r="C50" s="14" t="s">
        <v>677</v>
      </c>
      <c r="D50" s="14">
        <v>148</v>
      </c>
      <c r="E50" s="14">
        <v>83</v>
      </c>
      <c r="F50" s="14">
        <v>250</v>
      </c>
      <c r="G50" s="14" t="s">
        <v>592</v>
      </c>
      <c r="H50" s="14" t="s">
        <v>179</v>
      </c>
      <c r="I50" s="14" t="s">
        <v>678</v>
      </c>
      <c r="J50" s="14" t="s">
        <v>205</v>
      </c>
      <c r="K50" s="14"/>
      <c r="L50" s="14"/>
      <c r="M50" s="15">
        <f t="shared" si="2"/>
        <v>148</v>
      </c>
      <c r="N50" s="15">
        <f t="shared" si="3"/>
        <v>83</v>
      </c>
      <c r="O50" s="15">
        <f t="shared" si="4"/>
        <v>250</v>
      </c>
      <c r="Q50">
        <v>148</v>
      </c>
      <c r="R50">
        <v>83</v>
      </c>
      <c r="S50">
        <v>250</v>
      </c>
    </row>
    <row r="51" spans="1:19" x14ac:dyDescent="0.25">
      <c r="A51" s="14">
        <v>2020</v>
      </c>
      <c r="B51" s="14" t="s">
        <v>1</v>
      </c>
      <c r="C51" s="14" t="s">
        <v>677</v>
      </c>
      <c r="D51" s="14">
        <v>156</v>
      </c>
      <c r="E51" s="14">
        <v>85</v>
      </c>
      <c r="F51" s="14">
        <v>252</v>
      </c>
      <c r="G51" s="14" t="s">
        <v>592</v>
      </c>
      <c r="H51" s="14" t="s">
        <v>179</v>
      </c>
      <c r="I51" s="14" t="s">
        <v>679</v>
      </c>
      <c r="J51" s="14" t="s">
        <v>227</v>
      </c>
      <c r="K51" s="14"/>
      <c r="L51" s="14"/>
      <c r="M51" s="15">
        <f t="shared" si="2"/>
        <v>156</v>
      </c>
      <c r="N51" s="15">
        <f t="shared" si="3"/>
        <v>85</v>
      </c>
      <c r="O51" s="15">
        <f t="shared" si="4"/>
        <v>252</v>
      </c>
      <c r="Q51">
        <v>156</v>
      </c>
      <c r="R51">
        <v>85</v>
      </c>
      <c r="S51">
        <v>252</v>
      </c>
    </row>
    <row r="52" spans="1:19" x14ac:dyDescent="0.25">
      <c r="A52" s="14">
        <v>2020</v>
      </c>
      <c r="B52" s="14" t="s">
        <v>1</v>
      </c>
      <c r="C52" s="14" t="s">
        <v>677</v>
      </c>
      <c r="D52" s="14">
        <v>156</v>
      </c>
      <c r="E52" s="14">
        <v>85</v>
      </c>
      <c r="F52" s="14">
        <v>252</v>
      </c>
      <c r="G52" s="14" t="s">
        <v>680</v>
      </c>
      <c r="H52" s="14" t="s">
        <v>179</v>
      </c>
      <c r="I52" s="14" t="s">
        <v>681</v>
      </c>
      <c r="J52" s="14" t="s">
        <v>227</v>
      </c>
      <c r="K52" s="14"/>
      <c r="L52" s="14"/>
      <c r="M52" s="15">
        <f t="shared" si="2"/>
        <v>156</v>
      </c>
      <c r="N52" s="15">
        <f t="shared" si="3"/>
        <v>85</v>
      </c>
      <c r="O52" s="15">
        <f t="shared" si="4"/>
        <v>252</v>
      </c>
      <c r="Q52">
        <v>156</v>
      </c>
      <c r="R52">
        <v>85</v>
      </c>
      <c r="S52">
        <v>252</v>
      </c>
    </row>
    <row r="53" spans="1:19" x14ac:dyDescent="0.25">
      <c r="A53">
        <v>2020</v>
      </c>
      <c r="B53" t="s">
        <v>1</v>
      </c>
      <c r="C53" t="s">
        <v>682</v>
      </c>
      <c r="D53">
        <v>135</v>
      </c>
      <c r="E53">
        <v>79</v>
      </c>
      <c r="F53">
        <v>246</v>
      </c>
      <c r="G53" t="s">
        <v>640</v>
      </c>
      <c r="H53" t="s">
        <v>283</v>
      </c>
      <c r="I53" t="s">
        <v>209</v>
      </c>
      <c r="J53" t="s">
        <v>202</v>
      </c>
      <c r="M53" s="15">
        <f t="shared" si="2"/>
        <v>135</v>
      </c>
      <c r="N53" s="15">
        <f t="shared" si="3"/>
        <v>79</v>
      </c>
      <c r="O53" s="15">
        <f t="shared" si="4"/>
        <v>246</v>
      </c>
      <c r="Q53">
        <v>135</v>
      </c>
      <c r="R53">
        <v>79</v>
      </c>
      <c r="S53">
        <v>246</v>
      </c>
    </row>
    <row r="54" spans="1:19" x14ac:dyDescent="0.25">
      <c r="A54">
        <v>2020</v>
      </c>
      <c r="B54" t="s">
        <v>1</v>
      </c>
      <c r="C54" t="s">
        <v>683</v>
      </c>
      <c r="D54">
        <v>135</v>
      </c>
      <c r="E54">
        <v>79</v>
      </c>
      <c r="F54">
        <v>246</v>
      </c>
      <c r="G54" t="s">
        <v>592</v>
      </c>
      <c r="H54" t="s">
        <v>283</v>
      </c>
      <c r="I54" t="s">
        <v>672</v>
      </c>
      <c r="J54" t="s">
        <v>202</v>
      </c>
      <c r="M54" s="15">
        <f t="shared" si="2"/>
        <v>135</v>
      </c>
      <c r="N54" s="15">
        <f t="shared" si="3"/>
        <v>79</v>
      </c>
      <c r="O54" s="15">
        <f t="shared" si="4"/>
        <v>246</v>
      </c>
      <c r="Q54">
        <v>135</v>
      </c>
      <c r="R54">
        <v>79</v>
      </c>
      <c r="S54">
        <v>246</v>
      </c>
    </row>
    <row r="55" spans="1:19" x14ac:dyDescent="0.25">
      <c r="A55">
        <v>2020</v>
      </c>
      <c r="B55" t="s">
        <v>1</v>
      </c>
      <c r="C55" t="s">
        <v>687</v>
      </c>
      <c r="D55">
        <v>94</v>
      </c>
      <c r="E55">
        <v>61</v>
      </c>
      <c r="F55">
        <v>235</v>
      </c>
      <c r="G55" t="s">
        <v>709</v>
      </c>
      <c r="H55" t="s">
        <v>684</v>
      </c>
      <c r="I55" t="s">
        <v>685</v>
      </c>
      <c r="J55" t="s">
        <v>247</v>
      </c>
      <c r="M55" s="15">
        <f t="shared" si="2"/>
        <v>94</v>
      </c>
      <c r="N55" s="15">
        <f t="shared" si="3"/>
        <v>61</v>
      </c>
      <c r="O55" s="15">
        <f t="shared" si="4"/>
        <v>235</v>
      </c>
      <c r="Q55">
        <v>94</v>
      </c>
      <c r="R55">
        <v>61</v>
      </c>
      <c r="S55">
        <v>235</v>
      </c>
    </row>
    <row r="56" spans="1:19" x14ac:dyDescent="0.25">
      <c r="A56">
        <v>2020</v>
      </c>
      <c r="B56" t="s">
        <v>1</v>
      </c>
      <c r="C56" t="s">
        <v>687</v>
      </c>
      <c r="D56">
        <v>108</v>
      </c>
      <c r="E56">
        <v>69</v>
      </c>
      <c r="F56">
        <v>235</v>
      </c>
      <c r="G56" t="s">
        <v>709</v>
      </c>
      <c r="H56" t="s">
        <v>283</v>
      </c>
      <c r="I56" t="s">
        <v>686</v>
      </c>
      <c r="J56" t="s">
        <v>196</v>
      </c>
      <c r="M56" s="15">
        <f t="shared" si="2"/>
        <v>108</v>
      </c>
      <c r="N56" s="15">
        <f t="shared" si="3"/>
        <v>69</v>
      </c>
      <c r="O56" s="15">
        <f t="shared" si="4"/>
        <v>235</v>
      </c>
      <c r="Q56">
        <v>108</v>
      </c>
      <c r="R56">
        <v>69</v>
      </c>
      <c r="S56">
        <v>235</v>
      </c>
    </row>
    <row r="57" spans="1:19" x14ac:dyDescent="0.25">
      <c r="A57">
        <v>2020</v>
      </c>
      <c r="B57" t="s">
        <v>1</v>
      </c>
      <c r="C57" t="s">
        <v>687</v>
      </c>
      <c r="D57">
        <v>125</v>
      </c>
      <c r="E57">
        <v>75</v>
      </c>
      <c r="F57">
        <v>235</v>
      </c>
      <c r="G57" t="s">
        <v>709</v>
      </c>
      <c r="H57" t="s">
        <v>283</v>
      </c>
      <c r="I57" t="s">
        <v>688</v>
      </c>
      <c r="J57" t="s">
        <v>252</v>
      </c>
      <c r="M57" s="15">
        <f t="shared" si="2"/>
        <v>125</v>
      </c>
      <c r="N57" s="15">
        <f t="shared" si="3"/>
        <v>75</v>
      </c>
      <c r="O57" s="15">
        <f t="shared" si="4"/>
        <v>235</v>
      </c>
      <c r="Q57">
        <v>125</v>
      </c>
      <c r="R57">
        <v>75</v>
      </c>
      <c r="S57">
        <v>235</v>
      </c>
    </row>
    <row r="58" spans="1:19" x14ac:dyDescent="0.25">
      <c r="A58">
        <v>2020</v>
      </c>
      <c r="B58" t="s">
        <v>1</v>
      </c>
      <c r="C58" t="s">
        <v>687</v>
      </c>
      <c r="D58">
        <v>135</v>
      </c>
      <c r="E58">
        <v>82</v>
      </c>
      <c r="F58">
        <v>235</v>
      </c>
      <c r="G58" t="s">
        <v>709</v>
      </c>
      <c r="H58" t="s">
        <v>283</v>
      </c>
      <c r="I58" t="s">
        <v>689</v>
      </c>
      <c r="J58" t="s">
        <v>205</v>
      </c>
      <c r="M58" s="15">
        <f t="shared" si="2"/>
        <v>135</v>
      </c>
      <c r="N58" s="15">
        <f t="shared" si="3"/>
        <v>82</v>
      </c>
      <c r="O58" s="15">
        <f t="shared" si="4"/>
        <v>235</v>
      </c>
      <c r="Q58">
        <v>135</v>
      </c>
      <c r="R58">
        <v>82</v>
      </c>
      <c r="S58">
        <v>235</v>
      </c>
    </row>
    <row r="59" spans="1:19" x14ac:dyDescent="0.25">
      <c r="A59">
        <v>2020</v>
      </c>
      <c r="B59" t="s">
        <v>1</v>
      </c>
      <c r="C59" t="s">
        <v>691</v>
      </c>
      <c r="D59">
        <v>80</v>
      </c>
      <c r="E59">
        <v>56</v>
      </c>
      <c r="F59">
        <v>233</v>
      </c>
      <c r="G59" t="s">
        <v>690</v>
      </c>
      <c r="H59" t="s">
        <v>245</v>
      </c>
      <c r="I59" t="s">
        <v>246</v>
      </c>
      <c r="J59" t="s">
        <v>166</v>
      </c>
      <c r="M59" s="15">
        <f t="shared" si="2"/>
        <v>80</v>
      </c>
      <c r="N59" s="15">
        <f t="shared" si="3"/>
        <v>56</v>
      </c>
      <c r="O59" s="15">
        <f t="shared" si="4"/>
        <v>233</v>
      </c>
      <c r="Q59">
        <v>80</v>
      </c>
      <c r="R59">
        <v>56</v>
      </c>
      <c r="S59">
        <v>233</v>
      </c>
    </row>
    <row r="60" spans="1:19" x14ac:dyDescent="0.25">
      <c r="A60">
        <v>2020</v>
      </c>
      <c r="B60" t="s">
        <v>1</v>
      </c>
      <c r="C60" t="s">
        <v>691</v>
      </c>
      <c r="D60">
        <v>90</v>
      </c>
      <c r="E60">
        <v>60</v>
      </c>
      <c r="F60">
        <v>233</v>
      </c>
      <c r="G60" t="s">
        <v>690</v>
      </c>
      <c r="H60" t="s">
        <v>245</v>
      </c>
      <c r="I60" t="s">
        <v>246</v>
      </c>
      <c r="J60" t="s">
        <v>233</v>
      </c>
      <c r="M60" s="15">
        <f t="shared" si="2"/>
        <v>90</v>
      </c>
      <c r="N60" s="15">
        <f t="shared" si="3"/>
        <v>60</v>
      </c>
      <c r="O60" s="15">
        <f t="shared" si="4"/>
        <v>233</v>
      </c>
      <c r="Q60">
        <v>90</v>
      </c>
      <c r="R60">
        <v>60</v>
      </c>
      <c r="S60">
        <v>233</v>
      </c>
    </row>
    <row r="61" spans="1:19" x14ac:dyDescent="0.25">
      <c r="A61">
        <v>2020</v>
      </c>
      <c r="B61" t="s">
        <v>1</v>
      </c>
      <c r="C61" t="s">
        <v>691</v>
      </c>
      <c r="D61">
        <v>97</v>
      </c>
      <c r="E61">
        <v>62</v>
      </c>
      <c r="F61">
        <v>233</v>
      </c>
      <c r="G61" t="s">
        <v>690</v>
      </c>
      <c r="H61" t="s">
        <v>245</v>
      </c>
      <c r="I61" t="s">
        <v>246</v>
      </c>
      <c r="J61" t="s">
        <v>247</v>
      </c>
      <c r="M61" s="15">
        <f t="shared" si="2"/>
        <v>97</v>
      </c>
      <c r="N61" s="15">
        <f t="shared" si="3"/>
        <v>62</v>
      </c>
      <c r="O61" s="15">
        <f t="shared" si="4"/>
        <v>233</v>
      </c>
      <c r="Q61">
        <v>97</v>
      </c>
      <c r="R61">
        <v>62</v>
      </c>
      <c r="S61">
        <v>233</v>
      </c>
    </row>
    <row r="62" spans="1:19" x14ac:dyDescent="0.25">
      <c r="A62">
        <v>2020</v>
      </c>
      <c r="B62" t="s">
        <v>1</v>
      </c>
      <c r="C62" t="s">
        <v>691</v>
      </c>
      <c r="D62">
        <v>106</v>
      </c>
      <c r="E62">
        <v>68</v>
      </c>
      <c r="F62">
        <v>235</v>
      </c>
      <c r="G62" t="s">
        <v>692</v>
      </c>
      <c r="H62" t="s">
        <v>250</v>
      </c>
      <c r="I62" t="s">
        <v>246</v>
      </c>
      <c r="J62" t="s">
        <v>235</v>
      </c>
      <c r="M62" s="15">
        <f t="shared" si="2"/>
        <v>106</v>
      </c>
      <c r="N62" s="15">
        <f t="shared" si="3"/>
        <v>68</v>
      </c>
      <c r="O62" s="15">
        <f t="shared" si="4"/>
        <v>235</v>
      </c>
      <c r="Q62">
        <v>106</v>
      </c>
      <c r="R62">
        <v>68</v>
      </c>
      <c r="S62">
        <v>235</v>
      </c>
    </row>
    <row r="63" spans="1:19" x14ac:dyDescent="0.25">
      <c r="A63">
        <v>2020</v>
      </c>
      <c r="B63" t="s">
        <v>1</v>
      </c>
      <c r="C63" t="s">
        <v>691</v>
      </c>
      <c r="D63">
        <v>115</v>
      </c>
      <c r="E63">
        <v>71.5</v>
      </c>
      <c r="F63">
        <v>230</v>
      </c>
      <c r="G63" t="s">
        <v>692</v>
      </c>
      <c r="H63" t="s">
        <v>250</v>
      </c>
      <c r="I63" t="s">
        <v>246</v>
      </c>
      <c r="J63" t="s">
        <v>251</v>
      </c>
      <c r="M63" s="15">
        <f t="shared" si="2"/>
        <v>115</v>
      </c>
      <c r="N63" s="15">
        <f t="shared" si="3"/>
        <v>71.5</v>
      </c>
      <c r="O63" s="15">
        <f t="shared" si="4"/>
        <v>230</v>
      </c>
      <c r="Q63">
        <v>115</v>
      </c>
      <c r="R63">
        <v>71.5</v>
      </c>
      <c r="S63">
        <v>230</v>
      </c>
    </row>
    <row r="64" spans="1:19" x14ac:dyDescent="0.25">
      <c r="A64">
        <v>2020</v>
      </c>
      <c r="B64" t="s">
        <v>1</v>
      </c>
      <c r="C64" t="s">
        <v>691</v>
      </c>
      <c r="D64">
        <v>121</v>
      </c>
      <c r="E64">
        <v>75</v>
      </c>
      <c r="F64">
        <v>230</v>
      </c>
      <c r="G64" t="s">
        <v>692</v>
      </c>
      <c r="H64" t="s">
        <v>250</v>
      </c>
      <c r="I64" t="s">
        <v>246</v>
      </c>
      <c r="J64" t="s">
        <v>252</v>
      </c>
      <c r="M64" s="15">
        <f t="shared" si="2"/>
        <v>121</v>
      </c>
      <c r="N64" s="15">
        <f t="shared" si="3"/>
        <v>75</v>
      </c>
      <c r="O64" s="15">
        <f t="shared" si="4"/>
        <v>230</v>
      </c>
      <c r="Q64">
        <v>121</v>
      </c>
      <c r="R64">
        <v>75</v>
      </c>
      <c r="S64">
        <v>230</v>
      </c>
    </row>
    <row r="65" spans="1:19" x14ac:dyDescent="0.25">
      <c r="A65">
        <v>2020</v>
      </c>
      <c r="B65" t="s">
        <v>1</v>
      </c>
      <c r="C65" t="s">
        <v>691</v>
      </c>
      <c r="D65">
        <v>130</v>
      </c>
      <c r="E65">
        <v>80</v>
      </c>
      <c r="F65">
        <v>228</v>
      </c>
      <c r="G65" t="s">
        <v>692</v>
      </c>
      <c r="H65" t="s">
        <v>283</v>
      </c>
      <c r="I65" t="s">
        <v>246</v>
      </c>
      <c r="J65" t="s">
        <v>202</v>
      </c>
      <c r="M65" s="15">
        <f t="shared" si="2"/>
        <v>130</v>
      </c>
      <c r="N65" s="15">
        <f t="shared" si="3"/>
        <v>80</v>
      </c>
      <c r="O65" s="15">
        <f t="shared" si="4"/>
        <v>228</v>
      </c>
      <c r="Q65">
        <v>130</v>
      </c>
      <c r="R65">
        <v>80</v>
      </c>
      <c r="S65">
        <v>228</v>
      </c>
    </row>
    <row r="66" spans="1:19" x14ac:dyDescent="0.25">
      <c r="A66">
        <v>2020</v>
      </c>
      <c r="B66" t="s">
        <v>1</v>
      </c>
      <c r="C66" t="s">
        <v>691</v>
      </c>
      <c r="D66">
        <v>140</v>
      </c>
      <c r="E66">
        <v>85</v>
      </c>
      <c r="F66">
        <v>228</v>
      </c>
      <c r="G66" t="s">
        <v>692</v>
      </c>
      <c r="H66" t="s">
        <v>283</v>
      </c>
      <c r="I66" t="s">
        <v>246</v>
      </c>
      <c r="J66" t="s">
        <v>205</v>
      </c>
      <c r="M66" s="15">
        <f t="shared" si="2"/>
        <v>140</v>
      </c>
      <c r="N66" s="15">
        <f t="shared" si="3"/>
        <v>85</v>
      </c>
      <c r="O66" s="15">
        <f t="shared" si="4"/>
        <v>228</v>
      </c>
      <c r="Q66">
        <v>140</v>
      </c>
      <c r="R66">
        <v>85</v>
      </c>
      <c r="S66">
        <v>228</v>
      </c>
    </row>
    <row r="67" spans="1:19" x14ac:dyDescent="0.25">
      <c r="A67">
        <v>2020</v>
      </c>
      <c r="B67" t="s">
        <v>1</v>
      </c>
      <c r="C67" t="s">
        <v>40</v>
      </c>
      <c r="D67">
        <v>159</v>
      </c>
      <c r="E67">
        <v>90</v>
      </c>
      <c r="F67">
        <v>230</v>
      </c>
      <c r="G67" t="s">
        <v>640</v>
      </c>
      <c r="H67" t="s">
        <v>283</v>
      </c>
      <c r="I67" t="s">
        <v>693</v>
      </c>
      <c r="J67" t="s">
        <v>227</v>
      </c>
      <c r="M67" s="15">
        <f t="shared" ref="M67:M84" si="5">_xlfn.REGEXREPLACE(D67,"[^0-9.]","")+0</f>
        <v>159</v>
      </c>
      <c r="N67" s="15">
        <f t="shared" ref="N67:N84" si="6">_xlfn.REGEXREPLACE(E67,"[^0-9.]","")+0</f>
        <v>90</v>
      </c>
      <c r="O67" s="15">
        <f t="shared" ref="O67:O84" si="7">_xlfn.REGEXREPLACE(F67,"[^0-9.]","")+0</f>
        <v>230</v>
      </c>
      <c r="Q67">
        <v>159</v>
      </c>
      <c r="R67">
        <v>90</v>
      </c>
      <c r="S67">
        <v>230</v>
      </c>
    </row>
    <row r="68" spans="1:19" x14ac:dyDescent="0.25">
      <c r="A68">
        <v>2020</v>
      </c>
      <c r="B68" t="s">
        <v>1</v>
      </c>
      <c r="C68" t="s">
        <v>694</v>
      </c>
      <c r="D68">
        <v>54</v>
      </c>
      <c r="E68">
        <v>44</v>
      </c>
      <c r="F68">
        <v>230</v>
      </c>
      <c r="G68" t="s">
        <v>690</v>
      </c>
      <c r="H68" t="s">
        <v>245</v>
      </c>
      <c r="I68" t="s">
        <v>246</v>
      </c>
      <c r="J68" t="s">
        <v>139</v>
      </c>
      <c r="M68" s="15">
        <f t="shared" si="5"/>
        <v>54</v>
      </c>
      <c r="N68" s="15">
        <f t="shared" si="6"/>
        <v>44</v>
      </c>
      <c r="O68" s="15">
        <f t="shared" si="7"/>
        <v>230</v>
      </c>
      <c r="Q68">
        <v>54</v>
      </c>
      <c r="R68">
        <v>44</v>
      </c>
      <c r="S68">
        <v>230</v>
      </c>
    </row>
    <row r="69" spans="1:19" x14ac:dyDescent="0.25">
      <c r="A69">
        <v>2020</v>
      </c>
      <c r="B69" t="s">
        <v>1</v>
      </c>
      <c r="C69" t="s">
        <v>694</v>
      </c>
      <c r="D69">
        <v>70</v>
      </c>
      <c r="E69">
        <v>52.5</v>
      </c>
      <c r="F69">
        <v>230</v>
      </c>
      <c r="G69" t="s">
        <v>690</v>
      </c>
      <c r="H69" t="s">
        <v>245</v>
      </c>
      <c r="I69" t="s">
        <v>246</v>
      </c>
      <c r="J69" t="s">
        <v>257</v>
      </c>
      <c r="M69" s="15">
        <f t="shared" si="5"/>
        <v>70</v>
      </c>
      <c r="N69" s="15">
        <f t="shared" si="6"/>
        <v>52.5</v>
      </c>
      <c r="O69" s="15">
        <f t="shared" si="7"/>
        <v>230</v>
      </c>
      <c r="Q69">
        <v>70</v>
      </c>
      <c r="R69">
        <v>52.5</v>
      </c>
      <c r="S69">
        <v>230</v>
      </c>
    </row>
    <row r="70" spans="1:19" x14ac:dyDescent="0.25">
      <c r="A70">
        <v>2020</v>
      </c>
      <c r="B70" t="s">
        <v>1</v>
      </c>
      <c r="C70" t="s">
        <v>695</v>
      </c>
      <c r="D70">
        <v>110</v>
      </c>
      <c r="E70">
        <v>65</v>
      </c>
      <c r="F70">
        <v>215</v>
      </c>
      <c r="G70" t="s">
        <v>657</v>
      </c>
      <c r="H70" t="s">
        <v>696</v>
      </c>
      <c r="I70" t="s">
        <v>246</v>
      </c>
      <c r="J70" t="s">
        <v>193</v>
      </c>
      <c r="M70" s="15">
        <f t="shared" si="5"/>
        <v>110</v>
      </c>
      <c r="N70" s="15">
        <f t="shared" si="6"/>
        <v>65</v>
      </c>
      <c r="O70" s="15">
        <f t="shared" si="7"/>
        <v>215</v>
      </c>
      <c r="Q70">
        <v>110</v>
      </c>
      <c r="R70">
        <v>65</v>
      </c>
      <c r="S70">
        <v>215</v>
      </c>
    </row>
    <row r="71" spans="1:19" x14ac:dyDescent="0.25">
      <c r="A71">
        <v>2020</v>
      </c>
      <c r="B71" t="s">
        <v>1</v>
      </c>
      <c r="C71" t="s">
        <v>695</v>
      </c>
      <c r="D71">
        <v>125</v>
      </c>
      <c r="E71">
        <v>75</v>
      </c>
      <c r="F71">
        <v>228</v>
      </c>
      <c r="G71" t="s">
        <v>659</v>
      </c>
      <c r="H71" t="s">
        <v>696</v>
      </c>
      <c r="I71" t="s">
        <v>246</v>
      </c>
      <c r="J71" t="s">
        <v>199</v>
      </c>
      <c r="M71" s="15">
        <f t="shared" si="5"/>
        <v>125</v>
      </c>
      <c r="N71" s="15">
        <f t="shared" si="6"/>
        <v>75</v>
      </c>
      <c r="O71" s="15">
        <f t="shared" si="7"/>
        <v>228</v>
      </c>
      <c r="Q71">
        <v>125</v>
      </c>
      <c r="R71">
        <v>75</v>
      </c>
      <c r="S71">
        <v>228</v>
      </c>
    </row>
    <row r="72" spans="1:19" x14ac:dyDescent="0.25">
      <c r="A72">
        <v>2020</v>
      </c>
      <c r="B72" t="s">
        <v>1</v>
      </c>
      <c r="C72" t="s">
        <v>695</v>
      </c>
      <c r="D72">
        <v>140</v>
      </c>
      <c r="E72">
        <v>85</v>
      </c>
      <c r="F72">
        <v>228</v>
      </c>
      <c r="G72" t="s">
        <v>659</v>
      </c>
      <c r="H72" t="s">
        <v>696</v>
      </c>
      <c r="I72" t="s">
        <v>246</v>
      </c>
      <c r="J72" t="s">
        <v>238</v>
      </c>
      <c r="M72" s="15">
        <f t="shared" si="5"/>
        <v>140</v>
      </c>
      <c r="N72" s="15">
        <f t="shared" si="6"/>
        <v>85</v>
      </c>
      <c r="O72" s="15">
        <f t="shared" si="7"/>
        <v>228</v>
      </c>
      <c r="Q72">
        <v>140</v>
      </c>
      <c r="R72">
        <v>85</v>
      </c>
      <c r="S72">
        <v>228</v>
      </c>
    </row>
    <row r="73" spans="1:19" x14ac:dyDescent="0.25">
      <c r="A73">
        <v>2020</v>
      </c>
      <c r="B73" t="s">
        <v>1</v>
      </c>
      <c r="C73" t="s">
        <v>697</v>
      </c>
      <c r="D73">
        <v>125</v>
      </c>
      <c r="E73">
        <v>75</v>
      </c>
      <c r="F73">
        <v>228</v>
      </c>
      <c r="G73" t="s">
        <v>592</v>
      </c>
      <c r="H73" t="s">
        <v>696</v>
      </c>
      <c r="I73" t="s">
        <v>246</v>
      </c>
      <c r="J73" t="s">
        <v>199</v>
      </c>
      <c r="M73" s="15">
        <f t="shared" si="5"/>
        <v>125</v>
      </c>
      <c r="N73" s="15">
        <f t="shared" si="6"/>
        <v>75</v>
      </c>
      <c r="O73" s="15">
        <f t="shared" si="7"/>
        <v>228</v>
      </c>
      <c r="Q73">
        <v>125</v>
      </c>
      <c r="R73">
        <v>75</v>
      </c>
      <c r="S73">
        <v>228</v>
      </c>
    </row>
    <row r="74" spans="1:19" x14ac:dyDescent="0.25">
      <c r="A74">
        <v>2020</v>
      </c>
      <c r="B74" t="s">
        <v>1</v>
      </c>
      <c r="C74" t="s">
        <v>697</v>
      </c>
      <c r="D74">
        <v>140</v>
      </c>
      <c r="E74">
        <v>85</v>
      </c>
      <c r="F74">
        <v>228</v>
      </c>
      <c r="G74" t="s">
        <v>592</v>
      </c>
      <c r="H74" t="s">
        <v>696</v>
      </c>
      <c r="I74" t="s">
        <v>246</v>
      </c>
      <c r="J74" t="s">
        <v>238</v>
      </c>
      <c r="M74" s="15">
        <f t="shared" si="5"/>
        <v>140</v>
      </c>
      <c r="N74" s="15">
        <f t="shared" si="6"/>
        <v>85</v>
      </c>
      <c r="O74" s="15">
        <f t="shared" si="7"/>
        <v>228</v>
      </c>
      <c r="Q74">
        <v>140</v>
      </c>
      <c r="R74">
        <v>85</v>
      </c>
      <c r="S74">
        <v>228</v>
      </c>
    </row>
    <row r="75" spans="1:19" x14ac:dyDescent="0.25">
      <c r="A75">
        <v>2020</v>
      </c>
      <c r="B75" t="s">
        <v>1</v>
      </c>
      <c r="C75" t="s">
        <v>698</v>
      </c>
      <c r="D75">
        <v>180</v>
      </c>
      <c r="E75">
        <v>91</v>
      </c>
      <c r="F75">
        <v>230</v>
      </c>
      <c r="G75" t="s">
        <v>690</v>
      </c>
      <c r="H75" t="s">
        <v>283</v>
      </c>
      <c r="I75" t="s">
        <v>246</v>
      </c>
      <c r="J75" t="s">
        <v>227</v>
      </c>
      <c r="M75" s="15">
        <f t="shared" si="5"/>
        <v>180</v>
      </c>
      <c r="N75" s="15">
        <f t="shared" si="6"/>
        <v>91</v>
      </c>
      <c r="O75" s="15">
        <f t="shared" si="7"/>
        <v>230</v>
      </c>
      <c r="Q75">
        <v>180</v>
      </c>
      <c r="R75">
        <v>91</v>
      </c>
      <c r="S75">
        <v>230</v>
      </c>
    </row>
    <row r="76" spans="1:19" x14ac:dyDescent="0.25">
      <c r="A76">
        <v>2020</v>
      </c>
      <c r="B76" t="s">
        <v>1</v>
      </c>
      <c r="C76" t="s">
        <v>113</v>
      </c>
      <c r="D76">
        <v>160</v>
      </c>
      <c r="E76">
        <v>75</v>
      </c>
      <c r="F76">
        <v>275</v>
      </c>
      <c r="G76" t="s">
        <v>699</v>
      </c>
      <c r="H76" t="s">
        <v>179</v>
      </c>
      <c r="I76" t="s">
        <v>681</v>
      </c>
      <c r="J76" t="s">
        <v>205</v>
      </c>
      <c r="M76" s="15">
        <f t="shared" si="5"/>
        <v>160</v>
      </c>
      <c r="N76" s="15">
        <f t="shared" si="6"/>
        <v>75</v>
      </c>
      <c r="O76" s="15">
        <f t="shared" si="7"/>
        <v>275</v>
      </c>
      <c r="Q76">
        <v>160</v>
      </c>
      <c r="R76">
        <v>75</v>
      </c>
      <c r="S76">
        <v>275</v>
      </c>
    </row>
    <row r="77" spans="1:19" x14ac:dyDescent="0.25">
      <c r="A77">
        <v>2020</v>
      </c>
      <c r="B77" t="s">
        <v>1</v>
      </c>
      <c r="C77" t="s">
        <v>113</v>
      </c>
      <c r="D77">
        <v>190</v>
      </c>
      <c r="E77">
        <v>80</v>
      </c>
      <c r="F77">
        <v>280</v>
      </c>
      <c r="G77" t="s">
        <v>699</v>
      </c>
      <c r="H77" t="s">
        <v>179</v>
      </c>
      <c r="I77" t="s">
        <v>681</v>
      </c>
      <c r="J77" t="s">
        <v>205</v>
      </c>
      <c r="M77" s="15">
        <f t="shared" si="5"/>
        <v>190</v>
      </c>
      <c r="N77" s="15">
        <f t="shared" si="6"/>
        <v>80</v>
      </c>
      <c r="O77" s="15">
        <f t="shared" si="7"/>
        <v>280</v>
      </c>
      <c r="Q77">
        <v>190</v>
      </c>
      <c r="R77">
        <v>80</v>
      </c>
      <c r="S77">
        <v>280</v>
      </c>
    </row>
    <row r="78" spans="1:19" x14ac:dyDescent="0.25">
      <c r="A78">
        <v>2020</v>
      </c>
      <c r="B78" t="s">
        <v>1</v>
      </c>
      <c r="C78" t="s">
        <v>113</v>
      </c>
      <c r="D78">
        <v>220</v>
      </c>
      <c r="E78">
        <v>85</v>
      </c>
      <c r="F78">
        <v>285</v>
      </c>
      <c r="G78" t="s">
        <v>699</v>
      </c>
      <c r="H78" t="s">
        <v>179</v>
      </c>
      <c r="I78" t="s">
        <v>681</v>
      </c>
      <c r="J78" t="s">
        <v>205</v>
      </c>
      <c r="M78" s="15">
        <f t="shared" si="5"/>
        <v>220</v>
      </c>
      <c r="N78" s="15">
        <f t="shared" si="6"/>
        <v>85</v>
      </c>
      <c r="O78" s="15">
        <f t="shared" si="7"/>
        <v>285</v>
      </c>
      <c r="Q78">
        <v>220</v>
      </c>
      <c r="R78">
        <v>85</v>
      </c>
      <c r="S78">
        <v>285</v>
      </c>
    </row>
    <row r="79" spans="1:19" x14ac:dyDescent="0.25">
      <c r="A79">
        <v>2020</v>
      </c>
      <c r="B79" t="s">
        <v>1</v>
      </c>
      <c r="C79" t="s">
        <v>113</v>
      </c>
      <c r="D79">
        <v>240</v>
      </c>
      <c r="E79">
        <v>91</v>
      </c>
      <c r="F79">
        <v>290</v>
      </c>
      <c r="G79" t="s">
        <v>699</v>
      </c>
      <c r="H79" t="s">
        <v>179</v>
      </c>
      <c r="I79" t="s">
        <v>681</v>
      </c>
      <c r="J79" t="s">
        <v>205</v>
      </c>
      <c r="M79" s="15">
        <f t="shared" si="5"/>
        <v>240</v>
      </c>
      <c r="N79" s="15">
        <f t="shared" si="6"/>
        <v>91</v>
      </c>
      <c r="O79" s="15">
        <f t="shared" si="7"/>
        <v>290</v>
      </c>
      <c r="Q79">
        <v>240</v>
      </c>
      <c r="R79">
        <v>91</v>
      </c>
      <c r="S79">
        <v>290</v>
      </c>
    </row>
    <row r="80" spans="1:19" x14ac:dyDescent="0.25">
      <c r="A80">
        <v>2020</v>
      </c>
      <c r="B80" t="s">
        <v>1</v>
      </c>
      <c r="C80" t="s">
        <v>700</v>
      </c>
      <c r="D80">
        <v>112</v>
      </c>
      <c r="E80">
        <v>73</v>
      </c>
      <c r="F80">
        <v>239</v>
      </c>
      <c r="G80" t="s">
        <v>699</v>
      </c>
      <c r="H80" t="s">
        <v>179</v>
      </c>
      <c r="I80" t="s">
        <v>701</v>
      </c>
      <c r="J80" t="s">
        <v>193</v>
      </c>
      <c r="M80" s="15">
        <f t="shared" si="5"/>
        <v>112</v>
      </c>
      <c r="N80" s="15">
        <f t="shared" si="6"/>
        <v>73</v>
      </c>
      <c r="O80" s="15">
        <f t="shared" si="7"/>
        <v>239</v>
      </c>
      <c r="Q80">
        <v>112</v>
      </c>
      <c r="R80">
        <v>73</v>
      </c>
      <c r="S80">
        <v>239</v>
      </c>
    </row>
    <row r="81" spans="1:19" x14ac:dyDescent="0.25">
      <c r="A81">
        <v>2020</v>
      </c>
      <c r="B81" t="s">
        <v>1</v>
      </c>
      <c r="C81" t="s">
        <v>702</v>
      </c>
      <c r="D81">
        <v>355</v>
      </c>
      <c r="E81">
        <v>85.1</v>
      </c>
      <c r="F81">
        <v>335.3</v>
      </c>
      <c r="G81" t="s">
        <v>426</v>
      </c>
      <c r="H81" t="s">
        <v>269</v>
      </c>
      <c r="I81" t="s">
        <v>703</v>
      </c>
      <c r="J81" t="s">
        <v>704</v>
      </c>
      <c r="M81" s="15">
        <f t="shared" si="5"/>
        <v>355</v>
      </c>
      <c r="N81" s="15">
        <f t="shared" si="6"/>
        <v>85.1</v>
      </c>
      <c r="O81" s="15">
        <f t="shared" si="7"/>
        <v>335.3</v>
      </c>
      <c r="Q81">
        <v>355</v>
      </c>
      <c r="R81">
        <v>85.1</v>
      </c>
      <c r="S81">
        <v>335.3</v>
      </c>
    </row>
    <row r="82" spans="1:19" x14ac:dyDescent="0.25">
      <c r="A82">
        <v>2020</v>
      </c>
      <c r="B82" t="s">
        <v>1</v>
      </c>
      <c r="C82" t="s">
        <v>705</v>
      </c>
      <c r="D82">
        <v>355</v>
      </c>
      <c r="E82">
        <v>85.1</v>
      </c>
      <c r="F82">
        <v>335.3</v>
      </c>
      <c r="G82" t="s">
        <v>706</v>
      </c>
      <c r="H82" t="s">
        <v>269</v>
      </c>
      <c r="I82" t="s">
        <v>703</v>
      </c>
      <c r="J82" t="s">
        <v>704</v>
      </c>
      <c r="M82" s="15">
        <f t="shared" si="5"/>
        <v>355</v>
      </c>
      <c r="N82" s="15">
        <f t="shared" si="6"/>
        <v>85.1</v>
      </c>
      <c r="O82" s="15">
        <f t="shared" si="7"/>
        <v>335.3</v>
      </c>
      <c r="Q82">
        <v>355</v>
      </c>
      <c r="R82">
        <v>85.1</v>
      </c>
      <c r="S82">
        <v>335.3</v>
      </c>
    </row>
    <row r="83" spans="1:19" x14ac:dyDescent="0.25">
      <c r="A83">
        <v>2020</v>
      </c>
      <c r="B83" t="s">
        <v>1</v>
      </c>
      <c r="C83" t="s">
        <v>707</v>
      </c>
      <c r="D83">
        <v>187</v>
      </c>
      <c r="E83">
        <v>73.7</v>
      </c>
      <c r="F83">
        <v>274.3</v>
      </c>
      <c r="G83" t="s">
        <v>706</v>
      </c>
      <c r="H83" t="s">
        <v>269</v>
      </c>
      <c r="I83" t="s">
        <v>703</v>
      </c>
      <c r="J83" t="s">
        <v>704</v>
      </c>
      <c r="M83" s="15">
        <f t="shared" si="5"/>
        <v>187</v>
      </c>
      <c r="N83" s="15">
        <f t="shared" si="6"/>
        <v>73.7</v>
      </c>
      <c r="O83" s="15">
        <f t="shared" si="7"/>
        <v>274.3</v>
      </c>
      <c r="Q83">
        <v>187</v>
      </c>
      <c r="R83">
        <v>73.7</v>
      </c>
      <c r="S83">
        <v>274.3</v>
      </c>
    </row>
    <row r="84" spans="1:19" x14ac:dyDescent="0.25">
      <c r="A84">
        <v>2020</v>
      </c>
      <c r="B84" t="s">
        <v>1</v>
      </c>
      <c r="C84" t="s">
        <v>277</v>
      </c>
      <c r="D84">
        <v>505</v>
      </c>
      <c r="E84">
        <v>86.4</v>
      </c>
      <c r="F84">
        <v>487.6</v>
      </c>
      <c r="G84" t="s">
        <v>426</v>
      </c>
      <c r="H84" t="s">
        <v>269</v>
      </c>
      <c r="I84" t="s">
        <v>703</v>
      </c>
      <c r="J84" t="s">
        <v>704</v>
      </c>
      <c r="M84" s="15">
        <f t="shared" si="5"/>
        <v>505</v>
      </c>
      <c r="N84" s="15">
        <f t="shared" si="6"/>
        <v>86.4</v>
      </c>
      <c r="O84" s="15">
        <f t="shared" si="7"/>
        <v>487.6</v>
      </c>
      <c r="Q84">
        <v>505</v>
      </c>
      <c r="R84">
        <v>86.4</v>
      </c>
      <c r="S84">
        <v>487.6</v>
      </c>
    </row>
  </sheetData>
  <phoneticPr fontId="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FA75A-A39A-4DAC-AF18-E54EDFFA46D7}">
  <sheetPr codeName="Sheet9"/>
  <dimension ref="A1:K18"/>
  <sheetViews>
    <sheetView workbookViewId="0">
      <selection activeCell="K18" sqref="A2:K18"/>
    </sheetView>
  </sheetViews>
  <sheetFormatPr defaultRowHeight="15" x14ac:dyDescent="0.25"/>
  <cols>
    <col min="1" max="1" width="5" bestFit="1" customWidth="1"/>
    <col min="2" max="2" width="9.5703125" bestFit="1" customWidth="1"/>
    <col min="3" max="3" width="16.42578125" bestFit="1" customWidth="1"/>
    <col min="7" max="7" width="31" bestFit="1" customWidth="1"/>
    <col min="8" max="8" width="29.5703125" customWidth="1"/>
    <col min="9" max="9" width="13.7109375" customWidth="1"/>
    <col min="10" max="10" width="9.42578125" customWidth="1"/>
    <col min="11" max="11" width="9.85546875" bestFit="1" customWidth="1"/>
  </cols>
  <sheetData>
    <row r="1" spans="1:11" x14ac:dyDescent="0.25">
      <c r="A1" t="s">
        <v>0</v>
      </c>
      <c r="B1" t="s">
        <v>3</v>
      </c>
      <c r="C1" t="s">
        <v>2334</v>
      </c>
      <c r="D1" t="s">
        <v>6</v>
      </c>
      <c r="E1" t="s">
        <v>356</v>
      </c>
      <c r="F1" t="s">
        <v>355</v>
      </c>
      <c r="G1" t="s">
        <v>2335</v>
      </c>
      <c r="H1" t="s">
        <v>2274</v>
      </c>
      <c r="I1" t="s">
        <v>2275</v>
      </c>
      <c r="J1" t="s">
        <v>2336</v>
      </c>
      <c r="K1" t="s">
        <v>2040</v>
      </c>
    </row>
    <row r="2" spans="1:11" x14ac:dyDescent="0.25">
      <c r="A2">
        <v>2023</v>
      </c>
      <c r="B2" t="s">
        <v>2305</v>
      </c>
      <c r="C2" t="s">
        <v>2353</v>
      </c>
      <c r="D2">
        <v>53</v>
      </c>
      <c r="E2">
        <v>44</v>
      </c>
      <c r="F2">
        <v>225</v>
      </c>
      <c r="G2" t="s">
        <v>2346</v>
      </c>
      <c r="I2" t="s">
        <v>2337</v>
      </c>
      <c r="J2" t="s">
        <v>2347</v>
      </c>
      <c r="K2">
        <v>4.2</v>
      </c>
    </row>
    <row r="3" spans="1:11" x14ac:dyDescent="0.25">
      <c r="A3">
        <v>2023</v>
      </c>
      <c r="B3" t="s">
        <v>2305</v>
      </c>
      <c r="C3" t="s">
        <v>2352</v>
      </c>
      <c r="D3">
        <v>76</v>
      </c>
      <c r="E3">
        <v>55</v>
      </c>
      <c r="F3">
        <v>225</v>
      </c>
      <c r="G3" t="s">
        <v>2346</v>
      </c>
      <c r="I3" t="s">
        <v>2337</v>
      </c>
      <c r="J3" t="s">
        <v>2348</v>
      </c>
      <c r="K3">
        <v>5</v>
      </c>
    </row>
    <row r="4" spans="1:11" x14ac:dyDescent="0.25">
      <c r="A4">
        <v>2023</v>
      </c>
      <c r="B4" t="s">
        <v>2305</v>
      </c>
      <c r="C4" t="s">
        <v>1905</v>
      </c>
      <c r="D4">
        <v>87</v>
      </c>
      <c r="E4">
        <v>60</v>
      </c>
      <c r="F4">
        <v>225</v>
      </c>
      <c r="G4" t="s">
        <v>2346</v>
      </c>
      <c r="I4" t="s">
        <v>2337</v>
      </c>
      <c r="J4" t="s">
        <v>2340</v>
      </c>
      <c r="K4">
        <v>5.5</v>
      </c>
    </row>
    <row r="5" spans="1:11" x14ac:dyDescent="0.25">
      <c r="A5">
        <v>2023</v>
      </c>
      <c r="B5" t="s">
        <v>2305</v>
      </c>
      <c r="C5" t="s">
        <v>1906</v>
      </c>
      <c r="D5">
        <v>97</v>
      </c>
      <c r="E5">
        <v>63</v>
      </c>
      <c r="F5">
        <v>225</v>
      </c>
      <c r="G5" t="s">
        <v>2346</v>
      </c>
      <c r="I5" t="s">
        <v>2337</v>
      </c>
      <c r="J5" t="s">
        <v>2341</v>
      </c>
      <c r="K5">
        <v>5.89</v>
      </c>
    </row>
    <row r="6" spans="1:11" x14ac:dyDescent="0.25">
      <c r="A6">
        <v>2023</v>
      </c>
      <c r="B6" t="s">
        <v>2305</v>
      </c>
      <c r="C6" t="s">
        <v>1907</v>
      </c>
      <c r="D6">
        <v>113</v>
      </c>
      <c r="E6">
        <v>67</v>
      </c>
      <c r="F6">
        <v>228</v>
      </c>
      <c r="G6" t="s">
        <v>2346</v>
      </c>
      <c r="I6" t="s">
        <v>2337</v>
      </c>
      <c r="J6" t="s">
        <v>2342</v>
      </c>
      <c r="K6">
        <v>6.06</v>
      </c>
    </row>
    <row r="7" spans="1:11" x14ac:dyDescent="0.25">
      <c r="A7">
        <v>2023</v>
      </c>
      <c r="B7" t="s">
        <v>2305</v>
      </c>
      <c r="C7" t="s">
        <v>1908</v>
      </c>
      <c r="D7">
        <v>124</v>
      </c>
      <c r="E7">
        <v>73</v>
      </c>
      <c r="F7">
        <v>228</v>
      </c>
      <c r="G7" t="s">
        <v>2346</v>
      </c>
      <c r="I7" t="s">
        <v>2337</v>
      </c>
      <c r="J7" t="s">
        <v>2349</v>
      </c>
      <c r="K7">
        <v>6.52</v>
      </c>
    </row>
    <row r="8" spans="1:11" x14ac:dyDescent="0.25">
      <c r="A8">
        <v>2023</v>
      </c>
      <c r="B8" t="s">
        <v>2305</v>
      </c>
      <c r="C8" t="s">
        <v>1909</v>
      </c>
      <c r="D8">
        <v>129</v>
      </c>
      <c r="E8">
        <v>77</v>
      </c>
      <c r="F8">
        <v>228</v>
      </c>
      <c r="G8" t="s">
        <v>2346</v>
      </c>
      <c r="I8" t="s">
        <v>2337</v>
      </c>
      <c r="J8" t="s">
        <v>2344</v>
      </c>
      <c r="K8">
        <v>6.63</v>
      </c>
    </row>
    <row r="9" spans="1:11" x14ac:dyDescent="0.25">
      <c r="A9">
        <v>2023</v>
      </c>
      <c r="B9" t="s">
        <v>2305</v>
      </c>
      <c r="C9" t="s">
        <v>1910</v>
      </c>
      <c r="D9">
        <v>134</v>
      </c>
      <c r="E9">
        <v>83</v>
      </c>
      <c r="F9">
        <v>228</v>
      </c>
      <c r="G9" t="s">
        <v>2346</v>
      </c>
      <c r="I9" t="s">
        <v>2337</v>
      </c>
      <c r="J9" t="s">
        <v>2350</v>
      </c>
      <c r="K9">
        <v>6.9</v>
      </c>
    </row>
    <row r="10" spans="1:11" x14ac:dyDescent="0.25">
      <c r="A10">
        <v>2023</v>
      </c>
      <c r="B10" t="s">
        <v>2305</v>
      </c>
      <c r="C10" t="s">
        <v>1911</v>
      </c>
      <c r="D10">
        <v>140</v>
      </c>
      <c r="E10">
        <v>85</v>
      </c>
      <c r="F10">
        <v>228</v>
      </c>
      <c r="G10" t="s">
        <v>2346</v>
      </c>
      <c r="I10" t="s">
        <v>2337</v>
      </c>
      <c r="J10" t="s">
        <v>2345</v>
      </c>
      <c r="K10">
        <v>7.2</v>
      </c>
    </row>
    <row r="11" spans="1:11" x14ac:dyDescent="0.25">
      <c r="A11">
        <v>2023</v>
      </c>
      <c r="B11" t="s">
        <v>2305</v>
      </c>
      <c r="C11" t="s">
        <v>2352</v>
      </c>
      <c r="D11">
        <v>76</v>
      </c>
      <c r="E11">
        <v>55</v>
      </c>
      <c r="F11">
        <v>225</v>
      </c>
      <c r="G11" t="s">
        <v>2351</v>
      </c>
      <c r="I11" t="s">
        <v>2337</v>
      </c>
      <c r="J11" t="s">
        <v>2348</v>
      </c>
      <c r="K11">
        <v>5.5</v>
      </c>
    </row>
    <row r="12" spans="1:11" x14ac:dyDescent="0.25">
      <c r="A12">
        <v>2023</v>
      </c>
      <c r="B12" t="s">
        <v>2305</v>
      </c>
      <c r="C12" t="s">
        <v>1905</v>
      </c>
      <c r="D12">
        <v>87</v>
      </c>
      <c r="E12">
        <v>60</v>
      </c>
      <c r="F12">
        <v>225</v>
      </c>
      <c r="G12" t="s">
        <v>2351</v>
      </c>
      <c r="I12" t="s">
        <v>2337</v>
      </c>
      <c r="J12" t="s">
        <v>2340</v>
      </c>
      <c r="K12">
        <v>6.1</v>
      </c>
    </row>
    <row r="13" spans="1:11" x14ac:dyDescent="0.25">
      <c r="A13">
        <v>2023</v>
      </c>
      <c r="B13" t="s">
        <v>2305</v>
      </c>
      <c r="C13" t="s">
        <v>1906</v>
      </c>
      <c r="D13">
        <v>97</v>
      </c>
      <c r="E13">
        <v>63</v>
      </c>
      <c r="F13">
        <v>225</v>
      </c>
      <c r="G13" t="s">
        <v>2351</v>
      </c>
      <c r="I13" t="s">
        <v>2337</v>
      </c>
      <c r="J13" t="s">
        <v>2341</v>
      </c>
      <c r="K13">
        <v>6.22</v>
      </c>
    </row>
    <row r="14" spans="1:11" x14ac:dyDescent="0.25">
      <c r="A14">
        <v>2023</v>
      </c>
      <c r="B14" t="s">
        <v>2305</v>
      </c>
      <c r="C14" t="s">
        <v>1907</v>
      </c>
      <c r="D14">
        <v>113</v>
      </c>
      <c r="E14">
        <v>67</v>
      </c>
      <c r="F14">
        <v>228</v>
      </c>
      <c r="G14" t="s">
        <v>2351</v>
      </c>
      <c r="I14" t="s">
        <v>2337</v>
      </c>
      <c r="J14" t="s">
        <v>2342</v>
      </c>
      <c r="K14">
        <v>7.71</v>
      </c>
    </row>
    <row r="15" spans="1:11" x14ac:dyDescent="0.25">
      <c r="A15">
        <v>2023</v>
      </c>
      <c r="B15" t="s">
        <v>2305</v>
      </c>
      <c r="C15" t="s">
        <v>1908</v>
      </c>
      <c r="D15">
        <v>124</v>
      </c>
      <c r="E15">
        <v>73</v>
      </c>
      <c r="F15">
        <v>228</v>
      </c>
      <c r="G15" t="s">
        <v>2351</v>
      </c>
      <c r="I15" t="s">
        <v>2337</v>
      </c>
      <c r="J15" t="s">
        <v>2349</v>
      </c>
      <c r="K15">
        <v>7.13</v>
      </c>
    </row>
    <row r="16" spans="1:11" x14ac:dyDescent="0.25">
      <c r="A16">
        <v>2023</v>
      </c>
      <c r="B16" t="s">
        <v>2305</v>
      </c>
      <c r="C16" t="s">
        <v>1909</v>
      </c>
      <c r="D16">
        <v>129</v>
      </c>
      <c r="E16">
        <v>77</v>
      </c>
      <c r="F16">
        <v>228</v>
      </c>
      <c r="G16" t="s">
        <v>2351</v>
      </c>
      <c r="I16" t="s">
        <v>2337</v>
      </c>
      <c r="J16" t="s">
        <v>2344</v>
      </c>
      <c r="K16">
        <v>7.47</v>
      </c>
    </row>
    <row r="17" spans="1:11" x14ac:dyDescent="0.25">
      <c r="A17">
        <v>2023</v>
      </c>
      <c r="B17" t="s">
        <v>2305</v>
      </c>
      <c r="C17" t="s">
        <v>1910</v>
      </c>
      <c r="D17">
        <v>134</v>
      </c>
      <c r="E17">
        <v>83</v>
      </c>
      <c r="F17">
        <v>228</v>
      </c>
      <c r="G17" t="s">
        <v>2351</v>
      </c>
      <c r="I17" t="s">
        <v>2337</v>
      </c>
      <c r="J17" t="s">
        <v>2350</v>
      </c>
      <c r="K17">
        <v>7.79</v>
      </c>
    </row>
    <row r="18" spans="1:11" x14ac:dyDescent="0.25">
      <c r="A18">
        <v>2023</v>
      </c>
      <c r="B18" t="s">
        <v>2305</v>
      </c>
      <c r="C18" t="s">
        <v>1911</v>
      </c>
      <c r="D18">
        <v>140</v>
      </c>
      <c r="E18">
        <v>85</v>
      </c>
      <c r="F18">
        <v>228</v>
      </c>
      <c r="G18" t="s">
        <v>2351</v>
      </c>
      <c r="I18" t="s">
        <v>2337</v>
      </c>
      <c r="J18" t="s">
        <v>2345</v>
      </c>
      <c r="K18">
        <v>8.1999999999999993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0723-7288-4648-A109-585AF6DE17AA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Boards Catalogue</vt:lpstr>
      <vt:lpstr>AI Prompt</vt:lpstr>
      <vt:lpstr>Sheet1</vt:lpstr>
      <vt:lpstr>Class</vt:lpstr>
      <vt:lpstr>APPROVED SERIES PRODUCTION </vt:lpstr>
      <vt:lpstr>GPS-Boards-Validation</vt:lpstr>
      <vt:lpstr>Temp-Berra-ToAddAfterReview</vt:lpstr>
      <vt:lpstr>Temp-Berra-unit-remove</vt:lpstr>
      <vt:lpstr>2023_SB_iSonic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2026-05-10T15:14:06Z</dcterms:modified>
</cp:coreProperties>
</file>