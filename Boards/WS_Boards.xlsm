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542D16D7-6654-4FA7-9800-406712956926}" xr6:coauthVersionLast="47" xr6:coauthVersionMax="47" xr10:uidLastSave="{00000000-0000-0000-0000-000000000000}"/>
  <bookViews>
    <workbookView xWindow="-108" yWindow="-108" windowWidth="23256" windowHeight="12456" tabRatio="981" xr2:uid="{00000000-000D-0000-FFFF-FFFF00000000}"/>
  </bookViews>
  <sheets>
    <sheet name="Boards Catalogue" sheetId="4" r:id="rId1"/>
    <sheet name="Class" sheetId="17" r:id="rId2"/>
    <sheet name="AI Prompt" sheetId="16" r:id="rId3"/>
    <sheet name="Sheet1" sheetId="25" r:id="rId4"/>
    <sheet name="APPROVED SERIES PRODUCTION " sheetId="15" r:id="rId5"/>
    <sheet name="GPS-Boards-Validation" sheetId="1" r:id="rId6"/>
    <sheet name="Temp-Berra-ToAddAfterReview" sheetId="8" r:id="rId7"/>
    <sheet name="Temp-Berra-unit-remove" sheetId="9" r:id="rId8"/>
    <sheet name="2023_SB_iSonic" sheetId="26" r:id="rId9"/>
    <sheet name="Sheet3" sheetId="27" r:id="rId10"/>
  </sheets>
  <functionGroups builtInGroupCount="19"/>
  <definedNames>
    <definedName name="_xlnm._FilterDatabase" localSheetId="4" hidden="1">'APPROVED SERIES PRODUCTION '!$C$1:$I$1466</definedName>
    <definedName name="_xlnm._FilterDatabase" localSheetId="0" hidden="1">'Boards Catalogue'!$A$1:$U$513</definedName>
    <definedName name="_xlnm._FilterDatabase" localSheetId="5" hidden="1">'GPS-Boards-Validation'!$A$1:$I$1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16" i="4" l="1"/>
  <c r="A514" i="4"/>
  <c r="B514" i="4"/>
  <c r="C514" i="4"/>
  <c r="D514" i="4"/>
  <c r="E514" i="4"/>
  <c r="F514" i="4"/>
  <c r="H514" i="4"/>
  <c r="I514" i="4"/>
  <c r="A515" i="4"/>
  <c r="B515" i="4"/>
  <c r="C515" i="4"/>
  <c r="D515" i="4"/>
  <c r="E515" i="4"/>
  <c r="H515" i="4"/>
  <c r="I515" i="4"/>
  <c r="F515" i="4" s="1"/>
  <c r="A516" i="4"/>
  <c r="C516" i="4"/>
  <c r="D516" i="4"/>
  <c r="E516" i="4"/>
  <c r="I516" i="4"/>
  <c r="F516" i="4" s="1"/>
  <c r="A5" i="4"/>
  <c r="B5" i="4"/>
  <c r="C5" i="4"/>
  <c r="D5" i="4"/>
  <c r="E5" i="4"/>
  <c r="A4" i="4"/>
  <c r="B4" i="4"/>
  <c r="C4" i="4"/>
  <c r="D4" i="4"/>
  <c r="E4" i="4"/>
  <c r="A6" i="4"/>
  <c r="B6" i="4"/>
  <c r="C6" i="4"/>
  <c r="D6" i="4"/>
  <c r="E6" i="4"/>
  <c r="A3" i="4"/>
  <c r="B3" i="4"/>
  <c r="C3" i="4"/>
  <c r="D3" i="4"/>
  <c r="E3" i="4"/>
  <c r="A2" i="4"/>
  <c r="B2" i="4"/>
  <c r="C2" i="4"/>
  <c r="D2" i="4"/>
  <c r="E2" i="4"/>
  <c r="A7" i="4"/>
  <c r="B7" i="4"/>
  <c r="C7" i="4"/>
  <c r="D7" i="4"/>
  <c r="E7" i="4"/>
  <c r="I4" i="4"/>
  <c r="F4" i="4" s="1"/>
  <c r="I6" i="4"/>
  <c r="F6" i="4" s="1"/>
  <c r="I3" i="4"/>
  <c r="H3" i="4" s="1"/>
  <c r="I2" i="4"/>
  <c r="F2" i="4" s="1"/>
  <c r="I7" i="4"/>
  <c r="F7" i="4" s="1"/>
  <c r="A453" i="4"/>
  <c r="B453" i="4"/>
  <c r="C453" i="4"/>
  <c r="D453" i="4"/>
  <c r="E453" i="4"/>
  <c r="I453" i="4"/>
  <c r="H453" i="4" s="1"/>
  <c r="A447" i="4"/>
  <c r="B447" i="4"/>
  <c r="C447" i="4"/>
  <c r="D447" i="4"/>
  <c r="E447" i="4"/>
  <c r="I447" i="4"/>
  <c r="F447" i="4" s="1"/>
  <c r="A449" i="4"/>
  <c r="B449" i="4"/>
  <c r="C449" i="4"/>
  <c r="D449" i="4"/>
  <c r="E449" i="4"/>
  <c r="I449" i="4"/>
  <c r="F449" i="4" s="1"/>
  <c r="A451" i="4"/>
  <c r="B451" i="4"/>
  <c r="C451" i="4"/>
  <c r="D451" i="4"/>
  <c r="E451" i="4"/>
  <c r="I451" i="4"/>
  <c r="F451" i="4" s="1"/>
  <c r="A437" i="4"/>
  <c r="B437" i="4"/>
  <c r="C437" i="4"/>
  <c r="D437" i="4"/>
  <c r="E437" i="4"/>
  <c r="I437" i="4"/>
  <c r="F437" i="4" s="1"/>
  <c r="A439" i="4"/>
  <c r="B439" i="4"/>
  <c r="C439" i="4"/>
  <c r="D439" i="4"/>
  <c r="E439" i="4"/>
  <c r="I439" i="4"/>
  <c r="F439" i="4" s="1"/>
  <c r="A441" i="4"/>
  <c r="B441" i="4"/>
  <c r="C441" i="4"/>
  <c r="D441" i="4"/>
  <c r="E441" i="4"/>
  <c r="I441" i="4"/>
  <c r="F441" i="4" s="1"/>
  <c r="A443" i="4"/>
  <c r="B443" i="4"/>
  <c r="C443" i="4"/>
  <c r="D443" i="4"/>
  <c r="E443" i="4"/>
  <c r="I443" i="4"/>
  <c r="F443" i="4" s="1"/>
  <c r="A445" i="4"/>
  <c r="B445" i="4"/>
  <c r="C445" i="4"/>
  <c r="D445" i="4"/>
  <c r="E445" i="4"/>
  <c r="I445" i="4"/>
  <c r="F445" i="4" s="1"/>
  <c r="A448" i="4"/>
  <c r="B448" i="4"/>
  <c r="C448" i="4"/>
  <c r="D448" i="4"/>
  <c r="E448" i="4"/>
  <c r="I448" i="4"/>
  <c r="F448" i="4" s="1"/>
  <c r="A450" i="4"/>
  <c r="B450" i="4"/>
  <c r="C450" i="4"/>
  <c r="D450" i="4"/>
  <c r="E450" i="4"/>
  <c r="I450" i="4"/>
  <c r="F450" i="4" s="1"/>
  <c r="A452" i="4"/>
  <c r="B452" i="4"/>
  <c r="C452" i="4"/>
  <c r="D452" i="4"/>
  <c r="E452" i="4"/>
  <c r="I452" i="4"/>
  <c r="F452" i="4" s="1"/>
  <c r="A438" i="4"/>
  <c r="B438" i="4"/>
  <c r="C438" i="4"/>
  <c r="D438" i="4"/>
  <c r="E438" i="4"/>
  <c r="I438" i="4"/>
  <c r="H438" i="4" s="1"/>
  <c r="A440" i="4"/>
  <c r="B440" i="4"/>
  <c r="C440" i="4"/>
  <c r="D440" i="4"/>
  <c r="E440" i="4"/>
  <c r="I440" i="4"/>
  <c r="F440" i="4" s="1"/>
  <c r="A442" i="4"/>
  <c r="B442" i="4"/>
  <c r="C442" i="4"/>
  <c r="D442" i="4"/>
  <c r="E442" i="4"/>
  <c r="I442" i="4"/>
  <c r="F442" i="4" s="1"/>
  <c r="A444" i="4"/>
  <c r="B444" i="4"/>
  <c r="C444" i="4"/>
  <c r="D444" i="4"/>
  <c r="E444" i="4"/>
  <c r="I444" i="4"/>
  <c r="F444" i="4" s="1"/>
  <c r="A446" i="4"/>
  <c r="B446" i="4"/>
  <c r="C446" i="4"/>
  <c r="D446" i="4"/>
  <c r="E446" i="4"/>
  <c r="I446" i="4"/>
  <c r="F446" i="4" s="1"/>
  <c r="A465" i="4"/>
  <c r="B465" i="4"/>
  <c r="C465" i="4"/>
  <c r="D465" i="4"/>
  <c r="E465" i="4"/>
  <c r="I465" i="4"/>
  <c r="F465" i="4" s="1"/>
  <c r="A466" i="4"/>
  <c r="B466" i="4"/>
  <c r="C466" i="4"/>
  <c r="D466" i="4"/>
  <c r="E466" i="4"/>
  <c r="I466" i="4"/>
  <c r="F466" i="4" s="1"/>
  <c r="A458" i="4"/>
  <c r="B458" i="4"/>
  <c r="C458" i="4"/>
  <c r="D458" i="4"/>
  <c r="E458" i="4"/>
  <c r="I458" i="4"/>
  <c r="F458" i="4" s="1"/>
  <c r="A459" i="4"/>
  <c r="B459" i="4"/>
  <c r="C459" i="4"/>
  <c r="D459" i="4"/>
  <c r="E459" i="4"/>
  <c r="I459" i="4"/>
  <c r="F459" i="4" s="1"/>
  <c r="A460" i="4"/>
  <c r="B460" i="4"/>
  <c r="C460" i="4"/>
  <c r="D460" i="4"/>
  <c r="E460" i="4"/>
  <c r="I460" i="4"/>
  <c r="H460" i="4" s="1"/>
  <c r="A461" i="4"/>
  <c r="B461" i="4"/>
  <c r="C461" i="4"/>
  <c r="D461" i="4"/>
  <c r="E461" i="4"/>
  <c r="I461" i="4"/>
  <c r="F461" i="4" s="1"/>
  <c r="A493" i="4"/>
  <c r="B493" i="4"/>
  <c r="C493" i="4"/>
  <c r="D493" i="4"/>
  <c r="E493" i="4"/>
  <c r="I493" i="4"/>
  <c r="F493" i="4" s="1"/>
  <c r="A494" i="4"/>
  <c r="B494" i="4"/>
  <c r="C494" i="4"/>
  <c r="D494" i="4"/>
  <c r="E494" i="4"/>
  <c r="I494" i="4"/>
  <c r="H494" i="4" s="1"/>
  <c r="A489" i="4"/>
  <c r="B489" i="4"/>
  <c r="C489" i="4"/>
  <c r="D489" i="4"/>
  <c r="E489" i="4"/>
  <c r="I489" i="4"/>
  <c r="H489" i="4" s="1"/>
  <c r="A490" i="4"/>
  <c r="B490" i="4"/>
  <c r="C490" i="4"/>
  <c r="D490" i="4"/>
  <c r="E490" i="4"/>
  <c r="I490" i="4"/>
  <c r="H490" i="4" s="1"/>
  <c r="A491" i="4"/>
  <c r="B491" i="4"/>
  <c r="C491" i="4"/>
  <c r="D491" i="4"/>
  <c r="E491" i="4"/>
  <c r="I491" i="4"/>
  <c r="F491" i="4" s="1"/>
  <c r="A492" i="4"/>
  <c r="B492" i="4"/>
  <c r="C492" i="4"/>
  <c r="D492" i="4"/>
  <c r="E492" i="4"/>
  <c r="I492" i="4"/>
  <c r="F492" i="4" s="1"/>
  <c r="A462" i="4"/>
  <c r="B462" i="4"/>
  <c r="C462" i="4"/>
  <c r="D462" i="4"/>
  <c r="E462" i="4"/>
  <c r="I462" i="4"/>
  <c r="F462" i="4" s="1"/>
  <c r="A463" i="4"/>
  <c r="B463" i="4"/>
  <c r="C463" i="4"/>
  <c r="D463" i="4"/>
  <c r="E463" i="4"/>
  <c r="I463" i="4"/>
  <c r="F463" i="4" s="1"/>
  <c r="A464" i="4"/>
  <c r="B464" i="4"/>
  <c r="C464" i="4"/>
  <c r="D464" i="4"/>
  <c r="E464" i="4"/>
  <c r="I464" i="4"/>
  <c r="F464" i="4" s="1"/>
  <c r="A471" i="4"/>
  <c r="B471" i="4"/>
  <c r="C471" i="4"/>
  <c r="D471" i="4"/>
  <c r="E471" i="4"/>
  <c r="I471" i="4"/>
  <c r="F471" i="4" s="1"/>
  <c r="A472" i="4"/>
  <c r="B472" i="4"/>
  <c r="C472" i="4"/>
  <c r="D472" i="4"/>
  <c r="E472" i="4"/>
  <c r="I472" i="4"/>
  <c r="F472" i="4" s="1"/>
  <c r="A467" i="4"/>
  <c r="B467" i="4"/>
  <c r="C467" i="4"/>
  <c r="D467" i="4"/>
  <c r="E467" i="4"/>
  <c r="I467" i="4"/>
  <c r="H467" i="4" s="1"/>
  <c r="A468" i="4"/>
  <c r="B468" i="4"/>
  <c r="C468" i="4"/>
  <c r="D468" i="4"/>
  <c r="E468" i="4"/>
  <c r="I468" i="4"/>
  <c r="F468" i="4" s="1"/>
  <c r="A469" i="4"/>
  <c r="B469" i="4"/>
  <c r="C469" i="4"/>
  <c r="D469" i="4"/>
  <c r="E469" i="4"/>
  <c r="I469" i="4"/>
  <c r="F469" i="4" s="1"/>
  <c r="A470" i="4"/>
  <c r="B470" i="4"/>
  <c r="C470" i="4"/>
  <c r="D470" i="4"/>
  <c r="E470" i="4"/>
  <c r="I470" i="4"/>
  <c r="F470" i="4" s="1"/>
  <c r="A512" i="4"/>
  <c r="B512" i="4"/>
  <c r="C512" i="4"/>
  <c r="D512" i="4"/>
  <c r="E512" i="4"/>
  <c r="I512" i="4"/>
  <c r="F512" i="4" s="1"/>
  <c r="A513" i="4"/>
  <c r="B513" i="4"/>
  <c r="C513" i="4"/>
  <c r="D513" i="4"/>
  <c r="E513" i="4"/>
  <c r="I513" i="4"/>
  <c r="H513" i="4" s="1"/>
  <c r="A508" i="4"/>
  <c r="B508" i="4"/>
  <c r="C508" i="4"/>
  <c r="D508" i="4"/>
  <c r="E508" i="4"/>
  <c r="I508" i="4"/>
  <c r="F508" i="4" s="1"/>
  <c r="A509" i="4"/>
  <c r="B509" i="4"/>
  <c r="C509" i="4"/>
  <c r="D509" i="4"/>
  <c r="E509" i="4"/>
  <c r="I509" i="4"/>
  <c r="F509" i="4" s="1"/>
  <c r="A510" i="4"/>
  <c r="B510" i="4"/>
  <c r="C510" i="4"/>
  <c r="D510" i="4"/>
  <c r="E510" i="4"/>
  <c r="I510" i="4"/>
  <c r="F510" i="4" s="1"/>
  <c r="A511" i="4"/>
  <c r="B511" i="4"/>
  <c r="C511" i="4"/>
  <c r="D511" i="4"/>
  <c r="E511" i="4"/>
  <c r="I511" i="4"/>
  <c r="H511" i="4" s="1"/>
  <c r="A473" i="4"/>
  <c r="B473" i="4"/>
  <c r="C473" i="4"/>
  <c r="D473" i="4"/>
  <c r="E473" i="4"/>
  <c r="I473" i="4"/>
  <c r="H473" i="4" s="1"/>
  <c r="A474" i="4"/>
  <c r="B474" i="4"/>
  <c r="C474" i="4"/>
  <c r="D474" i="4"/>
  <c r="E474" i="4"/>
  <c r="I474" i="4"/>
  <c r="F474" i="4" s="1"/>
  <c r="A475" i="4"/>
  <c r="B475" i="4"/>
  <c r="C475" i="4"/>
  <c r="D475" i="4"/>
  <c r="E475" i="4"/>
  <c r="I475" i="4"/>
  <c r="F475" i="4" s="1"/>
  <c r="A476" i="4"/>
  <c r="B476" i="4"/>
  <c r="C476" i="4"/>
  <c r="D476" i="4"/>
  <c r="E476" i="4"/>
  <c r="I476" i="4"/>
  <c r="H476" i="4" s="1"/>
  <c r="A477" i="4"/>
  <c r="B477" i="4"/>
  <c r="C477" i="4"/>
  <c r="D477" i="4"/>
  <c r="E477" i="4"/>
  <c r="I477" i="4"/>
  <c r="H477" i="4" s="1"/>
  <c r="A482" i="4"/>
  <c r="B482" i="4"/>
  <c r="C482" i="4"/>
  <c r="D482" i="4"/>
  <c r="E482" i="4"/>
  <c r="I482" i="4"/>
  <c r="F482" i="4" s="1"/>
  <c r="A483" i="4"/>
  <c r="B483" i="4"/>
  <c r="C483" i="4"/>
  <c r="D483" i="4"/>
  <c r="E483" i="4"/>
  <c r="I483" i="4"/>
  <c r="H483" i="4" s="1"/>
  <c r="A478" i="4"/>
  <c r="B478" i="4"/>
  <c r="C478" i="4"/>
  <c r="D478" i="4"/>
  <c r="E478" i="4"/>
  <c r="I478" i="4"/>
  <c r="F478" i="4" s="1"/>
  <c r="A479" i="4"/>
  <c r="B479" i="4"/>
  <c r="C479" i="4"/>
  <c r="D479" i="4"/>
  <c r="E479" i="4"/>
  <c r="I479" i="4"/>
  <c r="F479" i="4" s="1"/>
  <c r="A480" i="4"/>
  <c r="B480" i="4"/>
  <c r="C480" i="4"/>
  <c r="D480" i="4"/>
  <c r="E480" i="4"/>
  <c r="I480" i="4"/>
  <c r="F480" i="4" s="1"/>
  <c r="A481" i="4"/>
  <c r="B481" i="4"/>
  <c r="C481" i="4"/>
  <c r="D481" i="4"/>
  <c r="E481" i="4"/>
  <c r="I481" i="4"/>
  <c r="H481" i="4" s="1"/>
  <c r="A503" i="4"/>
  <c r="B503" i="4"/>
  <c r="C503" i="4"/>
  <c r="D503" i="4"/>
  <c r="E503" i="4"/>
  <c r="I503" i="4"/>
  <c r="F503" i="4" s="1"/>
  <c r="A504" i="4"/>
  <c r="B504" i="4"/>
  <c r="C504" i="4"/>
  <c r="D504" i="4"/>
  <c r="E504" i="4"/>
  <c r="I504" i="4"/>
  <c r="F504" i="4" s="1"/>
  <c r="A505" i="4"/>
  <c r="B505" i="4"/>
  <c r="C505" i="4"/>
  <c r="D505" i="4"/>
  <c r="E505" i="4"/>
  <c r="I505" i="4"/>
  <c r="F505" i="4" s="1"/>
  <c r="A506" i="4"/>
  <c r="B506" i="4"/>
  <c r="C506" i="4"/>
  <c r="D506" i="4"/>
  <c r="E506" i="4"/>
  <c r="I506" i="4"/>
  <c r="F506" i="4" s="1"/>
  <c r="A507" i="4"/>
  <c r="B507" i="4"/>
  <c r="C507" i="4"/>
  <c r="D507" i="4"/>
  <c r="E507" i="4"/>
  <c r="I507" i="4"/>
  <c r="F507" i="4" s="1"/>
  <c r="I8" i="4"/>
  <c r="H8" i="4" s="1"/>
  <c r="I9" i="4"/>
  <c r="H9" i="4" s="1"/>
  <c r="I10" i="4"/>
  <c r="H10" i="4" s="1"/>
  <c r="I11" i="4"/>
  <c r="H11" i="4" s="1"/>
  <c r="I12" i="4"/>
  <c r="H12" i="4" s="1"/>
  <c r="I13" i="4"/>
  <c r="H13" i="4" s="1"/>
  <c r="I14" i="4"/>
  <c r="H14" i="4" s="1"/>
  <c r="I15" i="4"/>
  <c r="H15" i="4" s="1"/>
  <c r="I16" i="4"/>
  <c r="H16" i="4" s="1"/>
  <c r="I17" i="4"/>
  <c r="H17" i="4" s="1"/>
  <c r="I18" i="4"/>
  <c r="H18" i="4" s="1"/>
  <c r="I19" i="4"/>
  <c r="H19" i="4" s="1"/>
  <c r="I20" i="4"/>
  <c r="H20" i="4" s="1"/>
  <c r="I21" i="4"/>
  <c r="H21" i="4" s="1"/>
  <c r="I22" i="4"/>
  <c r="H22" i="4" s="1"/>
  <c r="I23" i="4"/>
  <c r="H23" i="4" s="1"/>
  <c r="I24" i="4"/>
  <c r="H24" i="4" s="1"/>
  <c r="I25" i="4"/>
  <c r="H25" i="4" s="1"/>
  <c r="I26" i="4"/>
  <c r="H26" i="4" s="1"/>
  <c r="I27" i="4"/>
  <c r="H27" i="4" s="1"/>
  <c r="I28" i="4"/>
  <c r="H28" i="4" s="1"/>
  <c r="I29" i="4"/>
  <c r="H29" i="4" s="1"/>
  <c r="I30" i="4"/>
  <c r="H30" i="4" s="1"/>
  <c r="I31" i="4"/>
  <c r="H31" i="4" s="1"/>
  <c r="I32" i="4"/>
  <c r="H32" i="4" s="1"/>
  <c r="I33" i="4"/>
  <c r="H33" i="4" s="1"/>
  <c r="I34" i="4"/>
  <c r="H34" i="4" s="1"/>
  <c r="I35" i="4"/>
  <c r="H35" i="4" s="1"/>
  <c r="I36" i="4"/>
  <c r="H36" i="4" s="1"/>
  <c r="I37" i="4"/>
  <c r="H37" i="4" s="1"/>
  <c r="I38" i="4"/>
  <c r="H38" i="4" s="1"/>
  <c r="I39" i="4"/>
  <c r="H39" i="4" s="1"/>
  <c r="I40" i="4"/>
  <c r="H40" i="4" s="1"/>
  <c r="I41" i="4"/>
  <c r="H41" i="4" s="1"/>
  <c r="I42" i="4"/>
  <c r="H42" i="4" s="1"/>
  <c r="I43" i="4"/>
  <c r="H43" i="4" s="1"/>
  <c r="I44" i="4"/>
  <c r="H44" i="4" s="1"/>
  <c r="I45" i="4"/>
  <c r="H45" i="4" s="1"/>
  <c r="I46" i="4"/>
  <c r="H46" i="4" s="1"/>
  <c r="I47" i="4"/>
  <c r="H47" i="4" s="1"/>
  <c r="I48" i="4"/>
  <c r="H48" i="4" s="1"/>
  <c r="I49" i="4"/>
  <c r="H49" i="4" s="1"/>
  <c r="I50" i="4"/>
  <c r="H50" i="4" s="1"/>
  <c r="I51" i="4"/>
  <c r="H51" i="4" s="1"/>
  <c r="I52" i="4"/>
  <c r="H52" i="4" s="1"/>
  <c r="I53" i="4"/>
  <c r="H53" i="4" s="1"/>
  <c r="I54" i="4"/>
  <c r="H54" i="4" s="1"/>
  <c r="I55" i="4"/>
  <c r="H55" i="4" s="1"/>
  <c r="I56" i="4"/>
  <c r="H56" i="4" s="1"/>
  <c r="I57" i="4"/>
  <c r="H57" i="4" s="1"/>
  <c r="I58" i="4"/>
  <c r="H58" i="4" s="1"/>
  <c r="I59" i="4"/>
  <c r="H59" i="4" s="1"/>
  <c r="I60" i="4"/>
  <c r="H60" i="4" s="1"/>
  <c r="I61" i="4"/>
  <c r="H61" i="4" s="1"/>
  <c r="I62" i="4"/>
  <c r="H62" i="4" s="1"/>
  <c r="I63" i="4"/>
  <c r="H63" i="4" s="1"/>
  <c r="I64" i="4"/>
  <c r="H64" i="4" s="1"/>
  <c r="I65" i="4"/>
  <c r="H65" i="4" s="1"/>
  <c r="I66" i="4"/>
  <c r="H66" i="4" s="1"/>
  <c r="I67" i="4"/>
  <c r="H67" i="4" s="1"/>
  <c r="I68" i="4"/>
  <c r="H68" i="4" s="1"/>
  <c r="I69" i="4"/>
  <c r="H69" i="4" s="1"/>
  <c r="I70" i="4"/>
  <c r="H70" i="4" s="1"/>
  <c r="I71" i="4"/>
  <c r="H71" i="4" s="1"/>
  <c r="I72" i="4"/>
  <c r="H72" i="4" s="1"/>
  <c r="I73" i="4"/>
  <c r="H73" i="4" s="1"/>
  <c r="I74" i="4"/>
  <c r="H74" i="4" s="1"/>
  <c r="I75" i="4"/>
  <c r="H75" i="4" s="1"/>
  <c r="I76" i="4"/>
  <c r="H76" i="4" s="1"/>
  <c r="I77" i="4"/>
  <c r="H77" i="4" s="1"/>
  <c r="I78" i="4"/>
  <c r="H78" i="4" s="1"/>
  <c r="I79" i="4"/>
  <c r="H79" i="4" s="1"/>
  <c r="I80" i="4"/>
  <c r="H80" i="4" s="1"/>
  <c r="I81" i="4"/>
  <c r="H81" i="4" s="1"/>
  <c r="I82" i="4"/>
  <c r="H82" i="4" s="1"/>
  <c r="I83" i="4"/>
  <c r="H83" i="4" s="1"/>
  <c r="I84" i="4"/>
  <c r="H84" i="4" s="1"/>
  <c r="I85" i="4"/>
  <c r="H85" i="4" s="1"/>
  <c r="I86" i="4"/>
  <c r="H86" i="4" s="1"/>
  <c r="I87" i="4"/>
  <c r="H87" i="4" s="1"/>
  <c r="I88" i="4"/>
  <c r="H88" i="4" s="1"/>
  <c r="I89" i="4"/>
  <c r="H89" i="4" s="1"/>
  <c r="I90" i="4"/>
  <c r="H90" i="4" s="1"/>
  <c r="I91" i="4"/>
  <c r="H91" i="4" s="1"/>
  <c r="I92" i="4"/>
  <c r="H92" i="4" s="1"/>
  <c r="I93" i="4"/>
  <c r="H93" i="4" s="1"/>
  <c r="I94" i="4"/>
  <c r="H94" i="4" s="1"/>
  <c r="I95" i="4"/>
  <c r="H95" i="4" s="1"/>
  <c r="I96" i="4"/>
  <c r="H96" i="4" s="1"/>
  <c r="I97" i="4"/>
  <c r="H97" i="4" s="1"/>
  <c r="I98" i="4"/>
  <c r="H98" i="4" s="1"/>
  <c r="I99" i="4"/>
  <c r="H99" i="4" s="1"/>
  <c r="I100" i="4"/>
  <c r="H100" i="4" s="1"/>
  <c r="I101" i="4"/>
  <c r="H101" i="4" s="1"/>
  <c r="I102" i="4"/>
  <c r="H102" i="4" s="1"/>
  <c r="I103" i="4"/>
  <c r="H103" i="4" s="1"/>
  <c r="I104" i="4"/>
  <c r="H104" i="4" s="1"/>
  <c r="I105" i="4"/>
  <c r="H105" i="4" s="1"/>
  <c r="I106" i="4"/>
  <c r="H106" i="4" s="1"/>
  <c r="I107" i="4"/>
  <c r="H107" i="4" s="1"/>
  <c r="I108" i="4"/>
  <c r="H108" i="4" s="1"/>
  <c r="I109" i="4"/>
  <c r="H109" i="4" s="1"/>
  <c r="I110" i="4"/>
  <c r="H110" i="4" s="1"/>
  <c r="I111" i="4"/>
  <c r="H111" i="4" s="1"/>
  <c r="I112" i="4"/>
  <c r="H112" i="4" s="1"/>
  <c r="I113" i="4"/>
  <c r="H113" i="4" s="1"/>
  <c r="I114" i="4"/>
  <c r="H114" i="4" s="1"/>
  <c r="I115" i="4"/>
  <c r="H115" i="4" s="1"/>
  <c r="I116" i="4"/>
  <c r="H116" i="4" s="1"/>
  <c r="I117" i="4"/>
  <c r="H117" i="4" s="1"/>
  <c r="I118" i="4"/>
  <c r="H118" i="4" s="1"/>
  <c r="I119" i="4"/>
  <c r="H119" i="4" s="1"/>
  <c r="I120" i="4"/>
  <c r="H120" i="4" s="1"/>
  <c r="I121" i="4"/>
  <c r="H121" i="4" s="1"/>
  <c r="I122" i="4"/>
  <c r="H122" i="4" s="1"/>
  <c r="I123" i="4"/>
  <c r="H123" i="4" s="1"/>
  <c r="I124" i="4"/>
  <c r="H124" i="4" s="1"/>
  <c r="I125" i="4"/>
  <c r="H125" i="4" s="1"/>
  <c r="I126" i="4"/>
  <c r="H126" i="4" s="1"/>
  <c r="I127" i="4"/>
  <c r="H127" i="4" s="1"/>
  <c r="I128" i="4"/>
  <c r="H128" i="4" s="1"/>
  <c r="I129" i="4"/>
  <c r="H129" i="4" s="1"/>
  <c r="I130" i="4"/>
  <c r="H130" i="4" s="1"/>
  <c r="I131" i="4"/>
  <c r="H131" i="4" s="1"/>
  <c r="I132" i="4"/>
  <c r="H132" i="4" s="1"/>
  <c r="I133" i="4"/>
  <c r="H133" i="4" s="1"/>
  <c r="I134" i="4"/>
  <c r="H134" i="4" s="1"/>
  <c r="I135" i="4"/>
  <c r="H135" i="4" s="1"/>
  <c r="I136" i="4"/>
  <c r="H136" i="4" s="1"/>
  <c r="I137" i="4"/>
  <c r="H137" i="4" s="1"/>
  <c r="I138" i="4"/>
  <c r="H138" i="4" s="1"/>
  <c r="I139" i="4"/>
  <c r="H139" i="4" s="1"/>
  <c r="I140" i="4"/>
  <c r="H140" i="4" s="1"/>
  <c r="I141" i="4"/>
  <c r="H141" i="4" s="1"/>
  <c r="I142" i="4"/>
  <c r="H142" i="4" s="1"/>
  <c r="I143" i="4"/>
  <c r="H143" i="4" s="1"/>
  <c r="I144" i="4"/>
  <c r="H144" i="4" s="1"/>
  <c r="I145" i="4"/>
  <c r="H145" i="4" s="1"/>
  <c r="I146" i="4"/>
  <c r="H146" i="4" s="1"/>
  <c r="I147" i="4"/>
  <c r="H147" i="4" s="1"/>
  <c r="I148" i="4"/>
  <c r="H148" i="4" s="1"/>
  <c r="I149" i="4"/>
  <c r="H149" i="4" s="1"/>
  <c r="I150" i="4"/>
  <c r="H150" i="4" s="1"/>
  <c r="I151" i="4"/>
  <c r="H151" i="4" s="1"/>
  <c r="I152" i="4"/>
  <c r="H152" i="4" s="1"/>
  <c r="I153" i="4"/>
  <c r="H153" i="4" s="1"/>
  <c r="I154" i="4"/>
  <c r="H154" i="4" s="1"/>
  <c r="I155" i="4"/>
  <c r="H155" i="4" s="1"/>
  <c r="I156" i="4"/>
  <c r="H156" i="4" s="1"/>
  <c r="I157" i="4"/>
  <c r="H157" i="4" s="1"/>
  <c r="I158" i="4"/>
  <c r="H158" i="4" s="1"/>
  <c r="I159" i="4"/>
  <c r="H159" i="4" s="1"/>
  <c r="I160" i="4"/>
  <c r="H160" i="4" s="1"/>
  <c r="I161" i="4"/>
  <c r="H161" i="4" s="1"/>
  <c r="I162" i="4"/>
  <c r="H162" i="4" s="1"/>
  <c r="I163" i="4"/>
  <c r="H163" i="4" s="1"/>
  <c r="I164" i="4"/>
  <c r="H164" i="4" s="1"/>
  <c r="I165" i="4"/>
  <c r="H165" i="4" s="1"/>
  <c r="I166" i="4"/>
  <c r="H166" i="4" s="1"/>
  <c r="I167" i="4"/>
  <c r="H167" i="4" s="1"/>
  <c r="I168" i="4"/>
  <c r="H168" i="4" s="1"/>
  <c r="I169" i="4"/>
  <c r="H169" i="4" s="1"/>
  <c r="I170" i="4"/>
  <c r="H170" i="4" s="1"/>
  <c r="I171" i="4"/>
  <c r="H171" i="4" s="1"/>
  <c r="I172" i="4"/>
  <c r="H172" i="4" s="1"/>
  <c r="I173" i="4"/>
  <c r="H173" i="4" s="1"/>
  <c r="I174" i="4"/>
  <c r="H174" i="4" s="1"/>
  <c r="I175" i="4"/>
  <c r="H175" i="4" s="1"/>
  <c r="I176" i="4"/>
  <c r="H176" i="4" s="1"/>
  <c r="I177" i="4"/>
  <c r="H177" i="4" s="1"/>
  <c r="I178" i="4"/>
  <c r="H178" i="4" s="1"/>
  <c r="I179" i="4"/>
  <c r="H179" i="4" s="1"/>
  <c r="I180" i="4"/>
  <c r="H180" i="4" s="1"/>
  <c r="I181" i="4"/>
  <c r="H181" i="4" s="1"/>
  <c r="I182" i="4"/>
  <c r="H182" i="4" s="1"/>
  <c r="I183" i="4"/>
  <c r="H183" i="4" s="1"/>
  <c r="I184" i="4"/>
  <c r="H184" i="4" s="1"/>
  <c r="I185" i="4"/>
  <c r="H185" i="4" s="1"/>
  <c r="I186" i="4"/>
  <c r="H186" i="4" s="1"/>
  <c r="I187" i="4"/>
  <c r="H187" i="4" s="1"/>
  <c r="I188" i="4"/>
  <c r="H188" i="4" s="1"/>
  <c r="I189" i="4"/>
  <c r="H189" i="4" s="1"/>
  <c r="I190" i="4"/>
  <c r="H190" i="4" s="1"/>
  <c r="I191" i="4"/>
  <c r="H191" i="4" s="1"/>
  <c r="I192" i="4"/>
  <c r="H192" i="4" s="1"/>
  <c r="I193" i="4"/>
  <c r="H193" i="4" s="1"/>
  <c r="I194" i="4"/>
  <c r="H194" i="4" s="1"/>
  <c r="I195" i="4"/>
  <c r="H195" i="4" s="1"/>
  <c r="I196" i="4"/>
  <c r="H196" i="4" s="1"/>
  <c r="I197" i="4"/>
  <c r="H197" i="4" s="1"/>
  <c r="I198" i="4"/>
  <c r="H198" i="4" s="1"/>
  <c r="I199" i="4"/>
  <c r="H199" i="4" s="1"/>
  <c r="I200" i="4"/>
  <c r="H200" i="4" s="1"/>
  <c r="I201" i="4"/>
  <c r="H201" i="4" s="1"/>
  <c r="I202" i="4"/>
  <c r="H202" i="4" s="1"/>
  <c r="I203" i="4"/>
  <c r="H203" i="4" s="1"/>
  <c r="I204" i="4"/>
  <c r="H204" i="4" s="1"/>
  <c r="I205" i="4"/>
  <c r="H205" i="4" s="1"/>
  <c r="I206" i="4"/>
  <c r="H206" i="4" s="1"/>
  <c r="I207" i="4"/>
  <c r="H207" i="4" s="1"/>
  <c r="I208" i="4"/>
  <c r="H208" i="4" s="1"/>
  <c r="I209" i="4"/>
  <c r="H209" i="4" s="1"/>
  <c r="I210" i="4"/>
  <c r="H210" i="4" s="1"/>
  <c r="I211" i="4"/>
  <c r="H211" i="4" s="1"/>
  <c r="I212" i="4"/>
  <c r="H212" i="4" s="1"/>
  <c r="I213" i="4"/>
  <c r="H213" i="4" s="1"/>
  <c r="I214" i="4"/>
  <c r="H214" i="4" s="1"/>
  <c r="I215" i="4"/>
  <c r="H215" i="4" s="1"/>
  <c r="I216" i="4"/>
  <c r="H216" i="4" s="1"/>
  <c r="I217" i="4"/>
  <c r="H217" i="4" s="1"/>
  <c r="I218" i="4"/>
  <c r="H218" i="4" s="1"/>
  <c r="I219" i="4"/>
  <c r="H219" i="4" s="1"/>
  <c r="I220" i="4"/>
  <c r="H220" i="4" s="1"/>
  <c r="I221" i="4"/>
  <c r="H221" i="4" s="1"/>
  <c r="I222" i="4"/>
  <c r="H222" i="4" s="1"/>
  <c r="I223" i="4"/>
  <c r="H223" i="4" s="1"/>
  <c r="I224" i="4"/>
  <c r="H224" i="4" s="1"/>
  <c r="I225" i="4"/>
  <c r="H225" i="4" s="1"/>
  <c r="I226" i="4"/>
  <c r="H226" i="4" s="1"/>
  <c r="I227" i="4"/>
  <c r="H227" i="4" s="1"/>
  <c r="I228" i="4"/>
  <c r="H228" i="4" s="1"/>
  <c r="I229" i="4"/>
  <c r="H229" i="4" s="1"/>
  <c r="I230" i="4"/>
  <c r="H230" i="4" s="1"/>
  <c r="I231" i="4"/>
  <c r="H231" i="4" s="1"/>
  <c r="I232" i="4"/>
  <c r="H232" i="4" s="1"/>
  <c r="I233" i="4"/>
  <c r="H233" i="4" s="1"/>
  <c r="I234" i="4"/>
  <c r="H234" i="4" s="1"/>
  <c r="I235" i="4"/>
  <c r="H235" i="4" s="1"/>
  <c r="I236" i="4"/>
  <c r="H236" i="4" s="1"/>
  <c r="I237" i="4"/>
  <c r="H237" i="4" s="1"/>
  <c r="I238" i="4"/>
  <c r="H238" i="4" s="1"/>
  <c r="I239" i="4"/>
  <c r="H239" i="4" s="1"/>
  <c r="I240" i="4"/>
  <c r="H240" i="4" s="1"/>
  <c r="I241" i="4"/>
  <c r="H241" i="4" s="1"/>
  <c r="I242" i="4"/>
  <c r="H242" i="4" s="1"/>
  <c r="I243" i="4"/>
  <c r="H243" i="4" s="1"/>
  <c r="I244" i="4"/>
  <c r="H244" i="4" s="1"/>
  <c r="I245" i="4"/>
  <c r="H245" i="4" s="1"/>
  <c r="I246" i="4"/>
  <c r="H246" i="4" s="1"/>
  <c r="I247" i="4"/>
  <c r="H247" i="4" s="1"/>
  <c r="I248" i="4"/>
  <c r="H248" i="4" s="1"/>
  <c r="I249" i="4"/>
  <c r="H249" i="4" s="1"/>
  <c r="I250" i="4"/>
  <c r="H250" i="4" s="1"/>
  <c r="I251" i="4"/>
  <c r="H251" i="4" s="1"/>
  <c r="I252" i="4"/>
  <c r="H252" i="4" s="1"/>
  <c r="I253" i="4"/>
  <c r="H253" i="4" s="1"/>
  <c r="I254" i="4"/>
  <c r="H254" i="4" s="1"/>
  <c r="I255" i="4"/>
  <c r="H255" i="4" s="1"/>
  <c r="I256" i="4"/>
  <c r="H256" i="4" s="1"/>
  <c r="I257" i="4"/>
  <c r="H257" i="4" s="1"/>
  <c r="I258" i="4"/>
  <c r="H258" i="4" s="1"/>
  <c r="I259" i="4"/>
  <c r="H259" i="4" s="1"/>
  <c r="I260" i="4"/>
  <c r="H260" i="4" s="1"/>
  <c r="I261" i="4"/>
  <c r="H261" i="4" s="1"/>
  <c r="I262" i="4"/>
  <c r="H262" i="4" s="1"/>
  <c r="I263" i="4"/>
  <c r="H263" i="4" s="1"/>
  <c r="I264" i="4"/>
  <c r="H264" i="4" s="1"/>
  <c r="I265" i="4"/>
  <c r="H265" i="4" s="1"/>
  <c r="I266" i="4"/>
  <c r="H266" i="4" s="1"/>
  <c r="I267" i="4"/>
  <c r="H267" i="4" s="1"/>
  <c r="I268" i="4"/>
  <c r="H268" i="4" s="1"/>
  <c r="I270" i="4"/>
  <c r="H270" i="4" s="1"/>
  <c r="I269" i="4"/>
  <c r="H269" i="4" s="1"/>
  <c r="I272" i="4"/>
  <c r="H272" i="4" s="1"/>
  <c r="I271" i="4"/>
  <c r="H271" i="4" s="1"/>
  <c r="I273" i="4"/>
  <c r="H273" i="4" s="1"/>
  <c r="I274" i="4"/>
  <c r="H274" i="4" s="1"/>
  <c r="I275" i="4"/>
  <c r="H275" i="4" s="1"/>
  <c r="I276" i="4"/>
  <c r="H276" i="4" s="1"/>
  <c r="I277" i="4"/>
  <c r="H277" i="4" s="1"/>
  <c r="I278" i="4"/>
  <c r="H278" i="4" s="1"/>
  <c r="I279" i="4"/>
  <c r="H279" i="4" s="1"/>
  <c r="I280" i="4"/>
  <c r="H280" i="4" s="1"/>
  <c r="I281" i="4"/>
  <c r="H281" i="4" s="1"/>
  <c r="I282" i="4"/>
  <c r="H282" i="4" s="1"/>
  <c r="I283" i="4"/>
  <c r="H283" i="4" s="1"/>
  <c r="I284" i="4"/>
  <c r="H284" i="4" s="1"/>
  <c r="I285" i="4"/>
  <c r="H285" i="4" s="1"/>
  <c r="I286" i="4"/>
  <c r="H286" i="4" s="1"/>
  <c r="I287" i="4"/>
  <c r="H287" i="4" s="1"/>
  <c r="I288" i="4"/>
  <c r="H288" i="4" s="1"/>
  <c r="I289" i="4"/>
  <c r="H289" i="4" s="1"/>
  <c r="I290" i="4"/>
  <c r="H290" i="4" s="1"/>
  <c r="I291" i="4"/>
  <c r="H291" i="4" s="1"/>
  <c r="I292" i="4"/>
  <c r="H292" i="4" s="1"/>
  <c r="I293" i="4"/>
  <c r="H293" i="4" s="1"/>
  <c r="I294" i="4"/>
  <c r="H294" i="4" s="1"/>
  <c r="I295" i="4"/>
  <c r="H295" i="4" s="1"/>
  <c r="I296" i="4"/>
  <c r="H296" i="4" s="1"/>
  <c r="I297" i="4"/>
  <c r="H297" i="4" s="1"/>
  <c r="I298" i="4"/>
  <c r="H298" i="4" s="1"/>
  <c r="I299" i="4"/>
  <c r="H299" i="4" s="1"/>
  <c r="I300" i="4"/>
  <c r="H300" i="4" s="1"/>
  <c r="I301" i="4"/>
  <c r="H301" i="4" s="1"/>
  <c r="I302" i="4"/>
  <c r="H302" i="4" s="1"/>
  <c r="I303" i="4"/>
  <c r="H303" i="4" s="1"/>
  <c r="I304" i="4"/>
  <c r="H304" i="4" s="1"/>
  <c r="I305" i="4"/>
  <c r="H305" i="4" s="1"/>
  <c r="I306" i="4"/>
  <c r="H306" i="4" s="1"/>
  <c r="I307" i="4"/>
  <c r="H307" i="4" s="1"/>
  <c r="I308" i="4"/>
  <c r="H308" i="4" s="1"/>
  <c r="I309" i="4"/>
  <c r="H309" i="4" s="1"/>
  <c r="I310" i="4"/>
  <c r="H310" i="4" s="1"/>
  <c r="I311" i="4"/>
  <c r="H311" i="4" s="1"/>
  <c r="I312" i="4"/>
  <c r="H312" i="4" s="1"/>
  <c r="I313" i="4"/>
  <c r="H313" i="4" s="1"/>
  <c r="I314" i="4"/>
  <c r="H314" i="4" s="1"/>
  <c r="I315" i="4"/>
  <c r="H315" i="4" s="1"/>
  <c r="I316" i="4"/>
  <c r="H316" i="4" s="1"/>
  <c r="I317" i="4"/>
  <c r="H317" i="4" s="1"/>
  <c r="I318" i="4"/>
  <c r="H318" i="4" s="1"/>
  <c r="I319" i="4"/>
  <c r="H319" i="4" s="1"/>
  <c r="I320" i="4"/>
  <c r="H320" i="4" s="1"/>
  <c r="I321" i="4"/>
  <c r="H321" i="4" s="1"/>
  <c r="I322" i="4"/>
  <c r="H322" i="4" s="1"/>
  <c r="I323" i="4"/>
  <c r="H323" i="4" s="1"/>
  <c r="I324" i="4"/>
  <c r="H324" i="4" s="1"/>
  <c r="I325" i="4"/>
  <c r="H325" i="4" s="1"/>
  <c r="I326" i="4"/>
  <c r="H326" i="4" s="1"/>
  <c r="I327" i="4"/>
  <c r="H327" i="4" s="1"/>
  <c r="I328" i="4"/>
  <c r="H328" i="4" s="1"/>
  <c r="I329" i="4"/>
  <c r="H329" i="4" s="1"/>
  <c r="I330" i="4"/>
  <c r="H330" i="4" s="1"/>
  <c r="I331" i="4"/>
  <c r="H331" i="4" s="1"/>
  <c r="I332" i="4"/>
  <c r="H332" i="4" s="1"/>
  <c r="I333" i="4"/>
  <c r="H333" i="4" s="1"/>
  <c r="I334" i="4"/>
  <c r="H334" i="4" s="1"/>
  <c r="I335" i="4"/>
  <c r="H335" i="4" s="1"/>
  <c r="I336" i="4"/>
  <c r="H336" i="4" s="1"/>
  <c r="I337" i="4"/>
  <c r="H337" i="4" s="1"/>
  <c r="I338" i="4"/>
  <c r="H338" i="4" s="1"/>
  <c r="I339" i="4"/>
  <c r="H339" i="4" s="1"/>
  <c r="I340" i="4"/>
  <c r="H340" i="4" s="1"/>
  <c r="I341" i="4"/>
  <c r="H341" i="4" s="1"/>
  <c r="I342" i="4"/>
  <c r="H342" i="4" s="1"/>
  <c r="I343" i="4"/>
  <c r="H343" i="4" s="1"/>
  <c r="I344" i="4"/>
  <c r="H344" i="4" s="1"/>
  <c r="I345" i="4"/>
  <c r="H345" i="4" s="1"/>
  <c r="I346" i="4"/>
  <c r="H346" i="4" s="1"/>
  <c r="I347" i="4"/>
  <c r="H347" i="4" s="1"/>
  <c r="I348" i="4"/>
  <c r="H348" i="4" s="1"/>
  <c r="I349" i="4"/>
  <c r="H349" i="4" s="1"/>
  <c r="I350" i="4"/>
  <c r="H350" i="4" s="1"/>
  <c r="I351" i="4"/>
  <c r="H351" i="4" s="1"/>
  <c r="I352" i="4"/>
  <c r="H352" i="4" s="1"/>
  <c r="I353" i="4"/>
  <c r="H353" i="4" s="1"/>
  <c r="I354" i="4"/>
  <c r="H354" i="4" s="1"/>
  <c r="I355" i="4"/>
  <c r="H355" i="4" s="1"/>
  <c r="I356" i="4"/>
  <c r="H356" i="4" s="1"/>
  <c r="I357" i="4"/>
  <c r="H357" i="4" s="1"/>
  <c r="I358" i="4"/>
  <c r="H358" i="4" s="1"/>
  <c r="I359" i="4"/>
  <c r="H359" i="4" s="1"/>
  <c r="I360" i="4"/>
  <c r="H360" i="4" s="1"/>
  <c r="I361" i="4"/>
  <c r="H361" i="4" s="1"/>
  <c r="I362" i="4"/>
  <c r="H362" i="4" s="1"/>
  <c r="I363" i="4"/>
  <c r="H363" i="4" s="1"/>
  <c r="I364" i="4"/>
  <c r="H364" i="4" s="1"/>
  <c r="I365" i="4"/>
  <c r="H365" i="4" s="1"/>
  <c r="I366" i="4"/>
  <c r="H366" i="4" s="1"/>
  <c r="I367" i="4"/>
  <c r="H367" i="4" s="1"/>
  <c r="I368" i="4"/>
  <c r="H368" i="4" s="1"/>
  <c r="I369" i="4"/>
  <c r="H369" i="4" s="1"/>
  <c r="I370" i="4"/>
  <c r="H370" i="4" s="1"/>
  <c r="I371" i="4"/>
  <c r="H371" i="4" s="1"/>
  <c r="I372" i="4"/>
  <c r="H372" i="4" s="1"/>
  <c r="I373" i="4"/>
  <c r="H373" i="4" s="1"/>
  <c r="I374" i="4"/>
  <c r="H374" i="4" s="1"/>
  <c r="I375" i="4"/>
  <c r="H375" i="4" s="1"/>
  <c r="I376" i="4"/>
  <c r="H376" i="4" s="1"/>
  <c r="I377" i="4"/>
  <c r="H377" i="4" s="1"/>
  <c r="I378" i="4"/>
  <c r="H378" i="4" s="1"/>
  <c r="I379" i="4"/>
  <c r="H379" i="4" s="1"/>
  <c r="I380" i="4"/>
  <c r="H380" i="4" s="1"/>
  <c r="I381" i="4"/>
  <c r="H381" i="4" s="1"/>
  <c r="I382" i="4"/>
  <c r="H382" i="4" s="1"/>
  <c r="I383" i="4"/>
  <c r="H383" i="4" s="1"/>
  <c r="I384" i="4"/>
  <c r="H384" i="4" s="1"/>
  <c r="I385" i="4"/>
  <c r="H385" i="4" s="1"/>
  <c r="I386" i="4"/>
  <c r="H386" i="4" s="1"/>
  <c r="I387" i="4"/>
  <c r="H387" i="4" s="1"/>
  <c r="I388" i="4"/>
  <c r="H388" i="4" s="1"/>
  <c r="I389" i="4"/>
  <c r="H389" i="4" s="1"/>
  <c r="I390" i="4"/>
  <c r="H390" i="4" s="1"/>
  <c r="I391" i="4"/>
  <c r="H391" i="4" s="1"/>
  <c r="I392" i="4"/>
  <c r="H392" i="4" s="1"/>
  <c r="I393" i="4"/>
  <c r="H393" i="4" s="1"/>
  <c r="I394" i="4"/>
  <c r="H394" i="4" s="1"/>
  <c r="I395" i="4"/>
  <c r="H395" i="4" s="1"/>
  <c r="I396" i="4"/>
  <c r="H396" i="4" s="1"/>
  <c r="I397" i="4"/>
  <c r="H397" i="4" s="1"/>
  <c r="I398" i="4"/>
  <c r="H398" i="4" s="1"/>
  <c r="I399" i="4"/>
  <c r="H399" i="4" s="1"/>
  <c r="I400" i="4"/>
  <c r="H400" i="4" s="1"/>
  <c r="I401" i="4"/>
  <c r="H401" i="4" s="1"/>
  <c r="I402" i="4"/>
  <c r="H402" i="4" s="1"/>
  <c r="I403" i="4"/>
  <c r="H403" i="4" s="1"/>
  <c r="I404" i="4"/>
  <c r="H404" i="4" s="1"/>
  <c r="I405" i="4"/>
  <c r="H405" i="4" s="1"/>
  <c r="I406" i="4"/>
  <c r="H406" i="4" s="1"/>
  <c r="I407" i="4"/>
  <c r="H407" i="4" s="1"/>
  <c r="I408" i="4"/>
  <c r="H408" i="4" s="1"/>
  <c r="I409" i="4"/>
  <c r="H409" i="4" s="1"/>
  <c r="I410" i="4"/>
  <c r="H410" i="4" s="1"/>
  <c r="I411" i="4"/>
  <c r="H411" i="4" s="1"/>
  <c r="I412" i="4"/>
  <c r="H412" i="4" s="1"/>
  <c r="I413" i="4"/>
  <c r="H413" i="4" s="1"/>
  <c r="I414" i="4"/>
  <c r="H414" i="4" s="1"/>
  <c r="I415" i="4"/>
  <c r="H415" i="4" s="1"/>
  <c r="I416" i="4"/>
  <c r="H416" i="4" s="1"/>
  <c r="I417" i="4"/>
  <c r="H417" i="4" s="1"/>
  <c r="I418" i="4"/>
  <c r="H418" i="4" s="1"/>
  <c r="I419" i="4"/>
  <c r="H419" i="4" s="1"/>
  <c r="I420" i="4"/>
  <c r="H420" i="4" s="1"/>
  <c r="I421" i="4"/>
  <c r="H421" i="4" s="1"/>
  <c r="I422" i="4"/>
  <c r="H422" i="4" s="1"/>
  <c r="I423" i="4"/>
  <c r="H423" i="4" s="1"/>
  <c r="I424" i="4"/>
  <c r="H424" i="4" s="1"/>
  <c r="I425" i="4"/>
  <c r="H425" i="4" s="1"/>
  <c r="I426" i="4"/>
  <c r="H426" i="4" s="1"/>
  <c r="I427" i="4"/>
  <c r="H427" i="4" s="1"/>
  <c r="I428" i="4"/>
  <c r="H428" i="4" s="1"/>
  <c r="I429" i="4"/>
  <c r="H429" i="4" s="1"/>
  <c r="I430" i="4"/>
  <c r="H430" i="4" s="1"/>
  <c r="I431" i="4"/>
  <c r="H431" i="4" s="1"/>
  <c r="I432" i="4"/>
  <c r="H432" i="4" s="1"/>
  <c r="I433" i="4"/>
  <c r="H433" i="4" s="1"/>
  <c r="I434" i="4"/>
  <c r="H434" i="4" s="1"/>
  <c r="I435" i="4"/>
  <c r="H435" i="4" s="1"/>
  <c r="I436" i="4"/>
  <c r="H436" i="4" s="1"/>
  <c r="I454" i="4"/>
  <c r="H454" i="4" s="1"/>
  <c r="I455" i="4"/>
  <c r="H455" i="4" s="1"/>
  <c r="I456" i="4"/>
  <c r="H456" i="4" s="1"/>
  <c r="I457" i="4"/>
  <c r="H457" i="4" s="1"/>
  <c r="I484" i="4"/>
  <c r="H484" i="4" s="1"/>
  <c r="I485" i="4"/>
  <c r="H485" i="4" s="1"/>
  <c r="I486" i="4"/>
  <c r="H486" i="4" s="1"/>
  <c r="I487" i="4"/>
  <c r="H487" i="4" s="1"/>
  <c r="I488" i="4"/>
  <c r="H488" i="4" s="1"/>
  <c r="I495" i="4"/>
  <c r="H495" i="4" s="1"/>
  <c r="I496" i="4"/>
  <c r="H496" i="4" s="1"/>
  <c r="I497" i="4"/>
  <c r="H497" i="4" s="1"/>
  <c r="I498" i="4"/>
  <c r="H498" i="4" s="1"/>
  <c r="I499" i="4"/>
  <c r="H499" i="4" s="1"/>
  <c r="I500" i="4"/>
  <c r="H500" i="4" s="1"/>
  <c r="I501" i="4"/>
  <c r="H501" i="4" s="1"/>
  <c r="I502" i="4"/>
  <c r="H502" i="4" s="1"/>
  <c r="A378" i="4"/>
  <c r="A300" i="4"/>
  <c r="A301" i="4"/>
  <c r="A383" i="4"/>
  <c r="A384" i="4"/>
  <c r="A231" i="4"/>
  <c r="A230" i="4"/>
  <c r="A299" i="4"/>
  <c r="A382" i="4"/>
  <c r="A111" i="4"/>
  <c r="A46" i="4"/>
  <c r="A99" i="4"/>
  <c r="A229" i="4"/>
  <c r="A298" i="4"/>
  <c r="A381" i="4"/>
  <c r="A45" i="4"/>
  <c r="A98" i="4"/>
  <c r="A228" i="4"/>
  <c r="A297" i="4"/>
  <c r="A380" i="4"/>
  <c r="A213" i="4"/>
  <c r="A286" i="4"/>
  <c r="A364" i="4"/>
  <c r="A316" i="4"/>
  <c r="A399" i="4"/>
  <c r="A110" i="4"/>
  <c r="A159" i="4"/>
  <c r="A186" i="4"/>
  <c r="A246" i="4"/>
  <c r="A398" i="4"/>
  <c r="A109" i="4"/>
  <c r="A90" i="4"/>
  <c r="A39" i="4"/>
  <c r="A44" i="4"/>
  <c r="A97" i="4"/>
  <c r="A227" i="4"/>
  <c r="A296" i="4"/>
  <c r="A379" i="4"/>
  <c r="A245" i="4"/>
  <c r="A315" i="4"/>
  <c r="A425" i="4"/>
  <c r="A106" i="4"/>
  <c r="A107" i="4"/>
  <c r="A202" i="4"/>
  <c r="A276" i="4"/>
  <c r="A277" i="4"/>
  <c r="A350" i="4"/>
  <c r="A351" i="4"/>
  <c r="A414" i="4"/>
  <c r="A104" i="4"/>
  <c r="A105" i="4"/>
  <c r="A185" i="4"/>
  <c r="A175" i="4"/>
  <c r="A88" i="4"/>
  <c r="A89" i="4"/>
  <c r="A391" i="4"/>
  <c r="A96" i="4"/>
  <c r="A226" i="4"/>
  <c r="A348" i="4"/>
  <c r="A349" i="4"/>
  <c r="A413" i="4"/>
  <c r="A389" i="4"/>
  <c r="A201" i="4"/>
  <c r="A274" i="4"/>
  <c r="A275" i="4"/>
  <c r="A16" i="4"/>
  <c r="A51" i="4"/>
  <c r="A239" i="4"/>
  <c r="A240" i="4"/>
  <c r="A308" i="4"/>
  <c r="A309" i="4"/>
  <c r="A37" i="4"/>
  <c r="A38" i="4"/>
  <c r="A102" i="4"/>
  <c r="A103" i="4"/>
  <c r="A138" i="4"/>
  <c r="A139" i="4"/>
  <c r="A140" i="4"/>
  <c r="A314" i="4"/>
  <c r="A372" i="4"/>
  <c r="A373" i="4"/>
  <c r="A397" i="4"/>
  <c r="A396" i="4"/>
  <c r="A80" i="4"/>
  <c r="A455" i="4"/>
  <c r="A487" i="4"/>
  <c r="A184" i="4"/>
  <c r="A424" i="4"/>
  <c r="A136" i="4"/>
  <c r="A137" i="4"/>
  <c r="A244" i="4"/>
  <c r="A499" i="4"/>
  <c r="A361" i="4"/>
  <c r="A343" i="4"/>
  <c r="A344" i="4"/>
  <c r="A345" i="4"/>
  <c r="A346" i="4"/>
  <c r="A347" i="4"/>
  <c r="A412" i="4"/>
  <c r="A68" i="4"/>
  <c r="A69" i="4"/>
  <c r="A86" i="4"/>
  <c r="A87" i="4"/>
  <c r="A100" i="4"/>
  <c r="A101" i="4"/>
  <c r="A50" i="4"/>
  <c r="A200" i="4"/>
  <c r="A272" i="4"/>
  <c r="A271" i="4"/>
  <c r="A273" i="4"/>
  <c r="A388" i="4"/>
  <c r="A133" i="4"/>
  <c r="A134" i="4"/>
  <c r="A135" i="4"/>
  <c r="A313" i="4"/>
  <c r="A395" i="4"/>
  <c r="A436" i="4"/>
  <c r="A35" i="4"/>
  <c r="A36" i="4"/>
  <c r="A237" i="4"/>
  <c r="A238" i="4"/>
  <c r="A306" i="4"/>
  <c r="A307" i="4"/>
  <c r="A390" i="4"/>
  <c r="A173" i="4"/>
  <c r="A174" i="4"/>
  <c r="A183" i="4"/>
  <c r="A243" i="4"/>
  <c r="A131" i="4"/>
  <c r="A132" i="4"/>
  <c r="A423" i="4"/>
  <c r="A13" i="4"/>
  <c r="A486" i="4"/>
  <c r="A360" i="4"/>
  <c r="A370" i="4"/>
  <c r="A371" i="4"/>
  <c r="A79" i="4"/>
  <c r="A85" i="4"/>
  <c r="A405" i="4"/>
  <c r="A15" i="4"/>
  <c r="A205" i="4"/>
  <c r="A26" i="4"/>
  <c r="A171" i="4"/>
  <c r="A172" i="4"/>
  <c r="A128" i="4"/>
  <c r="A129" i="4"/>
  <c r="A130" i="4"/>
  <c r="A340" i="4"/>
  <c r="A341" i="4"/>
  <c r="A342" i="4"/>
  <c r="A498" i="4"/>
  <c r="A411" i="4"/>
  <c r="A49" i="4"/>
  <c r="A394" i="4"/>
  <c r="A182" i="4"/>
  <c r="A242" i="4"/>
  <c r="A312" i="4"/>
  <c r="A199" i="4"/>
  <c r="A268" i="4"/>
  <c r="A270" i="4"/>
  <c r="A269" i="4"/>
  <c r="A126" i="4"/>
  <c r="A127" i="4"/>
  <c r="A212" i="4"/>
  <c r="A66" i="4"/>
  <c r="A67" i="4"/>
  <c r="A454" i="4"/>
  <c r="A485" i="4"/>
  <c r="A387" i="4"/>
  <c r="A393" i="4"/>
  <c r="A497" i="4"/>
  <c r="A193" i="4"/>
  <c r="A311" i="4"/>
  <c r="A435" i="4"/>
  <c r="A56" i="4"/>
  <c r="A57" i="4"/>
  <c r="A84" i="4"/>
  <c r="A235" i="4"/>
  <c r="A236" i="4"/>
  <c r="A304" i="4"/>
  <c r="A305" i="4"/>
  <c r="A255" i="4"/>
  <c r="A256" i="4"/>
  <c r="A325" i="4"/>
  <c r="A326" i="4"/>
  <c r="A404" i="4"/>
  <c r="A241" i="4"/>
  <c r="A169" i="4"/>
  <c r="A170" i="4"/>
  <c r="A12" i="4"/>
  <c r="A204" i="4"/>
  <c r="A123" i="4"/>
  <c r="A124" i="4"/>
  <c r="A125" i="4"/>
  <c r="A198" i="4"/>
  <c r="A265" i="4"/>
  <c r="A266" i="4"/>
  <c r="A267" i="4"/>
  <c r="A285" i="4"/>
  <c r="A363" i="4"/>
  <c r="A181" i="4"/>
  <c r="A48" i="4"/>
  <c r="A121" i="4"/>
  <c r="A122" i="4"/>
  <c r="A119" i="4"/>
  <c r="A120" i="4"/>
  <c r="A337" i="4"/>
  <c r="A338" i="4"/>
  <c r="A339" i="4"/>
  <c r="A422" i="4"/>
  <c r="A410" i="4"/>
  <c r="A108" i="4"/>
  <c r="A93" i="4"/>
  <c r="A94" i="4"/>
  <c r="A217" i="4"/>
  <c r="A78" i="4"/>
  <c r="A369" i="4"/>
  <c r="A359" i="4"/>
  <c r="A431" i="4"/>
  <c r="A216" i="4"/>
  <c r="A288" i="4"/>
  <c r="A365" i="4"/>
  <c r="A25" i="4"/>
  <c r="A392" i="4"/>
  <c r="A40" i="4"/>
  <c r="A41" i="4"/>
  <c r="A415" i="4"/>
  <c r="A310" i="4"/>
  <c r="A496" i="4"/>
  <c r="A149" i="4"/>
  <c r="A150" i="4"/>
  <c r="A192" i="4"/>
  <c r="A197" i="4"/>
  <c r="A263" i="4"/>
  <c r="A264" i="4"/>
  <c r="A484" i="4"/>
  <c r="A167" i="4"/>
  <c r="A168" i="4"/>
  <c r="A54" i="4"/>
  <c r="A55" i="4"/>
  <c r="A322" i="4"/>
  <c r="A323" i="4"/>
  <c r="A324" i="4"/>
  <c r="A403" i="4"/>
  <c r="A252" i="4"/>
  <c r="A253" i="4"/>
  <c r="A254" i="4"/>
  <c r="A14" i="4"/>
  <c r="A21" i="4"/>
  <c r="A427" i="4"/>
  <c r="A34" i="4"/>
  <c r="A82" i="4"/>
  <c r="A211" i="4"/>
  <c r="A116" i="4"/>
  <c r="A117" i="4"/>
  <c r="A118" i="4"/>
  <c r="A114" i="4"/>
  <c r="A115" i="4"/>
  <c r="A495" i="4"/>
  <c r="A47" i="4"/>
  <c r="A352" i="4"/>
  <c r="A113" i="4"/>
  <c r="A112" i="4"/>
  <c r="A160" i="4"/>
  <c r="A335" i="4"/>
  <c r="A336" i="4"/>
  <c r="A409" i="4"/>
  <c r="A215" i="4"/>
  <c r="A287" i="4"/>
  <c r="A11" i="4"/>
  <c r="A83" i="4"/>
  <c r="A91" i="4"/>
  <c r="A92" i="4"/>
  <c r="A147" i="4"/>
  <c r="A148" i="4"/>
  <c r="A214" i="4"/>
  <c r="A64" i="4"/>
  <c r="A65" i="4"/>
  <c r="A162" i="4"/>
  <c r="A233" i="4"/>
  <c r="A234" i="4"/>
  <c r="A302" i="4"/>
  <c r="A303" i="4"/>
  <c r="A386" i="4"/>
  <c r="A368" i="4"/>
  <c r="A434" i="4"/>
  <c r="A191" i="4"/>
  <c r="A206" i="4"/>
  <c r="A225" i="4"/>
  <c r="A284" i="4"/>
  <c r="A421" i="4"/>
  <c r="A294" i="4"/>
  <c r="A377" i="4"/>
  <c r="A203" i="4"/>
  <c r="A251" i="4"/>
  <c r="A278" i="4"/>
  <c r="A279" i="4"/>
  <c r="A180" i="4"/>
  <c r="A158" i="4"/>
  <c r="A179" i="4"/>
  <c r="A42" i="4"/>
  <c r="A43" i="4"/>
  <c r="A402" i="4"/>
  <c r="A321" i="4"/>
  <c r="A457" i="4"/>
  <c r="A488" i="4"/>
  <c r="A196" i="4"/>
  <c r="A502" i="4"/>
  <c r="A24" i="4"/>
  <c r="A62" i="4"/>
  <c r="A63" i="4"/>
  <c r="A332" i="4"/>
  <c r="A333" i="4"/>
  <c r="A334" i="4"/>
  <c r="A408" i="4"/>
  <c r="A260" i="4"/>
  <c r="A261" i="4"/>
  <c r="A262" i="4"/>
  <c r="A81" i="4"/>
  <c r="A219" i="4"/>
  <c r="A153" i="4"/>
  <c r="A154" i="4"/>
  <c r="A362" i="4"/>
  <c r="A426" i="4"/>
  <c r="A430" i="4"/>
  <c r="A290" i="4"/>
  <c r="A420" i="4"/>
  <c r="A77" i="4"/>
  <c r="A27" i="4"/>
  <c r="A145" i="4"/>
  <c r="A146" i="4"/>
  <c r="A367" i="4"/>
  <c r="A166" i="4"/>
  <c r="A10" i="4"/>
  <c r="A358" i="4"/>
  <c r="A433" i="4"/>
  <c r="A76" i="4"/>
  <c r="A161" i="4"/>
  <c r="A401" i="4"/>
  <c r="A95" i="4"/>
  <c r="A320" i="4"/>
  <c r="A177" i="4"/>
  <c r="A178" i="4"/>
  <c r="A190" i="4"/>
  <c r="A210" i="4"/>
  <c r="A232" i="4"/>
  <c r="A19" i="4"/>
  <c r="A20" i="4"/>
  <c r="A250" i="4"/>
  <c r="A224" i="4"/>
  <c r="A283" i="4"/>
  <c r="A293" i="4"/>
  <c r="A376" i="4"/>
  <c r="A151" i="4"/>
  <c r="A152" i="4"/>
  <c r="A157" i="4"/>
  <c r="A221" i="4"/>
  <c r="A419" i="4"/>
  <c r="A218" i="4"/>
  <c r="A289" i="4"/>
  <c r="A23" i="4"/>
  <c r="A53" i="4"/>
  <c r="A195" i="4"/>
  <c r="A357" i="4"/>
  <c r="A75" i="4"/>
  <c r="A366" i="4"/>
  <c r="A432" i="4"/>
  <c r="A60" i="4"/>
  <c r="A61" i="4"/>
  <c r="A329" i="4"/>
  <c r="A330" i="4"/>
  <c r="A331" i="4"/>
  <c r="A407" i="4"/>
  <c r="A257" i="4"/>
  <c r="A258" i="4"/>
  <c r="A259" i="4"/>
  <c r="A429" i="4"/>
  <c r="A165" i="4"/>
  <c r="A74" i="4"/>
  <c r="A143" i="4"/>
  <c r="A144" i="4"/>
  <c r="A223" i="4"/>
  <c r="A282" i="4"/>
  <c r="A356" i="4"/>
  <c r="A9" i="4"/>
  <c r="A292" i="4"/>
  <c r="A375" i="4"/>
  <c r="A209" i="4"/>
  <c r="A418" i="4"/>
  <c r="A32" i="4"/>
  <c r="A33" i="4"/>
  <c r="A400" i="4"/>
  <c r="A319" i="4"/>
  <c r="A176" i="4"/>
  <c r="A189" i="4"/>
  <c r="A249" i="4"/>
  <c r="A18" i="4"/>
  <c r="A73" i="4"/>
  <c r="A428" i="4"/>
  <c r="A156" i="4"/>
  <c r="A456" i="4"/>
  <c r="A22" i="4"/>
  <c r="A220" i="4"/>
  <c r="A194" i="4"/>
  <c r="A281" i="4"/>
  <c r="A417" i="4"/>
  <c r="A72" i="4"/>
  <c r="A291" i="4"/>
  <c r="A374" i="4"/>
  <c r="A164" i="4"/>
  <c r="A58" i="4"/>
  <c r="A59" i="4"/>
  <c r="A327" i="4"/>
  <c r="A328" i="4"/>
  <c r="A355" i="4"/>
  <c r="A406" i="4"/>
  <c r="A208" i="4"/>
  <c r="A30" i="4"/>
  <c r="A31" i="4"/>
  <c r="A501" i="4"/>
  <c r="A141" i="4"/>
  <c r="A142" i="4"/>
  <c r="A222" i="4"/>
  <c r="A385" i="4"/>
  <c r="A8" i="4"/>
  <c r="A71" i="4"/>
  <c r="A248" i="4"/>
  <c r="A318" i="4"/>
  <c r="A416" i="4"/>
  <c r="A70" i="4"/>
  <c r="A207" i="4"/>
  <c r="A28" i="4"/>
  <c r="A29" i="4"/>
  <c r="A280" i="4"/>
  <c r="A354" i="4"/>
  <c r="A155" i="4"/>
  <c r="A188" i="4"/>
  <c r="A17" i="4"/>
  <c r="A52" i="4"/>
  <c r="A163" i="4"/>
  <c r="A500" i="4"/>
  <c r="A353" i="4"/>
  <c r="A187" i="4"/>
  <c r="A247" i="4"/>
  <c r="A317" i="4"/>
  <c r="D378" i="4"/>
  <c r="D300" i="4"/>
  <c r="D301" i="4"/>
  <c r="D383" i="4"/>
  <c r="D384" i="4"/>
  <c r="D231" i="4"/>
  <c r="D230" i="4"/>
  <c r="D299" i="4"/>
  <c r="D382" i="4"/>
  <c r="D111" i="4"/>
  <c r="D46" i="4"/>
  <c r="D99" i="4"/>
  <c r="D229" i="4"/>
  <c r="D298" i="4"/>
  <c r="D381" i="4"/>
  <c r="D45" i="4"/>
  <c r="D98" i="4"/>
  <c r="D228" i="4"/>
  <c r="D297" i="4"/>
  <c r="D380" i="4"/>
  <c r="D213" i="4"/>
  <c r="D286" i="4"/>
  <c r="D364" i="4"/>
  <c r="D316" i="4"/>
  <c r="D399" i="4"/>
  <c r="D110" i="4"/>
  <c r="D159" i="4"/>
  <c r="D186" i="4"/>
  <c r="D246" i="4"/>
  <c r="D398" i="4"/>
  <c r="D109" i="4"/>
  <c r="D90" i="4"/>
  <c r="D39" i="4"/>
  <c r="D44" i="4"/>
  <c r="D97" i="4"/>
  <c r="D227" i="4"/>
  <c r="D296" i="4"/>
  <c r="D379" i="4"/>
  <c r="D245" i="4"/>
  <c r="D315" i="4"/>
  <c r="D425" i="4"/>
  <c r="D106" i="4"/>
  <c r="D107" i="4"/>
  <c r="D202" i="4"/>
  <c r="D276" i="4"/>
  <c r="D277" i="4"/>
  <c r="D350" i="4"/>
  <c r="D351" i="4"/>
  <c r="D414" i="4"/>
  <c r="D104" i="4"/>
  <c r="D105" i="4"/>
  <c r="D185" i="4"/>
  <c r="D175" i="4"/>
  <c r="D88" i="4"/>
  <c r="D89" i="4"/>
  <c r="D391" i="4"/>
  <c r="D96" i="4"/>
  <c r="D226" i="4"/>
  <c r="D348" i="4"/>
  <c r="D349" i="4"/>
  <c r="D413" i="4"/>
  <c r="D389" i="4"/>
  <c r="D201" i="4"/>
  <c r="D274" i="4"/>
  <c r="D275" i="4"/>
  <c r="D16" i="4"/>
  <c r="D51" i="4"/>
  <c r="D239" i="4"/>
  <c r="D240" i="4"/>
  <c r="D308" i="4"/>
  <c r="D309" i="4"/>
  <c r="D37" i="4"/>
  <c r="D38" i="4"/>
  <c r="D102" i="4"/>
  <c r="D103" i="4"/>
  <c r="D138" i="4"/>
  <c r="D139" i="4"/>
  <c r="D140" i="4"/>
  <c r="D314" i="4"/>
  <c r="D372" i="4"/>
  <c r="D373" i="4"/>
  <c r="D397" i="4"/>
  <c r="D396" i="4"/>
  <c r="D80" i="4"/>
  <c r="D455" i="4"/>
  <c r="D487" i="4"/>
  <c r="D184" i="4"/>
  <c r="D424" i="4"/>
  <c r="D136" i="4"/>
  <c r="D137" i="4"/>
  <c r="D244" i="4"/>
  <c r="D499" i="4"/>
  <c r="D361" i="4"/>
  <c r="D343" i="4"/>
  <c r="D344" i="4"/>
  <c r="D345" i="4"/>
  <c r="D346" i="4"/>
  <c r="D347" i="4"/>
  <c r="D412" i="4"/>
  <c r="D68" i="4"/>
  <c r="D69" i="4"/>
  <c r="D86" i="4"/>
  <c r="D87" i="4"/>
  <c r="D100" i="4"/>
  <c r="D101" i="4"/>
  <c r="D50" i="4"/>
  <c r="D200" i="4"/>
  <c r="D272" i="4"/>
  <c r="D271" i="4"/>
  <c r="D273" i="4"/>
  <c r="D388" i="4"/>
  <c r="D133" i="4"/>
  <c r="D134" i="4"/>
  <c r="D135" i="4"/>
  <c r="D313" i="4"/>
  <c r="D395" i="4"/>
  <c r="D436" i="4"/>
  <c r="D35" i="4"/>
  <c r="D36" i="4"/>
  <c r="D237" i="4"/>
  <c r="D238" i="4"/>
  <c r="D306" i="4"/>
  <c r="D307" i="4"/>
  <c r="D390" i="4"/>
  <c r="D173" i="4"/>
  <c r="D174" i="4"/>
  <c r="D183" i="4"/>
  <c r="D243" i="4"/>
  <c r="D131" i="4"/>
  <c r="D132" i="4"/>
  <c r="D423" i="4"/>
  <c r="D13" i="4"/>
  <c r="D486" i="4"/>
  <c r="D360" i="4"/>
  <c r="D370" i="4"/>
  <c r="D371" i="4"/>
  <c r="D79" i="4"/>
  <c r="D85" i="4"/>
  <c r="D405" i="4"/>
  <c r="D15" i="4"/>
  <c r="D205" i="4"/>
  <c r="D26" i="4"/>
  <c r="D171" i="4"/>
  <c r="D172" i="4"/>
  <c r="D128" i="4"/>
  <c r="D129" i="4"/>
  <c r="D130" i="4"/>
  <c r="D340" i="4"/>
  <c r="D341" i="4"/>
  <c r="D342" i="4"/>
  <c r="D498" i="4"/>
  <c r="D411" i="4"/>
  <c r="D49" i="4"/>
  <c r="D394" i="4"/>
  <c r="D182" i="4"/>
  <c r="D242" i="4"/>
  <c r="D312" i="4"/>
  <c r="D199" i="4"/>
  <c r="D268" i="4"/>
  <c r="D270" i="4"/>
  <c r="D269" i="4"/>
  <c r="D126" i="4"/>
  <c r="D127" i="4"/>
  <c r="D212" i="4"/>
  <c r="D66" i="4"/>
  <c r="D67" i="4"/>
  <c r="D454" i="4"/>
  <c r="D485" i="4"/>
  <c r="D387" i="4"/>
  <c r="D393" i="4"/>
  <c r="D497" i="4"/>
  <c r="D193" i="4"/>
  <c r="D311" i="4"/>
  <c r="D435" i="4"/>
  <c r="D56" i="4"/>
  <c r="D57" i="4"/>
  <c r="D84" i="4"/>
  <c r="D235" i="4"/>
  <c r="D236" i="4"/>
  <c r="D304" i="4"/>
  <c r="D305" i="4"/>
  <c r="D255" i="4"/>
  <c r="D256" i="4"/>
  <c r="D325" i="4"/>
  <c r="D326" i="4"/>
  <c r="D404" i="4"/>
  <c r="D241" i="4"/>
  <c r="D169" i="4"/>
  <c r="D170" i="4"/>
  <c r="D12" i="4"/>
  <c r="D204" i="4"/>
  <c r="D123" i="4"/>
  <c r="D124" i="4"/>
  <c r="D125" i="4"/>
  <c r="D198" i="4"/>
  <c r="D265" i="4"/>
  <c r="D266" i="4"/>
  <c r="D267" i="4"/>
  <c r="D285" i="4"/>
  <c r="D363" i="4"/>
  <c r="D181" i="4"/>
  <c r="D48" i="4"/>
  <c r="D121" i="4"/>
  <c r="D122" i="4"/>
  <c r="D119" i="4"/>
  <c r="D120" i="4"/>
  <c r="D337" i="4"/>
  <c r="D338" i="4"/>
  <c r="D339" i="4"/>
  <c r="D422" i="4"/>
  <c r="D410" i="4"/>
  <c r="D108" i="4"/>
  <c r="D93" i="4"/>
  <c r="D94" i="4"/>
  <c r="D217" i="4"/>
  <c r="D78" i="4"/>
  <c r="D369" i="4"/>
  <c r="D359" i="4"/>
  <c r="D431" i="4"/>
  <c r="D216" i="4"/>
  <c r="D288" i="4"/>
  <c r="D365" i="4"/>
  <c r="D25" i="4"/>
  <c r="D392" i="4"/>
  <c r="D40" i="4"/>
  <c r="D41" i="4"/>
  <c r="D415" i="4"/>
  <c r="D310" i="4"/>
  <c r="D496" i="4"/>
  <c r="D149" i="4"/>
  <c r="D150" i="4"/>
  <c r="D192" i="4"/>
  <c r="D197" i="4"/>
  <c r="D263" i="4"/>
  <c r="D264" i="4"/>
  <c r="D484" i="4"/>
  <c r="D167" i="4"/>
  <c r="D168" i="4"/>
  <c r="D54" i="4"/>
  <c r="D55" i="4"/>
  <c r="D322" i="4"/>
  <c r="D323" i="4"/>
  <c r="D324" i="4"/>
  <c r="D403" i="4"/>
  <c r="D252" i="4"/>
  <c r="D253" i="4"/>
  <c r="D254" i="4"/>
  <c r="D14" i="4"/>
  <c r="D21" i="4"/>
  <c r="D427" i="4"/>
  <c r="D34" i="4"/>
  <c r="D82" i="4"/>
  <c r="D211" i="4"/>
  <c r="D116" i="4"/>
  <c r="D117" i="4"/>
  <c r="D118" i="4"/>
  <c r="D114" i="4"/>
  <c r="D115" i="4"/>
  <c r="D495" i="4"/>
  <c r="D47" i="4"/>
  <c r="D352" i="4"/>
  <c r="D113" i="4"/>
  <c r="D112" i="4"/>
  <c r="D160" i="4"/>
  <c r="D335" i="4"/>
  <c r="D336" i="4"/>
  <c r="D409" i="4"/>
  <c r="D215" i="4"/>
  <c r="D287" i="4"/>
  <c r="D11" i="4"/>
  <c r="D83" i="4"/>
  <c r="D91" i="4"/>
  <c r="D92" i="4"/>
  <c r="D147" i="4"/>
  <c r="D148" i="4"/>
  <c r="D214" i="4"/>
  <c r="D64" i="4"/>
  <c r="D65" i="4"/>
  <c r="D162" i="4"/>
  <c r="D233" i="4"/>
  <c r="D234" i="4"/>
  <c r="D302" i="4"/>
  <c r="D303" i="4"/>
  <c r="D386" i="4"/>
  <c r="D368" i="4"/>
  <c r="D434" i="4"/>
  <c r="D191" i="4"/>
  <c r="D206" i="4"/>
  <c r="D225" i="4"/>
  <c r="D284" i="4"/>
  <c r="D421" i="4"/>
  <c r="D294" i="4"/>
  <c r="D377" i="4"/>
  <c r="D203" i="4"/>
  <c r="D251" i="4"/>
  <c r="D278" i="4"/>
  <c r="D279" i="4"/>
  <c r="D180" i="4"/>
  <c r="D158" i="4"/>
  <c r="D179" i="4"/>
  <c r="D42" i="4"/>
  <c r="D43" i="4"/>
  <c r="D402" i="4"/>
  <c r="D321" i="4"/>
  <c r="D457" i="4"/>
  <c r="D488" i="4"/>
  <c r="D196" i="4"/>
  <c r="D502" i="4"/>
  <c r="D24" i="4"/>
  <c r="D62" i="4"/>
  <c r="D63" i="4"/>
  <c r="D332" i="4"/>
  <c r="D333" i="4"/>
  <c r="D334" i="4"/>
  <c r="D408" i="4"/>
  <c r="D260" i="4"/>
  <c r="D261" i="4"/>
  <c r="D262" i="4"/>
  <c r="D81" i="4"/>
  <c r="D219" i="4"/>
  <c r="D153" i="4"/>
  <c r="D154" i="4"/>
  <c r="D362" i="4"/>
  <c r="D426" i="4"/>
  <c r="D430" i="4"/>
  <c r="D290" i="4"/>
  <c r="D420" i="4"/>
  <c r="D77" i="4"/>
  <c r="D27" i="4"/>
  <c r="D145" i="4"/>
  <c r="D146" i="4"/>
  <c r="D367" i="4"/>
  <c r="D166" i="4"/>
  <c r="D10" i="4"/>
  <c r="D358" i="4"/>
  <c r="D433" i="4"/>
  <c r="D76" i="4"/>
  <c r="D161" i="4"/>
  <c r="D401" i="4"/>
  <c r="D95" i="4"/>
  <c r="D320" i="4"/>
  <c r="D177" i="4"/>
  <c r="D178" i="4"/>
  <c r="D190" i="4"/>
  <c r="D210" i="4"/>
  <c r="D232" i="4"/>
  <c r="D19" i="4"/>
  <c r="D20" i="4"/>
  <c r="D250" i="4"/>
  <c r="D224" i="4"/>
  <c r="D283" i="4"/>
  <c r="D293" i="4"/>
  <c r="D376" i="4"/>
  <c r="D151" i="4"/>
  <c r="D152" i="4"/>
  <c r="D157" i="4"/>
  <c r="D221" i="4"/>
  <c r="D419" i="4"/>
  <c r="D218" i="4"/>
  <c r="D289" i="4"/>
  <c r="D23" i="4"/>
  <c r="D53" i="4"/>
  <c r="D195" i="4"/>
  <c r="D357" i="4"/>
  <c r="D75" i="4"/>
  <c r="D366" i="4"/>
  <c r="D432" i="4"/>
  <c r="D60" i="4"/>
  <c r="D61" i="4"/>
  <c r="D329" i="4"/>
  <c r="D330" i="4"/>
  <c r="D331" i="4"/>
  <c r="D407" i="4"/>
  <c r="D257" i="4"/>
  <c r="D258" i="4"/>
  <c r="D259" i="4"/>
  <c r="D429" i="4"/>
  <c r="D165" i="4"/>
  <c r="D74" i="4"/>
  <c r="D143" i="4"/>
  <c r="D144" i="4"/>
  <c r="D223" i="4"/>
  <c r="D282" i="4"/>
  <c r="D356" i="4"/>
  <c r="D9" i="4"/>
  <c r="D292" i="4"/>
  <c r="D375" i="4"/>
  <c r="D209" i="4"/>
  <c r="D418" i="4"/>
  <c r="D32" i="4"/>
  <c r="D33" i="4"/>
  <c r="D400" i="4"/>
  <c r="D319" i="4"/>
  <c r="D176" i="4"/>
  <c r="D189" i="4"/>
  <c r="D249" i="4"/>
  <c r="D18" i="4"/>
  <c r="D73" i="4"/>
  <c r="D428" i="4"/>
  <c r="D156" i="4"/>
  <c r="D456" i="4"/>
  <c r="D22" i="4"/>
  <c r="D220" i="4"/>
  <c r="D194" i="4"/>
  <c r="D281" i="4"/>
  <c r="D417" i="4"/>
  <c r="D72" i="4"/>
  <c r="D291" i="4"/>
  <c r="D374" i="4"/>
  <c r="D164" i="4"/>
  <c r="D58" i="4"/>
  <c r="D59" i="4"/>
  <c r="D327" i="4"/>
  <c r="D328" i="4"/>
  <c r="D355" i="4"/>
  <c r="D406" i="4"/>
  <c r="D208" i="4"/>
  <c r="D30" i="4"/>
  <c r="D31" i="4"/>
  <c r="D501" i="4"/>
  <c r="D141" i="4"/>
  <c r="D142" i="4"/>
  <c r="D222" i="4"/>
  <c r="D385" i="4"/>
  <c r="D8" i="4"/>
  <c r="D71" i="4"/>
  <c r="D248" i="4"/>
  <c r="D318" i="4"/>
  <c r="D416" i="4"/>
  <c r="D70" i="4"/>
  <c r="D207" i="4"/>
  <c r="D28" i="4"/>
  <c r="D29" i="4"/>
  <c r="D280" i="4"/>
  <c r="D354" i="4"/>
  <c r="D155" i="4"/>
  <c r="D188" i="4"/>
  <c r="D17" i="4"/>
  <c r="D52" i="4"/>
  <c r="D163" i="4"/>
  <c r="D500" i="4"/>
  <c r="D353" i="4"/>
  <c r="D187" i="4"/>
  <c r="D247" i="4"/>
  <c r="D317" i="4"/>
  <c r="E378" i="4"/>
  <c r="E300" i="4"/>
  <c r="E301" i="4"/>
  <c r="E383" i="4"/>
  <c r="E384" i="4"/>
  <c r="E231" i="4"/>
  <c r="E230" i="4"/>
  <c r="E299" i="4"/>
  <c r="E382" i="4"/>
  <c r="E111" i="4"/>
  <c r="E46" i="4"/>
  <c r="E99" i="4"/>
  <c r="E229" i="4"/>
  <c r="E298" i="4"/>
  <c r="E381" i="4"/>
  <c r="E45" i="4"/>
  <c r="E98" i="4"/>
  <c r="E228" i="4"/>
  <c r="E297" i="4"/>
  <c r="E380" i="4"/>
  <c r="E213" i="4"/>
  <c r="E286" i="4"/>
  <c r="E364" i="4"/>
  <c r="E316" i="4"/>
  <c r="E399" i="4"/>
  <c r="E110" i="4"/>
  <c r="E159" i="4"/>
  <c r="E186" i="4"/>
  <c r="E246" i="4"/>
  <c r="E398" i="4"/>
  <c r="E109" i="4"/>
  <c r="E90" i="4"/>
  <c r="E39" i="4"/>
  <c r="E44" i="4"/>
  <c r="E97" i="4"/>
  <c r="E227" i="4"/>
  <c r="E296" i="4"/>
  <c r="E379" i="4"/>
  <c r="E245" i="4"/>
  <c r="E315" i="4"/>
  <c r="E425" i="4"/>
  <c r="E106" i="4"/>
  <c r="E107" i="4"/>
  <c r="E202" i="4"/>
  <c r="E276" i="4"/>
  <c r="E277" i="4"/>
  <c r="E350" i="4"/>
  <c r="E351" i="4"/>
  <c r="E414" i="4"/>
  <c r="E104" i="4"/>
  <c r="E105" i="4"/>
  <c r="E185" i="4"/>
  <c r="E175" i="4"/>
  <c r="E88" i="4"/>
  <c r="E89" i="4"/>
  <c r="E391" i="4"/>
  <c r="E96" i="4"/>
  <c r="E226" i="4"/>
  <c r="E348" i="4"/>
  <c r="E349" i="4"/>
  <c r="E413" i="4"/>
  <c r="E389" i="4"/>
  <c r="E201" i="4"/>
  <c r="E274" i="4"/>
  <c r="E275" i="4"/>
  <c r="E16" i="4"/>
  <c r="E51" i="4"/>
  <c r="E239" i="4"/>
  <c r="E240" i="4"/>
  <c r="E308" i="4"/>
  <c r="E309" i="4"/>
  <c r="E37" i="4"/>
  <c r="E38" i="4"/>
  <c r="E102" i="4"/>
  <c r="E103" i="4"/>
  <c r="E138" i="4"/>
  <c r="E139" i="4"/>
  <c r="E140" i="4"/>
  <c r="E314" i="4"/>
  <c r="E372" i="4"/>
  <c r="E373" i="4"/>
  <c r="E397" i="4"/>
  <c r="E396" i="4"/>
  <c r="E80" i="4"/>
  <c r="E455" i="4"/>
  <c r="E487" i="4"/>
  <c r="E184" i="4"/>
  <c r="E424" i="4"/>
  <c r="E136" i="4"/>
  <c r="E137" i="4"/>
  <c r="E244" i="4"/>
  <c r="E499" i="4"/>
  <c r="E361" i="4"/>
  <c r="E343" i="4"/>
  <c r="E344" i="4"/>
  <c r="E345" i="4"/>
  <c r="E346" i="4"/>
  <c r="E347" i="4"/>
  <c r="E412" i="4"/>
  <c r="E68" i="4"/>
  <c r="E69" i="4"/>
  <c r="E86" i="4"/>
  <c r="E87" i="4"/>
  <c r="E100" i="4"/>
  <c r="E101" i="4"/>
  <c r="E50" i="4"/>
  <c r="E200" i="4"/>
  <c r="E272" i="4"/>
  <c r="E271" i="4"/>
  <c r="E273" i="4"/>
  <c r="E388" i="4"/>
  <c r="E133" i="4"/>
  <c r="E134" i="4"/>
  <c r="E135" i="4"/>
  <c r="E313" i="4"/>
  <c r="E395" i="4"/>
  <c r="E436" i="4"/>
  <c r="E35" i="4"/>
  <c r="E36" i="4"/>
  <c r="E237" i="4"/>
  <c r="E238" i="4"/>
  <c r="E306" i="4"/>
  <c r="E307" i="4"/>
  <c r="E390" i="4"/>
  <c r="E173" i="4"/>
  <c r="E174" i="4"/>
  <c r="E183" i="4"/>
  <c r="E243" i="4"/>
  <c r="E131" i="4"/>
  <c r="E132" i="4"/>
  <c r="E423" i="4"/>
  <c r="E13" i="4"/>
  <c r="E486" i="4"/>
  <c r="E360" i="4"/>
  <c r="E370" i="4"/>
  <c r="E371" i="4"/>
  <c r="E79" i="4"/>
  <c r="E85" i="4"/>
  <c r="E405" i="4"/>
  <c r="E15" i="4"/>
  <c r="E205" i="4"/>
  <c r="E26" i="4"/>
  <c r="E171" i="4"/>
  <c r="E172" i="4"/>
  <c r="E128" i="4"/>
  <c r="E129" i="4"/>
  <c r="E130" i="4"/>
  <c r="E340" i="4"/>
  <c r="E341" i="4"/>
  <c r="E342" i="4"/>
  <c r="E498" i="4"/>
  <c r="E411" i="4"/>
  <c r="E49" i="4"/>
  <c r="E394" i="4"/>
  <c r="E182" i="4"/>
  <c r="E242" i="4"/>
  <c r="E312" i="4"/>
  <c r="E199" i="4"/>
  <c r="E268" i="4"/>
  <c r="E270" i="4"/>
  <c r="E269" i="4"/>
  <c r="E126" i="4"/>
  <c r="E127" i="4"/>
  <c r="E212" i="4"/>
  <c r="E66" i="4"/>
  <c r="E67" i="4"/>
  <c r="E454" i="4"/>
  <c r="E485" i="4"/>
  <c r="E387" i="4"/>
  <c r="E393" i="4"/>
  <c r="E497" i="4"/>
  <c r="E193" i="4"/>
  <c r="E311" i="4"/>
  <c r="E435" i="4"/>
  <c r="E56" i="4"/>
  <c r="E57" i="4"/>
  <c r="E84" i="4"/>
  <c r="E235" i="4"/>
  <c r="E236" i="4"/>
  <c r="E304" i="4"/>
  <c r="E305" i="4"/>
  <c r="E255" i="4"/>
  <c r="E256" i="4"/>
  <c r="E325" i="4"/>
  <c r="E326" i="4"/>
  <c r="E404" i="4"/>
  <c r="E241" i="4"/>
  <c r="E169" i="4"/>
  <c r="E170" i="4"/>
  <c r="E12" i="4"/>
  <c r="E204" i="4"/>
  <c r="E123" i="4"/>
  <c r="E124" i="4"/>
  <c r="E125" i="4"/>
  <c r="E198" i="4"/>
  <c r="E265" i="4"/>
  <c r="E266" i="4"/>
  <c r="E267" i="4"/>
  <c r="E285" i="4"/>
  <c r="E363" i="4"/>
  <c r="E181" i="4"/>
  <c r="E48" i="4"/>
  <c r="E121" i="4"/>
  <c r="E122" i="4"/>
  <c r="E119" i="4"/>
  <c r="E120" i="4"/>
  <c r="E337" i="4"/>
  <c r="E338" i="4"/>
  <c r="E339" i="4"/>
  <c r="E422" i="4"/>
  <c r="E410" i="4"/>
  <c r="E108" i="4"/>
  <c r="E93" i="4"/>
  <c r="E94" i="4"/>
  <c r="E217" i="4"/>
  <c r="E78" i="4"/>
  <c r="E369" i="4"/>
  <c r="E359" i="4"/>
  <c r="E431" i="4"/>
  <c r="E216" i="4"/>
  <c r="E288" i="4"/>
  <c r="E365" i="4"/>
  <c r="E25" i="4"/>
  <c r="E392" i="4"/>
  <c r="E40" i="4"/>
  <c r="E41" i="4"/>
  <c r="E415" i="4"/>
  <c r="E310" i="4"/>
  <c r="E496" i="4"/>
  <c r="E149" i="4"/>
  <c r="E150" i="4"/>
  <c r="E192" i="4"/>
  <c r="E197" i="4"/>
  <c r="E263" i="4"/>
  <c r="E264" i="4"/>
  <c r="E484" i="4"/>
  <c r="E167" i="4"/>
  <c r="E168" i="4"/>
  <c r="E54" i="4"/>
  <c r="E55" i="4"/>
  <c r="E322" i="4"/>
  <c r="E323" i="4"/>
  <c r="E324" i="4"/>
  <c r="E403" i="4"/>
  <c r="E252" i="4"/>
  <c r="E253" i="4"/>
  <c r="E254" i="4"/>
  <c r="E14" i="4"/>
  <c r="E21" i="4"/>
  <c r="E427" i="4"/>
  <c r="E34" i="4"/>
  <c r="E82" i="4"/>
  <c r="E211" i="4"/>
  <c r="E116" i="4"/>
  <c r="E117" i="4"/>
  <c r="E118" i="4"/>
  <c r="E114" i="4"/>
  <c r="E115" i="4"/>
  <c r="E495" i="4"/>
  <c r="E47" i="4"/>
  <c r="E352" i="4"/>
  <c r="E113" i="4"/>
  <c r="E112" i="4"/>
  <c r="E160" i="4"/>
  <c r="E335" i="4"/>
  <c r="E336" i="4"/>
  <c r="E409" i="4"/>
  <c r="E215" i="4"/>
  <c r="E287" i="4"/>
  <c r="E11" i="4"/>
  <c r="E83" i="4"/>
  <c r="E91" i="4"/>
  <c r="E92" i="4"/>
  <c r="E147" i="4"/>
  <c r="E148" i="4"/>
  <c r="E214" i="4"/>
  <c r="E64" i="4"/>
  <c r="E65" i="4"/>
  <c r="E162" i="4"/>
  <c r="E233" i="4"/>
  <c r="E234" i="4"/>
  <c r="E302" i="4"/>
  <c r="E303" i="4"/>
  <c r="E386" i="4"/>
  <c r="E368" i="4"/>
  <c r="E434" i="4"/>
  <c r="E191" i="4"/>
  <c r="E206" i="4"/>
  <c r="E225" i="4"/>
  <c r="E284" i="4"/>
  <c r="E421" i="4"/>
  <c r="E294" i="4"/>
  <c r="E377" i="4"/>
  <c r="E203" i="4"/>
  <c r="E251" i="4"/>
  <c r="E278" i="4"/>
  <c r="E279" i="4"/>
  <c r="E180" i="4"/>
  <c r="E158" i="4"/>
  <c r="E179" i="4"/>
  <c r="E42" i="4"/>
  <c r="E43" i="4"/>
  <c r="E402" i="4"/>
  <c r="E321" i="4"/>
  <c r="E457" i="4"/>
  <c r="E488" i="4"/>
  <c r="E196" i="4"/>
  <c r="E502" i="4"/>
  <c r="E24" i="4"/>
  <c r="E62" i="4"/>
  <c r="E63" i="4"/>
  <c r="E332" i="4"/>
  <c r="E333" i="4"/>
  <c r="E334" i="4"/>
  <c r="E408" i="4"/>
  <c r="E260" i="4"/>
  <c r="E261" i="4"/>
  <c r="E262" i="4"/>
  <c r="E81" i="4"/>
  <c r="E219" i="4"/>
  <c r="E153" i="4"/>
  <c r="E154" i="4"/>
  <c r="E362" i="4"/>
  <c r="E426" i="4"/>
  <c r="E430" i="4"/>
  <c r="E290" i="4"/>
  <c r="E420" i="4"/>
  <c r="E77" i="4"/>
  <c r="E27" i="4"/>
  <c r="E145" i="4"/>
  <c r="E146" i="4"/>
  <c r="E367" i="4"/>
  <c r="E166" i="4"/>
  <c r="E10" i="4"/>
  <c r="E358" i="4"/>
  <c r="E433" i="4"/>
  <c r="E76" i="4"/>
  <c r="E161" i="4"/>
  <c r="E401" i="4"/>
  <c r="E95" i="4"/>
  <c r="E320" i="4"/>
  <c r="E177" i="4"/>
  <c r="E178" i="4"/>
  <c r="E190" i="4"/>
  <c r="E210" i="4"/>
  <c r="E232" i="4"/>
  <c r="E19" i="4"/>
  <c r="E20" i="4"/>
  <c r="E250" i="4"/>
  <c r="E224" i="4"/>
  <c r="E283" i="4"/>
  <c r="E293" i="4"/>
  <c r="E376" i="4"/>
  <c r="E151" i="4"/>
  <c r="E152" i="4"/>
  <c r="E157" i="4"/>
  <c r="E221" i="4"/>
  <c r="E419" i="4"/>
  <c r="E218" i="4"/>
  <c r="E289" i="4"/>
  <c r="E23" i="4"/>
  <c r="E53" i="4"/>
  <c r="E195" i="4"/>
  <c r="E357" i="4"/>
  <c r="E75" i="4"/>
  <c r="E366" i="4"/>
  <c r="E432" i="4"/>
  <c r="E60" i="4"/>
  <c r="E61" i="4"/>
  <c r="E329" i="4"/>
  <c r="E330" i="4"/>
  <c r="E331" i="4"/>
  <c r="E407" i="4"/>
  <c r="E257" i="4"/>
  <c r="E258" i="4"/>
  <c r="E259" i="4"/>
  <c r="E429" i="4"/>
  <c r="E165" i="4"/>
  <c r="E74" i="4"/>
  <c r="E143" i="4"/>
  <c r="E144" i="4"/>
  <c r="E223" i="4"/>
  <c r="E282" i="4"/>
  <c r="E356" i="4"/>
  <c r="E9" i="4"/>
  <c r="E292" i="4"/>
  <c r="E375" i="4"/>
  <c r="E209" i="4"/>
  <c r="E418" i="4"/>
  <c r="E32" i="4"/>
  <c r="E33" i="4"/>
  <c r="E400" i="4"/>
  <c r="E319" i="4"/>
  <c r="E176" i="4"/>
  <c r="E189" i="4"/>
  <c r="E249" i="4"/>
  <c r="E18" i="4"/>
  <c r="E73" i="4"/>
  <c r="E428" i="4"/>
  <c r="E156" i="4"/>
  <c r="E456" i="4"/>
  <c r="E22" i="4"/>
  <c r="E220" i="4"/>
  <c r="E194" i="4"/>
  <c r="E281" i="4"/>
  <c r="E417" i="4"/>
  <c r="E72" i="4"/>
  <c r="E291" i="4"/>
  <c r="E374" i="4"/>
  <c r="E164" i="4"/>
  <c r="E58" i="4"/>
  <c r="E59" i="4"/>
  <c r="E327" i="4"/>
  <c r="E328" i="4"/>
  <c r="E355" i="4"/>
  <c r="E406" i="4"/>
  <c r="E208" i="4"/>
  <c r="E30" i="4"/>
  <c r="E31" i="4"/>
  <c r="E501" i="4"/>
  <c r="E141" i="4"/>
  <c r="E142" i="4"/>
  <c r="E222" i="4"/>
  <c r="E385" i="4"/>
  <c r="E8" i="4"/>
  <c r="E71" i="4"/>
  <c r="E248" i="4"/>
  <c r="E318" i="4"/>
  <c r="E416" i="4"/>
  <c r="E70" i="4"/>
  <c r="E207" i="4"/>
  <c r="E28" i="4"/>
  <c r="E29" i="4"/>
  <c r="E280" i="4"/>
  <c r="E354" i="4"/>
  <c r="E155" i="4"/>
  <c r="E188" i="4"/>
  <c r="E17" i="4"/>
  <c r="E52" i="4"/>
  <c r="E163" i="4"/>
  <c r="E500" i="4"/>
  <c r="E353" i="4"/>
  <c r="E187" i="4"/>
  <c r="E247" i="4"/>
  <c r="E317" i="4"/>
  <c r="C378" i="4"/>
  <c r="C300" i="4"/>
  <c r="C301" i="4"/>
  <c r="C383" i="4"/>
  <c r="C384" i="4"/>
  <c r="C231" i="4"/>
  <c r="C230" i="4"/>
  <c r="C299" i="4"/>
  <c r="C382" i="4"/>
  <c r="C111" i="4"/>
  <c r="C46" i="4"/>
  <c r="C99" i="4"/>
  <c r="C229" i="4"/>
  <c r="C298" i="4"/>
  <c r="C381" i="4"/>
  <c r="C45" i="4"/>
  <c r="C98" i="4"/>
  <c r="C228" i="4"/>
  <c r="C297" i="4"/>
  <c r="C380" i="4"/>
  <c r="C213" i="4"/>
  <c r="C286" i="4"/>
  <c r="C364" i="4"/>
  <c r="C316" i="4"/>
  <c r="C399" i="4"/>
  <c r="C110" i="4"/>
  <c r="C159" i="4"/>
  <c r="C186" i="4"/>
  <c r="C246" i="4"/>
  <c r="C398" i="4"/>
  <c r="C109" i="4"/>
  <c r="C90" i="4"/>
  <c r="C39" i="4"/>
  <c r="C44" i="4"/>
  <c r="C97" i="4"/>
  <c r="C227" i="4"/>
  <c r="C296" i="4"/>
  <c r="C379" i="4"/>
  <c r="C245" i="4"/>
  <c r="C315" i="4"/>
  <c r="C425" i="4"/>
  <c r="C106" i="4"/>
  <c r="C107" i="4"/>
  <c r="C202" i="4"/>
  <c r="C276" i="4"/>
  <c r="C277" i="4"/>
  <c r="C350" i="4"/>
  <c r="C351" i="4"/>
  <c r="C414" i="4"/>
  <c r="C104" i="4"/>
  <c r="C105" i="4"/>
  <c r="C185" i="4"/>
  <c r="C175" i="4"/>
  <c r="C88" i="4"/>
  <c r="C89" i="4"/>
  <c r="C391" i="4"/>
  <c r="C96" i="4"/>
  <c r="C226" i="4"/>
  <c r="C348" i="4"/>
  <c r="C349" i="4"/>
  <c r="C413" i="4"/>
  <c r="C389" i="4"/>
  <c r="C201" i="4"/>
  <c r="C274" i="4"/>
  <c r="C275" i="4"/>
  <c r="C16" i="4"/>
  <c r="C51" i="4"/>
  <c r="C239" i="4"/>
  <c r="C240" i="4"/>
  <c r="C308" i="4"/>
  <c r="C309" i="4"/>
  <c r="C37" i="4"/>
  <c r="C38" i="4"/>
  <c r="C102" i="4"/>
  <c r="C103" i="4"/>
  <c r="C138" i="4"/>
  <c r="C139" i="4"/>
  <c r="C140" i="4"/>
  <c r="C314" i="4"/>
  <c r="C372" i="4"/>
  <c r="C373" i="4"/>
  <c r="C397" i="4"/>
  <c r="C396" i="4"/>
  <c r="C80" i="4"/>
  <c r="C455" i="4"/>
  <c r="C487" i="4"/>
  <c r="C184" i="4"/>
  <c r="C424" i="4"/>
  <c r="C136" i="4"/>
  <c r="C137" i="4"/>
  <c r="C244" i="4"/>
  <c r="C499" i="4"/>
  <c r="C361" i="4"/>
  <c r="C343" i="4"/>
  <c r="C344" i="4"/>
  <c r="C345" i="4"/>
  <c r="C346" i="4"/>
  <c r="C347" i="4"/>
  <c r="C412" i="4"/>
  <c r="C68" i="4"/>
  <c r="C69" i="4"/>
  <c r="C86" i="4"/>
  <c r="C87" i="4"/>
  <c r="C100" i="4"/>
  <c r="C101" i="4"/>
  <c r="C50" i="4"/>
  <c r="C200" i="4"/>
  <c r="C272" i="4"/>
  <c r="C271" i="4"/>
  <c r="C273" i="4"/>
  <c r="C388" i="4"/>
  <c r="C133" i="4"/>
  <c r="C134" i="4"/>
  <c r="C135" i="4"/>
  <c r="C313" i="4"/>
  <c r="C395" i="4"/>
  <c r="C436" i="4"/>
  <c r="C35" i="4"/>
  <c r="C36" i="4"/>
  <c r="C237" i="4"/>
  <c r="C238" i="4"/>
  <c r="C306" i="4"/>
  <c r="C307" i="4"/>
  <c r="C390" i="4"/>
  <c r="C173" i="4"/>
  <c r="C174" i="4"/>
  <c r="C183" i="4"/>
  <c r="C243" i="4"/>
  <c r="C131" i="4"/>
  <c r="C132" i="4"/>
  <c r="C423" i="4"/>
  <c r="C13" i="4"/>
  <c r="C486" i="4"/>
  <c r="C360" i="4"/>
  <c r="C370" i="4"/>
  <c r="C371" i="4"/>
  <c r="C79" i="4"/>
  <c r="C85" i="4"/>
  <c r="C405" i="4"/>
  <c r="C15" i="4"/>
  <c r="C205" i="4"/>
  <c r="C26" i="4"/>
  <c r="C171" i="4"/>
  <c r="C172" i="4"/>
  <c r="C128" i="4"/>
  <c r="C129" i="4"/>
  <c r="C130" i="4"/>
  <c r="C340" i="4"/>
  <c r="C341" i="4"/>
  <c r="C342" i="4"/>
  <c r="C498" i="4"/>
  <c r="C411" i="4"/>
  <c r="C49" i="4"/>
  <c r="C394" i="4"/>
  <c r="C182" i="4"/>
  <c r="C242" i="4"/>
  <c r="C312" i="4"/>
  <c r="C199" i="4"/>
  <c r="C268" i="4"/>
  <c r="C270" i="4"/>
  <c r="C269" i="4"/>
  <c r="C126" i="4"/>
  <c r="C127" i="4"/>
  <c r="C212" i="4"/>
  <c r="C66" i="4"/>
  <c r="C67" i="4"/>
  <c r="C454" i="4"/>
  <c r="C485" i="4"/>
  <c r="C387" i="4"/>
  <c r="C393" i="4"/>
  <c r="C497" i="4"/>
  <c r="C193" i="4"/>
  <c r="C311" i="4"/>
  <c r="C435" i="4"/>
  <c r="C56" i="4"/>
  <c r="C57" i="4"/>
  <c r="C84" i="4"/>
  <c r="C235" i="4"/>
  <c r="C236" i="4"/>
  <c r="C304" i="4"/>
  <c r="C305" i="4"/>
  <c r="C255" i="4"/>
  <c r="C256" i="4"/>
  <c r="C325" i="4"/>
  <c r="C326" i="4"/>
  <c r="C404" i="4"/>
  <c r="C241" i="4"/>
  <c r="C169" i="4"/>
  <c r="C170" i="4"/>
  <c r="C12" i="4"/>
  <c r="C204" i="4"/>
  <c r="C123" i="4"/>
  <c r="C124" i="4"/>
  <c r="C125" i="4"/>
  <c r="C198" i="4"/>
  <c r="C265" i="4"/>
  <c r="C266" i="4"/>
  <c r="C267" i="4"/>
  <c r="C285" i="4"/>
  <c r="C363" i="4"/>
  <c r="C181" i="4"/>
  <c r="C48" i="4"/>
  <c r="C121" i="4"/>
  <c r="C122" i="4"/>
  <c r="C119" i="4"/>
  <c r="C120" i="4"/>
  <c r="C337" i="4"/>
  <c r="C338" i="4"/>
  <c r="C339" i="4"/>
  <c r="C422" i="4"/>
  <c r="C410" i="4"/>
  <c r="C108" i="4"/>
  <c r="C93" i="4"/>
  <c r="C94" i="4"/>
  <c r="C217" i="4"/>
  <c r="C78" i="4"/>
  <c r="C369" i="4"/>
  <c r="C359" i="4"/>
  <c r="C431" i="4"/>
  <c r="C216" i="4"/>
  <c r="C288" i="4"/>
  <c r="C365" i="4"/>
  <c r="C25" i="4"/>
  <c r="C392" i="4"/>
  <c r="C40" i="4"/>
  <c r="C41" i="4"/>
  <c r="C415" i="4"/>
  <c r="C310" i="4"/>
  <c r="C496" i="4"/>
  <c r="C149" i="4"/>
  <c r="C150" i="4"/>
  <c r="C192" i="4"/>
  <c r="C197" i="4"/>
  <c r="C263" i="4"/>
  <c r="C264" i="4"/>
  <c r="C484" i="4"/>
  <c r="C167" i="4"/>
  <c r="C168" i="4"/>
  <c r="C54" i="4"/>
  <c r="C55" i="4"/>
  <c r="C322" i="4"/>
  <c r="C323" i="4"/>
  <c r="C324" i="4"/>
  <c r="C403" i="4"/>
  <c r="C252" i="4"/>
  <c r="C253" i="4"/>
  <c r="C254" i="4"/>
  <c r="C14" i="4"/>
  <c r="C21" i="4"/>
  <c r="C427" i="4"/>
  <c r="C34" i="4"/>
  <c r="C82" i="4"/>
  <c r="C211" i="4"/>
  <c r="C116" i="4"/>
  <c r="C117" i="4"/>
  <c r="C118" i="4"/>
  <c r="C114" i="4"/>
  <c r="C115" i="4"/>
  <c r="C495" i="4"/>
  <c r="C47" i="4"/>
  <c r="C352" i="4"/>
  <c r="C113" i="4"/>
  <c r="C112" i="4"/>
  <c r="C160" i="4"/>
  <c r="C335" i="4"/>
  <c r="C336" i="4"/>
  <c r="C409" i="4"/>
  <c r="C215" i="4"/>
  <c r="C287" i="4"/>
  <c r="C11" i="4"/>
  <c r="C83" i="4"/>
  <c r="C91" i="4"/>
  <c r="C92" i="4"/>
  <c r="C147" i="4"/>
  <c r="C148" i="4"/>
  <c r="C214" i="4"/>
  <c r="C64" i="4"/>
  <c r="C65" i="4"/>
  <c r="C162" i="4"/>
  <c r="C233" i="4"/>
  <c r="C234" i="4"/>
  <c r="C302" i="4"/>
  <c r="C303" i="4"/>
  <c r="C386" i="4"/>
  <c r="C368" i="4"/>
  <c r="C434" i="4"/>
  <c r="C191" i="4"/>
  <c r="C206" i="4"/>
  <c r="C225" i="4"/>
  <c r="C284" i="4"/>
  <c r="C421" i="4"/>
  <c r="C294" i="4"/>
  <c r="C377" i="4"/>
  <c r="C203" i="4"/>
  <c r="C251" i="4"/>
  <c r="C278" i="4"/>
  <c r="C279" i="4"/>
  <c r="C180" i="4"/>
  <c r="C158" i="4"/>
  <c r="C179" i="4"/>
  <c r="C42" i="4"/>
  <c r="C43" i="4"/>
  <c r="C402" i="4"/>
  <c r="C321" i="4"/>
  <c r="C457" i="4"/>
  <c r="C488" i="4"/>
  <c r="C196" i="4"/>
  <c r="C502" i="4"/>
  <c r="C24" i="4"/>
  <c r="C62" i="4"/>
  <c r="C63" i="4"/>
  <c r="C332" i="4"/>
  <c r="C333" i="4"/>
  <c r="C334" i="4"/>
  <c r="C408" i="4"/>
  <c r="C260" i="4"/>
  <c r="C261" i="4"/>
  <c r="C262" i="4"/>
  <c r="C81" i="4"/>
  <c r="C219" i="4"/>
  <c r="C153" i="4"/>
  <c r="C154" i="4"/>
  <c r="C362" i="4"/>
  <c r="C426" i="4"/>
  <c r="C430" i="4"/>
  <c r="C290" i="4"/>
  <c r="C420" i="4"/>
  <c r="C77" i="4"/>
  <c r="C27" i="4"/>
  <c r="C145" i="4"/>
  <c r="C146" i="4"/>
  <c r="C367" i="4"/>
  <c r="C166" i="4"/>
  <c r="C10" i="4"/>
  <c r="C358" i="4"/>
  <c r="C433" i="4"/>
  <c r="C76" i="4"/>
  <c r="C161" i="4"/>
  <c r="C401" i="4"/>
  <c r="C95" i="4"/>
  <c r="C320" i="4"/>
  <c r="C177" i="4"/>
  <c r="C178" i="4"/>
  <c r="C190" i="4"/>
  <c r="C210" i="4"/>
  <c r="C232" i="4"/>
  <c r="C19" i="4"/>
  <c r="C20" i="4"/>
  <c r="C250" i="4"/>
  <c r="C224" i="4"/>
  <c r="C283" i="4"/>
  <c r="C293" i="4"/>
  <c r="C376" i="4"/>
  <c r="C151" i="4"/>
  <c r="C152" i="4"/>
  <c r="C157" i="4"/>
  <c r="C221" i="4"/>
  <c r="C419" i="4"/>
  <c r="C218" i="4"/>
  <c r="C289" i="4"/>
  <c r="C23" i="4"/>
  <c r="C53" i="4"/>
  <c r="C195" i="4"/>
  <c r="C357" i="4"/>
  <c r="C75" i="4"/>
  <c r="C366" i="4"/>
  <c r="C432" i="4"/>
  <c r="C60" i="4"/>
  <c r="C61" i="4"/>
  <c r="C329" i="4"/>
  <c r="C330" i="4"/>
  <c r="C331" i="4"/>
  <c r="C407" i="4"/>
  <c r="C257" i="4"/>
  <c r="C258" i="4"/>
  <c r="C259" i="4"/>
  <c r="C429" i="4"/>
  <c r="C165" i="4"/>
  <c r="C74" i="4"/>
  <c r="C143" i="4"/>
  <c r="C144" i="4"/>
  <c r="C223" i="4"/>
  <c r="C282" i="4"/>
  <c r="C356" i="4"/>
  <c r="C9" i="4"/>
  <c r="C292" i="4"/>
  <c r="C375" i="4"/>
  <c r="C209" i="4"/>
  <c r="C418" i="4"/>
  <c r="C32" i="4"/>
  <c r="C33" i="4"/>
  <c r="C400" i="4"/>
  <c r="C319" i="4"/>
  <c r="C176" i="4"/>
  <c r="C189" i="4"/>
  <c r="C249" i="4"/>
  <c r="C18" i="4"/>
  <c r="C73" i="4"/>
  <c r="C428" i="4"/>
  <c r="C156" i="4"/>
  <c r="C456" i="4"/>
  <c r="C22" i="4"/>
  <c r="C220" i="4"/>
  <c r="C194" i="4"/>
  <c r="C281" i="4"/>
  <c r="C417" i="4"/>
  <c r="C72" i="4"/>
  <c r="C291" i="4"/>
  <c r="C374" i="4"/>
  <c r="C164" i="4"/>
  <c r="C58" i="4"/>
  <c r="C59" i="4"/>
  <c r="C327" i="4"/>
  <c r="C328" i="4"/>
  <c r="C355" i="4"/>
  <c r="C406" i="4"/>
  <c r="C208" i="4"/>
  <c r="C30" i="4"/>
  <c r="C31" i="4"/>
  <c r="C501" i="4"/>
  <c r="C141" i="4"/>
  <c r="C142" i="4"/>
  <c r="C222" i="4"/>
  <c r="C385" i="4"/>
  <c r="C8" i="4"/>
  <c r="C71" i="4"/>
  <c r="C248" i="4"/>
  <c r="C318" i="4"/>
  <c r="C416" i="4"/>
  <c r="C70" i="4"/>
  <c r="C207" i="4"/>
  <c r="C28" i="4"/>
  <c r="C29" i="4"/>
  <c r="C280" i="4"/>
  <c r="C354" i="4"/>
  <c r="C155" i="4"/>
  <c r="C188" i="4"/>
  <c r="C17" i="4"/>
  <c r="C52" i="4"/>
  <c r="C163" i="4"/>
  <c r="C500" i="4"/>
  <c r="C353" i="4"/>
  <c r="C187" i="4"/>
  <c r="C247" i="4"/>
  <c r="C317" i="4"/>
  <c r="B378" i="4"/>
  <c r="B300" i="4"/>
  <c r="B301" i="4"/>
  <c r="B383" i="4"/>
  <c r="B384" i="4"/>
  <c r="B231" i="4"/>
  <c r="B230" i="4"/>
  <c r="B299" i="4"/>
  <c r="B382" i="4"/>
  <c r="B111" i="4"/>
  <c r="B46" i="4"/>
  <c r="B99" i="4"/>
  <c r="B229" i="4"/>
  <c r="B298" i="4"/>
  <c r="B381" i="4"/>
  <c r="B45" i="4"/>
  <c r="B98" i="4"/>
  <c r="B228" i="4"/>
  <c r="B297" i="4"/>
  <c r="B380" i="4"/>
  <c r="B213" i="4"/>
  <c r="B286" i="4"/>
  <c r="B364" i="4"/>
  <c r="B316" i="4"/>
  <c r="B399" i="4"/>
  <c r="B110" i="4"/>
  <c r="B159" i="4"/>
  <c r="B186" i="4"/>
  <c r="B246" i="4"/>
  <c r="B398" i="4"/>
  <c r="B109" i="4"/>
  <c r="B90" i="4"/>
  <c r="B39" i="4"/>
  <c r="B44" i="4"/>
  <c r="B97" i="4"/>
  <c r="B227" i="4"/>
  <c r="B296" i="4"/>
  <c r="B379" i="4"/>
  <c r="B245" i="4"/>
  <c r="B315" i="4"/>
  <c r="B425" i="4"/>
  <c r="B106" i="4"/>
  <c r="B107" i="4"/>
  <c r="B202" i="4"/>
  <c r="B276" i="4"/>
  <c r="B277" i="4"/>
  <c r="B350" i="4"/>
  <c r="B351" i="4"/>
  <c r="B414" i="4"/>
  <c r="B104" i="4"/>
  <c r="B105" i="4"/>
  <c r="B185" i="4"/>
  <c r="B175" i="4"/>
  <c r="B88" i="4"/>
  <c r="B89" i="4"/>
  <c r="B391" i="4"/>
  <c r="B96" i="4"/>
  <c r="B226" i="4"/>
  <c r="B348" i="4"/>
  <c r="B349" i="4"/>
  <c r="B413" i="4"/>
  <c r="B389" i="4"/>
  <c r="B201" i="4"/>
  <c r="B274" i="4"/>
  <c r="B275" i="4"/>
  <c r="B16" i="4"/>
  <c r="B51" i="4"/>
  <c r="B239" i="4"/>
  <c r="B240" i="4"/>
  <c r="B308" i="4"/>
  <c r="B309" i="4"/>
  <c r="B37" i="4"/>
  <c r="B38" i="4"/>
  <c r="B102" i="4"/>
  <c r="B103" i="4"/>
  <c r="B138" i="4"/>
  <c r="B139" i="4"/>
  <c r="B140" i="4"/>
  <c r="B314" i="4"/>
  <c r="B372" i="4"/>
  <c r="B373" i="4"/>
  <c r="B397" i="4"/>
  <c r="B396" i="4"/>
  <c r="B80" i="4"/>
  <c r="B455" i="4"/>
  <c r="B487" i="4"/>
  <c r="B184" i="4"/>
  <c r="B424" i="4"/>
  <c r="B136" i="4"/>
  <c r="B137" i="4"/>
  <c r="B244" i="4"/>
  <c r="B499" i="4"/>
  <c r="B361" i="4"/>
  <c r="B343" i="4"/>
  <c r="B344" i="4"/>
  <c r="B345" i="4"/>
  <c r="B346" i="4"/>
  <c r="B347" i="4"/>
  <c r="B412" i="4"/>
  <c r="B68" i="4"/>
  <c r="B69" i="4"/>
  <c r="B86" i="4"/>
  <c r="B87" i="4"/>
  <c r="B100" i="4"/>
  <c r="B101" i="4"/>
  <c r="B50" i="4"/>
  <c r="B200" i="4"/>
  <c r="B272" i="4"/>
  <c r="B271" i="4"/>
  <c r="B273" i="4"/>
  <c r="B388" i="4"/>
  <c r="B133" i="4"/>
  <c r="B134" i="4"/>
  <c r="B135" i="4"/>
  <c r="B313" i="4"/>
  <c r="B395" i="4"/>
  <c r="B436" i="4"/>
  <c r="B35" i="4"/>
  <c r="B36" i="4"/>
  <c r="B237" i="4"/>
  <c r="B238" i="4"/>
  <c r="B306" i="4"/>
  <c r="B307" i="4"/>
  <c r="B390" i="4"/>
  <c r="B173" i="4"/>
  <c r="B174" i="4"/>
  <c r="B183" i="4"/>
  <c r="B243" i="4"/>
  <c r="B131" i="4"/>
  <c r="B132" i="4"/>
  <c r="B423" i="4"/>
  <c r="B13" i="4"/>
  <c r="B486" i="4"/>
  <c r="B360" i="4"/>
  <c r="B370" i="4"/>
  <c r="B371" i="4"/>
  <c r="B79" i="4"/>
  <c r="B85" i="4"/>
  <c r="B405" i="4"/>
  <c r="B15" i="4"/>
  <c r="B205" i="4"/>
  <c r="B26" i="4"/>
  <c r="B171" i="4"/>
  <c r="B172" i="4"/>
  <c r="B128" i="4"/>
  <c r="B129" i="4"/>
  <c r="B130" i="4"/>
  <c r="B340" i="4"/>
  <c r="B341" i="4"/>
  <c r="B342" i="4"/>
  <c r="B498" i="4"/>
  <c r="B411" i="4"/>
  <c r="B49" i="4"/>
  <c r="B394" i="4"/>
  <c r="B182" i="4"/>
  <c r="B242" i="4"/>
  <c r="B312" i="4"/>
  <c r="B199" i="4"/>
  <c r="B268" i="4"/>
  <c r="B270" i="4"/>
  <c r="B269" i="4"/>
  <c r="B126" i="4"/>
  <c r="B127" i="4"/>
  <c r="B212" i="4"/>
  <c r="B66" i="4"/>
  <c r="B67" i="4"/>
  <c r="B454" i="4"/>
  <c r="B485" i="4"/>
  <c r="B387" i="4"/>
  <c r="B393" i="4"/>
  <c r="B497" i="4"/>
  <c r="B193" i="4"/>
  <c r="B311" i="4"/>
  <c r="B435" i="4"/>
  <c r="B56" i="4"/>
  <c r="B57" i="4"/>
  <c r="B84" i="4"/>
  <c r="B235" i="4"/>
  <c r="B236" i="4"/>
  <c r="B304" i="4"/>
  <c r="B305" i="4"/>
  <c r="B255" i="4"/>
  <c r="B256" i="4"/>
  <c r="B325" i="4"/>
  <c r="B326" i="4"/>
  <c r="B404" i="4"/>
  <c r="B241" i="4"/>
  <c r="B169" i="4"/>
  <c r="B170" i="4"/>
  <c r="B12" i="4"/>
  <c r="B204" i="4"/>
  <c r="B123" i="4"/>
  <c r="B124" i="4"/>
  <c r="B125" i="4"/>
  <c r="B198" i="4"/>
  <c r="B265" i="4"/>
  <c r="B266" i="4"/>
  <c r="B267" i="4"/>
  <c r="B285" i="4"/>
  <c r="B363" i="4"/>
  <c r="B181" i="4"/>
  <c r="B48" i="4"/>
  <c r="B121" i="4"/>
  <c r="B122" i="4"/>
  <c r="B119" i="4"/>
  <c r="B120" i="4"/>
  <c r="B337" i="4"/>
  <c r="B338" i="4"/>
  <c r="B339" i="4"/>
  <c r="B422" i="4"/>
  <c r="B410" i="4"/>
  <c r="B108" i="4"/>
  <c r="B93" i="4"/>
  <c r="B94" i="4"/>
  <c r="B217" i="4"/>
  <c r="B78" i="4"/>
  <c r="B369" i="4"/>
  <c r="B359" i="4"/>
  <c r="B431" i="4"/>
  <c r="B216" i="4"/>
  <c r="B288" i="4"/>
  <c r="B365" i="4"/>
  <c r="B25" i="4"/>
  <c r="B392" i="4"/>
  <c r="B40" i="4"/>
  <c r="B41" i="4"/>
  <c r="B415" i="4"/>
  <c r="B310" i="4"/>
  <c r="B496" i="4"/>
  <c r="B149" i="4"/>
  <c r="B150" i="4"/>
  <c r="B192" i="4"/>
  <c r="B197" i="4"/>
  <c r="B263" i="4"/>
  <c r="B264" i="4"/>
  <c r="B484" i="4"/>
  <c r="B167" i="4"/>
  <c r="B168" i="4"/>
  <c r="B54" i="4"/>
  <c r="B55" i="4"/>
  <c r="B322" i="4"/>
  <c r="B323" i="4"/>
  <c r="B324" i="4"/>
  <c r="B403" i="4"/>
  <c r="B252" i="4"/>
  <c r="B253" i="4"/>
  <c r="B254" i="4"/>
  <c r="B14" i="4"/>
  <c r="B21" i="4"/>
  <c r="B427" i="4"/>
  <c r="B34" i="4"/>
  <c r="B82" i="4"/>
  <c r="B211" i="4"/>
  <c r="B116" i="4"/>
  <c r="B117" i="4"/>
  <c r="B118" i="4"/>
  <c r="B114" i="4"/>
  <c r="B115" i="4"/>
  <c r="B495" i="4"/>
  <c r="B47" i="4"/>
  <c r="B352" i="4"/>
  <c r="B113" i="4"/>
  <c r="B112" i="4"/>
  <c r="B160" i="4"/>
  <c r="B335" i="4"/>
  <c r="B336" i="4"/>
  <c r="B409" i="4"/>
  <c r="B215" i="4"/>
  <c r="B287" i="4"/>
  <c r="B11" i="4"/>
  <c r="B83" i="4"/>
  <c r="B91" i="4"/>
  <c r="B92" i="4"/>
  <c r="B147" i="4"/>
  <c r="B148" i="4"/>
  <c r="B214" i="4"/>
  <c r="B64" i="4"/>
  <c r="B65" i="4"/>
  <c r="B162" i="4"/>
  <c r="B233" i="4"/>
  <c r="B234" i="4"/>
  <c r="B302" i="4"/>
  <c r="B303" i="4"/>
  <c r="B386" i="4"/>
  <c r="B368" i="4"/>
  <c r="B434" i="4"/>
  <c r="B191" i="4"/>
  <c r="B206" i="4"/>
  <c r="B225" i="4"/>
  <c r="B284" i="4"/>
  <c r="B421" i="4"/>
  <c r="B294" i="4"/>
  <c r="B377" i="4"/>
  <c r="B203" i="4"/>
  <c r="B251" i="4"/>
  <c r="B278" i="4"/>
  <c r="B279" i="4"/>
  <c r="B180" i="4"/>
  <c r="B158" i="4"/>
  <c r="B179" i="4"/>
  <c r="B42" i="4"/>
  <c r="B43" i="4"/>
  <c r="B402" i="4"/>
  <c r="B321" i="4"/>
  <c r="B457" i="4"/>
  <c r="B488" i="4"/>
  <c r="B196" i="4"/>
  <c r="B502" i="4"/>
  <c r="B24" i="4"/>
  <c r="B62" i="4"/>
  <c r="B63" i="4"/>
  <c r="B332" i="4"/>
  <c r="B333" i="4"/>
  <c r="B334" i="4"/>
  <c r="B408" i="4"/>
  <c r="B260" i="4"/>
  <c r="B261" i="4"/>
  <c r="B262" i="4"/>
  <c r="B81" i="4"/>
  <c r="B219" i="4"/>
  <c r="B153" i="4"/>
  <c r="B154" i="4"/>
  <c r="B362" i="4"/>
  <c r="B426" i="4"/>
  <c r="B430" i="4"/>
  <c r="B290" i="4"/>
  <c r="B420" i="4"/>
  <c r="B77" i="4"/>
  <c r="B27" i="4"/>
  <c r="B145" i="4"/>
  <c r="B146" i="4"/>
  <c r="B367" i="4"/>
  <c r="B166" i="4"/>
  <c r="B10" i="4"/>
  <c r="B358" i="4"/>
  <c r="B433" i="4"/>
  <c r="B76" i="4"/>
  <c r="B161" i="4"/>
  <c r="B401" i="4"/>
  <c r="B95" i="4"/>
  <c r="B320" i="4"/>
  <c r="B177" i="4"/>
  <c r="B178" i="4"/>
  <c r="B190" i="4"/>
  <c r="B210" i="4"/>
  <c r="B232" i="4"/>
  <c r="B19" i="4"/>
  <c r="B20" i="4"/>
  <c r="B250" i="4"/>
  <c r="B224" i="4"/>
  <c r="B283" i="4"/>
  <c r="B293" i="4"/>
  <c r="B376" i="4"/>
  <c r="B151" i="4"/>
  <c r="B152" i="4"/>
  <c r="B157" i="4"/>
  <c r="B221" i="4"/>
  <c r="B419" i="4"/>
  <c r="B218" i="4"/>
  <c r="B289" i="4"/>
  <c r="B23" i="4"/>
  <c r="B53" i="4"/>
  <c r="B195" i="4"/>
  <c r="B357" i="4"/>
  <c r="B75" i="4"/>
  <c r="B366" i="4"/>
  <c r="B432" i="4"/>
  <c r="B60" i="4"/>
  <c r="B61" i="4"/>
  <c r="B329" i="4"/>
  <c r="B330" i="4"/>
  <c r="B331" i="4"/>
  <c r="B407" i="4"/>
  <c r="B257" i="4"/>
  <c r="B258" i="4"/>
  <c r="B259" i="4"/>
  <c r="B429" i="4"/>
  <c r="B165" i="4"/>
  <c r="B74" i="4"/>
  <c r="B143" i="4"/>
  <c r="B144" i="4"/>
  <c r="B223" i="4"/>
  <c r="B282" i="4"/>
  <c r="B356" i="4"/>
  <c r="B9" i="4"/>
  <c r="B292" i="4"/>
  <c r="B375" i="4"/>
  <c r="B209" i="4"/>
  <c r="B418" i="4"/>
  <c r="B32" i="4"/>
  <c r="B33" i="4"/>
  <c r="B400" i="4"/>
  <c r="B319" i="4"/>
  <c r="B176" i="4"/>
  <c r="B189" i="4"/>
  <c r="B249" i="4"/>
  <c r="B18" i="4"/>
  <c r="B73" i="4"/>
  <c r="B428" i="4"/>
  <c r="B156" i="4"/>
  <c r="B456" i="4"/>
  <c r="B22" i="4"/>
  <c r="B220" i="4"/>
  <c r="B194" i="4"/>
  <c r="B281" i="4"/>
  <c r="B417" i="4"/>
  <c r="B72" i="4"/>
  <c r="B291" i="4"/>
  <c r="B374" i="4"/>
  <c r="B164" i="4"/>
  <c r="B58" i="4"/>
  <c r="B59" i="4"/>
  <c r="B327" i="4"/>
  <c r="B328" i="4"/>
  <c r="B355" i="4"/>
  <c r="B406" i="4"/>
  <c r="B208" i="4"/>
  <c r="B30" i="4"/>
  <c r="B31" i="4"/>
  <c r="B501" i="4"/>
  <c r="B141" i="4"/>
  <c r="B142" i="4"/>
  <c r="B222" i="4"/>
  <c r="B385" i="4"/>
  <c r="B8" i="4"/>
  <c r="B71" i="4"/>
  <c r="B248" i="4"/>
  <c r="B318" i="4"/>
  <c r="B416" i="4"/>
  <c r="B70" i="4"/>
  <c r="B207" i="4"/>
  <c r="B28" i="4"/>
  <c r="B29" i="4"/>
  <c r="B280" i="4"/>
  <c r="B354" i="4"/>
  <c r="B155" i="4"/>
  <c r="B188" i="4"/>
  <c r="B17" i="4"/>
  <c r="B52" i="4"/>
  <c r="B163" i="4"/>
  <c r="B500" i="4"/>
  <c r="B353" i="4"/>
  <c r="B187" i="4"/>
  <c r="B247" i="4"/>
  <c r="B317" i="4"/>
  <c r="C295" i="4"/>
  <c r="B295" i="4"/>
  <c r="E295" i="4"/>
  <c r="D295" i="4"/>
  <c r="A295" i="4"/>
  <c r="M2" i="9"/>
  <c r="I5" i="4"/>
  <c r="F5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3" i="4" a="1"/>
  <c r="G7" i="4" a="1"/>
  <c r="G11" i="4" a="1"/>
  <c r="G15" i="4" a="1"/>
  <c r="G19" i="4" a="1"/>
  <c r="G23" i="4" a="1"/>
  <c r="G27" i="4" a="1"/>
  <c r="G4" i="4" a="1"/>
  <c r="G8" i="4" a="1"/>
  <c r="G12" i="4" a="1"/>
  <c r="G16" i="4" a="1"/>
  <c r="G20" i="4" a="1"/>
  <c r="G24" i="4" a="1"/>
  <c r="G28" i="4" a="1"/>
  <c r="G5" i="4" a="1"/>
  <c r="G9" i="4" a="1"/>
  <c r="G13" i="4" a="1"/>
  <c r="G17" i="4" a="1"/>
  <c r="G6" i="4" a="1"/>
  <c r="G10" i="4" a="1"/>
  <c r="G14" i="4" a="1"/>
  <c r="G18" i="4" a="1"/>
  <c r="G22" i="4" a="1"/>
  <c r="G26" i="4" a="1"/>
  <c r="G30" i="4" a="1"/>
  <c r="G34" i="4" a="1"/>
  <c r="G38" i="4" a="1"/>
  <c r="G42" i="4" a="1"/>
  <c r="G46" i="4" a="1"/>
  <c r="G21" i="4" a="1"/>
  <c r="G37" i="4" a="1"/>
  <c r="G43" i="4" a="1"/>
  <c r="G60" i="4" a="1"/>
  <c r="G76" i="4" a="1"/>
  <c r="G92" i="4" a="1"/>
  <c r="G108" i="4" a="1"/>
  <c r="G124" i="4" a="1"/>
  <c r="G140" i="4" a="1"/>
  <c r="G156" i="4" a="1"/>
  <c r="G172" i="4" a="1"/>
  <c r="G188" i="4" a="1"/>
  <c r="G204" i="4" a="1"/>
  <c r="G220" i="4" a="1"/>
  <c r="G236" i="4" a="1"/>
  <c r="G252" i="4" a="1"/>
  <c r="G262" i="4" a="1"/>
  <c r="G271" i="4" a="1"/>
  <c r="G276" i="4" a="1"/>
  <c r="G285" i="4" a="1"/>
  <c r="G294" i="4" a="1"/>
  <c r="G303" i="4" a="1"/>
  <c r="G308" i="4" a="1"/>
  <c r="G317" i="4" a="1"/>
  <c r="G326" i="4" a="1"/>
  <c r="G335" i="4" a="1"/>
  <c r="G340" i="4" a="1"/>
  <c r="G344" i="4" a="1"/>
  <c r="G348" i="4" a="1"/>
  <c r="G352" i="4" a="1"/>
  <c r="G356" i="4" a="1"/>
  <c r="G360" i="4" a="1"/>
  <c r="G364" i="4" a="1"/>
  <c r="G368" i="4" a="1"/>
  <c r="G372" i="4" a="1"/>
  <c r="G376" i="4" a="1"/>
  <c r="G380" i="4" a="1"/>
  <c r="G384" i="4" a="1"/>
  <c r="G388" i="4" a="1"/>
  <c r="G392" i="4" a="1"/>
  <c r="G396" i="4" a="1"/>
  <c r="G400" i="4" a="1"/>
  <c r="G404" i="4" a="1"/>
  <c r="G408" i="4" a="1"/>
  <c r="G412" i="4" a="1"/>
  <c r="G416" i="4" a="1"/>
  <c r="G420" i="4" a="1"/>
  <c r="G424" i="4" a="1"/>
  <c r="G428" i="4" a="1"/>
  <c r="G432" i="4" a="1"/>
  <c r="G436" i="4" a="1"/>
  <c r="G31" i="4" a="1"/>
  <c r="G44" i="4" a="1"/>
  <c r="G50" i="4" a="1"/>
  <c r="G55" i="4" a="1"/>
  <c r="G61" i="4" a="1"/>
  <c r="G66" i="4" a="1"/>
  <c r="G71" i="4" a="1"/>
  <c r="G77" i="4" a="1"/>
  <c r="G82" i="4" a="1"/>
  <c r="G87" i="4" a="1"/>
  <c r="G93" i="4" a="1"/>
  <c r="G98" i="4" a="1"/>
  <c r="G103" i="4" a="1"/>
  <c r="G109" i="4" a="1"/>
  <c r="G114" i="4" a="1"/>
  <c r="G119" i="4" a="1"/>
  <c r="G125" i="4" a="1"/>
  <c r="G130" i="4" a="1"/>
  <c r="G135" i="4" a="1"/>
  <c r="G141" i="4" a="1"/>
  <c r="G146" i="4" a="1"/>
  <c r="G151" i="4" a="1"/>
  <c r="G157" i="4" a="1"/>
  <c r="G162" i="4" a="1"/>
  <c r="G167" i="4" a="1"/>
  <c r="G173" i="4" a="1"/>
  <c r="G178" i="4" a="1"/>
  <c r="G183" i="4" a="1"/>
  <c r="G189" i="4" a="1"/>
  <c r="G194" i="4" a="1"/>
  <c r="G199" i="4" a="1"/>
  <c r="G205" i="4" a="1"/>
  <c r="G210" i="4" a="1"/>
  <c r="G215" i="4" a="1"/>
  <c r="G221" i="4" a="1"/>
  <c r="G226" i="4" a="1"/>
  <c r="G231" i="4" a="1"/>
  <c r="G237" i="4" a="1"/>
  <c r="G242" i="4" a="1"/>
  <c r="G247" i="4" a="1"/>
  <c r="G253" i="4" a="1"/>
  <c r="G258" i="4" a="1"/>
  <c r="G267" i="4" a="1"/>
  <c r="G272" i="4" a="1"/>
  <c r="G281" i="4" a="1"/>
  <c r="G290" i="4" a="1"/>
  <c r="G299" i="4" a="1"/>
  <c r="G304" i="4" a="1"/>
  <c r="G313" i="4" a="1"/>
  <c r="G322" i="4" a="1"/>
  <c r="G331" i="4" a="1"/>
  <c r="G336" i="4" a="1"/>
  <c r="G32" i="4" a="1"/>
  <c r="G45" i="4" a="1"/>
  <c r="G56" i="4" a="1"/>
  <c r="G72" i="4" a="1"/>
  <c r="G88" i="4" a="1"/>
  <c r="G104" i="4" a="1"/>
  <c r="G120" i="4" a="1"/>
  <c r="G136" i="4" a="1"/>
  <c r="G152" i="4" a="1"/>
  <c r="G168" i="4" a="1"/>
  <c r="G184" i="4" a="1"/>
  <c r="G200" i="4" a="1"/>
  <c r="G216" i="4" a="1"/>
  <c r="G232" i="4" a="1"/>
  <c r="G248" i="4" a="1"/>
  <c r="G263" i="4" a="1"/>
  <c r="G268" i="4" a="1"/>
  <c r="G277" i="4" a="1"/>
  <c r="G286" i="4" a="1"/>
  <c r="G295" i="4" a="1"/>
  <c r="G300" i="4" a="1"/>
  <c r="G309" i="4" a="1"/>
  <c r="G318" i="4" a="1"/>
  <c r="G327" i="4" a="1"/>
  <c r="G332" i="4" a="1"/>
  <c r="G341" i="4" a="1"/>
  <c r="G345" i="4" a="1"/>
  <c r="G349" i="4" a="1"/>
  <c r="G353" i="4" a="1"/>
  <c r="G357" i="4" a="1"/>
  <c r="G361" i="4" a="1"/>
  <c r="G365" i="4" a="1"/>
  <c r="G369" i="4" a="1"/>
  <c r="G373" i="4" a="1"/>
  <c r="G377" i="4" a="1"/>
  <c r="G381" i="4" a="1"/>
  <c r="G385" i="4" a="1"/>
  <c r="G389" i="4" a="1"/>
  <c r="G393" i="4" a="1"/>
  <c r="G397" i="4" a="1"/>
  <c r="G401" i="4" a="1"/>
  <c r="G405" i="4" a="1"/>
  <c r="G409" i="4" a="1"/>
  <c r="G413" i="4" a="1"/>
  <c r="G417" i="4" a="1"/>
  <c r="G421" i="4" a="1"/>
  <c r="G425" i="4" a="1"/>
  <c r="G429" i="4" a="1"/>
  <c r="G25" i="4" a="1"/>
  <c r="G33" i="4" a="1"/>
  <c r="G39" i="4" a="1"/>
  <c r="G51" i="4" a="1"/>
  <c r="G57" i="4" a="1"/>
  <c r="G62" i="4" a="1"/>
  <c r="G67" i="4" a="1"/>
  <c r="G73" i="4" a="1"/>
  <c r="G78" i="4" a="1"/>
  <c r="G83" i="4" a="1"/>
  <c r="G89" i="4" a="1"/>
  <c r="G94" i="4" a="1"/>
  <c r="G99" i="4" a="1"/>
  <c r="G105" i="4" a="1"/>
  <c r="G110" i="4" a="1"/>
  <c r="G115" i="4" a="1"/>
  <c r="G121" i="4" a="1"/>
  <c r="G126" i="4" a="1"/>
  <c r="G131" i="4" a="1"/>
  <c r="G137" i="4" a="1"/>
  <c r="G142" i="4" a="1"/>
  <c r="G147" i="4" a="1"/>
  <c r="G153" i="4" a="1"/>
  <c r="G158" i="4" a="1"/>
  <c r="G163" i="4" a="1"/>
  <c r="G169" i="4" a="1"/>
  <c r="G174" i="4" a="1"/>
  <c r="G179" i="4" a="1"/>
  <c r="G185" i="4" a="1"/>
  <c r="G190" i="4" a="1"/>
  <c r="G195" i="4" a="1"/>
  <c r="G201" i="4" a="1"/>
  <c r="G206" i="4" a="1"/>
  <c r="G211" i="4" a="1"/>
  <c r="G217" i="4" a="1"/>
  <c r="G222" i="4" a="1"/>
  <c r="G227" i="4" a="1"/>
  <c r="G233" i="4" a="1"/>
  <c r="G238" i="4" a="1"/>
  <c r="G243" i="4" a="1"/>
  <c r="G249" i="4" a="1"/>
  <c r="G254" i="4" a="1"/>
  <c r="G259" i="4" a="1"/>
  <c r="G264" i="4" a="1"/>
  <c r="G273" i="4" a="1"/>
  <c r="G282" i="4" a="1"/>
  <c r="G291" i="4" a="1"/>
  <c r="G296" i="4" a="1"/>
  <c r="G305" i="4" a="1"/>
  <c r="G314" i="4" a="1"/>
  <c r="G323" i="4" a="1"/>
  <c r="G328" i="4" a="1"/>
  <c r="G337" i="4" a="1"/>
  <c r="G40" i="4" a="1"/>
  <c r="G52" i="4" a="1"/>
  <c r="G68" i="4" a="1"/>
  <c r="G84" i="4" a="1"/>
  <c r="G100" i="4" a="1"/>
  <c r="G116" i="4" a="1"/>
  <c r="G132" i="4" a="1"/>
  <c r="G148" i="4" a="1"/>
  <c r="G164" i="4" a="1"/>
  <c r="G180" i="4" a="1"/>
  <c r="G196" i="4" a="1"/>
  <c r="G212" i="4" a="1"/>
  <c r="G228" i="4" a="1"/>
  <c r="G244" i="4" a="1"/>
  <c r="G260" i="4" a="1"/>
  <c r="G269" i="4" a="1"/>
  <c r="G278" i="4" a="1"/>
  <c r="G287" i="4" a="1"/>
  <c r="G292" i="4" a="1"/>
  <c r="G301" i="4" a="1"/>
  <c r="G310" i="4" a="1"/>
  <c r="G319" i="4" a="1"/>
  <c r="G324" i="4" a="1"/>
  <c r="G333" i="4" a="1"/>
  <c r="G342" i="4" a="1"/>
  <c r="G346" i="4" a="1"/>
  <c r="G350" i="4" a="1"/>
  <c r="G354" i="4" a="1"/>
  <c r="G358" i="4" a="1"/>
  <c r="G362" i="4" a="1"/>
  <c r="G366" i="4" a="1"/>
  <c r="G370" i="4" a="1"/>
  <c r="G374" i="4" a="1"/>
  <c r="G378" i="4" a="1"/>
  <c r="G382" i="4" a="1"/>
  <c r="G386" i="4" a="1"/>
  <c r="G390" i="4" a="1"/>
  <c r="G394" i="4" a="1"/>
  <c r="G398" i="4" a="1"/>
  <c r="G402" i="4" a="1"/>
  <c r="G406" i="4" a="1"/>
  <c r="G410" i="4" a="1"/>
  <c r="G414" i="4" a="1"/>
  <c r="G418" i="4" a="1"/>
  <c r="G422" i="4" a="1"/>
  <c r="G426" i="4" a="1"/>
  <c r="G29" i="4" a="1"/>
  <c r="G35" i="4" a="1"/>
  <c r="G48" i="4" a="1"/>
  <c r="G64" i="4" a="1"/>
  <c r="G80" i="4" a="1"/>
  <c r="G96" i="4" a="1"/>
  <c r="G112" i="4" a="1"/>
  <c r="G128" i="4" a="1"/>
  <c r="G144" i="4" a="1"/>
  <c r="G160" i="4" a="1"/>
  <c r="G176" i="4" a="1"/>
  <c r="G192" i="4" a="1"/>
  <c r="G208" i="4" a="1"/>
  <c r="G224" i="4" a="1"/>
  <c r="G240" i="4" a="1"/>
  <c r="G256" i="4" a="1"/>
  <c r="G261" i="4" a="1"/>
  <c r="G270" i="4" a="1"/>
  <c r="G279" i="4" a="1"/>
  <c r="G284" i="4" a="1"/>
  <c r="G293" i="4" a="1"/>
  <c r="G302" i="4" a="1"/>
  <c r="G311" i="4" a="1"/>
  <c r="G316" i="4" a="1"/>
  <c r="G325" i="4" a="1"/>
  <c r="G334" i="4" a="1"/>
  <c r="G343" i="4" a="1"/>
  <c r="G347" i="4" a="1"/>
  <c r="G351" i="4" a="1"/>
  <c r="G355" i="4" a="1"/>
  <c r="G359" i="4" a="1"/>
  <c r="G363" i="4" a="1"/>
  <c r="G367" i="4" a="1"/>
  <c r="G371" i="4" a="1"/>
  <c r="G375" i="4" a="1"/>
  <c r="G379" i="4" a="1"/>
  <c r="G383" i="4" a="1"/>
  <c r="G387" i="4" a="1"/>
  <c r="G391" i="4" a="1"/>
  <c r="G395" i="4" a="1"/>
  <c r="G399" i="4" a="1"/>
  <c r="G403" i="4" a="1"/>
  <c r="G407" i="4" a="1"/>
  <c r="G411" i="4" a="1"/>
  <c r="G415" i="4" a="1"/>
  <c r="G419" i="4" a="1"/>
  <c r="G423" i="4" a="1"/>
  <c r="G427" i="4" a="1"/>
  <c r="G431" i="4" a="1"/>
  <c r="G435" i="4" a="1"/>
  <c r="G439" i="4" a="1"/>
  <c r="G443" i="4" a="1"/>
  <c r="G447" i="4" a="1"/>
  <c r="G451" i="4" a="1"/>
  <c r="G455" i="4" a="1"/>
  <c r="G459" i="4" a="1"/>
  <c r="G463" i="4" a="1"/>
  <c r="G467" i="4" a="1"/>
  <c r="G471" i="4" a="1"/>
  <c r="G47" i="4" a="1"/>
  <c r="G69" i="4" a="1"/>
  <c r="G90" i="4" a="1"/>
  <c r="G111" i="4" a="1"/>
  <c r="G133" i="4" a="1"/>
  <c r="G154" i="4" a="1"/>
  <c r="G175" i="4" a="1"/>
  <c r="G197" i="4" a="1"/>
  <c r="G218" i="4" a="1"/>
  <c r="G239" i="4" a="1"/>
  <c r="G297" i="4" a="1"/>
  <c r="G315" i="4" a="1"/>
  <c r="G430" i="4" a="1"/>
  <c r="G438" i="4" a="1"/>
  <c r="G444" i="4" a="1"/>
  <c r="G457" i="4" a="1"/>
  <c r="G470" i="4" a="1"/>
  <c r="G485" i="4" a="1"/>
  <c r="G490" i="4" a="1"/>
  <c r="G499" i="4" a="1"/>
  <c r="G63" i="4" a="1"/>
  <c r="G234" i="4" a="1"/>
  <c r="G86" i="4" a="1"/>
  <c r="G214" i="4" a="1"/>
  <c r="G312" i="4" a="1"/>
  <c r="G469" i="4" a="1"/>
  <c r="G489" i="4" a="1"/>
  <c r="G49" i="4" a="1"/>
  <c r="G70" i="4" a="1"/>
  <c r="G91" i="4" a="1"/>
  <c r="G113" i="4" a="1"/>
  <c r="G134" i="4" a="1"/>
  <c r="G155" i="4" a="1"/>
  <c r="G177" i="4" a="1"/>
  <c r="G198" i="4" a="1"/>
  <c r="G219" i="4" a="1"/>
  <c r="G241" i="4" a="1"/>
  <c r="G280" i="4" a="1"/>
  <c r="G298" i="4" a="1"/>
  <c r="G445" i="4" a="1"/>
  <c r="G458" i="4" a="1"/>
  <c r="G464" i="4" a="1"/>
  <c r="G476" i="4" a="1"/>
  <c r="G481" i="4" a="1"/>
  <c r="G486" i="4" a="1"/>
  <c r="G495" i="4" a="1"/>
  <c r="G504" i="4" a="1"/>
  <c r="G508" i="4" a="1"/>
  <c r="G512" i="4" a="1"/>
  <c r="G85" i="4" a="1"/>
  <c r="G191" i="4" a="1"/>
  <c r="G274" i="4" a="1"/>
  <c r="G468" i="4" a="1"/>
  <c r="G150" i="4" a="1"/>
  <c r="G275" i="4" a="1"/>
  <c r="G456" i="4" a="1"/>
  <c r="G480" i="4" a="1"/>
  <c r="G503" i="4" a="1"/>
  <c r="G53" i="4" a="1"/>
  <c r="G74" i="4" a="1"/>
  <c r="G95" i="4" a="1"/>
  <c r="G117" i="4" a="1"/>
  <c r="G138" i="4" a="1"/>
  <c r="G159" i="4" a="1"/>
  <c r="G181" i="4" a="1"/>
  <c r="G202" i="4" a="1"/>
  <c r="G223" i="4" a="1"/>
  <c r="G245" i="4" a="1"/>
  <c r="G265" i="4" a="1"/>
  <c r="G283" i="4" a="1"/>
  <c r="G320" i="4" a="1"/>
  <c r="G338" i="4" a="1"/>
  <c r="G446" i="4" a="1"/>
  <c r="G452" i="4" a="1"/>
  <c r="G465" i="4" a="1"/>
  <c r="G477" i="4" a="1"/>
  <c r="G482" i="4" a="1"/>
  <c r="G491" i="4" a="1"/>
  <c r="G500" i="4" a="1"/>
  <c r="G127" i="4" a="1"/>
  <c r="G255" i="4" a="1"/>
  <c r="G462" i="4" a="1"/>
  <c r="G498" i="4" a="1"/>
  <c r="G107" i="4" a="1"/>
  <c r="G171" i="4" a="1"/>
  <c r="G257" i="4" a="1"/>
  <c r="G437" i="4" a="1"/>
  <c r="G475" i="4" a="1"/>
  <c r="G511" i="4" a="1"/>
  <c r="G54" i="4" a="1"/>
  <c r="G75" i="4" a="1"/>
  <c r="G97" i="4" a="1"/>
  <c r="G118" i="4" a="1"/>
  <c r="G139" i="4" a="1"/>
  <c r="G161" i="4" a="1"/>
  <c r="G182" i="4" a="1"/>
  <c r="G203" i="4" a="1"/>
  <c r="G225" i="4" a="1"/>
  <c r="G246" i="4" a="1"/>
  <c r="G266" i="4" a="1"/>
  <c r="G321" i="4" a="1"/>
  <c r="G339" i="4" a="1"/>
  <c r="G433" i="4" a="1"/>
  <c r="G440" i="4" a="1"/>
  <c r="G453" i="4" a="1"/>
  <c r="G466" i="4" a="1"/>
  <c r="G472" i="4" a="1"/>
  <c r="G478" i="4" a="1"/>
  <c r="G487" i="4" a="1"/>
  <c r="G496" i="4" a="1"/>
  <c r="G505" i="4" a="1"/>
  <c r="G509" i="4" a="1"/>
  <c r="G513" i="4" a="1"/>
  <c r="G106" i="4" a="1"/>
  <c r="G170" i="4" a="1"/>
  <c r="G329" i="4" a="1"/>
  <c r="G484" i="4" a="1"/>
  <c r="G65" i="4" a="1"/>
  <c r="G235" i="4" a="1"/>
  <c r="G330" i="4" a="1"/>
  <c r="G450" i="4" a="1"/>
  <c r="G494" i="4" a="1"/>
  <c r="G58" i="4" a="1"/>
  <c r="G79" i="4" a="1"/>
  <c r="G101" i="4" a="1"/>
  <c r="G122" i="4" a="1"/>
  <c r="G143" i="4" a="1"/>
  <c r="G165" i="4" a="1"/>
  <c r="G186" i="4" a="1"/>
  <c r="G207" i="4" a="1"/>
  <c r="G229" i="4" a="1"/>
  <c r="G250" i="4" a="1"/>
  <c r="G288" i="4" a="1"/>
  <c r="G306" i="4" a="1"/>
  <c r="G434" i="4" a="1"/>
  <c r="G441" i="4" a="1"/>
  <c r="G454" i="4" a="1"/>
  <c r="G460" i="4" a="1"/>
  <c r="G473" i="4" a="1"/>
  <c r="G483" i="4" a="1"/>
  <c r="G492" i="4" a="1"/>
  <c r="G501" i="4" a="1"/>
  <c r="G149" i="4" a="1"/>
  <c r="G193" i="4" a="1"/>
  <c r="G36" i="4" a="1"/>
  <c r="G59" i="4" a="1"/>
  <c r="G81" i="4" a="1"/>
  <c r="G102" i="4" a="1"/>
  <c r="G123" i="4" a="1"/>
  <c r="G145" i="4" a="1"/>
  <c r="G166" i="4" a="1"/>
  <c r="G187" i="4" a="1"/>
  <c r="G209" i="4" a="1"/>
  <c r="G230" i="4" a="1"/>
  <c r="G251" i="4" a="1"/>
  <c r="G289" i="4" a="1"/>
  <c r="G307" i="4" a="1"/>
  <c r="G442" i="4" a="1"/>
  <c r="G448" i="4" a="1"/>
  <c r="G461" i="4" a="1"/>
  <c r="G474" i="4" a="1"/>
  <c r="G479" i="4" a="1"/>
  <c r="G488" i="4" a="1"/>
  <c r="G497" i="4" a="1"/>
  <c r="G502" i="4" a="1"/>
  <c r="G506" i="4" a="1"/>
  <c r="G510" i="4" a="1"/>
  <c r="G41" i="4" a="1"/>
  <c r="G213" i="4" a="1"/>
  <c r="G449" i="4" a="1"/>
  <c r="G493" i="4" a="1"/>
  <c r="G129" i="4" a="1"/>
  <c r="G507" i="4" a="1"/>
  <c r="G2" i="4" a="1"/>
  <c r="G516" i="4" a="1"/>
  <c r="G514" i="4" a="1"/>
  <c r="G515" i="4" a="1"/>
  <c r="G515" i="4" l="1"/>
  <c r="G514" i="4"/>
  <c r="G516" i="4"/>
  <c r="H516" i="4"/>
  <c r="G507" i="4"/>
  <c r="G129" i="4"/>
  <c r="G493" i="4"/>
  <c r="G449" i="4"/>
  <c r="G213" i="4"/>
  <c r="G41" i="4"/>
  <c r="G510" i="4"/>
  <c r="G506" i="4"/>
  <c r="G502" i="4"/>
  <c r="G497" i="4"/>
  <c r="G488" i="4"/>
  <c r="G479" i="4"/>
  <c r="G474" i="4"/>
  <c r="G461" i="4"/>
  <c r="G448" i="4"/>
  <c r="G442" i="4"/>
  <c r="G307" i="4"/>
  <c r="G289" i="4"/>
  <c r="G251" i="4"/>
  <c r="G230" i="4"/>
  <c r="G209" i="4"/>
  <c r="G187" i="4"/>
  <c r="G166" i="4"/>
  <c r="G145" i="4"/>
  <c r="G123" i="4"/>
  <c r="G102" i="4"/>
  <c r="G81" i="4"/>
  <c r="G59" i="4"/>
  <c r="G36" i="4"/>
  <c r="G193" i="4"/>
  <c r="G149" i="4"/>
  <c r="G501" i="4"/>
  <c r="G492" i="4"/>
  <c r="G483" i="4"/>
  <c r="G473" i="4"/>
  <c r="G460" i="4"/>
  <c r="G454" i="4"/>
  <c r="G441" i="4"/>
  <c r="G434" i="4"/>
  <c r="G306" i="4"/>
  <c r="G288" i="4"/>
  <c r="G250" i="4"/>
  <c r="G229" i="4"/>
  <c r="G207" i="4"/>
  <c r="G186" i="4"/>
  <c r="G165" i="4"/>
  <c r="G143" i="4"/>
  <c r="G122" i="4"/>
  <c r="G101" i="4"/>
  <c r="G79" i="4"/>
  <c r="G58" i="4"/>
  <c r="G494" i="4"/>
  <c r="G450" i="4"/>
  <c r="G330" i="4"/>
  <c r="G235" i="4"/>
  <c r="G65" i="4"/>
  <c r="G484" i="4"/>
  <c r="G329" i="4"/>
  <c r="G170" i="4"/>
  <c r="G106" i="4"/>
  <c r="G513" i="4"/>
  <c r="G509" i="4"/>
  <c r="G505" i="4"/>
  <c r="G496" i="4"/>
  <c r="G487" i="4"/>
  <c r="G478" i="4"/>
  <c r="G472" i="4"/>
  <c r="G466" i="4"/>
  <c r="G453" i="4"/>
  <c r="G440" i="4"/>
  <c r="G433" i="4"/>
  <c r="G339" i="4"/>
  <c r="G321" i="4"/>
  <c r="G266" i="4"/>
  <c r="G246" i="4"/>
  <c r="G225" i="4"/>
  <c r="G203" i="4"/>
  <c r="G182" i="4"/>
  <c r="G161" i="4"/>
  <c r="G139" i="4"/>
  <c r="G118" i="4"/>
  <c r="G97" i="4"/>
  <c r="G75" i="4"/>
  <c r="G54" i="4"/>
  <c r="G511" i="4"/>
  <c r="G475" i="4"/>
  <c r="G437" i="4"/>
  <c r="G257" i="4"/>
  <c r="G171" i="4"/>
  <c r="G107" i="4"/>
  <c r="G498" i="4"/>
  <c r="G462" i="4"/>
  <c r="G255" i="4"/>
  <c r="G127" i="4"/>
  <c r="G500" i="4"/>
  <c r="G491" i="4"/>
  <c r="G482" i="4"/>
  <c r="G477" i="4"/>
  <c r="G465" i="4"/>
  <c r="G452" i="4"/>
  <c r="G446" i="4"/>
  <c r="G338" i="4"/>
  <c r="G320" i="4"/>
  <c r="G283" i="4"/>
  <c r="G265" i="4"/>
  <c r="G245" i="4"/>
  <c r="G223" i="4"/>
  <c r="G202" i="4"/>
  <c r="G181" i="4"/>
  <c r="G159" i="4"/>
  <c r="G138" i="4"/>
  <c r="G117" i="4"/>
  <c r="G95" i="4"/>
  <c r="G74" i="4"/>
  <c r="G53" i="4"/>
  <c r="G503" i="4"/>
  <c r="G480" i="4"/>
  <c r="G456" i="4"/>
  <c r="G275" i="4"/>
  <c r="G150" i="4"/>
  <c r="G468" i="4"/>
  <c r="G274" i="4"/>
  <c r="G191" i="4"/>
  <c r="G85" i="4"/>
  <c r="G512" i="4"/>
  <c r="G508" i="4"/>
  <c r="G504" i="4"/>
  <c r="G495" i="4"/>
  <c r="G486" i="4"/>
  <c r="G481" i="4"/>
  <c r="G476" i="4"/>
  <c r="G464" i="4"/>
  <c r="G458" i="4"/>
  <c r="G445" i="4"/>
  <c r="G298" i="4"/>
  <c r="G280" i="4"/>
  <c r="G241" i="4"/>
  <c r="G219" i="4"/>
  <c r="G198" i="4"/>
  <c r="G177" i="4"/>
  <c r="G155" i="4"/>
  <c r="G134" i="4"/>
  <c r="G113" i="4"/>
  <c r="G91" i="4"/>
  <c r="G70" i="4"/>
  <c r="G49" i="4"/>
  <c r="G489" i="4"/>
  <c r="G469" i="4"/>
  <c r="G312" i="4"/>
  <c r="G214" i="4"/>
  <c r="G86" i="4"/>
  <c r="G234" i="4"/>
  <c r="G63" i="4"/>
  <c r="G499" i="4"/>
  <c r="G490" i="4"/>
  <c r="G485" i="4"/>
  <c r="G470" i="4"/>
  <c r="G457" i="4"/>
  <c r="G444" i="4"/>
  <c r="G438" i="4"/>
  <c r="G430" i="4"/>
  <c r="G315" i="4"/>
  <c r="G297" i="4"/>
  <c r="G239" i="4"/>
  <c r="G218" i="4"/>
  <c r="G197" i="4"/>
  <c r="G175" i="4"/>
  <c r="G154" i="4"/>
  <c r="G133" i="4"/>
  <c r="G111" i="4"/>
  <c r="G90" i="4"/>
  <c r="G69" i="4"/>
  <c r="G47" i="4"/>
  <c r="G471" i="4"/>
  <c r="G467" i="4"/>
  <c r="G463" i="4"/>
  <c r="G459" i="4"/>
  <c r="G455" i="4"/>
  <c r="G451" i="4"/>
  <c r="G447" i="4"/>
  <c r="G443" i="4"/>
  <c r="G439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4" i="4"/>
  <c r="G325" i="4"/>
  <c r="G316" i="4"/>
  <c r="G311" i="4"/>
  <c r="G302" i="4"/>
  <c r="G293" i="4"/>
  <c r="G284" i="4"/>
  <c r="G279" i="4"/>
  <c r="G270" i="4"/>
  <c r="G261" i="4"/>
  <c r="G256" i="4"/>
  <c r="G240" i="4"/>
  <c r="G224" i="4"/>
  <c r="G208" i="4"/>
  <c r="G192" i="4"/>
  <c r="G176" i="4"/>
  <c r="G160" i="4"/>
  <c r="G144" i="4"/>
  <c r="G128" i="4"/>
  <c r="G112" i="4"/>
  <c r="G96" i="4"/>
  <c r="G80" i="4"/>
  <c r="G64" i="4"/>
  <c r="G48" i="4"/>
  <c r="G35" i="4"/>
  <c r="G29" i="4"/>
  <c r="G426" i="4"/>
  <c r="G422" i="4"/>
  <c r="G418" i="4"/>
  <c r="G414" i="4"/>
  <c r="G410" i="4"/>
  <c r="G406" i="4"/>
  <c r="G402" i="4"/>
  <c r="G398" i="4"/>
  <c r="G394" i="4"/>
  <c r="G390" i="4"/>
  <c r="G386" i="4"/>
  <c r="G382" i="4"/>
  <c r="G378" i="4"/>
  <c r="G374" i="4"/>
  <c r="G370" i="4"/>
  <c r="G366" i="4"/>
  <c r="G362" i="4"/>
  <c r="G358" i="4"/>
  <c r="G354" i="4"/>
  <c r="G350" i="4"/>
  <c r="G346" i="4"/>
  <c r="G342" i="4"/>
  <c r="G333" i="4"/>
  <c r="G324" i="4"/>
  <c r="G319" i="4"/>
  <c r="G310" i="4"/>
  <c r="G301" i="4"/>
  <c r="G292" i="4"/>
  <c r="G287" i="4"/>
  <c r="G278" i="4"/>
  <c r="G269" i="4"/>
  <c r="G260" i="4"/>
  <c r="G244" i="4"/>
  <c r="G228" i="4"/>
  <c r="G212" i="4"/>
  <c r="G196" i="4"/>
  <c r="G180" i="4"/>
  <c r="G164" i="4"/>
  <c r="G148" i="4"/>
  <c r="G132" i="4"/>
  <c r="G116" i="4"/>
  <c r="G100" i="4"/>
  <c r="G84" i="4"/>
  <c r="G68" i="4"/>
  <c r="G52" i="4"/>
  <c r="G40" i="4"/>
  <c r="G337" i="4"/>
  <c r="G328" i="4"/>
  <c r="G323" i="4"/>
  <c r="G314" i="4"/>
  <c r="G305" i="4"/>
  <c r="G296" i="4"/>
  <c r="G291" i="4"/>
  <c r="G282" i="4"/>
  <c r="G273" i="4"/>
  <c r="G264" i="4"/>
  <c r="G259" i="4"/>
  <c r="G254" i="4"/>
  <c r="G249" i="4"/>
  <c r="G243" i="4"/>
  <c r="G238" i="4"/>
  <c r="G233" i="4"/>
  <c r="G227" i="4"/>
  <c r="G222" i="4"/>
  <c r="G217" i="4"/>
  <c r="G211" i="4"/>
  <c r="G206" i="4"/>
  <c r="G201" i="4"/>
  <c r="G195" i="4"/>
  <c r="G190" i="4"/>
  <c r="G185" i="4"/>
  <c r="G179" i="4"/>
  <c r="G174" i="4"/>
  <c r="G169" i="4"/>
  <c r="G163" i="4"/>
  <c r="G158" i="4"/>
  <c r="G153" i="4"/>
  <c r="G147" i="4"/>
  <c r="G142" i="4"/>
  <c r="G137" i="4"/>
  <c r="G131" i="4"/>
  <c r="G126" i="4"/>
  <c r="G121" i="4"/>
  <c r="G115" i="4"/>
  <c r="G110" i="4"/>
  <c r="G105" i="4"/>
  <c r="G99" i="4"/>
  <c r="G94" i="4"/>
  <c r="G89" i="4"/>
  <c r="G83" i="4"/>
  <c r="G78" i="4"/>
  <c r="G73" i="4"/>
  <c r="G67" i="4"/>
  <c r="G62" i="4"/>
  <c r="G57" i="4"/>
  <c r="G51" i="4"/>
  <c r="G39" i="4"/>
  <c r="G33" i="4"/>
  <c r="G25" i="4"/>
  <c r="G429" i="4"/>
  <c r="G425" i="4"/>
  <c r="G421" i="4"/>
  <c r="G417" i="4"/>
  <c r="G413" i="4"/>
  <c r="G409" i="4"/>
  <c r="G405" i="4"/>
  <c r="G401" i="4"/>
  <c r="G397" i="4"/>
  <c r="G393" i="4"/>
  <c r="G389" i="4"/>
  <c r="G385" i="4"/>
  <c r="G381" i="4"/>
  <c r="G377" i="4"/>
  <c r="G373" i="4"/>
  <c r="G369" i="4"/>
  <c r="G365" i="4"/>
  <c r="G361" i="4"/>
  <c r="G357" i="4"/>
  <c r="G353" i="4"/>
  <c r="G349" i="4"/>
  <c r="G345" i="4"/>
  <c r="G341" i="4"/>
  <c r="G332" i="4"/>
  <c r="G327" i="4"/>
  <c r="G318" i="4"/>
  <c r="G309" i="4"/>
  <c r="G300" i="4"/>
  <c r="G295" i="4"/>
  <c r="G286" i="4"/>
  <c r="G277" i="4"/>
  <c r="G268" i="4"/>
  <c r="G263" i="4"/>
  <c r="G248" i="4"/>
  <c r="G232" i="4"/>
  <c r="G216" i="4"/>
  <c r="G200" i="4"/>
  <c r="G184" i="4"/>
  <c r="G168" i="4"/>
  <c r="G152" i="4"/>
  <c r="G136" i="4"/>
  <c r="G120" i="4"/>
  <c r="G104" i="4"/>
  <c r="G88" i="4"/>
  <c r="G72" i="4"/>
  <c r="G56" i="4"/>
  <c r="G45" i="4"/>
  <c r="G32" i="4"/>
  <c r="G336" i="4"/>
  <c r="G331" i="4"/>
  <c r="G322" i="4"/>
  <c r="G313" i="4"/>
  <c r="G304" i="4"/>
  <c r="G299" i="4"/>
  <c r="G290" i="4"/>
  <c r="G281" i="4"/>
  <c r="G272" i="4"/>
  <c r="G267" i="4"/>
  <c r="G258" i="4"/>
  <c r="G253" i="4"/>
  <c r="G247" i="4"/>
  <c r="G242" i="4"/>
  <c r="G237" i="4"/>
  <c r="G231" i="4"/>
  <c r="G226" i="4"/>
  <c r="G221" i="4"/>
  <c r="G215" i="4"/>
  <c r="G210" i="4"/>
  <c r="G205" i="4"/>
  <c r="G199" i="4"/>
  <c r="G194" i="4"/>
  <c r="G189" i="4"/>
  <c r="G183" i="4"/>
  <c r="G178" i="4"/>
  <c r="G173" i="4"/>
  <c r="G167" i="4"/>
  <c r="G162" i="4"/>
  <c r="G157" i="4"/>
  <c r="G151" i="4"/>
  <c r="G146" i="4"/>
  <c r="G141" i="4"/>
  <c r="G135" i="4"/>
  <c r="G130" i="4"/>
  <c r="G125" i="4"/>
  <c r="G119" i="4"/>
  <c r="G114" i="4"/>
  <c r="G109" i="4"/>
  <c r="G103" i="4"/>
  <c r="G98" i="4"/>
  <c r="G93" i="4"/>
  <c r="G87" i="4"/>
  <c r="G82" i="4"/>
  <c r="G77" i="4"/>
  <c r="G71" i="4"/>
  <c r="G66" i="4"/>
  <c r="G61" i="4"/>
  <c r="G55" i="4"/>
  <c r="G50" i="4"/>
  <c r="G44" i="4"/>
  <c r="G31" i="4"/>
  <c r="G436" i="4"/>
  <c r="G432" i="4"/>
  <c r="G428" i="4"/>
  <c r="G424" i="4"/>
  <c r="G420" i="4"/>
  <c r="G416" i="4"/>
  <c r="G412" i="4"/>
  <c r="G408" i="4"/>
  <c r="G404" i="4"/>
  <c r="G400" i="4"/>
  <c r="G396" i="4"/>
  <c r="G392" i="4"/>
  <c r="G388" i="4"/>
  <c r="G384" i="4"/>
  <c r="G380" i="4"/>
  <c r="G376" i="4"/>
  <c r="G372" i="4"/>
  <c r="G368" i="4"/>
  <c r="G364" i="4"/>
  <c r="G360" i="4"/>
  <c r="G356" i="4"/>
  <c r="G352" i="4"/>
  <c r="G348" i="4"/>
  <c r="G344" i="4"/>
  <c r="G340" i="4"/>
  <c r="G335" i="4"/>
  <c r="G326" i="4"/>
  <c r="G317" i="4"/>
  <c r="G308" i="4"/>
  <c r="G303" i="4"/>
  <c r="G294" i="4"/>
  <c r="G285" i="4"/>
  <c r="G276" i="4"/>
  <c r="G271" i="4"/>
  <c r="G262" i="4"/>
  <c r="G252" i="4"/>
  <c r="G236" i="4"/>
  <c r="G220" i="4"/>
  <c r="G204" i="4"/>
  <c r="G188" i="4"/>
  <c r="G172" i="4"/>
  <c r="G156" i="4"/>
  <c r="G140" i="4"/>
  <c r="G124" i="4"/>
  <c r="G108" i="4"/>
  <c r="G92" i="4"/>
  <c r="G76" i="4"/>
  <c r="G60" i="4"/>
  <c r="G43" i="4"/>
  <c r="G37" i="4"/>
  <c r="G21" i="4"/>
  <c r="G46" i="4"/>
  <c r="G42" i="4"/>
  <c r="G38" i="4"/>
  <c r="G34" i="4"/>
  <c r="G30" i="4"/>
  <c r="G26" i="4"/>
  <c r="G22" i="4"/>
  <c r="G18" i="4"/>
  <c r="G14" i="4"/>
  <c r="G10" i="4"/>
  <c r="G6" i="4"/>
  <c r="G17" i="4"/>
  <c r="G13" i="4"/>
  <c r="G9" i="4"/>
  <c r="G5" i="4"/>
  <c r="G28" i="4"/>
  <c r="G24" i="4"/>
  <c r="G20" i="4"/>
  <c r="G16" i="4"/>
  <c r="G12" i="4"/>
  <c r="G8" i="4"/>
  <c r="G4" i="4"/>
  <c r="G27" i="4"/>
  <c r="G23" i="4"/>
  <c r="G19" i="4"/>
  <c r="G15" i="4"/>
  <c r="G11" i="4"/>
  <c r="G7" i="4"/>
  <c r="G3" i="4"/>
  <c r="G2" i="4"/>
  <c r="H2" i="4"/>
  <c r="H7" i="4"/>
  <c r="H6" i="4"/>
  <c r="H491" i="4"/>
  <c r="H4" i="4"/>
  <c r="F3" i="4"/>
  <c r="H447" i="4"/>
  <c r="H472" i="4"/>
  <c r="H439" i="4"/>
  <c r="H492" i="4"/>
  <c r="H462" i="4"/>
  <c r="H452" i="4"/>
  <c r="H450" i="4"/>
  <c r="H448" i="4"/>
  <c r="H469" i="4"/>
  <c r="H468" i="4"/>
  <c r="H451" i="4"/>
  <c r="H510" i="4"/>
  <c r="H470" i="4"/>
  <c r="F494" i="4"/>
  <c r="H441" i="4"/>
  <c r="F489" i="4"/>
  <c r="H459" i="4"/>
  <c r="H458" i="4"/>
  <c r="H466" i="4"/>
  <c r="H443" i="4"/>
  <c r="H449" i="4"/>
  <c r="H475" i="4"/>
  <c r="H471" i="4"/>
  <c r="H464" i="4"/>
  <c r="H461" i="4"/>
  <c r="H444" i="4"/>
  <c r="H442" i="4"/>
  <c r="H440" i="4"/>
  <c r="H493" i="4"/>
  <c r="H446" i="4"/>
  <c r="H437" i="4"/>
  <c r="H445" i="4"/>
  <c r="F438" i="4"/>
  <c r="F453" i="4"/>
  <c r="H465" i="4"/>
  <c r="F460" i="4"/>
  <c r="H463" i="4"/>
  <c r="F467" i="4"/>
  <c r="F490" i="4"/>
  <c r="H512" i="4"/>
  <c r="F511" i="4"/>
  <c r="F513" i="4"/>
  <c r="F476" i="4"/>
  <c r="H474" i="4"/>
  <c r="H509" i="4"/>
  <c r="H508" i="4"/>
  <c r="F477" i="4"/>
  <c r="F473" i="4"/>
  <c r="H480" i="4"/>
  <c r="H507" i="4"/>
  <c r="H482" i="4"/>
  <c r="H479" i="4"/>
  <c r="H478" i="4"/>
  <c r="F481" i="4"/>
  <c r="F483" i="4"/>
  <c r="H504" i="4"/>
  <c r="H503" i="4"/>
  <c r="H506" i="4"/>
  <c r="H505" i="4"/>
  <c r="F159" i="4"/>
  <c r="F151" i="4"/>
  <c r="F143" i="4"/>
  <c r="F135" i="4"/>
  <c r="F127" i="4"/>
  <c r="F496" i="4"/>
  <c r="F119" i="4"/>
  <c r="F175" i="4"/>
  <c r="F111" i="4"/>
  <c r="F167" i="4"/>
  <c r="F103" i="4"/>
  <c r="F495" i="4"/>
  <c r="F174" i="4"/>
  <c r="F166" i="4"/>
  <c r="F158" i="4"/>
  <c r="F150" i="4"/>
  <c r="F142" i="4"/>
  <c r="F134" i="4"/>
  <c r="F126" i="4"/>
  <c r="F118" i="4"/>
  <c r="F110" i="4"/>
  <c r="F102" i="4"/>
  <c r="F502" i="4"/>
  <c r="F173" i="4"/>
  <c r="F165" i="4"/>
  <c r="F157" i="4"/>
  <c r="F149" i="4"/>
  <c r="F141" i="4"/>
  <c r="F133" i="4"/>
  <c r="F125" i="4"/>
  <c r="F117" i="4"/>
  <c r="F109" i="4"/>
  <c r="F101" i="4"/>
  <c r="F501" i="4"/>
  <c r="F180" i="4"/>
  <c r="F172" i="4"/>
  <c r="F164" i="4"/>
  <c r="F156" i="4"/>
  <c r="F148" i="4"/>
  <c r="F140" i="4"/>
  <c r="F132" i="4"/>
  <c r="F124" i="4"/>
  <c r="F116" i="4"/>
  <c r="F108" i="4"/>
  <c r="F100" i="4"/>
  <c r="F500" i="4"/>
  <c r="F179" i="4"/>
  <c r="F171" i="4"/>
  <c r="F163" i="4"/>
  <c r="F155" i="4"/>
  <c r="F147" i="4"/>
  <c r="F139" i="4"/>
  <c r="F131" i="4"/>
  <c r="F123" i="4"/>
  <c r="F115" i="4"/>
  <c r="F107" i="4"/>
  <c r="F499" i="4"/>
  <c r="F178" i="4"/>
  <c r="F170" i="4"/>
  <c r="F162" i="4"/>
  <c r="F154" i="4"/>
  <c r="F146" i="4"/>
  <c r="F138" i="4"/>
  <c r="F130" i="4"/>
  <c r="F122" i="4"/>
  <c r="F114" i="4"/>
  <c r="F106" i="4"/>
  <c r="F498" i="4"/>
  <c r="F177" i="4"/>
  <c r="F169" i="4"/>
  <c r="F161" i="4"/>
  <c r="F153" i="4"/>
  <c r="F145" i="4"/>
  <c r="F137" i="4"/>
  <c r="F129" i="4"/>
  <c r="F121" i="4"/>
  <c r="F113" i="4"/>
  <c r="F105" i="4"/>
  <c r="F497" i="4"/>
  <c r="F176" i="4"/>
  <c r="F168" i="4"/>
  <c r="F160" i="4"/>
  <c r="F152" i="4"/>
  <c r="F144" i="4"/>
  <c r="F136" i="4"/>
  <c r="F128" i="4"/>
  <c r="F120" i="4"/>
  <c r="F112" i="4"/>
  <c r="F104" i="4"/>
  <c r="A149" i="15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F20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70" i="4"/>
  <c r="F269" i="4"/>
  <c r="F272" i="4"/>
  <c r="F271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54" i="4"/>
  <c r="F455" i="4"/>
  <c r="F456" i="4"/>
  <c r="F457" i="4"/>
  <c r="F484" i="4"/>
  <c r="F485" i="4"/>
  <c r="F486" i="4"/>
  <c r="F487" i="4"/>
  <c r="F488" i="4"/>
  <c r="F8" i="4"/>
  <c r="F9" i="4"/>
  <c r="F10" i="4"/>
  <c r="F11" i="4"/>
  <c r="F12" i="4"/>
  <c r="F13" i="4"/>
  <c r="F16" i="4"/>
  <c r="F17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18" i="4"/>
  <c r="F19" i="4"/>
  <c r="F14" i="4"/>
  <c r="F15" i="4"/>
  <c r="H5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I1" authorId="0" shapeId="0" xr:uid="{2D1C702E-2368-4DF4-8A52-143E0E2B2AED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4 digit</t>
        </r>
      </text>
    </comment>
    <comment ref="J1" authorId="0" shapeId="0" xr:uid="{C93B7754-5246-4D4E-973B-09536A7F76F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text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<sst xmlns="http://schemas.openxmlformats.org/spreadsheetml/2006/main" count="9555" uniqueCount="2412">
  <si>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</si>
  <si>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</si>
  <si>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</si>
  <si>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</si>
  <si>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</si>
  <si>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</si>
  <si>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</si>
  <si>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</si>
  <si>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</si>
  <si>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</si>
  <si>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</si>
  <si>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</si>
  <si>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</si>
  <si>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</si>
  <si>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</si>
  <si>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</si>
  <si>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</si>
  <si>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</si>
  <si>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</si>
  <si>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</si>
  <si>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</si>
  <si>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</si>
  <si>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</si>
  <si>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</si>
  <si>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</si>
  <si>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</si>
  <si>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</si>
  <si>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</si>
  <si>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</si>
  <si>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</si>
  <si>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</si>
  <si>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</si>
  <si>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</si>
  <si>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</si>
  <si>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</si>
  <si>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</si>
  <si>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</si>
  <si>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</si>
  <si>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</si>
  <si>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</si>
  <si>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</si>
  <si>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</si>
  <si>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</si>
  <si>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</si>
  <si>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</si>
  <si>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</si>
  <si>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</si>
  <si>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</si>
  <si>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</si>
  <si>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</si>
  <si>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</si>
  <si>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</si>
  <si>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</si>
  <si>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</si>
  <si>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</si>
  <si>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</si>
  <si>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</si>
  <si>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</si>
  <si>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</si>
  <si>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</si>
  <si>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</si>
  <si>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</si>
  <si>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</si>
  <si>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</si>
  <si>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</si>
  <si>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</si>
  <si>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</si>
  <si>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</si>
  <si>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</si>
  <si>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</si>
  <si>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</si>
  <si>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</si>
  <si>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</si>
  <si>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</si>
  <si>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</si>
  <si>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</si>
  <si>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</si>
  <si>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</si>
  <si>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</si>
  <si>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</si>
  <si>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</si>
  <si>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</si>
  <si>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</si>
  <si>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</si>
  <si>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</si>
  <si>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</si>
  <si>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</si>
  <si>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</si>
  <si>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</si>
  <si>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</si>
  <si>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</si>
  <si>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</si>
  <si>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</si>
  <si>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</si>
  <si>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</si>
  <si>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</si>
  <si>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</si>
  <si>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</si>
  <si>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</si>
  <si>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</si>
  <si>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</si>
  <si>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</si>
  <si>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</si>
  <si>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</si>
  <si>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</si>
  <si>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</si>
  <si>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</si>
  <si>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</si>
  <si>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</si>
  <si>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</si>
  <si>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</si>
  <si>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</si>
  <si>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</si>
  <si>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</si>
  <si>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</si>
  <si>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</si>
  <si>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</si>
  <si>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</si>
  <si>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</si>
  <si>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</si>
  <si>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</si>
  <si>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</si>
  <si>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</si>
  <si>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</si>
  <si>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</si>
  <si>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</si>
  <si>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</si>
  <si>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</si>
  <si>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</si>
  <si>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</si>
  <si>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</si>
  <si>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</si>
  <si>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</si>
  <si>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</si>
  <si>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</si>
  <si>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</si>
  <si>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</si>
  <si>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</si>
  <si>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</si>
  <si>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</si>
  <si>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</si>
  <si>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</si>
  <si>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</si>
  <si>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</si>
  <si>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</si>
  <si>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</si>
  <si>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</si>
  <si>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</si>
  <si>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</si>
  <si>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</si>
  <si>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</si>
  <si>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</si>
  <si>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</si>
  <si>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</si>
  <si>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</si>
  <si>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</si>
  <si>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</si>
  <si>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</si>
  <si>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</si>
  <si>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</si>
  <si>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</si>
  <si>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</si>
  <si>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</si>
  <si>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</si>
  <si>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</si>
  <si>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</si>
  <si>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</si>
  <si>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</si>
  <si>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</si>
  <si>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</si>
  <si>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</si>
  <si>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</si>
  <si>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</si>
  <si>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</si>
  <si>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</si>
  <si>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</si>
  <si>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</si>
  <si>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</si>
  <si>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</si>
  <si>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</si>
  <si>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</si>
  <si>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</si>
  <si>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</si>
  <si>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</si>
  <si>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</si>
  <si>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</si>
  <si>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</si>
  <si>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</si>
  <si>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</si>
  <si>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</si>
  <si>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</si>
  <si>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</si>
  <si>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</si>
  <si>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</si>
  <si>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</si>
  <si>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</si>
  <si>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</si>
  <si>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</si>
  <si>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</si>
  <si>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</si>
  <si>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</si>
  <si>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</si>
  <si>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</si>
  <si>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</si>
  <si>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</si>
  <si>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</si>
  <si>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</si>
  <si>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</si>
  <si>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</si>
  <si>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</si>
  <si>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</si>
  <si>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</si>
  <si>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</si>
  <si>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</si>
  <si>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</si>
  <si>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</si>
  <si>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</si>
  <si>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</si>
  <si>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</si>
  <si>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</si>
  <si>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</si>
  <si>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</si>
  <si>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</si>
  <si>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</si>
  <si>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</si>
  <si>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</si>
  <si>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</si>
  <si>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</si>
  <si>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</si>
  <si>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</si>
  <si>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</si>
  <si>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</si>
  <si>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</si>
  <si>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</si>
  <si>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</si>
  <si>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</si>
  <si>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</si>
  <si>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</si>
  <si>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</si>
  <si>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</si>
  <si>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</si>
  <si>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</si>
  <si>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</si>
  <si>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</si>
  <si>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</si>
  <si>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</si>
  <si>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</si>
  <si>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</si>
  <si>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</si>
  <si>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</si>
  <si>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</si>
  <si>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</si>
  <si>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</si>
  <si>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</si>
  <si>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</si>
  <si>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</si>
  <si>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</si>
  <si>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</si>
  <si>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</si>
  <si>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</si>
  <si>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</si>
  <si>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</si>
  <si>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</si>
  <si>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</si>
  <si>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</si>
  <si>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</si>
  <si>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</si>
  <si>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</si>
  <si>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</si>
  <si>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</si>
  <si>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</si>
  <si>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</si>
  <si>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</si>
  <si>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</si>
  <si>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</si>
  <si>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</si>
  <si>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</si>
  <si>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</si>
  <si>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</si>
  <si>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</si>
  <si>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</si>
  <si>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</si>
  <si>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</si>
  <si>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</si>
  <si>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</si>
  <si>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</si>
  <si>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</si>
  <si>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</si>
  <si>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</si>
  <si>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</si>
  <si>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</si>
  <si>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</si>
  <si>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</si>
  <si>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</si>
  <si>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</si>
  <si>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</si>
  <si>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</si>
  <si>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</si>
  <si>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</si>
  <si>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</si>
  <si>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</si>
  <si>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</si>
  <si>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</si>
  <si>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</si>
  <si>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</si>
  <si>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</si>
  <si>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</si>
  <si>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</si>
  <si>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</si>
  <si>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</si>
  <si>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</si>
  <si>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</si>
  <si>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</si>
  <si>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</si>
  <si>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</si>
  <si>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</si>
  <si>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</si>
  <si>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</si>
  <si>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</si>
  <si>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</si>
  <si>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</si>
  <si>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</si>
  <si>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</si>
  <si>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</si>
  <si>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</si>
  <si>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</si>
  <si>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</si>
  <si>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</si>
  <si>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</si>
  <si>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</si>
  <si>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</si>
  <si>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</si>
  <si>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</si>
  <si>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</si>
  <si>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</si>
  <si>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</si>
  <si>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</si>
  <si>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</si>
  <si>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</si>
  <si>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</si>
  <si>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</si>
  <si>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</si>
  <si>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</si>
  <si>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</si>
  <si>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</si>
  <si>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</si>
  <si>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</si>
  <si>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</si>
  <si>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</si>
  <si>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</si>
  <si>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</si>
  <si>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</si>
  <si>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</si>
  <si>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</si>
  <si>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</si>
  <si>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</si>
  <si>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</si>
  <si>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</si>
  <si>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</si>
  <si>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</si>
  <si>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</si>
  <si>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</si>
  <si>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</si>
  <si>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</si>
  <si>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</si>
  <si>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</si>
  <si>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</si>
  <si>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</si>
  <si>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</si>
  <si>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</si>
  <si>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</si>
  <si>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</si>
  <si>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</si>
  <si>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</si>
  <si>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</si>
  <si>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</si>
  <si>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</si>
  <si>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</si>
  <si>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</si>
  <si>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</si>
  <si>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</si>
  <si>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</si>
  <si>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</si>
  <si>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</si>
  <si>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</si>
  <si>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</si>
  <si>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</si>
  <si>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</si>
  <si>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</si>
  <si>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</si>
  <si>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</si>
  <si>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</si>
  <si>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</si>
  <si>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</si>
  <si>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</si>
  <si>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</si>
  <si>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</si>
  <si>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</si>
  <si>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</si>
  <si>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</si>
  <si>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</si>
  <si>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</si>
  <si>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</si>
  <si>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</si>
  <si>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</si>
  <si>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</si>
  <si>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</si>
  <si>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</si>
  <si>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</si>
  <si>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</si>
  <si>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</si>
  <si>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</si>
  <si>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</si>
  <si>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</si>
  <si>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</si>
  <si>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</si>
  <si>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</si>
  <si>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</si>
  <si>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</si>
  <si>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</si>
  <si>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</si>
  <si>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</si>
  <si>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</si>
  <si>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</si>
  <si>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</si>
  <si>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</si>
  <si>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</si>
  <si>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</si>
  <si>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</si>
  <si>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</si>
  <si>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</si>
  <si>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</si>
  <si>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</si>
  <si>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</si>
  <si>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</si>
  <si>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</si>
  <si>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</si>
  <si>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</si>
  <si>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</si>
  <si>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</si>
  <si>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</si>
  <si>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</si>
  <si>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</si>
  <si>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</si>
  <si>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</si>
  <si>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</si>
  <si>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</si>
  <si>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</si>
  <si>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</si>
  <si>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</si>
  <si>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</si>
  <si>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</si>
  <si>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</si>
  <si>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</si>
  <si>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</si>
  <si>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</si>
  <si>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</si>
  <si>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</si>
  <si>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</si>
  <si>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</si>
  <si>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</si>
  <si>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</si>
  <si>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</si>
  <si>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</si>
  <si>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</si>
  <si>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</si>
  <si>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</si>
  <si>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</si>
  <si>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</si>
  <si>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</si>
  <si>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</si>
  <si>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</si>
  <si>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</si>
  <si>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</si>
  <si>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</si>
  <si>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</si>
  <si>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</si>
  <si>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</si>
  <si>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</si>
  <si>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</si>
  <si>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</si>
  <si>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</si>
  <si>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</si>
  <si>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</si>
  <si>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</si>
  <si>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</si>
  <si>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</si>
  <si>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</si>
  <si>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</si>
  <si>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</si>
  <si>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</si>
  <si>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</si>
  <si>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</si>
  <si>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</si>
  <si>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</si>
  <si>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</si>
  <si>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</si>
  <si>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</si>
  <si>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</si>
  <si>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</si>
  <si>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</si>
  <si>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</si>
  <si>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</si>
  <si>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</si>
  <si>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</si>
  <si>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</si>
  <si>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</si>
  <si>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</si>
  <si>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</si>
  <si>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</si>
  <si>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</si>
  <si>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</si>
  <si>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</si>
  <si>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</si>
  <si>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</si>
  <si>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</si>
  <si>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</si>
  <si>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</si>
  <si>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</si>
  <si>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</si>
  <si>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</si>
  <si>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</si>
  <si>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</si>
  <si>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</si>
  <si>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</si>
  <si>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</si>
  <si>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</si>
  <si>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</si>
  <si>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</si>
  <si>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</si>
  <si>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</si>
  <si>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</si>
  <si>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</si>
  <si>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</si>
  <si>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</si>
  <si>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</si>
  <si>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</si>
  <si>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</si>
  <si>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</si>
  <si>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</si>
  <si>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</si>
  <si>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</si>
  <si>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</si>
  <si>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</si>
  <si>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</si>
  <si>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</si>
  <si>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</si>
  <si>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</si>
  <si>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</si>
  <si>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</si>
  <si>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</si>
  <si>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</si>
  <si>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</si>
  <si>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</si>
  <si>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</si>
  <si>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</si>
  <si>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</si>
  <si>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</si>
  <si>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</si>
  <si>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</si>
  <si>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</si>
  <si>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</si>
  <si>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</si>
  <si>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</si>
  <si>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</si>
  <si>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</si>
  <si>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</si>
  <si>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</si>
  <si>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</si>
  <si>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</si>
  <si>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</si>
  <si>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</si>
  <si>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</si>
  <si>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</si>
  <si>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</si>
  <si>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</si>
  <si>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</si>
  <si>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</si>
  <si>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</si>
  <si>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</si>
  <si>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</si>
  <si>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</si>
  <si>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</si>
  <si>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</si>
  <si>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</si>
  <si>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</si>
  <si>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</si>
  <si>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</si>
  <si>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</si>
  <si>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</si>
  <si>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</si>
  <si>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</si>
  <si>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</si>
  <si>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</si>
  <si>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</si>
  <si>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</si>
  <si>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</si>
  <si>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</si>
  <si>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</si>
  <si>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</si>
  <si>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</si>
  <si>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</si>
  <si>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</si>
  <si>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</si>
  <si>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</si>
  <si>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</si>
  <si>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</si>
  <si>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</si>
  <si>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</si>
  <si>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</si>
  <si>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</si>
  <si>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</si>
  <si>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</si>
  <si>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</si>
  <si>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</si>
  <si>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</si>
  <si>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</si>
  <si>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</si>
  <si>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</si>
  <si>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</si>
  <si>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</si>
  <si>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</si>
  <si>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</si>
  <si>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</si>
  <si>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</si>
  <si>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</si>
  <si>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</si>
  <si>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</si>
  <si>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</si>
  <si>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</si>
  <si>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</si>
  <si>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</si>
  <si>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</si>
  <si>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</si>
  <si>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</si>
  <si>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</si>
  <si>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</si>
  <si>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</si>
  <si>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</si>
  <si>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</si>
  <si>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</si>
  <si>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</si>
  <si>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</si>
  <si>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</si>
  <si>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</si>
  <si>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</si>
  <si>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</si>
  <si>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</si>
  <si>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</si>
  <si>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</si>
  <si>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</si>
  <si>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</si>
  <si>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</si>
  <si>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</si>
  <si>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</si>
  <si>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</si>
  <si>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</si>
  <si>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</si>
  <si>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</si>
  <si>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</si>
  <si>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</si>
  <si>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</si>
  <si>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</si>
  <si>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</si>
  <si>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</si>
  <si>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</si>
  <si>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</si>
  <si>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</si>
  <si>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</si>
  <si>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</si>
  <si>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</si>
  <si>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</si>
  <si>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</si>
  <si>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</si>
  <si>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</si>
  <si>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</si>
  <si>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</si>
  <si>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</si>
  <si>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</si>
  <si>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</si>
  <si>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</si>
  <si>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</si>
  <si>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</si>
  <si>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</si>
  <si>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</si>
  <si>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</si>
  <si>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</si>
  <si>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</si>
  <si>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</si>
  <si>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</si>
  <si>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</si>
  <si>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</si>
  <si>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</si>
  <si>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</si>
  <si>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</si>
  <si>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</si>
  <si>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</si>
  <si>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</si>
  <si>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</si>
  <si>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</si>
  <si>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</si>
  <si>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</si>
  <si>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</si>
  <si>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</si>
  <si>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</si>
  <si>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</si>
  <si>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</si>
  <si>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</si>
  <si>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</si>
  <si>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</si>
  <si>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</si>
  <si>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</si>
  <si>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</si>
  <si>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</si>
  <si>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</si>
  <si>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</si>
  <si>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</si>
  <si>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</si>
  <si>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</si>
  <si>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</si>
  <si>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</si>
  <si>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</si>
  <si>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</si>
  <si>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</si>
  <si>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</si>
  <si>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</si>
  <si>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</si>
  <si>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</si>
  <si>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</si>
  <si>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</si>
  <si>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</si>
  <si>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</si>
  <si>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</si>
  <si>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</si>
  <si>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</si>
  <si>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</si>
  <si>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</si>
  <si>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</si>
  <si>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</si>
  <si>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</si>
  <si>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</si>
  <si>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</si>
  <si>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</si>
  <si>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</si>
  <si>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</si>
  <si>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</si>
  <si>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</si>
  <si>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</si>
  <si>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</si>
  <si>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</si>
  <si>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</si>
  <si>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</si>
  <si>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</si>
  <si>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</si>
  <si>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</si>
  <si>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</si>
  <si>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</si>
  <si>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</si>
  <si>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</si>
  <si>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</si>
  <si>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</si>
  <si>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</si>
  <si>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</si>
  <si>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</si>
  <si>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</si>
  <si>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</si>
  <si>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</si>
  <si>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</si>
  <si>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</si>
  <si>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</si>
  <si>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</si>
  <si>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</si>
  <si>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</si>
  <si>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</si>
  <si>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</si>
  <si>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</si>
  <si>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</si>
  <si>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</si>
  <si>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</si>
  <si>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</si>
  <si>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</si>
  <si>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</si>
  <si>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</si>
  <si>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</si>
  <si>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</si>
  <si>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</si>
  <si>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</si>
  <si>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</si>
  <si>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</si>
  <si>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</si>
  <si>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</si>
  <si>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</si>
  <si>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</si>
  <si>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</si>
  <si>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</si>
  <si>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</si>
  <si>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</si>
  <si>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</si>
  <si>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</si>
  <si>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</si>
  <si>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</si>
  <si>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</si>
  <si>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</si>
  <si>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</si>
  <si>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</si>
  <si>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</si>
  <si>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</si>
  <si>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</si>
  <si>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</si>
  <si>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</si>
  <si>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</si>
  <si>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</si>
  <si>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</si>
  <si>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</si>
  <si>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</si>
  <si>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</si>
  <si>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</si>
  <si>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</si>
  <si>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</si>
  <si>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</si>
  <si>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</si>
  <si>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</si>
  <si>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</si>
  <si>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</si>
  <si>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</si>
  <si>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</si>
  <si>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</si>
  <si>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</si>
  <si>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</si>
  <si>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</si>
  <si>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</si>
  <si>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</si>
  <si>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</si>
  <si>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</si>
  <si>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</si>
  <si>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</si>
  <si>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</si>
  <si>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</si>
  <si>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</si>
  <si>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</si>
  <si>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</si>
  <si>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</si>
  <si>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</si>
  <si>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</si>
  <si>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</si>
  <si>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</si>
  <si>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</si>
  <si>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</si>
  <si>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</si>
  <si>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</si>
  <si>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</si>
  <si>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</si>
  <si>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</si>
  <si>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</si>
  <si>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</si>
  <si>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</si>
  <si>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</si>
  <si>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</si>
  <si>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</si>
  <si>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</si>
  <si>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</si>
  <si>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</si>
  <si>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</si>
  <si>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</si>
  <si>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</si>
  <si>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</si>
  <si>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</si>
  <si>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</si>
  <si>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</si>
  <si>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</si>
  <si>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</si>
  <si>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</si>
  <si>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</si>
  <si>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</si>
  <si>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</si>
  <si>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</si>
  <si>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</si>
  <si>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</si>
  <si>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</si>
  <si>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</si>
  <si>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</si>
  <si>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</si>
  <si>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</si>
  <si>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</si>
  <si>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</si>
  <si>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</si>
  <si>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</si>
  <si>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</si>
  <si>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</si>
  <si>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</si>
  <si>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</si>
  <si>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</si>
  <si>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</si>
  <si>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</si>
  <si>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</si>
  <si>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</si>
  <si>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</si>
  <si>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</si>
  <si>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</si>
  <si>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</si>
  <si>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</si>
  <si>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</si>
  <si>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</si>
  <si>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</si>
  <si>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</si>
  <si>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</si>
  <si>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</si>
  <si>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</si>
  <si>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</si>
  <si>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</si>
  <si>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</si>
  <si>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</si>
  <si>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</si>
  <si>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</si>
  <si>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</si>
  <si>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</si>
  <si>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</si>
  <si>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</si>
  <si>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</si>
  <si>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</si>
  <si>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</si>
  <si>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</si>
  <si>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</si>
  <si>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</si>
  <si>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</si>
  <si>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</si>
  <si>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</si>
  <si>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</si>
  <si>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</si>
  <si>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</si>
  <si>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</si>
  <si>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</si>
  <si>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</si>
  <si>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</si>
  <si>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</si>
  <si>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</si>
  <si>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</si>
  <si>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</si>
  <si>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</si>
  <si>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</si>
  <si>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</si>
  <si>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</si>
  <si>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</si>
  <si>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</si>
  <si>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</si>
  <si>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</si>
  <si>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</si>
  <si>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</si>
  <si>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</si>
  <si>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</si>
  <si>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</si>
  <si>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</si>
  <si>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</si>
  <si>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</si>
  <si>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</si>
  <si>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</si>
  <si>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</si>
  <si>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</si>
  <si>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</si>
  <si>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</si>
  <si>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</si>
  <si>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</si>
  <si>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</si>
  <si>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</si>
  <si>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</si>
  <si>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</si>
  <si>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</si>
  <si>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</si>
  <si>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</si>
  <si>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</si>
  <si>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</si>
  <si>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</si>
  <si>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</si>
  <si>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</si>
  <si>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</si>
  <si>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</si>
  <si>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</si>
  <si>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</si>
  <si>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</si>
  <si>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</si>
  <si>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</si>
  <si>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</si>
  <si>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</si>
  <si>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</si>
  <si>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</si>
  <si>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</si>
  <si>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</si>
  <si>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</si>
  <si>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</si>
  <si>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</si>
  <si>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</si>
  <si>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</si>
  <si>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</si>
  <si>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</si>
  <si>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</si>
  <si>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</si>
  <si>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</si>
  <si>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</si>
  <si>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</si>
  <si>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</si>
  <si>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</si>
  <si>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</si>
  <si>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</si>
  <si>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</si>
  <si>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</si>
  <si>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</si>
  <si>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</si>
  <si>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</si>
  <si>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</si>
  <si>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</si>
  <si>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</si>
  <si>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</si>
  <si>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</si>
  <si>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</si>
  <si>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</si>
  <si>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</si>
  <si>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</si>
  <si>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</si>
  <si>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</si>
  <si>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</si>
  <si>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</si>
  <si>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</si>
  <si>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</si>
  <si>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</si>
  <si>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</si>
  <si>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</si>
  <si>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</si>
  <si>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</si>
  <si>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</si>
  <si>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</si>
  <si>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</si>
  <si>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</si>
  <si>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</si>
  <si>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</si>
  <si>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</si>
  <si>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</si>
  <si>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</si>
  <si>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</si>
  <si>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</si>
  <si>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</si>
  <si>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</si>
  <si>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</si>
  <si>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</si>
  <si>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</si>
  <si>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</si>
  <si>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</si>
  <si>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</si>
  <si>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</si>
  <si>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</si>
  <si>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</si>
  <si>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</si>
  <si>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</si>
  <si>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</si>
  <si>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</si>
  <si>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</si>
  <si>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</si>
  <si>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</si>
  <si>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</si>
  <si>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</si>
  <si>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</si>
  <si>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</si>
  <si>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</si>
  <si>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</si>
  <si>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</si>
  <si>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</si>
  <si>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</si>
  <si>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</si>
  <si>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</si>
  <si>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</si>
  <si>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</si>
  <si>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</si>
  <si>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</si>
  <si>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</si>
  <si>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</si>
  <si>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</si>
  <si>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</si>
  <si>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</si>
  <si>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</si>
  <si>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</si>
  <si>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</si>
  <si>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</si>
  <si>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</si>
  <si>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</si>
  <si>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</si>
  <si>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</si>
  <si>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</si>
  <si>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</si>
  <si>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</si>
  <si>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</si>
  <si>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</si>
  <si>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</si>
  <si>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</si>
  <si>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</si>
  <si>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</si>
  <si>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</si>
  <si>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</si>
  <si>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</si>
  <si>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</si>
  <si>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</si>
  <si>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</si>
  <si>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</si>
  <si>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</si>
  <si>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</si>
  <si>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</si>
  <si>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</si>
  <si>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</si>
  <si>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</si>
  <si>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</si>
  <si>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</si>
  <si>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</si>
  <si>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</si>
  <si>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</si>
  <si>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</si>
  <si>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</si>
  <si>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</si>
  <si>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</si>
  <si>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</si>
  <si>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</si>
  <si>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</si>
  <si>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</si>
  <si>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</si>
  <si>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</si>
  <si>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</si>
  <si>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</si>
  <si>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</si>
  <si>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</si>
  <si>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</si>
  <si>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</si>
  <si>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</si>
  <si>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</si>
  <si>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</si>
  <si>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</si>
  <si>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</si>
  <si>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</si>
  <si>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</si>
  <si>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</si>
  <si>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</si>
  <si>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</si>
  <si>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</si>
  <si>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</si>
  <si>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</si>
  <si>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</si>
  <si>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</si>
  <si>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</si>
  <si>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</si>
  <si>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</si>
  <si>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</si>
  <si>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</si>
  <si>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</si>
  <si>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</si>
  <si>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</si>
  <si>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</si>
  <si>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</si>
  <si>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</si>
  <si>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</si>
  <si>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</si>
  <si>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</si>
  <si>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</si>
  <si>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</si>
  <si>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</si>
  <si>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</si>
  <si>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</si>
  <si>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</si>
  <si>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</si>
  <si>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</si>
  <si>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</si>
  <si>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</si>
  <si>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</si>
  <si>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</si>
  <si>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</si>
  <si>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</si>
  <si>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</si>
  <si>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</si>
  <si>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</si>
  <si>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</si>
  <si>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</si>
  <si>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</si>
  <si>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</si>
  <si>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</si>
  <si>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</si>
  <si>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</si>
  <si>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</si>
  <si>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</si>
  <si>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</si>
  <si>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</si>
  <si>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</si>
  <si>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</si>
  <si>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</si>
  <si>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</si>
  <si>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</si>
  <si>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</si>
  <si>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</si>
  <si>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</si>
  <si>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</si>
  <si>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</si>
  <si>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</si>
  <si>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</si>
  <si>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</si>
  <si>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</si>
  <si>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</si>
  <si>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</si>
  <si>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</si>
  <si>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</si>
  <si>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</si>
  <si>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</si>
  <si>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</si>
  <si>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</si>
  <si>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</si>
  <si>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</si>
  <si>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</si>
  <si>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</si>
  <si>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</si>
  <si>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</si>
  <si>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</si>
  <si>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</si>
  <si>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</si>
  <si>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</si>
  <si>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</si>
  <si>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</si>
  <si>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</si>
  <si>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</si>
  <si>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</si>
  <si>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</si>
  <si>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</si>
  <si>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</si>
  <si>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</si>
  <si>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</si>
  <si>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</si>
  <si>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</si>
  <si>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</si>
  <si>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</si>
  <si>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</si>
  <si>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</si>
  <si>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</si>
  <si>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</si>
  <si>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</si>
  <si>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</si>
  <si>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</si>
  <si>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</si>
  <si>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</si>
  <si>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</si>
  <si>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</si>
  <si>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</si>
  <si>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</si>
  <si>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</si>
  <si>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</si>
  <si>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</si>
  <si>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</si>
  <si>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</si>
  <si>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</si>
  <si>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</si>
  <si>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</si>
  <si>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</si>
  <si>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</si>
  <si>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</si>
  <si>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</si>
  <si>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</si>
  <si>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</si>
  <si>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</si>
  <si>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</si>
  <si>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</si>
  <si>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</si>
  <si>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</si>
  <si>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</si>
  <si>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</si>
  <si>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</si>
  <si>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</si>
  <si>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</si>
  <si>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</si>
  <si>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</si>
  <si>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</si>
  <si>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</si>
  <si>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</si>
  <si>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</si>
  <si>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</si>
  <si>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</si>
  <si>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</si>
  <si>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</si>
  <si>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</si>
  <si>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</si>
  <si>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</si>
  <si>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</si>
  <si>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</si>
  <si>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</si>
  <si>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</si>
  <si>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</si>
  <si>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</si>
  <si>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</si>
  <si>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</si>
  <si>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</si>
  <si>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</si>
  <si>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</si>
  <si>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</si>
  <si>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</si>
  <si>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</si>
  <si>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</si>
  <si>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</si>
  <si>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</si>
  <si>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</si>
  <si>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</si>
  <si>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</si>
  <si>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</si>
  <si>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</si>
  <si>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</si>
  <si>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</si>
  <si>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</si>
  <si>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</si>
  <si>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</si>
  <si>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</si>
  <si>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</si>
  <si>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</si>
  <si>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</si>
  <si>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</si>
  <si>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</si>
  <si>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</si>
  <si>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</si>
  <si>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</si>
  <si>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</si>
  <si>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</si>
  <si>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</si>
  <si>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</si>
  <si>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</si>
  <si>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</si>
  <si>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</si>
  <si>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</si>
  <si>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</si>
  <si>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</si>
  <si>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</si>
  <si>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</si>
  <si>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</si>
  <si>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</si>
  <si>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</si>
  <si>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</si>
  <si>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</si>
  <si>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</si>
  <si>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</si>
  <si>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</si>
  <si>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</si>
  <si>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</si>
  <si>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</si>
  <si>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</si>
  <si>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</si>
  <si>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</si>
  <si>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</si>
  <si>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</si>
  <si>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</si>
  <si>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</si>
  <si>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</si>
  <si>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</si>
  <si>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</si>
  <si>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</si>
  <si>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</si>
  <si>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</si>
  <si>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</si>
  <si>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</si>
  <si>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</si>
  <si>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</si>
  <si>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</si>
  <si>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</si>
  <si>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</si>
  <si>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</si>
  <si>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</si>
  <si>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</si>
  <si>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</si>
  <si>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</si>
  <si>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</si>
  <si>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</si>
  <si>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</si>
  <si>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</si>
  <si>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</si>
  <si>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</si>
  <si>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</si>
  <si>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</si>
  <si>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</si>
  <si>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</si>
  <si>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</si>
  <si>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</si>
  <si>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</si>
  <si>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</si>
  <si>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</si>
  <si>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</si>
  <si>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</si>
  <si>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</si>
  <si>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</si>
  <si>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</si>
  <si>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</si>
  <si>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</si>
  <si>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</si>
  <si>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</si>
  <si>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</si>
  <si>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</si>
  <si>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</si>
  <si>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</si>
  <si>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</si>
  <si>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</si>
  <si>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</si>
  <si>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</si>
  <si>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</si>
  <si>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</si>
  <si>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</si>
  <si>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</si>
  <si>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</si>
  <si>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</si>
  <si>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</si>
  <si>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</si>
  <si>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</si>
  <si>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</si>
  <si>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</si>
  <si>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</si>
  <si>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</si>
  <si>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</si>
  <si>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</si>
  <si>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</si>
  <si>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</si>
  <si>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</si>
  <si>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</si>
  <si>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</si>
  <si>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</si>
  <si>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</si>
  <si>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</si>
  <si>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</si>
  <si>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</si>
  <si>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</si>
  <si>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</si>
  <si>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</si>
  <si>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</si>
  <si>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</si>
  <si>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</si>
  <si>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</si>
  <si>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</si>
  <si>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</si>
  <si>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</si>
  <si>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</si>
  <si>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</si>
  <si>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</si>
  <si>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</si>
  <si>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</si>
  <si>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</si>
  <si>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</si>
  <si>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</si>
  <si>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</si>
  <si>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</si>
  <si>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</si>
  <si>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</si>
  <si>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</si>
  <si>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</si>
  <si>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</si>
  <si>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</si>
  <si>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</si>
  <si>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</si>
  <si>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</si>
  <si>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</si>
  <si>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</si>
  <si>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</si>
  <si>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</si>
  <si>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</si>
  <si>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</si>
  <si>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</si>
  <si>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</si>
  <si>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</si>
  <si>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</si>
  <si>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</si>
  <si>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</si>
  <si>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</si>
  <si>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</si>
  <si>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</si>
  <si>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</si>
  <si>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</si>
  <si>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</si>
  <si>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</si>
  <si>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</si>
  <si>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</si>
  <si>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</si>
  <si>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</si>
  <si>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</si>
  <si>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</si>
  <si>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</si>
  <si>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</si>
  <si>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</si>
  <si>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</si>
  <si>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</si>
  <si>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</si>
  <si>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</si>
  <si>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</si>
  <si>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</si>
  <si>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</si>
  <si>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</si>
  <si>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</si>
  <si>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</si>
  <si>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</si>
  <si>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</si>
  <si>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</si>
  <si>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</si>
  <si>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</si>
  <si>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</si>
  <si>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</si>
  <si>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</si>
  <si>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</si>
  <si>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</si>
  <si>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</si>
  <si>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</si>
  <si>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</si>
  <si>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</si>
  <si>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</si>
  <si>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</si>
  <si>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</si>
  <si>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</si>
  <si>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</si>
  <si>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</si>
  <si>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</si>
  <si>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</si>
  <si>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</si>
  <si>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</si>
  <si>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</si>
  <si>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</si>
  <si>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</si>
  <si>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</si>
  <si>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</si>
  <si>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</si>
  <si>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</si>
  <si>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</si>
  <si>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</si>
  <si>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</si>
  <si>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</si>
  <si>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</si>
  <si>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</si>
  <si>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</si>
  <si>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</si>
  <si>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</si>
  <si>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</si>
  <si>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</si>
  <si>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</si>
  <si>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</si>
  <si>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</si>
  <si>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</si>
  <si>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</si>
  <si>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</si>
  <si>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</si>
  <si>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</si>
  <si>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</si>
  <si>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</si>
  <si>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</si>
  <si>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</si>
  <si>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</si>
  <si>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</si>
  <si>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</si>
  <si>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</si>
  <si>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</si>
  <si>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</si>
  <si>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</si>
  <si>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</si>
  <si>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</si>
  <si>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</si>
  <si>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</si>
  <si>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</si>
  <si>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</si>
  <si>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</si>
  <si>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</si>
  <si>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</si>
  <si>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</si>
  <si>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</si>
  <si>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</si>
  <si>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</si>
  <si>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</si>
  <si>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</si>
  <si>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</si>
  <si>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</si>
  <si>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</si>
  <si>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</si>
  <si>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</si>
  <si>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</si>
  <si>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</si>
  <si>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</si>
  <si>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</si>
  <si>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</si>
  <si>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</si>
  <si>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</si>
  <si>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</si>
  <si>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</si>
  <si>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</si>
  <si>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</si>
  <si>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</si>
  <si>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</si>
  <si>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</si>
  <si>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</si>
  <si>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</si>
  <si>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</si>
  <si>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</si>
  <si>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</si>
  <si>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</si>
  <si>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</si>
  <si>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</si>
  <si>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</si>
  <si>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</si>
  <si>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</si>
  <si>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</si>
  <si>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</si>
  <si>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</si>
  <si>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</si>
  <si>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</si>
  <si>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</si>
  <si>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</si>
  <si>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</si>
  <si>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</si>
  <si>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</si>
  <si>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</si>
  <si>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</si>
  <si>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</si>
  <si>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</si>
  <si>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</si>
  <si>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</si>
  <si>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</si>
  <si>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</si>
  <si>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</si>
  <si>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</si>
  <si>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</si>
  <si>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</si>
  <si>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</si>
  <si>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</si>
  <si>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</si>
  <si>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</si>
  <si>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</si>
  <si>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</si>
  <si>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</si>
  <si>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</si>
  <si>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</si>
  <si>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</si>
  <si>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</si>
  <si>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</si>
  <si>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</si>
  <si>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</si>
  <si>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</si>
  <si>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</si>
  <si>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</si>
  <si>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</si>
  <si>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</si>
  <si>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</si>
  <si>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</si>
  <si>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</si>
  <si>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</si>
  <si>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</si>
  <si>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</si>
  <si>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</si>
  <si>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</si>
  <si>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</si>
  <si>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</si>
  <si>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</si>
  <si>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</si>
  <si>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</si>
  <si>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</si>
  <si>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</si>
  <si>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</si>
  <si>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</si>
  <si>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</si>
  <si>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</si>
  <si>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</si>
  <si>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</si>
  <si>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</si>
  <si>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</si>
  <si>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</si>
  <si>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</si>
  <si>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</si>
  <si>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</si>
  <si>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</si>
  <si>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</si>
  <si>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</si>
  <si>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</si>
  <si>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</si>
  <si>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</si>
  <si>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</si>
  <si>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</si>
  <si>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</si>
  <si>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</si>
  <si>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</si>
  <si>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</si>
  <si>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</si>
  <si>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</si>
  <si>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</si>
  <si>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</si>
  <si>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</si>
  <si>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</si>
  <si>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</si>
  <si>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</si>
  <si>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</si>
  <si>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</si>
  <si>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</si>
  <si>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</si>
  <si>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</si>
  <si>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</si>
  <si>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</si>
  <si>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</si>
  <si>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</si>
  <si>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</si>
  <si>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</si>
  <si>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</si>
  <si>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</si>
  <si>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</si>
  <si>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</si>
  <si>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</si>
  <si>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</si>
  <si>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</si>
  <si>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</si>
  <si>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</si>
  <si>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</si>
  <si>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</si>
  <si>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</si>
  <si>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</si>
  <si>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</si>
  <si>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</si>
  <si>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</si>
  <si>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</si>
  <si>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</si>
  <si>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</si>
  <si>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</si>
  <si>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</si>
  <si>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</si>
  <si>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</si>
  <si>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</si>
  <si>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</si>
  <si>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</si>
  <si>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</si>
  <si>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</si>
  <si>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</si>
  <si>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</si>
  <si>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</si>
  <si>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</si>
  <si>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</si>
  <si>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</si>
  <si>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</si>
  <si>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</si>
  <si>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</si>
  <si>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</si>
  <si>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</si>
  <si>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</si>
  <si>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</si>
  <si>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</si>
  <si>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</si>
  <si>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</si>
  <si>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</si>
  <si>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</si>
  <si>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</si>
  <si>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</si>
  <si>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</si>
  <si>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</si>
  <si>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</si>
  <si>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</si>
  <si>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</si>
  <si>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</si>
  <si>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</si>
  <si>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</si>
  <si>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</si>
  <si>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</si>
  <si>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</si>
  <si>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</si>
  <si>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</si>
  <si>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</si>
  <si>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</si>
  <si>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</si>
  <si>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</si>
  <si>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</si>
  <si>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</si>
  <si>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</si>
  <si>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</si>
  <si>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</si>
  <si>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</si>
  <si>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</si>
  <si>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</si>
  <si>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</si>
  <si>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</si>
  <si>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</si>
  <si>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</si>
  <si>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</si>
  <si>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</si>
  <si>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</si>
  <si>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</si>
  <si>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</si>
  <si>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</si>
  <si>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</si>
  <si>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</si>
  <si>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</si>
  <si>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</si>
  <si>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</si>
  <si>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</si>
  <si>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</si>
  <si>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</si>
  <si>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</si>
  <si>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</si>
  <si>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</si>
  <si>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</si>
  <si>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</si>
  <si>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</si>
  <si>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</si>
  <si>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</si>
  <si>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</si>
  <si>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</si>
  <si>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</si>
  <si>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</si>
  <si>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</si>
  <si>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</si>
  <si>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</si>
  <si>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</si>
  <si>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</si>
  <si>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</si>
  <si>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</si>
  <si>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</si>
  <si>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</si>
  <si>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</si>
  <si>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</si>
  <si>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</si>
  <si>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</si>
  <si>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</si>
  <si>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</si>
  <si>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</si>
  <si>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</si>
  <si>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</si>
  <si>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</si>
  <si>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</si>
  <si>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</si>
  <si>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</si>
  <si>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</si>
  <si>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</si>
  <si>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</si>
  <si>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</si>
  <si>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</si>
  <si>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</si>
  <si>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</si>
  <si>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</si>
  <si>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</si>
  <si>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</si>
  <si>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</si>
  <si>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</si>
  <si>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</si>
  <si>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</si>
  <si>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</si>
  <si>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</si>
  <si>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</si>
  <si>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</si>
  <si>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</si>
  <si>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</si>
  <si>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</si>
  <si>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</si>
  <si>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</si>
  <si>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</si>
  <si>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</si>
  <si>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</si>
  <si>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</si>
  <si>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</si>
  <si>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</si>
  <si>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</si>
  <si>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</si>
  <si>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</si>
  <si>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</si>
  <si>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</si>
  <si>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</si>
  <si>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</si>
  <si>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</si>
  <si>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</si>
  <si>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</si>
  <si>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</si>
  <si>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</si>
  <si>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</si>
  <si>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</si>
  <si>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</si>
  <si>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</si>
  <si>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</si>
  <si>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</si>
  <si>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</si>
  <si>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</si>
  <si>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</si>
  <si>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</si>
  <si>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</si>
  <si>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</si>
  <si>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</si>
  <si>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</si>
  <si>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</si>
  <si>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</si>
  <si>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</si>
  <si>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</si>
  <si>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</si>
  <si>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</si>
  <si>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</si>
  <si>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</si>
  <si>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</si>
  <si>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</si>
  <si>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</si>
  <si>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</si>
  <si>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</si>
  <si>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</si>
  <si>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</si>
  <si>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</si>
  <si>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</si>
  <si>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</si>
  <si>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</si>
  <si>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</si>
  <si>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</si>
  <si>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</si>
  <si>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</si>
  <si>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</si>
  <si>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</si>
  <si>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</si>
  <si>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</si>
  <si>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</si>
  <si>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</si>
  <si>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</si>
  <si>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</si>
  <si>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</si>
  <si>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</si>
  <si>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</si>
  <si>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</si>
  <si>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</si>
  <si>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</si>
  <si>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</si>
  <si>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</si>
  <si>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</si>
  <si>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</si>
  <si>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</si>
  <si>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</si>
  <si>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</si>
  <si>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</si>
  <si>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</si>
  <si>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</si>
  <si>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</si>
  <si>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</si>
  <si>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</si>
  <si>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</si>
  <si>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</si>
  <si>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</si>
  <si>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</si>
  <si>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</si>
  <si>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</si>
  <si>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</si>
  <si>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</si>
  <si>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</si>
  <si>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</si>
  <si>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</si>
  <si>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</si>
  <si>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</si>
  <si>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</si>
  <si>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</si>
  <si>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</si>
  <si>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</si>
  <si>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</si>
  <si>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</si>
  <si>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</si>
  <si>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</si>
  <si>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</si>
  <si>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</si>
  <si>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</si>
  <si>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</si>
  <si>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</si>
  <si>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</si>
  <si>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</si>
  <si>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</si>
  <si>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</si>
  <si>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</si>
  <si>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</si>
  <si>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</si>
  <si>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</si>
  <si>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</si>
  <si>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</si>
  <si>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</si>
  <si>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</si>
  <si>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</si>
  <si>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</si>
  <si>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</si>
  <si>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</si>
  <si>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</si>
  <si>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</si>
  <si>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</si>
  <si>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</si>
  <si>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</si>
  <si>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</si>
  <si>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</si>
  <si>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</si>
  <si>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</si>
  <si>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</si>
  <si>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</si>
  <si>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</si>
  <si>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</si>
  <si>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</si>
  <si>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</si>
  <si>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</si>
  <si>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</si>
  <si>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</si>
  <si>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</si>
  <si>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</si>
  <si>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</si>
  <si>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</si>
  <si>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</si>
  <si>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</si>
  <si>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</si>
  <si>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</si>
  <si>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</si>
  <si>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</si>
  <si>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</si>
  <si>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</si>
  <si>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</si>
  <si>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</si>
  <si>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</si>
  <si>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</si>
  <si>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</si>
  <si>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</si>
  <si>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</si>
  <si>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</si>
  <si>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</si>
  <si>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</si>
  <si>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</si>
  <si>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</si>
  <si>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</si>
  <si>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</si>
  <si>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</si>
  <si>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</si>
  <si>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</si>
  <si>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</si>
  <si>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</si>
  <si>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</si>
  <si>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</si>
  <si>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</si>
  <si>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</si>
  <si>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</si>
  <si>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</si>
  <si>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</si>
  <si>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</si>
  <si>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</si>
  <si>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</si>
  <si>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</si>
  <si>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</si>
  <si>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</si>
  <si>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</si>
  <si>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</si>
  <si>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</si>
  <si>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</si>
  <si>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</si>
  <si>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</si>
  <si>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</si>
  <si>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</si>
  <si>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</si>
  <si>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</si>
  <si>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</si>
  <si>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</si>
  <si>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</si>
  <si>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</si>
  <si>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</si>
  <si>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</si>
  <si>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</si>
  <si>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</si>
  <si>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</si>
  <si>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</si>
  <si>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</si>
  <si>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</si>
  <si>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</si>
  <si>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</si>
  <si>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</si>
  <si>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</si>
  <si>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</si>
  <si>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</si>
  <si>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</si>
  <si>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</si>
  <si>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</si>
  <si>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</si>
  <si>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</si>
  <si>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</si>
  <si>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</si>
  <si>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</si>
  <si>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</si>
  <si>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</si>
  <si>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</si>
  <si>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</si>
  <si>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</si>
  <si>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</si>
  <si>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</si>
  <si>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</si>
  <si>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</si>
  <si>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</si>
  <si>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</si>
  <si>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</si>
  <si>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</si>
  <si>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</si>
  <si>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</si>
  <si>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</si>
  <si>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</si>
  <si>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</si>
  <si>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</si>
  <si>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</si>
  <si>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</si>
  <si>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</si>
  <si>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</si>
  <si>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</si>
  <si>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</si>
  <si>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</si>
  <si>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</si>
  <si>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</si>
  <si>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</si>
  <si>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</si>
  <si>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</si>
  <si>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</si>
  <si>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</si>
  <si>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</si>
  <si>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</si>
  <si>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</si>
  <si>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</si>
  <si>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</si>
  <si>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</si>
  <si>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</si>
  <si>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</si>
  <si>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</si>
  <si>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</si>
  <si>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</si>
  <si>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</si>
  <si>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</si>
  <si>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</si>
  <si>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</si>
  <si>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</si>
  <si>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</si>
  <si>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</si>
  <si>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</si>
  <si>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</si>
  <si>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</si>
  <si>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</si>
  <si>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</si>
  <si>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</si>
  <si>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</si>
  <si>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</si>
  <si>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</si>
  <si>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</si>
  <si>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</si>
  <si>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</si>
  <si>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</si>
  <si>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</si>
  <si>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</si>
  <si>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</si>
  <si>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</si>
  <si>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</si>
  <si>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</si>
  <si>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</si>
  <si>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</si>
  <si>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</si>
  <si>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</si>
  <si>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</si>
  <si>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</si>
  <si>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</si>
  <si>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</si>
  <si>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</si>
  <si>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</si>
  <si>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</si>
  <si>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</si>
  <si>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</si>
  <si>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</si>
  <si>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</si>
  <si>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</si>
  <si>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</si>
  <si>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</si>
  <si>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</si>
  <si>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</si>
  <si>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</si>
  <si>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</si>
  <si>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</si>
  <si>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</si>
  <si>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</si>
  <si>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</si>
  <si>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</si>
  <si>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</si>
  <si>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</si>
  <si>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</si>
  <si>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</si>
  <si>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</si>
  <si>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</si>
  <si>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</si>
  <si>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</si>
  <si>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</si>
  <si>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</si>
  <si>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</si>
  <si>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</si>
  <si>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</si>
  <si>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</si>
  <si>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</si>
  <si>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</si>
  <si>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</si>
  <si>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</si>
  <si>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</si>
  <si>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</si>
  <si>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</si>
  <si>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</si>
  <si>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</si>
  <si>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</si>
  <si>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</si>
  <si>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</si>
  <si>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</si>
  <si>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</si>
  <si>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</si>
  <si>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</si>
  <si>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</si>
  <si>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</si>
  <si>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</si>
  <si>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</si>
  <si>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</si>
  <si>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</si>
  <si>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</si>
  <si>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</si>
  <si>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</si>
  <si>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</si>
  <si>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</si>
  <si>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</si>
  <si>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</si>
  <si>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</si>
  <si>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</si>
  <si>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</si>
  <si>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</si>
  <si>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</si>
  <si>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</si>
  <si>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</si>
  <si>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</si>
  <si>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</si>
  <si>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</si>
  <si>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</si>
  <si>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</si>
  <si>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</si>
  <si>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</si>
  <si>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</si>
  <si>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</si>
  <si>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</si>
  <si>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</si>
  <si>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</si>
  <si>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</si>
  <si>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</si>
  <si>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</si>
  <si>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</si>
  <si>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</si>
  <si>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</si>
  <si>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</si>
  <si>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</si>
  <si>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</si>
  <si>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</si>
  <si>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</si>
  <si>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</si>
  <si>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</si>
  <si>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</si>
  <si>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</si>
  <si>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</si>
  <si>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</si>
  <si>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</si>
  <si>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</si>
  <si>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</si>
  <si>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</si>
  <si>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</si>
  <si>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</si>
  <si>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</si>
  <si>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</si>
  <si>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</si>
  <si>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</si>
  <si>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</si>
  <si>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</si>
  <si>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</si>
  <si>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</si>
  <si>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</si>
  <si>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</si>
  <si>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</si>
  <si>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</si>
  <si>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</si>
  <si>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</si>
  <si>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</si>
  <si>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</si>
  <si>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</si>
  <si>
    <t>Technology</t>
  </si>
  <si>
    <t>Deep Tuttle foil box / 32–38 cm</t>
  </si>
  <si>
    <t>≤7.5 m²</t>
  </si>
  <si>
    <t>Deep Tuttle foil box / 36–44 cm</t>
  </si>
  <si>
    <t>≤8.5 m²</t>
  </si>
  <si>
    <t>Deep Tuttle foil box / 38–46 cm</t>
  </si>
  <si>
    <t>≤9.5 m²</t>
  </si>
  <si>
    <t>Deep Tuttle foil box / 40–48 cm</t>
  </si>
  <si>
    <t>≤10.0 m²</t>
  </si>
  <si>
    <t>Deep Tuttle foil box / 42–50 cm</t>
  </si>
  <si>
    <t>≤10.5 m²</t>
  </si>
  <si>
    <t>Finboxes</t>
  </si>
  <si>
    <t>Fins included</t>
  </si>
  <si>
    <t>Race 69</t>
  </si>
  <si>
    <t>RACE 74</t>
  </si>
  <si>
    <t>RACE 84</t>
  </si>
  <si>
    <t>RACE 87</t>
  </si>
  <si>
    <t>RACE 58</t>
  </si>
  <si>
    <t>RACE 63</t>
  </si>
  <si>
    <t>FREE RACE 109</t>
  </si>
  <si>
    <t>FREE RACE 119</t>
  </si>
  <si>
    <t>FREE RACE 129</t>
  </si>
  <si>
    <t>FREE RACE 139</t>
  </si>
  <si>
    <t>FREE RACE 149</t>
  </si>
  <si>
    <t>Race 58</t>
  </si>
  <si>
    <t>Race 63</t>
  </si>
  <si>
    <t>Race 68</t>
  </si>
  <si>
    <t>Race 73</t>
  </si>
  <si>
    <t>Race 78</t>
  </si>
  <si>
    <t>Race 83</t>
  </si>
  <si>
    <t>Free Race 107</t>
  </si>
  <si>
    <t>3mm PVC Sandwich + Full Carbon + BIAX Nanocarbon</t>
  </si>
  <si>
    <t>≤ 7.5 m²</t>
  </si>
  <si>
    <t>Free Race 120</t>
  </si>
  <si>
    <t>Deep Tuttle Foil Ready</t>
  </si>
  <si>
    <t>≤ 8.5 m²</t>
  </si>
  <si>
    <t>Free Race 130</t>
  </si>
  <si>
    <t>≤ 9.5 m²</t>
  </si>
  <si>
    <t>Free Race 140</t>
  </si>
  <si>
    <t>≤ 10.0 m²</t>
  </si>
  <si>
    <t>Free Race 150</t>
  </si>
  <si>
    <t>≤ 10.5 m²</t>
  </si>
  <si>
    <t>Starboard</t>
  </si>
  <si>
    <t>Carbon Reflex Sandwich</t>
  </si>
  <si>
    <t>Drake Slalom DW 30</t>
  </si>
  <si>
    <t>5.0–6.2 m²</t>
  </si>
  <si>
    <t>5.70 kg</t>
  </si>
  <si>
    <t>Drake Slalom DW 32</t>
  </si>
  <si>
    <t>5.5–7.0 m²</t>
  </si>
  <si>
    <t>6.05 kg</t>
  </si>
  <si>
    <t>Drake Slalom DW 36</t>
  </si>
  <si>
    <t>6.2–7.8 m²</t>
  </si>
  <si>
    <t>6.34 kg</t>
  </si>
  <si>
    <t>Drake Slalom DW 38</t>
  </si>
  <si>
    <t>7.0–8.6 m²</t>
  </si>
  <si>
    <t>6.66 kg</t>
  </si>
  <si>
    <t>Drake Slalom DW 42</t>
  </si>
  <si>
    <t>7.8–9.2 m²</t>
  </si>
  <si>
    <t>6.81 kg</t>
  </si>
  <si>
    <t>Foil Box</t>
  </si>
  <si>
    <t>Drake Slalom DW 46</t>
  </si>
  <si>
    <t>7.8–10.0 m²</t>
  </si>
  <si>
    <t>7.65 kg</t>
  </si>
  <si>
    <t>iSonic Speed 40</t>
  </si>
  <si>
    <t>4.0–5.6 m²</t>
  </si>
  <si>
    <t>4.3 kg</t>
  </si>
  <si>
    <t>iSonic Speed 45</t>
  </si>
  <si>
    <t>4.5–5.6 m²</t>
  </si>
  <si>
    <t>4.63 kg</t>
  </si>
  <si>
    <t>iSonic Speed 52</t>
  </si>
  <si>
    <t>4.98 kg</t>
  </si>
  <si>
    <t>Type aka Model</t>
  </si>
  <si>
    <t>Tecknology</t>
  </si>
  <si>
    <t>RRS / Recommended Sail Sizes</t>
  </si>
  <si>
    <t>Without Fin</t>
  </si>
  <si>
    <t>Tuttle</t>
  </si>
  <si>
    <t>Deep Tuttle</t>
  </si>
  <si>
    <t>5.0 - 6.2</t>
  </si>
  <si>
    <t>5.5 - 7.0</t>
  </si>
  <si>
    <t>6.2 - 7.8</t>
  </si>
  <si>
    <t>7.0 - 8.6</t>
  </si>
  <si>
    <t>7.8 - 9.2</t>
  </si>
  <si>
    <t>7.8 - 10.0</t>
  </si>
  <si>
    <t>Carbon Reflex</t>
  </si>
  <si>
    <t>4.5 - 5.6</t>
  </si>
  <si>
    <t>4.7 - 6.2</t>
  </si>
  <si>
    <t>7.0 - 7.8</t>
  </si>
  <si>
    <t>7.8 - 9.5</t>
  </si>
  <si>
    <t>Carbon Sandwich</t>
  </si>
  <si>
    <t>iSonic 55</t>
  </si>
  <si>
    <t>Luderitz 44</t>
  </si>
  <si>
    <t>1991</t>
  </si>
  <si>
    <t>Attitude Inspiro 79</t>
  </si>
  <si>
    <t>Bullit</t>
  </si>
  <si>
    <t>Sunset</t>
  </si>
  <si>
    <t>Mistral</t>
  </si>
  <si>
    <t>Screamer</t>
  </si>
  <si>
    <t>LCS</t>
  </si>
  <si>
    <t>CHS</t>
  </si>
  <si>
    <t>1995</t>
  </si>
  <si>
    <t>FIRESTORM WOOD V2 101</t>
  </si>
  <si>
    <t>FIRESTORM LTD V2 101</t>
  </si>
  <si>
    <t>Description</t>
  </si>
  <si>
    <t>Slalom</t>
  </si>
  <si>
    <t>Free race</t>
  </si>
  <si>
    <t>Windsurfer LT</t>
  </si>
  <si>
    <t>Foilboard</t>
  </si>
  <si>
    <t>3+ Cams; 7+ battens</t>
  </si>
  <si>
    <t>FreeRace</t>
  </si>
  <si>
    <t>0-2 Cams; 6+Batten</t>
  </si>
  <si>
    <t>FreeStyle</t>
  </si>
  <si>
    <t>Dedicated FS designs</t>
  </si>
  <si>
    <t>Wave 5 or less battens</t>
  </si>
  <si>
    <t>IQ Foil</t>
  </si>
  <si>
    <t xml:space="preserve">The current Olympic class (since the 2024 Olympics) </t>
  </si>
  <si>
    <t>Foil</t>
  </si>
  <si>
    <t>Sails designed for Foil sailing</t>
  </si>
  <si>
    <t>A "one-design" class</t>
  </si>
  <si>
    <t>Formula Raceboard</t>
  </si>
  <si>
    <t>Designed for Ligthwind / Big board racing</t>
  </si>
  <si>
    <t>Today</t>
  </si>
  <si>
    <t>Speed &lt;55cm</t>
  </si>
  <si>
    <t>Wave/Freewave/Freemove/Freestyle</t>
  </si>
  <si>
    <t>Foil incl IQ</t>
  </si>
  <si>
    <t>Windsurfer LT/Longboard</t>
  </si>
  <si>
    <t>Speed/Slalom/Freerace/Perf. Freeride</t>
  </si>
  <si>
    <t>Beginner Freeride</t>
  </si>
  <si>
    <t>Class Board</t>
  </si>
  <si>
    <t>Sail Class ofte used</t>
  </si>
  <si>
    <t>Slalom or Free Race</t>
  </si>
  <si>
    <t>Class_ID</t>
  </si>
  <si>
    <t>Name</t>
  </si>
  <si>
    <t>Min</t>
  </si>
  <si>
    <t>Max</t>
  </si>
  <si>
    <t>Image</t>
  </si>
  <si>
    <t>Active</t>
  </si>
  <si>
    <t>sports_id</t>
  </si>
  <si>
    <t>Board</t>
  </si>
  <si>
    <t>NULL</t>
  </si>
  <si>
    <t>\media\classes\-.gif</t>
  </si>
  <si>
    <t>Volume (l)</t>
  </si>
  <si>
    <t>Length (cm)</t>
  </si>
  <si>
    <t>Width (Size )(cm)</t>
  </si>
  <si>
    <t>Weight (kg)</t>
  </si>
  <si>
    <t>Fin Box</t>
  </si>
  <si>
    <t>TUTTLE BOX</t>
  </si>
  <si>
    <t>Speed</t>
  </si>
  <si>
    <t>&lt;7.2m²</t>
  </si>
  <si>
    <t>PRO (Biax Carbon / High-Density PVC)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</si>
</sst>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b/>
      <sz val="11"/>
      <color rgb="FF000000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  <xf numFmtId="0" fontId="2" fillId="14" borderId="0" xfId="0" applyFont="1" applyFill="1"/>
    <xf numFmtId="0" fontId="9" fillId="15" borderId="0" xfId="0" applyFont="1" applyFill="1" applyAlignment="1">
      <alignment vertical="top"/>
    </xf>
    <xf numFmtId="2" fontId="9" fillId="15" borderId="0" xfId="0" applyNumberFormat="1" applyFont="1" applyFill="1" applyAlignment="1">
      <alignment horizontal="right" vertical="top"/>
    </xf>
    <xf numFmtId="0" fontId="0" fillId="14" borderId="0" xfId="0" applyFill="1"/>
    <xf numFmtId="0" fontId="7" fillId="8" borderId="0" xfId="0" applyFont="1" applyFill="1" applyAlignment="1">
      <alignment wrapText="1"/>
    </xf>
    <xf numFmtId="0" fontId="6" fillId="7" borderId="0" xfId="0" applyFont="1" applyFill="1"/>
    <xf numFmtId="49" fontId="12" fillId="7" borderId="0" xfId="0" applyNumberFormat="1" applyFont="1" applyFill="1" applyAlignment="1">
      <alignment wrapText="1"/>
    </xf>
    <xf numFmtId="49" fontId="3" fillId="0" borderId="0" xfId="0" applyNumberFormat="1" applyFont="1"/>
    <xf numFmtId="0" fontId="1" fillId="0" borderId="0" xfId="0" applyFont="1"/>
    <xf numFmtId="0" fontId="0" fillId="16" borderId="1" xfId="0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0</xdr:row>
          <xdr:rowOff>228600</xdr:rowOff>
        </xdr:from>
        <xdr:to>
          <xdr:col>1</xdr:col>
          <xdr:colOff>830580</xdr:colOff>
          <xdr:row>0</xdr:row>
          <xdr:rowOff>556260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975360</xdr:colOff>
          <xdr:row>0</xdr:row>
          <xdr:rowOff>236220</xdr:rowOff>
        </xdr:from>
        <xdr:to>
          <xdr:col>1</xdr:col>
          <xdr:colOff>2164080</xdr:colOff>
          <xdr:row>0</xdr:row>
          <xdr:rowOff>678180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txt for</a:t>
              </a:r>
            </a:p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1000125</xdr:colOff>
      <xdr:row>16</xdr:row>
      <xdr:rowOff>57150</xdr:rowOff>
    </xdr:from>
    <xdr:to>
      <xdr:col>21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13</xdr:col>
      <xdr:colOff>971550</xdr:colOff>
      <xdr:row>25</xdr:row>
      <xdr:rowOff>104775</xdr:rowOff>
    </xdr:from>
    <xdr:to>
      <xdr:col>21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13</xdr:col>
      <xdr:colOff>1066800</xdr:colOff>
      <xdr:row>33</xdr:row>
      <xdr:rowOff>0</xdr:rowOff>
    </xdr:from>
    <xdr:to>
      <xdr:col>22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9991728" y="709611"/>
          <a:ext cx="6048374" cy="37195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>
              <a:latin typeface="Aptos Narrow" panose="020B0004020202020204" pitchFamily="34" charset="0"/>
            </a:rPr>
            <a:t>Task:</a:t>
          </a:r>
          <a:r>
            <a:rPr lang="sv-SE" sz="12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200" baseline="0">
              <a:latin typeface="Aptos Narrow" panose="020B0004020202020204" pitchFamily="34" charset="0"/>
            </a:rPr>
            <a:t> No links nor explanation should be inluced. Output tab separated the table that could by copied in to Excel. Add the table to a new sheet named by Type. Purge brand name from type.</a:t>
          </a:r>
        </a:p>
        <a:p>
          <a:endParaRPr lang="sv-SE" sz="12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Reapeat</a:t>
          </a:r>
          <a:r>
            <a:rPr lang="sv-SE" sz="1200" b="1" baseline="0">
              <a:latin typeface="Aptos Narrow" panose="020B0004020202020204" pitchFamily="34" charset="0"/>
            </a:rPr>
            <a:t> to a</a:t>
          </a:r>
          <a:r>
            <a:rPr lang="sv-SE" sz="1200" b="1">
              <a:latin typeface="Aptos Narrow" panose="020B0004020202020204" pitchFamily="34" charset="0"/>
            </a:rPr>
            <a:t>sk for input  </a:t>
          </a:r>
          <a:r>
            <a:rPr lang="sv-SE" sz="1200" b="0">
              <a:latin typeface="Aptos Narrow" panose="020B0004020202020204" pitchFamily="34" charset="0"/>
            </a:rPr>
            <a:t>(</a:t>
          </a:r>
          <a:r>
            <a:rPr lang="sv-SE" sz="12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200" b="1">
              <a:latin typeface="Aptos Narrow" panose="020B0004020202020204" pitchFamily="34" charset="0"/>
            </a:rPr>
            <a:t>Output Format:</a:t>
          </a:r>
          <a:r>
            <a:rPr lang="sv-SE" sz="12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(The</a:t>
          </a:r>
          <a:r>
            <a:rPr lang="sv-SE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same v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alue for all rows)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Width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2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Tecknology 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Finboxes</a:t>
          </a:r>
          <a:r>
            <a:rPr lang="sv-SE" sz="1200" b="1" baseline="0">
              <a:latin typeface="Aptos Narrow" panose="020B0004020202020204" pitchFamily="34" charset="0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Fins included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latin typeface="Aptos Narrow" panose="020B0004020202020204" pitchFamily="34" charset="0"/>
            </a:rPr>
            <a:t>RRS / Recomended Sail Sizes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r>
            <a:rPr lang="sv-SE" sz="1200" b="1">
              <a:latin typeface="Aptos Narrow" panose="020B0004020202020204" pitchFamily="34" charset="0"/>
            </a:rPr>
            <a:t>Weight</a:t>
          </a:r>
          <a:r>
            <a:rPr lang="sv-SE" sz="12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144780</xdr:rowOff>
        </xdr:from>
        <xdr:to>
          <xdr:col>3</xdr:col>
          <xdr:colOff>1417320</xdr:colOff>
          <xdr:row>1</xdr:row>
          <xdr:rowOff>480060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25</xdr:col>
      <xdr:colOff>473566</xdr:colOff>
      <xdr:row>0</xdr:row>
      <xdr:rowOff>0</xdr:rowOff>
    </xdr:from>
    <xdr:to>
      <xdr:col>30</xdr:col>
      <xdr:colOff>561976</xdr:colOff>
      <xdr:row>14</xdr:row>
      <xdr:rowOff>155748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99441" y="0"/>
          <a:ext cx="3136410" cy="2832273"/>
        </a:xfrm>
        <a:prstGeom prst="rect">
          <a:avLst/>
        </a:prstGeom>
      </xdr:spPr>
    </xdr:pic>
    <xdr:clientData/>
  </xdr:twoCellAnchor>
  <xdr:twoCellAnchor editAs="oneCell">
    <xdr:from>
      <xdr:col>14</xdr:col>
      <xdr:colOff>409575</xdr:colOff>
      <xdr:row>31</xdr:row>
      <xdr:rowOff>0</xdr:rowOff>
    </xdr:from>
    <xdr:to>
      <xdr:col>25</xdr:col>
      <xdr:colOff>143774</xdr:colOff>
      <xdr:row>39</xdr:row>
      <xdr:rowOff>9739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A6274FD-C932-1C90-DD06-DB01E2BF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29850" y="5915025"/>
          <a:ext cx="6439799" cy="1533739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447674</xdr:colOff>
      <xdr:row>40</xdr:row>
      <xdr:rowOff>97205</xdr:rowOff>
    </xdr:from>
    <xdr:to>
      <xdr:col>28</xdr:col>
      <xdr:colOff>449539</xdr:colOff>
      <xdr:row>45</xdr:row>
      <xdr:rowOff>57349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387706-43FD-F97B-6CE5-3963B164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67949" y="7726730"/>
          <a:ext cx="8536265" cy="9126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U517"/>
  <sheetViews>
    <sheetView tabSelected="1" zoomScale="85" zoomScaleNormal="85" workbookViewId="0">
      <pane ySplit="1" topLeftCell="A503" activePane="bottomLeft" state="frozen"/>
      <selection pane="bottomLeft" activeCell="C522" sqref="C522"/>
    </sheetView>
  </sheetViews>
  <sheetFormatPr defaultRowHeight="14.4" outlineLevelCol="1" x14ac:dyDescent="0.3"/>
  <cols>
    <col min="1" max="1" width="9.109375" customWidth="1" outlineLevel="1"/>
    <col min="2" max="2" width="35.33203125" customWidth="1" outlineLevel="1"/>
    <col min="3" max="3" width="13.33203125" customWidth="1" outlineLevel="1"/>
    <col min="4" max="4" width="8.33203125" customWidth="1" outlineLevel="1"/>
    <col min="5" max="5" width="7.109375" customWidth="1" outlineLevel="1"/>
    <col min="6" max="6" width="6.44140625" style="37" customWidth="1" outlineLevel="1"/>
    <col min="7" max="7" width="24.88671875" bestFit="1" customWidth="1" outlineLevel="1"/>
    <col min="8" max="8" width="33.6640625" customWidth="1" outlineLevel="1"/>
    <col min="9" max="9" width="8.88671875" customWidth="1" outlineLevel="1"/>
    <col min="10" max="10" width="10.6640625" style="18" customWidth="1"/>
    <col min="11" max="11" width="12" customWidth="1"/>
    <col min="12" max="12" width="33.109375" bestFit="1" customWidth="1"/>
    <col min="13" max="13" width="12.44140625" bestFit="1" customWidth="1"/>
    <col min="14" max="14" width="10.88671875" bestFit="1" customWidth="1"/>
    <col min="15" max="15" width="11.6640625" bestFit="1" customWidth="1"/>
    <col min="16" max="16" width="50" bestFit="1" customWidth="1"/>
    <col min="17" max="17" width="28.88671875" bestFit="1" customWidth="1"/>
    <col min="18" max="18" width="63.44140625" bestFit="1" customWidth="1"/>
    <col min="19" max="19" width="24" bestFit="1" customWidth="1"/>
    <col min="20" max="20" width="13.109375" bestFit="1" customWidth="1"/>
  </cols>
  <sheetData>
    <row r="1" spans="1:21" ht="62.25" customHeight="1" x14ac:dyDescent="0.3">
      <c r="A1" s="40" t="s">
        <v>3</v>
      </c>
      <c r="B1" s="40" t="s">
        <v>4</v>
      </c>
      <c r="C1" s="40" t="s">
        <v>355</v>
      </c>
      <c r="D1" s="40" t="s">
        <v>356</v>
      </c>
      <c r="E1" s="40" t="s">
        <v>6</v>
      </c>
      <c r="F1" s="41" t="s">
        <v>0</v>
      </c>
      <c r="G1" s="40" t="s">
        <v>7</v>
      </c>
      <c r="H1" s="17" t="s">
        <v>2262</v>
      </c>
      <c r="I1" s="43" t="s">
        <v>279</v>
      </c>
      <c r="J1" s="45" t="s">
        <v>2250</v>
      </c>
      <c r="K1" s="16" t="s">
        <v>3</v>
      </c>
      <c r="L1" s="16" t="s">
        <v>2039</v>
      </c>
      <c r="M1" s="16" t="s">
        <v>724</v>
      </c>
      <c r="N1" s="16" t="s">
        <v>123</v>
      </c>
      <c r="O1" s="16" t="s">
        <v>124</v>
      </c>
      <c r="P1" s="44" t="s">
        <v>125</v>
      </c>
      <c r="Q1" s="44" t="s">
        <v>126</v>
      </c>
      <c r="R1" s="44" t="s">
        <v>127</v>
      </c>
      <c r="S1" s="44" t="s">
        <v>128</v>
      </c>
      <c r="T1" s="44" t="s">
        <v>2040</v>
      </c>
      <c r="U1" s="44" t="s">
        <v>2240</v>
      </c>
    </row>
    <row r="2" spans="1:21" x14ac:dyDescent="0.3">
      <c r="A2" s="11" t="str">
        <f t="shared" ref="A2:A65" si="0">PROPER(K2)</f>
        <v>F2</v>
      </c>
      <c r="B2" s="11" t="str">
        <f t="shared" ref="B2:B65" si="1">TRIM(PROPER(LEFT(L2,IFERROR(FIND(" ",L2),99))&amp;MID(L2,IFERROR(FIND(" ",L2),99),99)))</f>
        <v>Bullit</v>
      </c>
      <c r="C2" s="11">
        <f t="shared" ref="C2:C65" si="2">TRUNC(O2)</f>
        <v>295</v>
      </c>
      <c r="D2" s="11">
        <f t="shared" ref="D2:D65" si="3">TRUNC(N2)</f>
        <v>60</v>
      </c>
      <c r="E2" s="11">
        <f t="shared" ref="E2:E65" si="4">M2</f>
        <v>112</v>
      </c>
      <c r="F2" s="38" t="str">
        <f t="shared" ref="F2:F65" si="5">I2</f>
        <v>1991</v>
      </c>
      <c r="G2" s="11" t="str" cm="1">
        <f t="array" ref="G2">gssBoardClass(A2,B2,C2,D2,E2,F2)</f>
        <v>Slalom Large</v>
      </c>
      <c r="H2" s="39" t="str">
        <f t="shared" ref="H2:H65" si="6">_xlfn.CONCAT(I2,"-",LEFT(K2,2),"-",LEFT(L2,3),"-",M2,"-",TRUNC(N2),"-",TRUNC(O2))</f>
        <v>1991-F2-Bul-112-60-295</v>
      </c>
      <c r="I2" s="42" t="str">
        <f t="shared" ref="I2:I65" si="7">LEFT(J2,4)</f>
        <v>1991</v>
      </c>
      <c r="J2" s="46" t="s">
        <v>2354</v>
      </c>
      <c r="K2" t="s">
        <v>999</v>
      </c>
      <c r="L2" t="s">
        <v>2356</v>
      </c>
      <c r="M2">
        <v>112</v>
      </c>
      <c r="N2">
        <v>60</v>
      </c>
      <c r="O2">
        <v>295</v>
      </c>
      <c r="Q2" t="s">
        <v>522</v>
      </c>
    </row>
    <row r="3" spans="1:21" x14ac:dyDescent="0.3">
      <c r="A3" s="11" t="str">
        <f t="shared" si="0"/>
        <v>F2</v>
      </c>
      <c r="B3" s="11" t="str">
        <f t="shared" si="1"/>
        <v>Sunset</v>
      </c>
      <c r="C3" s="11">
        <f t="shared" si="2"/>
        <v>272</v>
      </c>
      <c r="D3" s="11">
        <f t="shared" si="3"/>
        <v>60</v>
      </c>
      <c r="E3" s="11">
        <f t="shared" si="4"/>
        <v>105</v>
      </c>
      <c r="F3" s="38" t="str">
        <f t="shared" si="5"/>
        <v>1991</v>
      </c>
      <c r="G3" s="11" t="str" cm="1">
        <f t="array" ref="G3">gssBoardClass(A3,B3,C3,D3,E3,F3)</f>
        <v>Slalom Medium</v>
      </c>
      <c r="H3" s="39" t="str">
        <f t="shared" si="6"/>
        <v>1991-F2-Sun-105-60-272</v>
      </c>
      <c r="I3" s="42" t="str">
        <f t="shared" si="7"/>
        <v>1991</v>
      </c>
      <c r="J3" s="46" t="s">
        <v>2354</v>
      </c>
      <c r="K3" t="s">
        <v>999</v>
      </c>
      <c r="L3" t="s">
        <v>2357</v>
      </c>
      <c r="M3">
        <v>105</v>
      </c>
      <c r="N3">
        <v>60</v>
      </c>
      <c r="O3">
        <v>272</v>
      </c>
      <c r="Q3" t="s">
        <v>522</v>
      </c>
    </row>
    <row r="4" spans="1:21" x14ac:dyDescent="0.3">
      <c r="A4" s="11" t="str">
        <f t="shared" si="0"/>
        <v>Mistral</v>
      </c>
      <c r="B4" s="11" t="str">
        <f t="shared" si="1"/>
        <v>Screamer</v>
      </c>
      <c r="C4" s="11">
        <f t="shared" si="2"/>
        <v>277</v>
      </c>
      <c r="D4" s="11">
        <f t="shared" si="3"/>
        <v>56</v>
      </c>
      <c r="E4" s="11">
        <f t="shared" si="4"/>
        <v>103</v>
      </c>
      <c r="F4" s="38" t="str">
        <f t="shared" si="5"/>
        <v>1991</v>
      </c>
      <c r="G4" s="11" t="str" cm="1">
        <f t="array" ref="G4">gssBoardClass(A4,B4,C4,D4,E4,F4)</f>
        <v>Slalom Medium</v>
      </c>
      <c r="H4" s="39" t="str">
        <f t="shared" si="6"/>
        <v>1991-Mi-Scr-103-56-277</v>
      </c>
      <c r="I4" s="42" t="str">
        <f t="shared" si="7"/>
        <v>1991</v>
      </c>
      <c r="J4" s="46" t="s">
        <v>2354</v>
      </c>
      <c r="K4" t="s">
        <v>2358</v>
      </c>
      <c r="L4" t="s">
        <v>2359</v>
      </c>
      <c r="M4">
        <v>103</v>
      </c>
      <c r="N4">
        <v>56</v>
      </c>
      <c r="O4">
        <v>277</v>
      </c>
      <c r="P4" t="s">
        <v>2360</v>
      </c>
      <c r="Q4" t="s">
        <v>179</v>
      </c>
    </row>
    <row r="5" spans="1:21" x14ac:dyDescent="0.3">
      <c r="A5" s="11" t="str">
        <f t="shared" si="0"/>
        <v>Tiga</v>
      </c>
      <c r="B5" s="11" t="str">
        <f t="shared" si="1"/>
        <v>260 Acr</v>
      </c>
      <c r="C5" s="11">
        <f t="shared" si="2"/>
        <v>260</v>
      </c>
      <c r="D5" s="11">
        <f t="shared" si="3"/>
        <v>55</v>
      </c>
      <c r="E5" s="11">
        <f t="shared" si="4"/>
        <v>88</v>
      </c>
      <c r="F5" s="38" t="str">
        <f t="shared" si="5"/>
        <v>1992</v>
      </c>
      <c r="G5" s="11" t="str" cm="1">
        <f t="array" ref="G5">gssBoardClass(A5,B5,C5,D5,E5,F5)</f>
        <v>Speed/Slalom Small</v>
      </c>
      <c r="H5" s="39" t="str">
        <f t="shared" si="6"/>
        <v>1992-Ti-260-88-55-260</v>
      </c>
      <c r="I5" s="42" t="str">
        <f t="shared" si="7"/>
        <v>1992</v>
      </c>
      <c r="J5" s="46">
        <v>1992</v>
      </c>
      <c r="K5" t="s">
        <v>339</v>
      </c>
      <c r="L5" t="s">
        <v>340</v>
      </c>
      <c r="M5">
        <v>88</v>
      </c>
      <c r="N5">
        <v>55</v>
      </c>
      <c r="O5">
        <v>260</v>
      </c>
      <c r="Q5" t="s">
        <v>332</v>
      </c>
    </row>
    <row r="6" spans="1:21" x14ac:dyDescent="0.3">
      <c r="A6" s="11" t="str">
        <f t="shared" si="0"/>
        <v>Mistral</v>
      </c>
      <c r="B6" s="11" t="str">
        <f t="shared" si="1"/>
        <v>Screamer</v>
      </c>
      <c r="C6" s="11">
        <f t="shared" si="2"/>
        <v>277</v>
      </c>
      <c r="D6" s="11">
        <f t="shared" si="3"/>
        <v>56</v>
      </c>
      <c r="E6" s="11">
        <f t="shared" si="4"/>
        <v>103</v>
      </c>
      <c r="F6" s="38" t="str">
        <f t="shared" si="5"/>
        <v>1995</v>
      </c>
      <c r="G6" s="11" t="str" cm="1">
        <f t="array" ref="G6">gssBoardClass(A6,B6,C6,D6,E6,F6)</f>
        <v>Slalom Medium</v>
      </c>
      <c r="H6" s="39" t="str">
        <f t="shared" si="6"/>
        <v>1995-Mi-Scr-103-56-277</v>
      </c>
      <c r="I6" s="42" t="str">
        <f t="shared" si="7"/>
        <v>1995</v>
      </c>
      <c r="J6" s="46" t="s">
        <v>2362</v>
      </c>
      <c r="K6" t="s">
        <v>2358</v>
      </c>
      <c r="L6" t="s">
        <v>2359</v>
      </c>
      <c r="M6">
        <v>103</v>
      </c>
      <c r="N6">
        <v>56</v>
      </c>
      <c r="O6">
        <v>277</v>
      </c>
      <c r="P6" t="s">
        <v>2361</v>
      </c>
      <c r="Q6" t="s">
        <v>179</v>
      </c>
    </row>
    <row r="7" spans="1:21" x14ac:dyDescent="0.3">
      <c r="A7" s="11" t="str">
        <f t="shared" si="0"/>
        <v>Ahd</v>
      </c>
      <c r="B7" s="11" t="str">
        <f t="shared" si="1"/>
        <v>Attitude Inspiro 79</v>
      </c>
      <c r="C7" s="11">
        <f t="shared" si="2"/>
        <v>252</v>
      </c>
      <c r="D7" s="11">
        <f t="shared" si="3"/>
        <v>78</v>
      </c>
      <c r="E7" s="11">
        <f t="shared" si="4"/>
        <v>136</v>
      </c>
      <c r="F7" s="38" t="str">
        <f t="shared" si="5"/>
        <v>2004</v>
      </c>
      <c r="G7" s="11" t="str" cm="1">
        <f t="array" ref="G7">gssBoardClass(A7,B7,C7,D7,E7,F7)</f>
        <v>Slalom Large</v>
      </c>
      <c r="H7" s="39" t="str">
        <f t="shared" si="6"/>
        <v>2004-AH-Att-136-78-252</v>
      </c>
      <c r="I7" s="42" t="str">
        <f t="shared" si="7"/>
        <v>2004</v>
      </c>
      <c r="J7" s="46" t="s">
        <v>801</v>
      </c>
      <c r="K7" t="s">
        <v>784</v>
      </c>
      <c r="L7" t="s">
        <v>2355</v>
      </c>
      <c r="M7">
        <v>136</v>
      </c>
      <c r="N7">
        <v>78</v>
      </c>
      <c r="O7">
        <v>252</v>
      </c>
      <c r="Q7" t="s">
        <v>232</v>
      </c>
    </row>
    <row r="8" spans="1:21" x14ac:dyDescent="0.3">
      <c r="A8" s="11" t="str">
        <f t="shared" si="0"/>
        <v>Fanatic</v>
      </c>
      <c r="B8" s="11" t="str">
        <f t="shared" si="1"/>
        <v>Allwave 72</v>
      </c>
      <c r="C8" s="11">
        <f t="shared" si="2"/>
        <v>232</v>
      </c>
      <c r="D8" s="11">
        <f t="shared" si="3"/>
        <v>54</v>
      </c>
      <c r="E8" s="11">
        <f t="shared" si="4"/>
        <v>72</v>
      </c>
      <c r="F8" s="38" t="str">
        <f t="shared" si="5"/>
        <v>2007</v>
      </c>
      <c r="G8" s="11" t="str" cm="1">
        <f t="array" ref="G8">gssBoardClass(A8,B8,C8,D8,E8,F8)</f>
        <v>Wave / Freestyle</v>
      </c>
      <c r="H8" s="39" t="str">
        <f t="shared" si="6"/>
        <v>2007-Fa-All-72-54-232</v>
      </c>
      <c r="I8" s="42" t="str">
        <f t="shared" si="7"/>
        <v>2007</v>
      </c>
      <c r="J8" s="46" t="s">
        <v>1085</v>
      </c>
      <c r="K8" t="s">
        <v>1</v>
      </c>
      <c r="L8" t="s">
        <v>717</v>
      </c>
      <c r="M8">
        <v>72</v>
      </c>
      <c r="N8">
        <v>54</v>
      </c>
      <c r="O8">
        <v>232</v>
      </c>
      <c r="P8" t="s">
        <v>462</v>
      </c>
      <c r="R8" t="s">
        <v>463</v>
      </c>
    </row>
    <row r="9" spans="1:21" x14ac:dyDescent="0.3">
      <c r="A9" s="11" t="str">
        <f t="shared" si="0"/>
        <v>Fanatic</v>
      </c>
      <c r="B9" s="11" t="str">
        <f t="shared" si="1"/>
        <v>Allwave 82</v>
      </c>
      <c r="C9" s="11">
        <f t="shared" si="2"/>
        <v>233</v>
      </c>
      <c r="D9" s="11">
        <f t="shared" si="3"/>
        <v>57</v>
      </c>
      <c r="E9" s="11">
        <f t="shared" si="4"/>
        <v>82</v>
      </c>
      <c r="F9" s="38" t="str">
        <f t="shared" si="5"/>
        <v>2007</v>
      </c>
      <c r="G9" s="11" t="str" cm="1">
        <f t="array" ref="G9">gssBoardClass(A9,B9,C9,D9,E9,F9)</f>
        <v>Wave / Freestyle</v>
      </c>
      <c r="H9" s="39" t="str">
        <f t="shared" si="6"/>
        <v>2007-Fa-All-82-57-233</v>
      </c>
      <c r="I9" s="42" t="str">
        <f t="shared" si="7"/>
        <v>2007</v>
      </c>
      <c r="J9" s="46" t="s">
        <v>1085</v>
      </c>
      <c r="K9" t="s">
        <v>1</v>
      </c>
      <c r="L9" t="s">
        <v>716</v>
      </c>
      <c r="M9">
        <v>82</v>
      </c>
      <c r="N9">
        <v>57</v>
      </c>
      <c r="O9">
        <v>233</v>
      </c>
      <c r="P9" t="s">
        <v>462</v>
      </c>
      <c r="R9" t="s">
        <v>464</v>
      </c>
    </row>
    <row r="10" spans="1:21" x14ac:dyDescent="0.3">
      <c r="A10" s="11" t="str">
        <f t="shared" si="0"/>
        <v>Fanatic</v>
      </c>
      <c r="B10" s="11" t="str">
        <f t="shared" si="1"/>
        <v>Aw 92</v>
      </c>
      <c r="C10" s="11">
        <f t="shared" si="2"/>
        <v>235</v>
      </c>
      <c r="D10" s="11">
        <f t="shared" si="3"/>
        <v>60</v>
      </c>
      <c r="E10" s="11">
        <f t="shared" si="4"/>
        <v>92</v>
      </c>
      <c r="F10" s="38" t="str">
        <f t="shared" si="5"/>
        <v>2007</v>
      </c>
      <c r="G10" s="11" t="str" cm="1">
        <f t="array" ref="G10">gssBoardClass(A10,B10,C10,D10,E10,F10)</f>
        <v>Speed/Slalom Xtra Small</v>
      </c>
      <c r="H10" s="39" t="str">
        <f t="shared" si="6"/>
        <v>2007-Fa-AW -92-60-235</v>
      </c>
      <c r="I10" s="42" t="str">
        <f t="shared" si="7"/>
        <v>2007</v>
      </c>
      <c r="J10" s="46" t="s">
        <v>1085</v>
      </c>
      <c r="K10" t="s">
        <v>1</v>
      </c>
      <c r="L10" t="s">
        <v>465</v>
      </c>
      <c r="M10">
        <v>92</v>
      </c>
      <c r="N10">
        <v>60</v>
      </c>
      <c r="O10">
        <v>235</v>
      </c>
      <c r="P10" t="s">
        <v>462</v>
      </c>
      <c r="R10" t="s">
        <v>466</v>
      </c>
    </row>
    <row r="11" spans="1:21" x14ac:dyDescent="0.3">
      <c r="A11" s="11" t="str">
        <f t="shared" si="0"/>
        <v>Fanatic</v>
      </c>
      <c r="B11" s="11" t="str">
        <f t="shared" si="1"/>
        <v>Eagle 100</v>
      </c>
      <c r="C11" s="11">
        <f t="shared" si="2"/>
        <v>245</v>
      </c>
      <c r="D11" s="11">
        <f t="shared" si="3"/>
        <v>63</v>
      </c>
      <c r="E11" s="11">
        <f t="shared" si="4"/>
        <v>100</v>
      </c>
      <c r="F11" s="38" t="str">
        <f t="shared" si="5"/>
        <v>2007</v>
      </c>
      <c r="G11" s="11" t="str" cm="1">
        <f t="array" ref="G11">gssBoardClass(A11,B11,C11,D11,E11,F11)</f>
        <v>Speed/Slalom Small</v>
      </c>
      <c r="H11" s="39" t="str">
        <f t="shared" si="6"/>
        <v>2007-Fa-EAG-100-63-245</v>
      </c>
      <c r="I11" s="42" t="str">
        <f t="shared" si="7"/>
        <v>2007</v>
      </c>
      <c r="J11" s="46" t="s">
        <v>1085</v>
      </c>
      <c r="K11" t="s">
        <v>1</v>
      </c>
      <c r="L11" t="s">
        <v>486</v>
      </c>
      <c r="M11">
        <v>100</v>
      </c>
      <c r="N11">
        <v>63</v>
      </c>
      <c r="O11">
        <v>245</v>
      </c>
      <c r="P11" t="s">
        <v>480</v>
      </c>
      <c r="R11" t="s">
        <v>487</v>
      </c>
    </row>
    <row r="12" spans="1:21" x14ac:dyDescent="0.3">
      <c r="A12" s="11" t="str">
        <f t="shared" si="0"/>
        <v>Fanatic</v>
      </c>
      <c r="B12" s="11" t="str">
        <f t="shared" si="1"/>
        <v>Eagle 113</v>
      </c>
      <c r="C12" s="11">
        <f t="shared" si="2"/>
        <v>246</v>
      </c>
      <c r="D12" s="11">
        <f t="shared" si="3"/>
        <v>66</v>
      </c>
      <c r="E12" s="11">
        <f t="shared" si="4"/>
        <v>113</v>
      </c>
      <c r="F12" s="38" t="str">
        <f t="shared" si="5"/>
        <v>2007</v>
      </c>
      <c r="G12" s="11" t="str" cm="1">
        <f t="array" ref="G12">gssBoardClass(A12,B12,C12,D12,E12,F12)</f>
        <v>Slalom Medium</v>
      </c>
      <c r="H12" s="39" t="str">
        <f t="shared" si="6"/>
        <v>2007-Fa-EAG-113-66-246</v>
      </c>
      <c r="I12" s="42" t="str">
        <f t="shared" si="7"/>
        <v>2007</v>
      </c>
      <c r="J12" s="46" t="s">
        <v>1085</v>
      </c>
      <c r="K12" t="s">
        <v>1</v>
      </c>
      <c r="L12" t="s">
        <v>488</v>
      </c>
      <c r="M12">
        <v>113</v>
      </c>
      <c r="N12">
        <v>66</v>
      </c>
      <c r="O12">
        <v>246</v>
      </c>
      <c r="P12" t="s">
        <v>480</v>
      </c>
      <c r="R12" t="s">
        <v>489</v>
      </c>
    </row>
    <row r="13" spans="1:21" x14ac:dyDescent="0.3">
      <c r="A13" s="11" t="str">
        <f t="shared" si="0"/>
        <v>Fanatic</v>
      </c>
      <c r="B13" s="11" t="str">
        <f t="shared" si="1"/>
        <v>Eagle 126</v>
      </c>
      <c r="C13" s="11">
        <f t="shared" si="2"/>
        <v>249</v>
      </c>
      <c r="D13" s="11">
        <f t="shared" si="3"/>
        <v>69</v>
      </c>
      <c r="E13" s="11">
        <f t="shared" si="4"/>
        <v>126</v>
      </c>
      <c r="F13" s="38" t="str">
        <f t="shared" si="5"/>
        <v>2007</v>
      </c>
      <c r="G13" s="11" t="str" cm="1">
        <f t="array" ref="G13">gssBoardClass(A13,B13,C13,D13,E13,F13)</f>
        <v>Slalom Medium</v>
      </c>
      <c r="H13" s="39" t="str">
        <f t="shared" si="6"/>
        <v>2007-Fa-EAG-126-69-249</v>
      </c>
      <c r="I13" s="42" t="str">
        <f t="shared" si="7"/>
        <v>2007</v>
      </c>
      <c r="J13" s="46" t="s">
        <v>1085</v>
      </c>
      <c r="K13" t="s">
        <v>1</v>
      </c>
      <c r="L13" t="s">
        <v>490</v>
      </c>
      <c r="M13">
        <v>126</v>
      </c>
      <c r="N13">
        <v>69</v>
      </c>
      <c r="O13">
        <v>249</v>
      </c>
      <c r="P13" t="s">
        <v>480</v>
      </c>
      <c r="R13" t="s">
        <v>491</v>
      </c>
    </row>
    <row r="14" spans="1:21" x14ac:dyDescent="0.3">
      <c r="A14" s="11" t="str">
        <f t="shared" si="0"/>
        <v>Fanatic</v>
      </c>
      <c r="B14" s="11" t="str">
        <f t="shared" si="1"/>
        <v>Falcon Sl 104</v>
      </c>
      <c r="C14" s="11">
        <f t="shared" si="2"/>
        <v>245</v>
      </c>
      <c r="D14" s="11">
        <f t="shared" si="3"/>
        <v>67</v>
      </c>
      <c r="E14" s="11">
        <f t="shared" si="4"/>
        <v>104</v>
      </c>
      <c r="F14" s="38" t="str">
        <f t="shared" si="5"/>
        <v>2007</v>
      </c>
      <c r="G14" s="11" t="str" cm="1">
        <f t="array" ref="G14">gssBoardClass(A14,B14,C14,D14,E14,F14)</f>
        <v>Slalom Medium</v>
      </c>
      <c r="H14" s="39" t="str">
        <f t="shared" si="6"/>
        <v>2007-Fa-FAL-104-67-245</v>
      </c>
      <c r="I14" s="42" t="str">
        <f t="shared" si="7"/>
        <v>2007</v>
      </c>
      <c r="J14" s="46" t="s">
        <v>1085</v>
      </c>
      <c r="K14" t="s">
        <v>1</v>
      </c>
      <c r="L14" t="s">
        <v>508</v>
      </c>
      <c r="M14">
        <v>104</v>
      </c>
      <c r="N14">
        <v>67</v>
      </c>
      <c r="O14">
        <v>245</v>
      </c>
      <c r="P14" t="s">
        <v>504</v>
      </c>
    </row>
    <row r="15" spans="1:21" x14ac:dyDescent="0.3">
      <c r="A15" s="11" t="str">
        <f t="shared" si="0"/>
        <v>Fanatic</v>
      </c>
      <c r="B15" s="11" t="str">
        <f t="shared" si="1"/>
        <v>Falcon Sl 124</v>
      </c>
      <c r="C15" s="11">
        <f t="shared" si="2"/>
        <v>245</v>
      </c>
      <c r="D15" s="11">
        <f t="shared" si="3"/>
        <v>76</v>
      </c>
      <c r="E15" s="11">
        <f t="shared" si="4"/>
        <v>124</v>
      </c>
      <c r="F15" s="38" t="str">
        <f t="shared" si="5"/>
        <v>2007</v>
      </c>
      <c r="G15" s="11" t="str" cm="1">
        <f t="array" ref="G15">gssBoardClass(A15,B15,C15,D15,E15,F15)</f>
        <v>Slalom Large</v>
      </c>
      <c r="H15" s="39" t="str">
        <f t="shared" si="6"/>
        <v>2007-Fa-FAL-124-76-245</v>
      </c>
      <c r="I15" s="42" t="str">
        <f t="shared" si="7"/>
        <v>2007</v>
      </c>
      <c r="J15" s="46" t="s">
        <v>1085</v>
      </c>
      <c r="K15" t="s">
        <v>1</v>
      </c>
      <c r="L15" t="s">
        <v>509</v>
      </c>
      <c r="M15">
        <v>124</v>
      </c>
      <c r="N15">
        <v>76</v>
      </c>
      <c r="O15">
        <v>245</v>
      </c>
      <c r="P15" t="s">
        <v>504</v>
      </c>
    </row>
    <row r="16" spans="1:21" x14ac:dyDescent="0.3">
      <c r="A16" s="11" t="str">
        <f t="shared" si="0"/>
        <v>Fanatic</v>
      </c>
      <c r="B16" s="11" t="str">
        <f t="shared" si="1"/>
        <v>Falcon Sl 145</v>
      </c>
      <c r="C16" s="11">
        <f t="shared" si="2"/>
        <v>245</v>
      </c>
      <c r="D16" s="11">
        <f t="shared" si="3"/>
        <v>85</v>
      </c>
      <c r="E16" s="11">
        <f t="shared" si="4"/>
        <v>145</v>
      </c>
      <c r="F16" s="38" t="str">
        <f t="shared" si="5"/>
        <v>2007</v>
      </c>
      <c r="G16" s="11" t="str" cm="1">
        <f t="array" ref="G16">gssBoardClass(A16,B16,C16,D16,E16,F16)</f>
        <v>Slalom Large</v>
      </c>
      <c r="H16" s="39" t="str">
        <f t="shared" si="6"/>
        <v>2007-Fa-FAL-145-85-245</v>
      </c>
      <c r="I16" s="42" t="str">
        <f t="shared" si="7"/>
        <v>2007</v>
      </c>
      <c r="J16" s="46" t="s">
        <v>1085</v>
      </c>
      <c r="K16" t="s">
        <v>1</v>
      </c>
      <c r="L16" s="35" t="s">
        <v>510</v>
      </c>
      <c r="M16">
        <v>145</v>
      </c>
      <c r="N16">
        <v>85</v>
      </c>
      <c r="O16">
        <v>245</v>
      </c>
      <c r="P16" t="s">
        <v>504</v>
      </c>
      <c r="R16" t="s">
        <v>511</v>
      </c>
    </row>
    <row r="17" spans="1:18" x14ac:dyDescent="0.3">
      <c r="A17" s="11" t="str">
        <f t="shared" si="0"/>
        <v>Fanatic</v>
      </c>
      <c r="B17" s="11" t="str">
        <f t="shared" si="1"/>
        <v>Falcon Speed</v>
      </c>
      <c r="C17" s="11">
        <f t="shared" si="2"/>
        <v>242</v>
      </c>
      <c r="D17" s="11">
        <f t="shared" si="3"/>
        <v>48</v>
      </c>
      <c r="E17" s="11">
        <f t="shared" si="4"/>
        <v>68</v>
      </c>
      <c r="F17" s="38" t="str">
        <f t="shared" si="5"/>
        <v>2007</v>
      </c>
      <c r="G17" s="11" t="str" cm="1">
        <f t="array" ref="G17">gssBoardClass(A17,B17,C17,D17,E17,F17)</f>
        <v>Speedboard</v>
      </c>
      <c r="H17" s="39" t="str">
        <f t="shared" si="6"/>
        <v>2007-Fa-FAL-68-48-242</v>
      </c>
      <c r="I17" s="42" t="str">
        <f t="shared" si="7"/>
        <v>2007</v>
      </c>
      <c r="J17" s="46" t="s">
        <v>1085</v>
      </c>
      <c r="K17" t="s">
        <v>1</v>
      </c>
      <c r="L17" t="s">
        <v>503</v>
      </c>
      <c r="M17">
        <v>68</v>
      </c>
      <c r="N17">
        <v>48</v>
      </c>
      <c r="O17">
        <v>242</v>
      </c>
      <c r="P17" t="s">
        <v>504</v>
      </c>
      <c r="R17" t="s">
        <v>505</v>
      </c>
    </row>
    <row r="18" spans="1:18" x14ac:dyDescent="0.3">
      <c r="A18" s="11" t="str">
        <f t="shared" si="0"/>
        <v>Fanatic</v>
      </c>
      <c r="B18" s="11" t="str">
        <f t="shared" si="1"/>
        <v>Falcon Sl 79</v>
      </c>
      <c r="C18" s="11">
        <f t="shared" si="2"/>
        <v>245</v>
      </c>
      <c r="D18" s="11">
        <f t="shared" si="3"/>
        <v>55</v>
      </c>
      <c r="E18" s="11">
        <f t="shared" si="4"/>
        <v>79</v>
      </c>
      <c r="F18" s="38" t="str">
        <f t="shared" si="5"/>
        <v>2007</v>
      </c>
      <c r="G18" s="11" t="str" cm="1">
        <f t="array" ref="G18">gssBoardClass(A18,B18,C18,D18,E18,F18)</f>
        <v>Speed/Slalom Xtra Small</v>
      </c>
      <c r="H18" s="39" t="str">
        <f t="shared" si="6"/>
        <v>2007-Fa-FAL-79-55-245</v>
      </c>
      <c r="I18" s="42" t="str">
        <f t="shared" si="7"/>
        <v>2007</v>
      </c>
      <c r="J18" s="46" t="s">
        <v>1085</v>
      </c>
      <c r="K18" t="s">
        <v>1</v>
      </c>
      <c r="L18" t="s">
        <v>506</v>
      </c>
      <c r="M18">
        <v>79</v>
      </c>
      <c r="N18">
        <v>55</v>
      </c>
      <c r="O18">
        <v>245</v>
      </c>
      <c r="P18" t="s">
        <v>504</v>
      </c>
    </row>
    <row r="19" spans="1:18" x14ac:dyDescent="0.3">
      <c r="A19" s="11" t="str">
        <f t="shared" si="0"/>
        <v>Fanatic</v>
      </c>
      <c r="B19" s="11" t="str">
        <f t="shared" si="1"/>
        <v>Falcon Sl 89</v>
      </c>
      <c r="C19" s="11">
        <f t="shared" si="2"/>
        <v>244</v>
      </c>
      <c r="D19" s="11">
        <f t="shared" si="3"/>
        <v>61</v>
      </c>
      <c r="E19" s="11">
        <f t="shared" si="4"/>
        <v>89</v>
      </c>
      <c r="F19" s="38" t="str">
        <f t="shared" si="5"/>
        <v>2007</v>
      </c>
      <c r="G19" s="11" t="str" cm="1">
        <f t="array" ref="G19">gssBoardClass(A19,B19,C19,D19,E19,F19)</f>
        <v>Speed/Slalom Small</v>
      </c>
      <c r="H19" s="39" t="str">
        <f t="shared" si="6"/>
        <v>2007-Fa-FAL-89-61-244</v>
      </c>
      <c r="I19" s="42" t="str">
        <f t="shared" si="7"/>
        <v>2007</v>
      </c>
      <c r="J19" s="46" t="s">
        <v>1085</v>
      </c>
      <c r="K19" t="s">
        <v>1</v>
      </c>
      <c r="L19" t="s">
        <v>507</v>
      </c>
      <c r="M19">
        <v>89</v>
      </c>
      <c r="N19">
        <v>61</v>
      </c>
      <c r="O19">
        <v>244</v>
      </c>
      <c r="P19" t="s">
        <v>504</v>
      </c>
    </row>
    <row r="20" spans="1:18" x14ac:dyDescent="0.3">
      <c r="A20" s="11" t="str">
        <f t="shared" si="0"/>
        <v>Fanatic</v>
      </c>
      <c r="B20" s="11" t="str">
        <f t="shared" si="1"/>
        <v>Falcon 90</v>
      </c>
      <c r="C20" s="11">
        <f t="shared" si="2"/>
        <v>244</v>
      </c>
      <c r="D20" s="11">
        <f t="shared" si="3"/>
        <v>61</v>
      </c>
      <c r="E20" s="11">
        <f t="shared" si="4"/>
        <v>89</v>
      </c>
      <c r="F20" s="38" t="str">
        <f t="shared" si="5"/>
        <v>2007</v>
      </c>
      <c r="G20" s="11" t="str" cm="1">
        <f t="array" ref="G20">gssBoardClass(A20,B20,C20,D20,E20,F20)</f>
        <v>Speed/Slalom Small</v>
      </c>
      <c r="H20" s="39" t="str">
        <f t="shared" si="6"/>
        <v>2007-Fa-Fal-89-61-244</v>
      </c>
      <c r="I20" s="42" t="str">
        <f t="shared" si="7"/>
        <v>2007</v>
      </c>
      <c r="J20" s="46">
        <v>2007</v>
      </c>
      <c r="K20" t="s">
        <v>1</v>
      </c>
      <c r="L20" t="s">
        <v>1143</v>
      </c>
      <c r="M20">
        <v>89</v>
      </c>
      <c r="N20">
        <v>61</v>
      </c>
      <c r="O20">
        <v>244</v>
      </c>
      <c r="P20" t="s">
        <v>504</v>
      </c>
    </row>
    <row r="21" spans="1:18" x14ac:dyDescent="0.3">
      <c r="A21" s="11" t="str">
        <f t="shared" si="0"/>
        <v>Fanatic</v>
      </c>
      <c r="B21" s="11" t="str">
        <f t="shared" si="1"/>
        <v>Freewave 104</v>
      </c>
      <c r="C21" s="11">
        <f t="shared" si="2"/>
        <v>241</v>
      </c>
      <c r="D21" s="11">
        <f t="shared" si="3"/>
        <v>63</v>
      </c>
      <c r="E21" s="11">
        <f t="shared" si="4"/>
        <v>104</v>
      </c>
      <c r="F21" s="38" t="str">
        <f t="shared" si="5"/>
        <v>2007</v>
      </c>
      <c r="G21" s="11" t="str" cm="1">
        <f t="array" ref="G21">gssBoardClass(A21,B21,C21,D21,E21,F21)</f>
        <v>Wave / Freestyle</v>
      </c>
      <c r="H21" s="39" t="str">
        <f t="shared" si="6"/>
        <v>2007-Fa-Fre-104-63-241</v>
      </c>
      <c r="I21" s="42" t="str">
        <f t="shared" si="7"/>
        <v>2007</v>
      </c>
      <c r="J21" s="46" t="s">
        <v>1085</v>
      </c>
      <c r="K21" t="s">
        <v>1</v>
      </c>
      <c r="L21" t="s">
        <v>2252</v>
      </c>
      <c r="M21">
        <v>104</v>
      </c>
      <c r="N21">
        <v>63.5</v>
      </c>
      <c r="O21">
        <v>241</v>
      </c>
      <c r="P21" t="s">
        <v>457</v>
      </c>
      <c r="R21" t="s">
        <v>470</v>
      </c>
    </row>
    <row r="22" spans="1:18" x14ac:dyDescent="0.3">
      <c r="A22" s="11" t="str">
        <f t="shared" si="0"/>
        <v>Fanatic</v>
      </c>
      <c r="B22" s="11" t="str">
        <f t="shared" si="1"/>
        <v>Freewave 77</v>
      </c>
      <c r="C22" s="11">
        <f t="shared" si="2"/>
        <v>237</v>
      </c>
      <c r="D22" s="11">
        <f t="shared" si="3"/>
        <v>56</v>
      </c>
      <c r="E22" s="11">
        <f t="shared" si="4"/>
        <v>77</v>
      </c>
      <c r="F22" s="38" t="str">
        <f t="shared" si="5"/>
        <v>2007</v>
      </c>
      <c r="G22" s="11" t="str" cm="1">
        <f t="array" ref="G22">gssBoardClass(A22,B22,C22,D22,E22,F22)</f>
        <v>Wave / Freestyle</v>
      </c>
      <c r="H22" s="39" t="str">
        <f t="shared" si="6"/>
        <v>2007-Fa-Fre-77-56-237</v>
      </c>
      <c r="I22" s="42" t="str">
        <f t="shared" si="7"/>
        <v>2007</v>
      </c>
      <c r="J22" s="46" t="s">
        <v>1085</v>
      </c>
      <c r="K22" t="s">
        <v>1</v>
      </c>
      <c r="L22" t="s">
        <v>2251</v>
      </c>
      <c r="M22">
        <v>77</v>
      </c>
      <c r="N22">
        <v>56</v>
      </c>
      <c r="O22">
        <v>237</v>
      </c>
      <c r="P22" t="s">
        <v>457</v>
      </c>
      <c r="R22" t="s">
        <v>467</v>
      </c>
    </row>
    <row r="23" spans="1:18" x14ac:dyDescent="0.3">
      <c r="A23" s="11" t="str">
        <f t="shared" si="0"/>
        <v>Fanatic</v>
      </c>
      <c r="B23" s="11" t="str">
        <f t="shared" si="1"/>
        <v>Freewave 86</v>
      </c>
      <c r="C23" s="11">
        <f t="shared" si="2"/>
        <v>239</v>
      </c>
      <c r="D23" s="11">
        <f t="shared" si="3"/>
        <v>58</v>
      </c>
      <c r="E23" s="11">
        <f t="shared" si="4"/>
        <v>86</v>
      </c>
      <c r="F23" s="38" t="str">
        <f t="shared" si="5"/>
        <v>2007</v>
      </c>
      <c r="G23" s="11" t="str" cm="1">
        <f t="array" ref="G23">gssBoardClass(A23,B23,C23,D23,E23,F23)</f>
        <v>Wave / Freestyle</v>
      </c>
      <c r="H23" s="39" t="str">
        <f t="shared" si="6"/>
        <v>2007-Fa-Fre-86-58-239</v>
      </c>
      <c r="I23" s="42" t="str">
        <f t="shared" si="7"/>
        <v>2007</v>
      </c>
      <c r="J23" s="46" t="s">
        <v>1085</v>
      </c>
      <c r="K23" t="s">
        <v>1</v>
      </c>
      <c r="L23" t="s">
        <v>433</v>
      </c>
      <c r="M23">
        <v>86</v>
      </c>
      <c r="N23">
        <v>58.5</v>
      </c>
      <c r="O23">
        <v>239</v>
      </c>
      <c r="P23" t="s">
        <v>457</v>
      </c>
      <c r="R23" t="s">
        <v>468</v>
      </c>
    </row>
    <row r="24" spans="1:18" x14ac:dyDescent="0.3">
      <c r="A24" s="11" t="str">
        <f t="shared" si="0"/>
        <v>Fanatic</v>
      </c>
      <c r="B24" s="11" t="str">
        <f t="shared" si="1"/>
        <v>Freewave 95</v>
      </c>
      <c r="C24" s="11">
        <f t="shared" si="2"/>
        <v>241</v>
      </c>
      <c r="D24" s="11">
        <f t="shared" si="3"/>
        <v>61</v>
      </c>
      <c r="E24" s="11">
        <f t="shared" si="4"/>
        <v>95</v>
      </c>
      <c r="F24" s="38" t="str">
        <f t="shared" si="5"/>
        <v>2007</v>
      </c>
      <c r="G24" s="11" t="str" cm="1">
        <f t="array" ref="G24">gssBoardClass(A24,B24,C24,D24,E24,F24)</f>
        <v>Wave / Freestyle</v>
      </c>
      <c r="H24" s="39" t="str">
        <f t="shared" si="6"/>
        <v>2007-Fa-Fre-95-61-241</v>
      </c>
      <c r="I24" s="42" t="str">
        <f t="shared" si="7"/>
        <v>2007</v>
      </c>
      <c r="J24" s="46" t="s">
        <v>1085</v>
      </c>
      <c r="K24" t="s">
        <v>1</v>
      </c>
      <c r="L24" t="s">
        <v>718</v>
      </c>
      <c r="M24">
        <v>95</v>
      </c>
      <c r="N24">
        <v>61</v>
      </c>
      <c r="O24">
        <v>241</v>
      </c>
      <c r="P24" t="s">
        <v>457</v>
      </c>
      <c r="R24" t="s">
        <v>469</v>
      </c>
    </row>
    <row r="25" spans="1:18" x14ac:dyDescent="0.3">
      <c r="A25" s="11" t="str">
        <f t="shared" si="0"/>
        <v>Fanatic</v>
      </c>
      <c r="B25" s="11" t="str">
        <f t="shared" si="1"/>
        <v>Hawk 108</v>
      </c>
      <c r="C25" s="11">
        <f t="shared" si="2"/>
        <v>247</v>
      </c>
      <c r="D25" s="11">
        <f t="shared" si="3"/>
        <v>62</v>
      </c>
      <c r="E25" s="11">
        <f t="shared" si="4"/>
        <v>108</v>
      </c>
      <c r="F25" s="38" t="str">
        <f t="shared" si="5"/>
        <v>2007</v>
      </c>
      <c r="G25" s="11" t="str" cm="1">
        <f t="array" ref="G25">gssBoardClass(A25,B25,C25,D25,E25,F25)</f>
        <v>Speed/Slalom Small</v>
      </c>
      <c r="H25" s="39" t="str">
        <f t="shared" si="6"/>
        <v>2007-Fa-HAW-108-62-247</v>
      </c>
      <c r="I25" s="42" t="str">
        <f t="shared" si="7"/>
        <v>2007</v>
      </c>
      <c r="J25" s="46" t="s">
        <v>1085</v>
      </c>
      <c r="K25" t="s">
        <v>1</v>
      </c>
      <c r="L25" t="s">
        <v>482</v>
      </c>
      <c r="M25">
        <v>108</v>
      </c>
      <c r="N25">
        <v>62</v>
      </c>
      <c r="O25">
        <v>247</v>
      </c>
      <c r="P25" t="s">
        <v>480</v>
      </c>
      <c r="R25" t="s">
        <v>483</v>
      </c>
    </row>
    <row r="26" spans="1:18" x14ac:dyDescent="0.3">
      <c r="A26" s="11" t="str">
        <f t="shared" si="0"/>
        <v>Fanatic</v>
      </c>
      <c r="B26" s="11" t="str">
        <f t="shared" si="1"/>
        <v>Hawk 123</v>
      </c>
      <c r="C26" s="11">
        <f t="shared" si="2"/>
        <v>249</v>
      </c>
      <c r="D26" s="11">
        <f t="shared" si="3"/>
        <v>66</v>
      </c>
      <c r="E26" s="11">
        <f t="shared" si="4"/>
        <v>123</v>
      </c>
      <c r="F26" s="38" t="str">
        <f t="shared" si="5"/>
        <v>2007</v>
      </c>
      <c r="G26" s="11" t="str" cm="1">
        <f t="array" ref="G26">gssBoardClass(A26,B26,C26,D26,E26,F26)</f>
        <v>Slalom Medium</v>
      </c>
      <c r="H26" s="39" t="str">
        <f t="shared" si="6"/>
        <v>2007-Fa-HAW-123-66-249</v>
      </c>
      <c r="I26" s="42" t="str">
        <f t="shared" si="7"/>
        <v>2007</v>
      </c>
      <c r="J26" s="46" t="s">
        <v>1085</v>
      </c>
      <c r="K26" t="s">
        <v>1</v>
      </c>
      <c r="L26" t="s">
        <v>484</v>
      </c>
      <c r="M26">
        <v>123</v>
      </c>
      <c r="N26">
        <v>66</v>
      </c>
      <c r="O26">
        <v>249</v>
      </c>
      <c r="P26" t="s">
        <v>480</v>
      </c>
      <c r="R26" t="s">
        <v>485</v>
      </c>
    </row>
    <row r="27" spans="1:18" x14ac:dyDescent="0.3">
      <c r="A27" s="11" t="str">
        <f t="shared" si="0"/>
        <v>Fanatic</v>
      </c>
      <c r="B27" s="11" t="str">
        <f t="shared" si="1"/>
        <v>Hawk 93</v>
      </c>
      <c r="C27" s="11">
        <f t="shared" si="2"/>
        <v>245</v>
      </c>
      <c r="D27" s="11">
        <f t="shared" si="3"/>
        <v>58</v>
      </c>
      <c r="E27" s="11">
        <f t="shared" si="4"/>
        <v>93</v>
      </c>
      <c r="F27" s="38" t="str">
        <f t="shared" si="5"/>
        <v>2007</v>
      </c>
      <c r="G27" s="11" t="str" cm="1">
        <f t="array" ref="G27">gssBoardClass(A27,B27,C27,D27,E27,F27)</f>
        <v>Speed/Slalom Xtra Small</v>
      </c>
      <c r="H27" s="39" t="str">
        <f t="shared" si="6"/>
        <v>2007-Fa-HAW-93-58-245</v>
      </c>
      <c r="I27" s="42" t="str">
        <f t="shared" si="7"/>
        <v>2007</v>
      </c>
      <c r="J27" s="46" t="s">
        <v>1085</v>
      </c>
      <c r="K27" t="s">
        <v>1</v>
      </c>
      <c r="L27" t="s">
        <v>479</v>
      </c>
      <c r="M27">
        <v>93</v>
      </c>
      <c r="N27">
        <v>58</v>
      </c>
      <c r="O27">
        <v>245</v>
      </c>
      <c r="P27" t="s">
        <v>480</v>
      </c>
      <c r="R27" t="s">
        <v>481</v>
      </c>
    </row>
    <row r="28" spans="1:18" x14ac:dyDescent="0.3">
      <c r="A28" s="11" t="str">
        <f t="shared" si="0"/>
        <v>Fanatic</v>
      </c>
      <c r="B28" s="11" t="str">
        <f t="shared" si="1"/>
        <v>Newwave 69</v>
      </c>
      <c r="C28" s="11">
        <f t="shared" si="2"/>
        <v>237</v>
      </c>
      <c r="D28" s="11">
        <f t="shared" si="3"/>
        <v>52</v>
      </c>
      <c r="E28" s="11">
        <f t="shared" si="4"/>
        <v>69</v>
      </c>
      <c r="F28" s="38" t="str">
        <f t="shared" si="5"/>
        <v>2007</v>
      </c>
      <c r="G28" s="11" t="str" cm="1">
        <f t="array" ref="G28">gssBoardClass(A28,B28,C28,D28,E28,F28)</f>
        <v>Wave / Freestyle</v>
      </c>
      <c r="H28" s="39" t="str">
        <f t="shared" si="6"/>
        <v>2007-Fa-New-69-52-237</v>
      </c>
      <c r="I28" s="42" t="str">
        <f t="shared" si="7"/>
        <v>2007</v>
      </c>
      <c r="J28" s="46" t="s">
        <v>1085</v>
      </c>
      <c r="K28" t="s">
        <v>1</v>
      </c>
      <c r="L28" t="s">
        <v>719</v>
      </c>
      <c r="M28">
        <v>69</v>
      </c>
      <c r="N28">
        <v>52.5</v>
      </c>
      <c r="O28">
        <v>237</v>
      </c>
      <c r="P28" t="s">
        <v>457</v>
      </c>
      <c r="R28" t="s">
        <v>458</v>
      </c>
    </row>
    <row r="29" spans="1:18" x14ac:dyDescent="0.3">
      <c r="A29" s="11" t="str">
        <f t="shared" si="0"/>
        <v>Fanatic</v>
      </c>
      <c r="B29" s="11" t="str">
        <f t="shared" si="1"/>
        <v>Newwave Te 69</v>
      </c>
      <c r="C29" s="11">
        <f t="shared" si="2"/>
        <v>237</v>
      </c>
      <c r="D29" s="11">
        <f t="shared" si="3"/>
        <v>52</v>
      </c>
      <c r="E29" s="11">
        <f t="shared" si="4"/>
        <v>69</v>
      </c>
      <c r="F29" s="38" t="str">
        <f t="shared" si="5"/>
        <v>2007</v>
      </c>
      <c r="G29" s="11" t="str" cm="1">
        <f t="array" ref="G29">gssBoardClass(A29,B29,C29,D29,E29,F29)</f>
        <v>Wave / Freestyle</v>
      </c>
      <c r="H29" s="39" t="str">
        <f t="shared" si="6"/>
        <v>2007-Fa-New-69-52-237</v>
      </c>
      <c r="I29" s="42" t="str">
        <f t="shared" si="7"/>
        <v>2007</v>
      </c>
      <c r="J29" s="46" t="s">
        <v>1085</v>
      </c>
      <c r="K29" t="s">
        <v>1</v>
      </c>
      <c r="L29" t="s">
        <v>715</v>
      </c>
      <c r="M29">
        <v>69</v>
      </c>
      <c r="N29">
        <v>52.5</v>
      </c>
      <c r="O29">
        <v>237</v>
      </c>
      <c r="P29" t="s">
        <v>461</v>
      </c>
      <c r="R29" t="s">
        <v>458</v>
      </c>
    </row>
    <row r="30" spans="1:18" x14ac:dyDescent="0.3">
      <c r="A30" s="11" t="str">
        <f t="shared" si="0"/>
        <v>Fanatic</v>
      </c>
      <c r="B30" s="11" t="str">
        <f t="shared" si="1"/>
        <v>Newwave 75</v>
      </c>
      <c r="C30" s="11">
        <f t="shared" si="2"/>
        <v>238</v>
      </c>
      <c r="D30" s="11">
        <f t="shared" si="3"/>
        <v>54</v>
      </c>
      <c r="E30" s="11">
        <f t="shared" si="4"/>
        <v>75</v>
      </c>
      <c r="F30" s="38" t="str">
        <f t="shared" si="5"/>
        <v>2007</v>
      </c>
      <c r="G30" s="11" t="str" cm="1">
        <f t="array" ref="G30">gssBoardClass(A30,B30,C30,D30,E30,F30)</f>
        <v>Wave / Freestyle</v>
      </c>
      <c r="H30" s="39" t="str">
        <f t="shared" si="6"/>
        <v>2007-Fa-New-75-54-238</v>
      </c>
      <c r="I30" s="42" t="str">
        <f t="shared" si="7"/>
        <v>2007</v>
      </c>
      <c r="J30" s="46" t="s">
        <v>1085</v>
      </c>
      <c r="K30" t="s">
        <v>1</v>
      </c>
      <c r="L30" t="s">
        <v>720</v>
      </c>
      <c r="M30">
        <v>75</v>
      </c>
      <c r="N30">
        <v>54.5</v>
      </c>
      <c r="O30">
        <v>238</v>
      </c>
      <c r="P30" t="s">
        <v>457</v>
      </c>
      <c r="R30" t="s">
        <v>459</v>
      </c>
    </row>
    <row r="31" spans="1:18" x14ac:dyDescent="0.3">
      <c r="A31" s="11" t="str">
        <f t="shared" si="0"/>
        <v>Fanatic</v>
      </c>
      <c r="B31" s="11" t="str">
        <f t="shared" si="1"/>
        <v>Newwave Te 75</v>
      </c>
      <c r="C31" s="11">
        <f t="shared" si="2"/>
        <v>238</v>
      </c>
      <c r="D31" s="11">
        <f t="shared" si="3"/>
        <v>54</v>
      </c>
      <c r="E31" s="11">
        <f t="shared" si="4"/>
        <v>75</v>
      </c>
      <c r="F31" s="38" t="str">
        <f t="shared" si="5"/>
        <v>2007</v>
      </c>
      <c r="G31" s="11" t="str" cm="1">
        <f t="array" ref="G31">gssBoardClass(A31,B31,C31,D31,E31,F31)</f>
        <v>Wave / Freestyle</v>
      </c>
      <c r="H31" s="39" t="str">
        <f t="shared" si="6"/>
        <v>2007-Fa-New-75-54-238</v>
      </c>
      <c r="I31" s="42" t="str">
        <f t="shared" si="7"/>
        <v>2007</v>
      </c>
      <c r="J31" s="46" t="s">
        <v>1085</v>
      </c>
      <c r="K31" t="s">
        <v>1</v>
      </c>
      <c r="L31" t="s">
        <v>721</v>
      </c>
      <c r="M31">
        <v>75</v>
      </c>
      <c r="N31">
        <v>54.5</v>
      </c>
      <c r="O31">
        <v>238</v>
      </c>
      <c r="P31" t="s">
        <v>461</v>
      </c>
      <c r="R31" t="s">
        <v>459</v>
      </c>
    </row>
    <row r="32" spans="1:18" x14ac:dyDescent="0.3">
      <c r="A32" s="11" t="str">
        <f t="shared" si="0"/>
        <v>Fanatic</v>
      </c>
      <c r="B32" s="11" t="str">
        <f t="shared" si="1"/>
        <v>Newwave 81</v>
      </c>
      <c r="C32" s="11">
        <f t="shared" si="2"/>
        <v>240</v>
      </c>
      <c r="D32" s="11">
        <f t="shared" si="3"/>
        <v>56</v>
      </c>
      <c r="E32" s="11">
        <f t="shared" si="4"/>
        <v>81</v>
      </c>
      <c r="F32" s="38" t="str">
        <f t="shared" si="5"/>
        <v>2007</v>
      </c>
      <c r="G32" s="11" t="str" cm="1">
        <f t="array" ref="G32">gssBoardClass(A32,B32,C32,D32,E32,F32)</f>
        <v>Wave / Freestyle</v>
      </c>
      <c r="H32" s="39" t="str">
        <f t="shared" si="6"/>
        <v>2007-Fa-New-81-56-240</v>
      </c>
      <c r="I32" s="42" t="str">
        <f t="shared" si="7"/>
        <v>2007</v>
      </c>
      <c r="J32" s="46" t="s">
        <v>1085</v>
      </c>
      <c r="K32" t="s">
        <v>1</v>
      </c>
      <c r="L32" t="s">
        <v>722</v>
      </c>
      <c r="M32">
        <v>81</v>
      </c>
      <c r="N32">
        <v>56.5</v>
      </c>
      <c r="O32">
        <v>240</v>
      </c>
      <c r="P32" t="s">
        <v>457</v>
      </c>
      <c r="R32" t="s">
        <v>460</v>
      </c>
    </row>
    <row r="33" spans="1:19" x14ac:dyDescent="0.3">
      <c r="A33" s="11" t="str">
        <f t="shared" si="0"/>
        <v>Fanatic</v>
      </c>
      <c r="B33" s="11" t="str">
        <f t="shared" si="1"/>
        <v>Newwave Te 81</v>
      </c>
      <c r="C33" s="11">
        <f t="shared" si="2"/>
        <v>240</v>
      </c>
      <c r="D33" s="11">
        <f t="shared" si="3"/>
        <v>56</v>
      </c>
      <c r="E33" s="11">
        <f t="shared" si="4"/>
        <v>81</v>
      </c>
      <c r="F33" s="38" t="str">
        <f t="shared" si="5"/>
        <v>2007</v>
      </c>
      <c r="G33" s="11" t="str" cm="1">
        <f t="array" ref="G33">gssBoardClass(A33,B33,C33,D33,E33,F33)</f>
        <v>Wave / Freestyle</v>
      </c>
      <c r="H33" s="39" t="str">
        <f t="shared" si="6"/>
        <v>2007-Fa-New-81-56-240</v>
      </c>
      <c r="I33" s="42" t="str">
        <f t="shared" si="7"/>
        <v>2007</v>
      </c>
      <c r="J33" s="46" t="s">
        <v>1085</v>
      </c>
      <c r="K33" t="s">
        <v>1</v>
      </c>
      <c r="L33" t="s">
        <v>723</v>
      </c>
      <c r="M33">
        <v>81</v>
      </c>
      <c r="N33">
        <v>56.5</v>
      </c>
      <c r="O33">
        <v>240</v>
      </c>
      <c r="P33" t="s">
        <v>461</v>
      </c>
      <c r="R33" t="s">
        <v>460</v>
      </c>
    </row>
    <row r="34" spans="1:19" x14ac:dyDescent="0.3">
      <c r="A34" s="11" t="str">
        <f t="shared" si="0"/>
        <v>Fanatic</v>
      </c>
      <c r="B34" s="11" t="str">
        <f t="shared" si="1"/>
        <v>Ripper 102</v>
      </c>
      <c r="C34" s="11">
        <f t="shared" si="2"/>
        <v>239</v>
      </c>
      <c r="D34" s="11">
        <f t="shared" si="3"/>
        <v>69</v>
      </c>
      <c r="E34" s="11">
        <f t="shared" si="4"/>
        <v>102</v>
      </c>
      <c r="F34" s="38" t="str">
        <f t="shared" si="5"/>
        <v>2007</v>
      </c>
      <c r="G34" s="11" t="str" cm="1">
        <f t="array" ref="G34">gssBoardClass(A34,B34,C34,D34,E34,F34)</f>
        <v>Slalom Medium</v>
      </c>
      <c r="H34" s="39" t="str">
        <f t="shared" si="6"/>
        <v>2007-Fa-RIP-102-69-239</v>
      </c>
      <c r="I34" s="42" t="str">
        <f t="shared" si="7"/>
        <v>2007</v>
      </c>
      <c r="J34" s="46" t="s">
        <v>1085</v>
      </c>
      <c r="K34" t="s">
        <v>1</v>
      </c>
      <c r="L34" t="s">
        <v>517</v>
      </c>
      <c r="M34">
        <v>102</v>
      </c>
      <c r="N34">
        <v>69.5</v>
      </c>
      <c r="O34">
        <v>239</v>
      </c>
      <c r="P34" t="s">
        <v>513</v>
      </c>
      <c r="R34" t="s">
        <v>518</v>
      </c>
    </row>
    <row r="35" spans="1:19" x14ac:dyDescent="0.3">
      <c r="A35" s="11" t="str">
        <f t="shared" si="0"/>
        <v>Fanatic</v>
      </c>
      <c r="B35" s="11" t="str">
        <f t="shared" si="1"/>
        <v>Shark 130 Ltd</v>
      </c>
      <c r="C35" s="11">
        <f t="shared" si="2"/>
        <v>258</v>
      </c>
      <c r="D35" s="11">
        <f t="shared" si="3"/>
        <v>70</v>
      </c>
      <c r="E35" s="11">
        <f t="shared" si="4"/>
        <v>130</v>
      </c>
      <c r="F35" s="38" t="str">
        <f t="shared" si="5"/>
        <v>2007</v>
      </c>
      <c r="G35" s="11" t="str" cm="1">
        <f t="array" ref="G35">gssBoardClass(A35,B35,C35,D35,E35,F35)</f>
        <v>Slalom Medium</v>
      </c>
      <c r="H35" s="39" t="str">
        <f t="shared" si="6"/>
        <v>2007-Fa-SHA-130-70-258</v>
      </c>
      <c r="I35" s="42" t="str">
        <f t="shared" si="7"/>
        <v>2007</v>
      </c>
      <c r="J35" s="46" t="s">
        <v>1085</v>
      </c>
      <c r="K35" t="s">
        <v>1</v>
      </c>
      <c r="L35" t="s">
        <v>492</v>
      </c>
      <c r="M35">
        <v>130</v>
      </c>
      <c r="N35">
        <v>70</v>
      </c>
      <c r="O35">
        <v>258</v>
      </c>
      <c r="P35" t="s">
        <v>480</v>
      </c>
      <c r="R35" t="s">
        <v>493</v>
      </c>
    </row>
    <row r="36" spans="1:19" x14ac:dyDescent="0.3">
      <c r="A36" s="11" t="str">
        <f t="shared" si="0"/>
        <v>Fanatic</v>
      </c>
      <c r="B36" s="11" t="str">
        <f t="shared" si="1"/>
        <v>Shark 130</v>
      </c>
      <c r="C36" s="11">
        <f t="shared" si="2"/>
        <v>258</v>
      </c>
      <c r="D36" s="11">
        <f t="shared" si="3"/>
        <v>70</v>
      </c>
      <c r="E36" s="11">
        <f t="shared" si="4"/>
        <v>130</v>
      </c>
      <c r="F36" s="38" t="str">
        <f t="shared" si="5"/>
        <v>2007</v>
      </c>
      <c r="G36" s="11" t="str" cm="1">
        <f t="array" ref="G36">gssBoardClass(A36,B36,C36,D36,E36,F36)</f>
        <v>Slalom Medium</v>
      </c>
      <c r="H36" s="39" t="str">
        <f t="shared" si="6"/>
        <v>2007-Fa-SHA-130-70-258</v>
      </c>
      <c r="I36" s="42" t="str">
        <f t="shared" si="7"/>
        <v>2007</v>
      </c>
      <c r="J36" s="46" t="s">
        <v>1085</v>
      </c>
      <c r="K36" t="s">
        <v>1</v>
      </c>
      <c r="L36" t="s">
        <v>496</v>
      </c>
      <c r="M36">
        <v>130</v>
      </c>
      <c r="N36">
        <v>70</v>
      </c>
      <c r="O36">
        <v>258</v>
      </c>
      <c r="P36" t="s">
        <v>497</v>
      </c>
      <c r="R36" t="s">
        <v>498</v>
      </c>
    </row>
    <row r="37" spans="1:19" x14ac:dyDescent="0.3">
      <c r="A37" s="11" t="str">
        <f t="shared" si="0"/>
        <v>Fanatic</v>
      </c>
      <c r="B37" s="11" t="str">
        <f t="shared" si="1"/>
        <v>Shark 145 Ltd</v>
      </c>
      <c r="C37" s="11">
        <f t="shared" si="2"/>
        <v>263</v>
      </c>
      <c r="D37" s="11">
        <f t="shared" si="3"/>
        <v>75</v>
      </c>
      <c r="E37" s="11">
        <f t="shared" si="4"/>
        <v>145</v>
      </c>
      <c r="F37" s="38" t="str">
        <f t="shared" si="5"/>
        <v>2007</v>
      </c>
      <c r="G37" s="11" t="str" cm="1">
        <f t="array" ref="G37">gssBoardClass(A37,B37,C37,D37,E37,F37)</f>
        <v>Slalom Large</v>
      </c>
      <c r="H37" s="39" t="str">
        <f t="shared" si="6"/>
        <v>2007-Fa-SHA-145-75-263</v>
      </c>
      <c r="I37" s="42" t="str">
        <f t="shared" si="7"/>
        <v>2007</v>
      </c>
      <c r="J37" s="46" t="s">
        <v>1085</v>
      </c>
      <c r="K37" t="s">
        <v>1</v>
      </c>
      <c r="L37" t="s">
        <v>494</v>
      </c>
      <c r="M37">
        <v>145</v>
      </c>
      <c r="N37">
        <v>75</v>
      </c>
      <c r="O37">
        <v>263</v>
      </c>
      <c r="P37" t="s">
        <v>480</v>
      </c>
      <c r="R37" t="s">
        <v>495</v>
      </c>
    </row>
    <row r="38" spans="1:19" x14ac:dyDescent="0.3">
      <c r="A38" s="11" t="str">
        <f t="shared" si="0"/>
        <v>Fanatic</v>
      </c>
      <c r="B38" s="11" t="str">
        <f t="shared" si="1"/>
        <v>Shark 145</v>
      </c>
      <c r="C38" s="11">
        <f t="shared" si="2"/>
        <v>263</v>
      </c>
      <c r="D38" s="11">
        <f t="shared" si="3"/>
        <v>75</v>
      </c>
      <c r="E38" s="11">
        <f t="shared" si="4"/>
        <v>145</v>
      </c>
      <c r="F38" s="38" t="str">
        <f t="shared" si="5"/>
        <v>2007</v>
      </c>
      <c r="G38" s="11" t="str" cm="1">
        <f t="array" ref="G38">gssBoardClass(A38,B38,C38,D38,E38,F38)</f>
        <v>Slalom Large</v>
      </c>
      <c r="H38" s="39" t="str">
        <f t="shared" si="6"/>
        <v>2007-Fa-SHA-145-75-263</v>
      </c>
      <c r="I38" s="42" t="str">
        <f t="shared" si="7"/>
        <v>2007</v>
      </c>
      <c r="J38" s="46" t="s">
        <v>1085</v>
      </c>
      <c r="K38" t="s">
        <v>1</v>
      </c>
      <c r="L38" t="s">
        <v>499</v>
      </c>
      <c r="M38">
        <v>145</v>
      </c>
      <c r="N38">
        <v>75</v>
      </c>
      <c r="O38">
        <v>263</v>
      </c>
      <c r="P38" t="s">
        <v>497</v>
      </c>
      <c r="R38" t="s">
        <v>500</v>
      </c>
    </row>
    <row r="39" spans="1:19" x14ac:dyDescent="0.3">
      <c r="A39" s="11" t="str">
        <f t="shared" si="0"/>
        <v>Fanatic</v>
      </c>
      <c r="B39" s="11" t="str">
        <f t="shared" si="1"/>
        <v>Shark 160</v>
      </c>
      <c r="C39" s="11">
        <f t="shared" si="2"/>
        <v>268</v>
      </c>
      <c r="D39" s="11">
        <f t="shared" si="3"/>
        <v>80</v>
      </c>
      <c r="E39" s="11">
        <f t="shared" si="4"/>
        <v>160</v>
      </c>
      <c r="F39" s="38" t="str">
        <f t="shared" si="5"/>
        <v>2007</v>
      </c>
      <c r="G39" s="11" t="str" cm="1">
        <f t="array" ref="G39">gssBoardClass(A39,B39,C39,D39,E39,F39)</f>
        <v>Special / Longboard</v>
      </c>
      <c r="H39" s="39" t="str">
        <f t="shared" si="6"/>
        <v>2007-Fa-SHA-160-80-268</v>
      </c>
      <c r="I39" s="42" t="str">
        <f t="shared" si="7"/>
        <v>2007</v>
      </c>
      <c r="J39" s="46" t="s">
        <v>1085</v>
      </c>
      <c r="K39" t="s">
        <v>1</v>
      </c>
      <c r="L39" t="s">
        <v>501</v>
      </c>
      <c r="M39">
        <v>160</v>
      </c>
      <c r="N39">
        <v>80</v>
      </c>
      <c r="O39">
        <v>268</v>
      </c>
      <c r="P39" t="s">
        <v>497</v>
      </c>
      <c r="R39" t="s">
        <v>502</v>
      </c>
    </row>
    <row r="40" spans="1:19" x14ac:dyDescent="0.3">
      <c r="A40" s="11" t="str">
        <f t="shared" si="0"/>
        <v>Fanatic</v>
      </c>
      <c r="B40" s="11" t="str">
        <f t="shared" si="1"/>
        <v>Skate 107</v>
      </c>
      <c r="C40" s="11">
        <f t="shared" si="2"/>
        <v>239</v>
      </c>
      <c r="D40" s="11">
        <f t="shared" si="3"/>
        <v>65</v>
      </c>
      <c r="E40" s="11">
        <f t="shared" si="4"/>
        <v>107</v>
      </c>
      <c r="F40" s="38" t="str">
        <f t="shared" si="5"/>
        <v>2007</v>
      </c>
      <c r="G40" s="11" t="str" cm="1">
        <f t="array" ref="G40">gssBoardClass(A40,B40,C40,D40,E40,F40)</f>
        <v>Wave / Freestyle</v>
      </c>
      <c r="H40" s="39" t="str">
        <f t="shared" si="6"/>
        <v>2007-Fa-SKA-107-65-239</v>
      </c>
      <c r="I40" s="42" t="str">
        <f t="shared" si="7"/>
        <v>2007</v>
      </c>
      <c r="J40" s="46" t="s">
        <v>1085</v>
      </c>
      <c r="K40" t="s">
        <v>1</v>
      </c>
      <c r="L40" t="s">
        <v>474</v>
      </c>
      <c r="M40">
        <v>107</v>
      </c>
      <c r="N40">
        <v>65</v>
      </c>
      <c r="O40">
        <v>239</v>
      </c>
      <c r="P40" t="s">
        <v>472</v>
      </c>
      <c r="R40" t="s">
        <v>475</v>
      </c>
    </row>
    <row r="41" spans="1:19" x14ac:dyDescent="0.3">
      <c r="A41" s="11" t="str">
        <f t="shared" si="0"/>
        <v>Fanatic</v>
      </c>
      <c r="B41" s="11" t="str">
        <f t="shared" si="1"/>
        <v>Skate Te 107</v>
      </c>
      <c r="C41" s="11">
        <f t="shared" si="2"/>
        <v>239</v>
      </c>
      <c r="D41" s="11">
        <f t="shared" si="3"/>
        <v>65</v>
      </c>
      <c r="E41" s="11">
        <f t="shared" si="4"/>
        <v>107</v>
      </c>
      <c r="F41" s="38" t="str">
        <f t="shared" si="5"/>
        <v>2007</v>
      </c>
      <c r="G41" s="11" t="str" cm="1">
        <f t="array" ref="G41">gssBoardClass(A41,B41,C41,D41,E41,F41)</f>
        <v>Wave / Freestyle</v>
      </c>
      <c r="H41" s="39" t="str">
        <f t="shared" si="6"/>
        <v>2007-Fa-SKA-107-65-239</v>
      </c>
      <c r="I41" s="42" t="str">
        <f t="shared" si="7"/>
        <v>2007</v>
      </c>
      <c r="J41" s="46" t="s">
        <v>1085</v>
      </c>
      <c r="K41" t="s">
        <v>1</v>
      </c>
      <c r="L41" t="s">
        <v>478</v>
      </c>
      <c r="M41">
        <v>107</v>
      </c>
      <c r="N41">
        <v>65</v>
      </c>
      <c r="O41">
        <v>239</v>
      </c>
      <c r="P41" t="s">
        <v>477</v>
      </c>
      <c r="R41" t="s">
        <v>475</v>
      </c>
    </row>
    <row r="42" spans="1:19" x14ac:dyDescent="0.3">
      <c r="A42" s="11" t="str">
        <f t="shared" si="0"/>
        <v>Fanatic</v>
      </c>
      <c r="B42" s="11" t="str">
        <f t="shared" si="1"/>
        <v>Skate 97</v>
      </c>
      <c r="C42" s="11">
        <f t="shared" si="2"/>
        <v>237</v>
      </c>
      <c r="D42" s="11">
        <f t="shared" si="3"/>
        <v>63</v>
      </c>
      <c r="E42" s="11">
        <f t="shared" si="4"/>
        <v>97</v>
      </c>
      <c r="F42" s="38" t="str">
        <f t="shared" si="5"/>
        <v>2007</v>
      </c>
      <c r="G42" s="11" t="str" cm="1">
        <f t="array" ref="G42">gssBoardClass(A42,B42,C42,D42,E42,F42)</f>
        <v>Wave / Freestyle</v>
      </c>
      <c r="H42" s="39" t="str">
        <f t="shared" si="6"/>
        <v>2007-Fa-SKA-97-63-237</v>
      </c>
      <c r="I42" s="42" t="str">
        <f t="shared" si="7"/>
        <v>2007</v>
      </c>
      <c r="J42" s="46" t="s">
        <v>1085</v>
      </c>
      <c r="K42" t="s">
        <v>1</v>
      </c>
      <c r="L42" t="s">
        <v>471</v>
      </c>
      <c r="M42">
        <v>97</v>
      </c>
      <c r="N42">
        <v>63</v>
      </c>
      <c r="O42">
        <v>237</v>
      </c>
      <c r="P42" t="s">
        <v>472</v>
      </c>
      <c r="R42" t="s">
        <v>473</v>
      </c>
    </row>
    <row r="43" spans="1:19" x14ac:dyDescent="0.3">
      <c r="A43" s="11" t="str">
        <f t="shared" si="0"/>
        <v>Fanatic</v>
      </c>
      <c r="B43" s="11" t="str">
        <f t="shared" si="1"/>
        <v>Skate Te 97</v>
      </c>
      <c r="C43" s="11">
        <f t="shared" si="2"/>
        <v>237</v>
      </c>
      <c r="D43" s="11">
        <f t="shared" si="3"/>
        <v>63</v>
      </c>
      <c r="E43" s="11">
        <f t="shared" si="4"/>
        <v>97</v>
      </c>
      <c r="F43" s="38" t="str">
        <f t="shared" si="5"/>
        <v>2007</v>
      </c>
      <c r="G43" s="11" t="str" cm="1">
        <f t="array" ref="G43">gssBoardClass(A43,B43,C43,D43,E43,F43)</f>
        <v>Wave / Freestyle</v>
      </c>
      <c r="H43" s="39" t="str">
        <f t="shared" si="6"/>
        <v>2007-Fa-SKA-97-63-237</v>
      </c>
      <c r="I43" s="42" t="str">
        <f t="shared" si="7"/>
        <v>2007</v>
      </c>
      <c r="J43" s="46" t="s">
        <v>1085</v>
      </c>
      <c r="K43" t="s">
        <v>1</v>
      </c>
      <c r="L43" t="s">
        <v>476</v>
      </c>
      <c r="M43">
        <v>97</v>
      </c>
      <c r="N43">
        <v>63</v>
      </c>
      <c r="O43">
        <v>237</v>
      </c>
      <c r="P43" t="s">
        <v>477</v>
      </c>
      <c r="R43" t="s">
        <v>473</v>
      </c>
    </row>
    <row r="44" spans="1:19" x14ac:dyDescent="0.3">
      <c r="A44" s="11" t="str">
        <f t="shared" si="0"/>
        <v>Fanatic</v>
      </c>
      <c r="B44" s="11" t="str">
        <f t="shared" si="1"/>
        <v>Viper 75</v>
      </c>
      <c r="C44" s="11">
        <f t="shared" si="2"/>
        <v>275</v>
      </c>
      <c r="D44" s="11">
        <f t="shared" si="3"/>
        <v>75</v>
      </c>
      <c r="E44" s="11">
        <f t="shared" si="4"/>
        <v>160</v>
      </c>
      <c r="F44" s="38" t="str">
        <f t="shared" si="5"/>
        <v>2007</v>
      </c>
      <c r="G44" s="11" t="str" cm="1">
        <f t="array" ref="G44">gssBoardClass(A44,B44,C44,D44,E44,F44)</f>
        <v>Slalom Large</v>
      </c>
      <c r="H44" s="39" t="str">
        <f t="shared" si="6"/>
        <v>2007-Fa-VIP-160-75-275</v>
      </c>
      <c r="I44" s="42" t="str">
        <f t="shared" si="7"/>
        <v>2007</v>
      </c>
      <c r="J44" s="46" t="s">
        <v>1085</v>
      </c>
      <c r="K44" t="s">
        <v>1</v>
      </c>
      <c r="L44" t="s">
        <v>512</v>
      </c>
      <c r="M44">
        <v>160</v>
      </c>
      <c r="N44">
        <v>75</v>
      </c>
      <c r="O44">
        <v>275</v>
      </c>
      <c r="P44" t="s">
        <v>513</v>
      </c>
      <c r="R44" t="s">
        <v>514</v>
      </c>
    </row>
    <row r="45" spans="1:19" x14ac:dyDescent="0.3">
      <c r="A45" s="11" t="str">
        <f t="shared" si="0"/>
        <v>Fanatic</v>
      </c>
      <c r="B45" s="11" t="str">
        <f t="shared" si="1"/>
        <v>Viper 80</v>
      </c>
      <c r="C45" s="11">
        <f t="shared" si="2"/>
        <v>280</v>
      </c>
      <c r="D45" s="11">
        <f t="shared" si="3"/>
        <v>80</v>
      </c>
      <c r="E45" s="11">
        <f t="shared" si="4"/>
        <v>190</v>
      </c>
      <c r="F45" s="38" t="str">
        <f t="shared" si="5"/>
        <v>2007</v>
      </c>
      <c r="G45" s="11" t="str" cm="1">
        <f t="array" ref="G45">gssBoardClass(A45,B45,C45,D45,E45,F45)</f>
        <v>Special / Longboard</v>
      </c>
      <c r="H45" s="39" t="str">
        <f t="shared" si="6"/>
        <v>2007-Fa-VIP-190-80-280</v>
      </c>
      <c r="I45" s="42" t="str">
        <f t="shared" si="7"/>
        <v>2007</v>
      </c>
      <c r="J45" s="46" t="s">
        <v>1085</v>
      </c>
      <c r="K45" t="s">
        <v>1</v>
      </c>
      <c r="L45" t="s">
        <v>515</v>
      </c>
      <c r="M45">
        <v>190</v>
      </c>
      <c r="N45">
        <v>80</v>
      </c>
      <c r="O45">
        <v>280</v>
      </c>
      <c r="P45" t="s">
        <v>513</v>
      </c>
      <c r="R45" t="s">
        <v>514</v>
      </c>
    </row>
    <row r="46" spans="1:19" x14ac:dyDescent="0.3">
      <c r="A46" s="11" t="str">
        <f t="shared" si="0"/>
        <v>Fanatic</v>
      </c>
      <c r="B46" s="11" t="str">
        <f t="shared" si="1"/>
        <v>Viper 85</v>
      </c>
      <c r="C46" s="11">
        <f t="shared" si="2"/>
        <v>285</v>
      </c>
      <c r="D46" s="11">
        <f t="shared" si="3"/>
        <v>85</v>
      </c>
      <c r="E46" s="11">
        <f t="shared" si="4"/>
        <v>220</v>
      </c>
      <c r="F46" s="38" t="str">
        <f t="shared" si="5"/>
        <v>2007</v>
      </c>
      <c r="G46" s="11" t="str" cm="1">
        <f t="array" ref="G46">gssBoardClass(A46,B46,C46,D46,E46,F46)</f>
        <v>Special / Longboard</v>
      </c>
      <c r="H46" s="39" t="str">
        <f t="shared" si="6"/>
        <v>2007-Fa-VIP-220-85-285</v>
      </c>
      <c r="I46" s="42" t="str">
        <f t="shared" si="7"/>
        <v>2007</v>
      </c>
      <c r="J46" s="46" t="s">
        <v>1085</v>
      </c>
      <c r="K46" t="s">
        <v>1</v>
      </c>
      <c r="L46" t="s">
        <v>516</v>
      </c>
      <c r="M46">
        <v>220</v>
      </c>
      <c r="N46">
        <v>85</v>
      </c>
      <c r="O46">
        <v>285</v>
      </c>
      <c r="P46" t="s">
        <v>513</v>
      </c>
      <c r="R46" t="s">
        <v>514</v>
      </c>
    </row>
    <row r="47" spans="1:19" x14ac:dyDescent="0.3">
      <c r="A47" s="11" t="str">
        <f t="shared" si="0"/>
        <v>Fanatic</v>
      </c>
      <c r="B47" s="11" t="str">
        <f t="shared" si="1"/>
        <v>Falcon Slalom 102</v>
      </c>
      <c r="C47" s="11">
        <f t="shared" si="2"/>
        <v>235</v>
      </c>
      <c r="D47" s="11">
        <f t="shared" si="3"/>
        <v>63</v>
      </c>
      <c r="E47" s="11">
        <f t="shared" si="4"/>
        <v>102</v>
      </c>
      <c r="F47" s="38" t="str">
        <f t="shared" si="5"/>
        <v>2010</v>
      </c>
      <c r="G47" s="11" t="str" cm="1">
        <f t="array" ref="G47">gssBoardClass(A47,B47,C47,D47,E47,F47)</f>
        <v>Speed/Slalom Small</v>
      </c>
      <c r="H47" s="39" t="str">
        <f t="shared" si="6"/>
        <v>2010-Fa-Fal-102-63-235</v>
      </c>
      <c r="I47" s="42" t="str">
        <f t="shared" si="7"/>
        <v>2010</v>
      </c>
      <c r="J47" s="46">
        <v>2010</v>
      </c>
      <c r="K47" t="s">
        <v>1</v>
      </c>
      <c r="L47" t="s">
        <v>627</v>
      </c>
      <c r="M47">
        <v>102</v>
      </c>
      <c r="N47">
        <v>63</v>
      </c>
      <c r="O47">
        <v>235</v>
      </c>
      <c r="P47" t="s">
        <v>626</v>
      </c>
      <c r="Q47" t="s">
        <v>232</v>
      </c>
      <c r="R47" t="s">
        <v>623</v>
      </c>
      <c r="S47" t="s">
        <v>580</v>
      </c>
    </row>
    <row r="48" spans="1:19" x14ac:dyDescent="0.3">
      <c r="A48" s="11" t="str">
        <f t="shared" si="0"/>
        <v>Fanatic</v>
      </c>
      <c r="B48" s="11" t="str">
        <f t="shared" si="1"/>
        <v>Falcon Slalom 112</v>
      </c>
      <c r="C48" s="11">
        <f t="shared" si="2"/>
        <v>235</v>
      </c>
      <c r="D48" s="11">
        <f t="shared" si="3"/>
        <v>69</v>
      </c>
      <c r="E48" s="11">
        <f t="shared" si="4"/>
        <v>112</v>
      </c>
      <c r="F48" s="38" t="str">
        <f t="shared" si="5"/>
        <v>2010</v>
      </c>
      <c r="G48" s="11" t="str" cm="1">
        <f t="array" ref="G48">gssBoardClass(A48,B48,C48,D48,E48,F48)</f>
        <v>Slalom Medium</v>
      </c>
      <c r="H48" s="39" t="str">
        <f t="shared" si="6"/>
        <v>2010-Fa-Fal-112-69-235</v>
      </c>
      <c r="I48" s="42" t="str">
        <f t="shared" si="7"/>
        <v>2010</v>
      </c>
      <c r="J48" s="46">
        <v>2010</v>
      </c>
      <c r="K48" t="s">
        <v>1</v>
      </c>
      <c r="L48" t="s">
        <v>628</v>
      </c>
      <c r="M48">
        <v>112</v>
      </c>
      <c r="N48">
        <v>69</v>
      </c>
      <c r="O48">
        <v>235</v>
      </c>
      <c r="P48" t="s">
        <v>626</v>
      </c>
      <c r="Q48" t="s">
        <v>232</v>
      </c>
      <c r="R48" t="s">
        <v>623</v>
      </c>
      <c r="S48" t="s">
        <v>583</v>
      </c>
    </row>
    <row r="49" spans="1:19" x14ac:dyDescent="0.3">
      <c r="A49" s="11" t="str">
        <f t="shared" si="0"/>
        <v>Fanatic</v>
      </c>
      <c r="B49" s="11" t="str">
        <f t="shared" si="1"/>
        <v>Falcon Slalom 122</v>
      </c>
      <c r="C49" s="11">
        <f t="shared" si="2"/>
        <v>230</v>
      </c>
      <c r="D49" s="11">
        <f t="shared" si="3"/>
        <v>75</v>
      </c>
      <c r="E49" s="11">
        <f t="shared" si="4"/>
        <v>122</v>
      </c>
      <c r="F49" s="38" t="str">
        <f t="shared" si="5"/>
        <v>2010</v>
      </c>
      <c r="G49" s="11" t="str" cm="1">
        <f t="array" ref="G49">gssBoardClass(A49,B49,C49,D49,E49,F49)</f>
        <v>Slalom Large</v>
      </c>
      <c r="H49" s="39" t="str">
        <f t="shared" si="6"/>
        <v>2010-Fa-Fal-122-75-230</v>
      </c>
      <c r="I49" s="42" t="str">
        <f t="shared" si="7"/>
        <v>2010</v>
      </c>
      <c r="J49" s="46">
        <v>2010</v>
      </c>
      <c r="K49" t="s">
        <v>1</v>
      </c>
      <c r="L49" t="s">
        <v>629</v>
      </c>
      <c r="M49">
        <v>122</v>
      </c>
      <c r="N49">
        <v>75</v>
      </c>
      <c r="O49">
        <v>230</v>
      </c>
      <c r="P49" t="s">
        <v>626</v>
      </c>
      <c r="Q49" t="s">
        <v>232</v>
      </c>
      <c r="R49" t="s">
        <v>623</v>
      </c>
      <c r="S49" t="s">
        <v>603</v>
      </c>
    </row>
    <row r="50" spans="1:19" x14ac:dyDescent="0.3">
      <c r="A50" s="11" t="str">
        <f t="shared" si="0"/>
        <v>Fanatic</v>
      </c>
      <c r="B50" s="11" t="str">
        <f t="shared" si="1"/>
        <v>Falcon Slalom 133</v>
      </c>
      <c r="C50" s="11">
        <f t="shared" si="2"/>
        <v>230</v>
      </c>
      <c r="D50" s="11">
        <f t="shared" si="3"/>
        <v>79</v>
      </c>
      <c r="E50" s="11">
        <f t="shared" si="4"/>
        <v>133</v>
      </c>
      <c r="F50" s="38" t="str">
        <f t="shared" si="5"/>
        <v>2010</v>
      </c>
      <c r="G50" s="11" t="str" cm="1">
        <f t="array" ref="G50">gssBoardClass(A50,B50,C50,D50,E50,F50)</f>
        <v>Slalom Large</v>
      </c>
      <c r="H50" s="39" t="str">
        <f t="shared" si="6"/>
        <v>2010-Fa-Fal-133-79-230</v>
      </c>
      <c r="I50" s="42" t="str">
        <f t="shared" si="7"/>
        <v>2010</v>
      </c>
      <c r="J50" s="46">
        <v>2010</v>
      </c>
      <c r="K50" t="s">
        <v>1</v>
      </c>
      <c r="L50" t="s">
        <v>630</v>
      </c>
      <c r="M50">
        <v>133</v>
      </c>
      <c r="N50">
        <v>79</v>
      </c>
      <c r="O50">
        <v>230</v>
      </c>
      <c r="P50" t="s">
        <v>626</v>
      </c>
      <c r="Q50" t="s">
        <v>260</v>
      </c>
      <c r="R50" t="s">
        <v>623</v>
      </c>
      <c r="S50" t="s">
        <v>631</v>
      </c>
    </row>
    <row r="51" spans="1:19" x14ac:dyDescent="0.3">
      <c r="A51" s="11" t="str">
        <f t="shared" si="0"/>
        <v>Fanatic</v>
      </c>
      <c r="B51" s="11" t="str">
        <f t="shared" si="1"/>
        <v>Falcon Slalom 145</v>
      </c>
      <c r="C51" s="11">
        <f t="shared" si="2"/>
        <v>230</v>
      </c>
      <c r="D51" s="11">
        <f t="shared" si="3"/>
        <v>85</v>
      </c>
      <c r="E51" s="11">
        <f t="shared" si="4"/>
        <v>145</v>
      </c>
      <c r="F51" s="38" t="str">
        <f t="shared" si="5"/>
        <v>2010</v>
      </c>
      <c r="G51" s="11" t="str" cm="1">
        <f t="array" ref="G51">gssBoardClass(A51,B51,C51,D51,E51,F51)</f>
        <v>Slalom Large</v>
      </c>
      <c r="H51" s="39" t="str">
        <f t="shared" si="6"/>
        <v>2010-Fa-Fal-145-85-230</v>
      </c>
      <c r="I51" s="42" t="str">
        <f t="shared" si="7"/>
        <v>2010</v>
      </c>
      <c r="J51" s="46">
        <v>2010</v>
      </c>
      <c r="K51" t="s">
        <v>1</v>
      </c>
      <c r="L51" t="s">
        <v>632</v>
      </c>
      <c r="M51">
        <v>145</v>
      </c>
      <c r="N51">
        <v>85</v>
      </c>
      <c r="O51">
        <v>230</v>
      </c>
      <c r="P51" t="s">
        <v>626</v>
      </c>
      <c r="Q51" t="s">
        <v>260</v>
      </c>
      <c r="R51" t="s">
        <v>623</v>
      </c>
      <c r="S51" t="s">
        <v>633</v>
      </c>
    </row>
    <row r="52" spans="1:19" x14ac:dyDescent="0.3">
      <c r="A52" s="11" t="str">
        <f t="shared" si="0"/>
        <v>Fanatic</v>
      </c>
      <c r="B52" s="11" t="str">
        <f t="shared" si="1"/>
        <v>Falcon Speed</v>
      </c>
      <c r="C52" s="11">
        <f t="shared" si="2"/>
        <v>242</v>
      </c>
      <c r="D52" s="11">
        <f t="shared" si="3"/>
        <v>48</v>
      </c>
      <c r="E52" s="11">
        <f t="shared" si="4"/>
        <v>68</v>
      </c>
      <c r="F52" s="38" t="str">
        <f t="shared" si="5"/>
        <v>2010</v>
      </c>
      <c r="G52" s="11" t="str" cm="1">
        <f t="array" ref="G52">gssBoardClass(A52,B52,C52,D52,E52,F52)</f>
        <v>Speedboard</v>
      </c>
      <c r="H52" s="39" t="str">
        <f t="shared" si="6"/>
        <v>2010-Fa-Fal-68-48-242</v>
      </c>
      <c r="I52" s="42" t="str">
        <f t="shared" si="7"/>
        <v>2010</v>
      </c>
      <c r="J52" s="46">
        <v>2010</v>
      </c>
      <c r="K52" t="s">
        <v>1</v>
      </c>
      <c r="L52" t="s">
        <v>621</v>
      </c>
      <c r="M52">
        <v>68</v>
      </c>
      <c r="N52">
        <v>48</v>
      </c>
      <c r="O52">
        <v>242</v>
      </c>
      <c r="P52" t="s">
        <v>622</v>
      </c>
      <c r="Q52" t="s">
        <v>232</v>
      </c>
      <c r="R52" t="s">
        <v>623</v>
      </c>
      <c r="S52" t="s">
        <v>624</v>
      </c>
    </row>
    <row r="53" spans="1:19" x14ac:dyDescent="0.3">
      <c r="A53" s="11" t="str">
        <f t="shared" si="0"/>
        <v>Fanatic</v>
      </c>
      <c r="B53" s="11" t="str">
        <f t="shared" si="1"/>
        <v>Falcon Slalom 86</v>
      </c>
      <c r="C53" s="11">
        <f t="shared" si="2"/>
        <v>240</v>
      </c>
      <c r="D53" s="11">
        <f t="shared" si="3"/>
        <v>58</v>
      </c>
      <c r="E53" s="11">
        <f t="shared" si="4"/>
        <v>86</v>
      </c>
      <c r="F53" s="38" t="str">
        <f t="shared" si="5"/>
        <v>2010</v>
      </c>
      <c r="G53" s="11" t="str" cm="1">
        <f t="array" ref="G53">gssBoardClass(A53,B53,C53,D53,E53,F53)</f>
        <v>Speed/Slalom Xtra Small</v>
      </c>
      <c r="H53" s="39" t="str">
        <f t="shared" si="6"/>
        <v>2010-Fa-Fal-86-58-240</v>
      </c>
      <c r="I53" s="42" t="str">
        <f t="shared" si="7"/>
        <v>2010</v>
      </c>
      <c r="J53" s="46">
        <v>2010</v>
      </c>
      <c r="K53" t="s">
        <v>1</v>
      </c>
      <c r="L53" t="s">
        <v>625</v>
      </c>
      <c r="M53">
        <v>86</v>
      </c>
      <c r="N53">
        <v>58</v>
      </c>
      <c r="O53">
        <v>240</v>
      </c>
      <c r="P53" t="s">
        <v>626</v>
      </c>
      <c r="Q53" t="s">
        <v>232</v>
      </c>
      <c r="R53" t="s">
        <v>623</v>
      </c>
      <c r="S53" t="s">
        <v>567</v>
      </c>
    </row>
    <row r="54" spans="1:19" x14ac:dyDescent="0.3">
      <c r="A54" s="11" t="str">
        <f t="shared" si="0"/>
        <v>Fanatic</v>
      </c>
      <c r="B54" s="11" t="str">
        <f t="shared" si="1"/>
        <v>Freewave 105</v>
      </c>
      <c r="C54" s="11">
        <f t="shared" si="2"/>
        <v>242</v>
      </c>
      <c r="D54" s="11">
        <f t="shared" si="3"/>
        <v>63</v>
      </c>
      <c r="E54" s="11">
        <f t="shared" si="4"/>
        <v>105</v>
      </c>
      <c r="F54" s="38" t="str">
        <f t="shared" si="5"/>
        <v>2010</v>
      </c>
      <c r="G54" s="11" t="str" cm="1">
        <f t="array" ref="G54">gssBoardClass(A54,B54,C54,D54,E54,F54)</f>
        <v>Wave / Freestyle</v>
      </c>
      <c r="H54" s="39" t="str">
        <f t="shared" si="6"/>
        <v>2010-Fa-Fre-105-63-242</v>
      </c>
      <c r="I54" s="42" t="str">
        <f t="shared" si="7"/>
        <v>2010</v>
      </c>
      <c r="J54" s="46">
        <v>2010</v>
      </c>
      <c r="K54" t="s">
        <v>1</v>
      </c>
      <c r="L54" t="s">
        <v>554</v>
      </c>
      <c r="M54">
        <v>105</v>
      </c>
      <c r="N54">
        <v>63.5</v>
      </c>
      <c r="O54">
        <v>242</v>
      </c>
      <c r="P54" t="s">
        <v>546</v>
      </c>
      <c r="Q54" t="s">
        <v>179</v>
      </c>
      <c r="R54" t="s">
        <v>555</v>
      </c>
      <c r="S54" t="s">
        <v>556</v>
      </c>
    </row>
    <row r="55" spans="1:19" x14ac:dyDescent="0.3">
      <c r="A55" s="11" t="str">
        <f t="shared" si="0"/>
        <v>Fanatic</v>
      </c>
      <c r="B55" s="11" t="str">
        <f t="shared" si="1"/>
        <v>Freewave Te 105</v>
      </c>
      <c r="C55" s="11">
        <f t="shared" si="2"/>
        <v>242</v>
      </c>
      <c r="D55" s="11">
        <f t="shared" si="3"/>
        <v>63</v>
      </c>
      <c r="E55" s="11">
        <f t="shared" si="4"/>
        <v>105</v>
      </c>
      <c r="F55" s="38" t="str">
        <f t="shared" si="5"/>
        <v>2010</v>
      </c>
      <c r="G55" s="11" t="str" cm="1">
        <f t="array" ref="G55">gssBoardClass(A55,B55,C55,D55,E55,F55)</f>
        <v>Wave / Freestyle</v>
      </c>
      <c r="H55" s="39" t="str">
        <f t="shared" si="6"/>
        <v>2010-Fa-Fre-105-63-242</v>
      </c>
      <c r="I55" s="42" t="str">
        <f t="shared" si="7"/>
        <v>2010</v>
      </c>
      <c r="J55" s="46">
        <v>2010</v>
      </c>
      <c r="K55" t="s">
        <v>1</v>
      </c>
      <c r="L55" t="s">
        <v>562</v>
      </c>
      <c r="M55">
        <v>105</v>
      </c>
      <c r="N55">
        <v>63.5</v>
      </c>
      <c r="O55">
        <v>242</v>
      </c>
      <c r="P55" t="s">
        <v>520</v>
      </c>
      <c r="Q55" t="s">
        <v>179</v>
      </c>
      <c r="R55" t="s">
        <v>555</v>
      </c>
      <c r="S55" t="s">
        <v>563</v>
      </c>
    </row>
    <row r="56" spans="1:19" x14ac:dyDescent="0.3">
      <c r="A56" s="11" t="str">
        <f t="shared" si="0"/>
        <v>Fanatic</v>
      </c>
      <c r="B56" s="11" t="str">
        <f t="shared" si="1"/>
        <v>Freewave 115</v>
      </c>
      <c r="C56" s="11">
        <f t="shared" si="2"/>
        <v>244</v>
      </c>
      <c r="D56" s="11">
        <f t="shared" si="3"/>
        <v>66</v>
      </c>
      <c r="E56" s="11">
        <f t="shared" si="4"/>
        <v>115</v>
      </c>
      <c r="F56" s="38" t="str">
        <f t="shared" si="5"/>
        <v>2010</v>
      </c>
      <c r="G56" s="11" t="str" cm="1">
        <f t="array" ref="G56">gssBoardClass(A56,B56,C56,D56,E56,F56)</f>
        <v>Wave / Freestyle</v>
      </c>
      <c r="H56" s="39" t="str">
        <f t="shared" si="6"/>
        <v>2010-Fa-Fre-115-66-244</v>
      </c>
      <c r="I56" s="42" t="str">
        <f t="shared" si="7"/>
        <v>2010</v>
      </c>
      <c r="J56" s="46">
        <v>2010</v>
      </c>
      <c r="K56" t="s">
        <v>1</v>
      </c>
      <c r="L56" t="s">
        <v>557</v>
      </c>
      <c r="M56">
        <v>115</v>
      </c>
      <c r="N56">
        <v>66</v>
      </c>
      <c r="O56">
        <v>244</v>
      </c>
      <c r="P56" t="s">
        <v>546</v>
      </c>
      <c r="Q56" t="s">
        <v>179</v>
      </c>
      <c r="R56" t="s">
        <v>555</v>
      </c>
      <c r="S56" t="s">
        <v>558</v>
      </c>
    </row>
    <row r="57" spans="1:19" x14ac:dyDescent="0.3">
      <c r="A57" s="11" t="str">
        <f t="shared" si="0"/>
        <v>Fanatic</v>
      </c>
      <c r="B57" s="11" t="str">
        <f t="shared" si="1"/>
        <v>Freewave Te 115</v>
      </c>
      <c r="C57" s="11">
        <f t="shared" si="2"/>
        <v>244</v>
      </c>
      <c r="D57" s="11">
        <f t="shared" si="3"/>
        <v>66</v>
      </c>
      <c r="E57" s="11">
        <f t="shared" si="4"/>
        <v>115</v>
      </c>
      <c r="F57" s="38" t="str">
        <f t="shared" si="5"/>
        <v>2010</v>
      </c>
      <c r="G57" s="11" t="str" cm="1">
        <f t="array" ref="G57">gssBoardClass(A57,B57,C57,D57,E57,F57)</f>
        <v>Wave / Freestyle</v>
      </c>
      <c r="H57" s="39" t="str">
        <f t="shared" si="6"/>
        <v>2010-Fa-Fre-115-66-244</v>
      </c>
      <c r="I57" s="42" t="str">
        <f t="shared" si="7"/>
        <v>2010</v>
      </c>
      <c r="J57" s="46">
        <v>2010</v>
      </c>
      <c r="K57" t="s">
        <v>1</v>
      </c>
      <c r="L57" t="s">
        <v>564</v>
      </c>
      <c r="M57">
        <v>115</v>
      </c>
      <c r="N57">
        <v>66</v>
      </c>
      <c r="O57">
        <v>244</v>
      </c>
      <c r="P57" t="s">
        <v>520</v>
      </c>
      <c r="Q57" t="s">
        <v>179</v>
      </c>
      <c r="R57" t="s">
        <v>555</v>
      </c>
      <c r="S57" t="s">
        <v>558</v>
      </c>
    </row>
    <row r="58" spans="1:19" x14ac:dyDescent="0.3">
      <c r="A58" s="11" t="str">
        <f t="shared" si="0"/>
        <v>Fanatic</v>
      </c>
      <c r="B58" s="11" t="str">
        <f t="shared" si="1"/>
        <v>Freewave 75</v>
      </c>
      <c r="C58" s="11">
        <f t="shared" si="2"/>
        <v>235</v>
      </c>
      <c r="D58" s="11">
        <f t="shared" si="3"/>
        <v>56</v>
      </c>
      <c r="E58" s="11">
        <f t="shared" si="4"/>
        <v>75</v>
      </c>
      <c r="F58" s="38" t="str">
        <f t="shared" si="5"/>
        <v>2010</v>
      </c>
      <c r="G58" s="11" t="str" cm="1">
        <f t="array" ref="G58">gssBoardClass(A58,B58,C58,D58,E58,F58)</f>
        <v>Wave / Freestyle</v>
      </c>
      <c r="H58" s="39" t="str">
        <f t="shared" si="6"/>
        <v>2010-Fa-Fre-75-56-235</v>
      </c>
      <c r="I58" s="42" t="str">
        <f t="shared" si="7"/>
        <v>2010</v>
      </c>
      <c r="J58" s="46">
        <v>2010</v>
      </c>
      <c r="K58" t="s">
        <v>1</v>
      </c>
      <c r="L58" t="s">
        <v>545</v>
      </c>
      <c r="M58">
        <v>75</v>
      </c>
      <c r="N58">
        <v>56</v>
      </c>
      <c r="O58">
        <v>235</v>
      </c>
      <c r="P58" t="s">
        <v>546</v>
      </c>
      <c r="Q58" t="s">
        <v>522</v>
      </c>
      <c r="R58" t="s">
        <v>547</v>
      </c>
      <c r="S58" t="s">
        <v>529</v>
      </c>
    </row>
    <row r="59" spans="1:19" x14ac:dyDescent="0.3">
      <c r="A59" s="11" t="str">
        <f t="shared" si="0"/>
        <v>Fanatic</v>
      </c>
      <c r="B59" s="11" t="str">
        <f t="shared" si="1"/>
        <v>Freewave Te 75</v>
      </c>
      <c r="C59" s="11">
        <f t="shared" si="2"/>
        <v>235</v>
      </c>
      <c r="D59" s="11">
        <f t="shared" si="3"/>
        <v>56</v>
      </c>
      <c r="E59" s="11">
        <f t="shared" si="4"/>
        <v>75</v>
      </c>
      <c r="F59" s="38" t="str">
        <f t="shared" si="5"/>
        <v>2010</v>
      </c>
      <c r="G59" s="11" t="str" cm="1">
        <f t="array" ref="G59">gssBoardClass(A59,B59,C59,D59,E59,F59)</f>
        <v>Wave / Freestyle</v>
      </c>
      <c r="H59" s="39" t="str">
        <f t="shared" si="6"/>
        <v>2010-Fa-Fre-75-56-235</v>
      </c>
      <c r="I59" s="42" t="str">
        <f t="shared" si="7"/>
        <v>2010</v>
      </c>
      <c r="J59" s="46">
        <v>2010</v>
      </c>
      <c r="K59" t="s">
        <v>1</v>
      </c>
      <c r="L59" t="s">
        <v>559</v>
      </c>
      <c r="M59">
        <v>75</v>
      </c>
      <c r="N59">
        <v>56</v>
      </c>
      <c r="O59">
        <v>235</v>
      </c>
      <c r="P59" t="s">
        <v>520</v>
      </c>
      <c r="Q59" t="s">
        <v>522</v>
      </c>
      <c r="R59" t="s">
        <v>547</v>
      </c>
      <c r="S59" t="s">
        <v>529</v>
      </c>
    </row>
    <row r="60" spans="1:19" x14ac:dyDescent="0.3">
      <c r="A60" s="11" t="str">
        <f t="shared" si="0"/>
        <v>Fanatic</v>
      </c>
      <c r="B60" s="11" t="str">
        <f t="shared" si="1"/>
        <v>Freewave 85</v>
      </c>
      <c r="C60" s="11">
        <f t="shared" si="2"/>
        <v>238</v>
      </c>
      <c r="D60" s="11">
        <f t="shared" si="3"/>
        <v>58</v>
      </c>
      <c r="E60" s="11">
        <f t="shared" si="4"/>
        <v>85</v>
      </c>
      <c r="F60" s="38" t="str">
        <f t="shared" si="5"/>
        <v>2010</v>
      </c>
      <c r="G60" s="11" t="str" cm="1">
        <f t="array" ref="G60">gssBoardClass(A60,B60,C60,D60,E60,F60)</f>
        <v>Wave / Freestyle</v>
      </c>
      <c r="H60" s="39" t="str">
        <f t="shared" si="6"/>
        <v>2010-Fa-Fre-85-58-238</v>
      </c>
      <c r="I60" s="42" t="str">
        <f t="shared" si="7"/>
        <v>2010</v>
      </c>
      <c r="J60" s="46">
        <v>2010</v>
      </c>
      <c r="K60" t="s">
        <v>1</v>
      </c>
      <c r="L60" t="s">
        <v>548</v>
      </c>
      <c r="M60">
        <v>85</v>
      </c>
      <c r="N60">
        <v>58.5</v>
      </c>
      <c r="O60">
        <v>238</v>
      </c>
      <c r="P60" t="s">
        <v>546</v>
      </c>
      <c r="Q60" t="s">
        <v>179</v>
      </c>
      <c r="R60" t="s">
        <v>549</v>
      </c>
      <c r="S60" t="s">
        <v>550</v>
      </c>
    </row>
    <row r="61" spans="1:19" x14ac:dyDescent="0.3">
      <c r="A61" s="11" t="str">
        <f t="shared" si="0"/>
        <v>Fanatic</v>
      </c>
      <c r="B61" s="11" t="str">
        <f t="shared" si="1"/>
        <v>Freewave Te 85</v>
      </c>
      <c r="C61" s="11">
        <f t="shared" si="2"/>
        <v>238</v>
      </c>
      <c r="D61" s="11">
        <f t="shared" si="3"/>
        <v>58</v>
      </c>
      <c r="E61" s="11">
        <f t="shared" si="4"/>
        <v>85</v>
      </c>
      <c r="F61" s="38" t="str">
        <f t="shared" si="5"/>
        <v>2010</v>
      </c>
      <c r="G61" s="11" t="str" cm="1">
        <f t="array" ref="G61">gssBoardClass(A61,B61,C61,D61,E61,F61)</f>
        <v>Wave / Freestyle</v>
      </c>
      <c r="H61" s="39" t="str">
        <f t="shared" si="6"/>
        <v>2010-Fa-Fre-85-58-238</v>
      </c>
      <c r="I61" s="42" t="str">
        <f t="shared" si="7"/>
        <v>2010</v>
      </c>
      <c r="J61" s="46">
        <v>2010</v>
      </c>
      <c r="K61" t="s">
        <v>1</v>
      </c>
      <c r="L61" t="s">
        <v>560</v>
      </c>
      <c r="M61">
        <v>85</v>
      </c>
      <c r="N61">
        <v>58.5</v>
      </c>
      <c r="O61">
        <v>238</v>
      </c>
      <c r="P61" t="s">
        <v>520</v>
      </c>
      <c r="Q61" t="s">
        <v>179</v>
      </c>
      <c r="R61" t="s">
        <v>549</v>
      </c>
      <c r="S61" t="s">
        <v>550</v>
      </c>
    </row>
    <row r="62" spans="1:19" x14ac:dyDescent="0.3">
      <c r="A62" s="11" t="str">
        <f t="shared" si="0"/>
        <v>Fanatic</v>
      </c>
      <c r="B62" s="11" t="str">
        <f t="shared" si="1"/>
        <v>Freewave 95</v>
      </c>
      <c r="C62" s="11">
        <f t="shared" si="2"/>
        <v>240</v>
      </c>
      <c r="D62" s="11">
        <f t="shared" si="3"/>
        <v>61</v>
      </c>
      <c r="E62" s="11">
        <f t="shared" si="4"/>
        <v>95</v>
      </c>
      <c r="F62" s="38" t="str">
        <f t="shared" si="5"/>
        <v>2010</v>
      </c>
      <c r="G62" s="11" t="str" cm="1">
        <f t="array" ref="G62">gssBoardClass(A62,B62,C62,D62,E62,F62)</f>
        <v>Wave / Freestyle</v>
      </c>
      <c r="H62" s="39" t="str">
        <f t="shared" si="6"/>
        <v>2010-Fa-Fre-95-61-240</v>
      </c>
      <c r="I62" s="42" t="str">
        <f t="shared" si="7"/>
        <v>2010</v>
      </c>
      <c r="J62" s="46">
        <v>2010</v>
      </c>
      <c r="K62" t="s">
        <v>1</v>
      </c>
      <c r="L62" t="s">
        <v>551</v>
      </c>
      <c r="M62">
        <v>95</v>
      </c>
      <c r="N62">
        <v>61</v>
      </c>
      <c r="O62">
        <v>240</v>
      </c>
      <c r="P62" t="s">
        <v>546</v>
      </c>
      <c r="Q62" t="s">
        <v>179</v>
      </c>
      <c r="R62" t="s">
        <v>552</v>
      </c>
      <c r="S62" t="s">
        <v>553</v>
      </c>
    </row>
    <row r="63" spans="1:19" x14ac:dyDescent="0.3">
      <c r="A63" s="11" t="str">
        <f t="shared" si="0"/>
        <v>Fanatic</v>
      </c>
      <c r="B63" s="11" t="str">
        <f t="shared" si="1"/>
        <v>Freewave Te 95</v>
      </c>
      <c r="C63" s="11">
        <f t="shared" si="2"/>
        <v>240</v>
      </c>
      <c r="D63" s="11">
        <f t="shared" si="3"/>
        <v>61</v>
      </c>
      <c r="E63" s="11">
        <f t="shared" si="4"/>
        <v>95</v>
      </c>
      <c r="F63" s="38" t="str">
        <f t="shared" si="5"/>
        <v>2010</v>
      </c>
      <c r="G63" s="11" t="str" cm="1">
        <f t="array" ref="G63">gssBoardClass(A63,B63,C63,D63,E63,F63)</f>
        <v>Wave / Freestyle</v>
      </c>
      <c r="H63" s="39" t="str">
        <f t="shared" si="6"/>
        <v>2010-Fa-Fre-95-61-240</v>
      </c>
      <c r="I63" s="42" t="str">
        <f t="shared" si="7"/>
        <v>2010</v>
      </c>
      <c r="J63" s="46">
        <v>2010</v>
      </c>
      <c r="K63" t="s">
        <v>1</v>
      </c>
      <c r="L63" t="s">
        <v>561</v>
      </c>
      <c r="M63">
        <v>95</v>
      </c>
      <c r="N63">
        <v>61</v>
      </c>
      <c r="O63">
        <v>240</v>
      </c>
      <c r="P63" t="s">
        <v>520</v>
      </c>
      <c r="Q63" t="s">
        <v>179</v>
      </c>
      <c r="R63" t="s">
        <v>552</v>
      </c>
      <c r="S63" t="s">
        <v>553</v>
      </c>
    </row>
    <row r="64" spans="1:19" x14ac:dyDescent="0.3">
      <c r="A64" s="11" t="str">
        <f t="shared" si="0"/>
        <v>Fanatic</v>
      </c>
      <c r="B64" s="11" t="str">
        <f t="shared" si="1"/>
        <v>Hawk 100</v>
      </c>
      <c r="C64" s="11">
        <f t="shared" si="2"/>
        <v>245</v>
      </c>
      <c r="D64" s="11">
        <f t="shared" si="3"/>
        <v>62</v>
      </c>
      <c r="E64" s="11">
        <f t="shared" si="4"/>
        <v>100</v>
      </c>
      <c r="F64" s="38" t="str">
        <f t="shared" si="5"/>
        <v>2010</v>
      </c>
      <c r="G64" s="11" t="str" cm="1">
        <f t="array" ref="G64">gssBoardClass(A64,B64,C64,D64,E64,F64)</f>
        <v>Speed/Slalom Small</v>
      </c>
      <c r="H64" s="39" t="str">
        <f t="shared" si="6"/>
        <v>2010-Fa-Haw-100-62-245</v>
      </c>
      <c r="I64" s="42" t="str">
        <f t="shared" si="7"/>
        <v>2010</v>
      </c>
      <c r="J64" s="46">
        <v>2010</v>
      </c>
      <c r="K64" t="s">
        <v>1</v>
      </c>
      <c r="L64" t="s">
        <v>574</v>
      </c>
      <c r="M64">
        <v>100</v>
      </c>
      <c r="N64">
        <v>62</v>
      </c>
      <c r="O64">
        <v>245</v>
      </c>
      <c r="P64" t="s">
        <v>575</v>
      </c>
      <c r="Q64" t="s">
        <v>179</v>
      </c>
      <c r="R64" t="s">
        <v>576</v>
      </c>
      <c r="S64" t="s">
        <v>577</v>
      </c>
    </row>
    <row r="65" spans="1:19" x14ac:dyDescent="0.3">
      <c r="A65" s="11" t="str">
        <f t="shared" si="0"/>
        <v>Fanatic</v>
      </c>
      <c r="B65" s="11" t="str">
        <f t="shared" si="1"/>
        <v>Hawk Ltd 100</v>
      </c>
      <c r="C65" s="11">
        <f t="shared" si="2"/>
        <v>245</v>
      </c>
      <c r="D65" s="11">
        <f t="shared" si="3"/>
        <v>62</v>
      </c>
      <c r="E65" s="11">
        <f t="shared" si="4"/>
        <v>100</v>
      </c>
      <c r="F65" s="38" t="str">
        <f t="shared" si="5"/>
        <v>2010</v>
      </c>
      <c r="G65" s="11" t="str" cm="1">
        <f t="array" ref="G65">gssBoardClass(A65,B65,C65,D65,E65,F65)</f>
        <v>Speed/Slalom Small</v>
      </c>
      <c r="H65" s="39" t="str">
        <f t="shared" si="6"/>
        <v>2010-Fa-Haw-100-62-245</v>
      </c>
      <c r="I65" s="42" t="str">
        <f t="shared" si="7"/>
        <v>2010</v>
      </c>
      <c r="J65" s="46">
        <v>2010</v>
      </c>
      <c r="K65" t="s">
        <v>1</v>
      </c>
      <c r="L65" t="s">
        <v>584</v>
      </c>
      <c r="M65">
        <v>100</v>
      </c>
      <c r="N65">
        <v>62</v>
      </c>
      <c r="O65">
        <v>245</v>
      </c>
      <c r="P65" t="s">
        <v>585</v>
      </c>
      <c r="Q65" t="s">
        <v>179</v>
      </c>
      <c r="R65" t="s">
        <v>586</v>
      </c>
      <c r="S65" t="s">
        <v>577</v>
      </c>
    </row>
    <row r="66" spans="1:19" x14ac:dyDescent="0.3">
      <c r="A66" s="11" t="str">
        <f t="shared" ref="A66:A129" si="8">PROPER(K66)</f>
        <v>Fanatic</v>
      </c>
      <c r="B66" s="11" t="str">
        <f t="shared" ref="B66:B129" si="9">TRIM(PROPER(LEFT(L66,IFERROR(FIND(" ",L66),99))&amp;MID(L66,IFERROR(FIND(" ",L66),99),99)))</f>
        <v>Hawk 120</v>
      </c>
      <c r="C66" s="11">
        <f t="shared" ref="C66:C129" si="10">TRUNC(O66)</f>
        <v>249</v>
      </c>
      <c r="D66" s="11">
        <f t="shared" ref="D66:D129" si="11">TRUNC(N66)</f>
        <v>68</v>
      </c>
      <c r="E66" s="11">
        <f t="shared" ref="E66:E129" si="12">M66</f>
        <v>120</v>
      </c>
      <c r="F66" s="38" t="str">
        <f t="shared" ref="F66:F129" si="13">I66</f>
        <v>2010</v>
      </c>
      <c r="G66" s="11" t="str" cm="1">
        <f t="array" ref="G66">gssBoardClass(A66,B66,C66,D66,E66,F66)</f>
        <v>Slalom Medium</v>
      </c>
      <c r="H66" s="39" t="str">
        <f t="shared" ref="H66:H129" si="14">_xlfn.CONCAT(I66,"-",LEFT(K66,2),"-",LEFT(L66,3),"-",M66,"-",TRUNC(N66),"-",TRUNC(O66))</f>
        <v>2010-Fa-Haw-120-68-249</v>
      </c>
      <c r="I66" s="42" t="str">
        <f t="shared" ref="I66:I129" si="15">LEFT(J66,4)</f>
        <v>2010</v>
      </c>
      <c r="J66" s="46">
        <v>2010</v>
      </c>
      <c r="K66" t="s">
        <v>1</v>
      </c>
      <c r="L66" t="s">
        <v>578</v>
      </c>
      <c r="M66">
        <v>120</v>
      </c>
      <c r="N66">
        <v>68</v>
      </c>
      <c r="O66">
        <v>249</v>
      </c>
      <c r="P66" t="s">
        <v>575</v>
      </c>
      <c r="Q66" t="s">
        <v>179</v>
      </c>
      <c r="R66" t="s">
        <v>579</v>
      </c>
      <c r="S66" t="s">
        <v>580</v>
      </c>
    </row>
    <row r="67" spans="1:19" x14ac:dyDescent="0.3">
      <c r="A67" s="11" t="str">
        <f t="shared" si="8"/>
        <v>Fanatic</v>
      </c>
      <c r="B67" s="11" t="str">
        <f t="shared" si="9"/>
        <v>Hawk Ltd 120</v>
      </c>
      <c r="C67" s="11">
        <f t="shared" si="10"/>
        <v>249</v>
      </c>
      <c r="D67" s="11">
        <f t="shared" si="11"/>
        <v>68</v>
      </c>
      <c r="E67" s="11">
        <f t="shared" si="12"/>
        <v>120</v>
      </c>
      <c r="F67" s="38" t="str">
        <f t="shared" si="13"/>
        <v>2010</v>
      </c>
      <c r="G67" s="11" t="str" cm="1">
        <f t="array" ref="G67">gssBoardClass(A67,B67,C67,D67,E67,F67)</f>
        <v>Slalom Medium</v>
      </c>
      <c r="H67" s="39" t="str">
        <f t="shared" si="14"/>
        <v>2010-Fa-Haw-120-68-249</v>
      </c>
      <c r="I67" s="42" t="str">
        <f t="shared" si="15"/>
        <v>2010</v>
      </c>
      <c r="J67" s="46">
        <v>2010</v>
      </c>
      <c r="K67" t="s">
        <v>1</v>
      </c>
      <c r="L67" t="s">
        <v>587</v>
      </c>
      <c r="M67">
        <v>120</v>
      </c>
      <c r="N67">
        <v>68</v>
      </c>
      <c r="O67">
        <v>249</v>
      </c>
      <c r="P67" t="s">
        <v>585</v>
      </c>
      <c r="Q67" t="s">
        <v>179</v>
      </c>
      <c r="R67" t="s">
        <v>588</v>
      </c>
      <c r="S67" t="s">
        <v>580</v>
      </c>
    </row>
    <row r="68" spans="1:19" x14ac:dyDescent="0.3">
      <c r="A68" s="11" t="str">
        <f t="shared" si="8"/>
        <v>Fanatic</v>
      </c>
      <c r="B68" s="11" t="str">
        <f t="shared" si="9"/>
        <v>Hawk 135</v>
      </c>
      <c r="C68" s="11">
        <f t="shared" si="10"/>
        <v>249</v>
      </c>
      <c r="D68" s="11">
        <f t="shared" si="11"/>
        <v>73</v>
      </c>
      <c r="E68" s="11">
        <f t="shared" si="12"/>
        <v>135</v>
      </c>
      <c r="F68" s="38" t="str">
        <f t="shared" si="13"/>
        <v>2010</v>
      </c>
      <c r="G68" s="11" t="str" cm="1">
        <f t="array" ref="G68">gssBoardClass(A68,B68,C68,D68,E68,F68)</f>
        <v>Slalom Medium</v>
      </c>
      <c r="H68" s="39" t="str">
        <f t="shared" si="14"/>
        <v>2010-Fa-Haw-135-73-249</v>
      </c>
      <c r="I68" s="42" t="str">
        <f t="shared" si="15"/>
        <v>2010</v>
      </c>
      <c r="J68" s="46">
        <v>2010</v>
      </c>
      <c r="K68" t="s">
        <v>1</v>
      </c>
      <c r="L68" t="s">
        <v>581</v>
      </c>
      <c r="M68">
        <v>135</v>
      </c>
      <c r="N68">
        <v>73</v>
      </c>
      <c r="O68">
        <v>249</v>
      </c>
      <c r="P68" t="s">
        <v>575</v>
      </c>
      <c r="Q68" t="s">
        <v>179</v>
      </c>
      <c r="R68" t="s">
        <v>582</v>
      </c>
      <c r="S68" t="s">
        <v>583</v>
      </c>
    </row>
    <row r="69" spans="1:19" x14ac:dyDescent="0.3">
      <c r="A69" s="11" t="str">
        <f t="shared" si="8"/>
        <v>Fanatic</v>
      </c>
      <c r="B69" s="11" t="str">
        <f t="shared" si="9"/>
        <v>Hawk Ltd 135</v>
      </c>
      <c r="C69" s="11">
        <f t="shared" si="10"/>
        <v>249</v>
      </c>
      <c r="D69" s="11">
        <f t="shared" si="11"/>
        <v>73</v>
      </c>
      <c r="E69" s="11">
        <f t="shared" si="12"/>
        <v>135</v>
      </c>
      <c r="F69" s="38" t="str">
        <f t="shared" si="13"/>
        <v>2010</v>
      </c>
      <c r="G69" s="11" t="str" cm="1">
        <f t="array" ref="G69">gssBoardClass(A69,B69,C69,D69,E69,F69)</f>
        <v>Slalom Medium</v>
      </c>
      <c r="H69" s="39" t="str">
        <f t="shared" si="14"/>
        <v>2010-Fa-Haw-135-73-249</v>
      </c>
      <c r="I69" s="42" t="str">
        <f t="shared" si="15"/>
        <v>2010</v>
      </c>
      <c r="J69" s="46">
        <v>2010</v>
      </c>
      <c r="K69" t="s">
        <v>1</v>
      </c>
      <c r="L69" t="s">
        <v>589</v>
      </c>
      <c r="M69">
        <v>135</v>
      </c>
      <c r="N69">
        <v>73</v>
      </c>
      <c r="O69">
        <v>249</v>
      </c>
      <c r="P69" t="s">
        <v>585</v>
      </c>
      <c r="Q69" t="s">
        <v>179</v>
      </c>
      <c r="R69" t="s">
        <v>590</v>
      </c>
      <c r="S69" t="s">
        <v>583</v>
      </c>
    </row>
    <row r="70" spans="1:19" x14ac:dyDescent="0.3">
      <c r="A70" s="11" t="str">
        <f t="shared" si="8"/>
        <v>Fanatic</v>
      </c>
      <c r="B70" s="11" t="str">
        <f t="shared" si="9"/>
        <v>Newwave Te 69</v>
      </c>
      <c r="C70" s="11">
        <f t="shared" si="10"/>
        <v>232</v>
      </c>
      <c r="D70" s="11">
        <f t="shared" si="11"/>
        <v>53</v>
      </c>
      <c r="E70" s="11">
        <f t="shared" si="12"/>
        <v>69</v>
      </c>
      <c r="F70" s="38" t="str">
        <f t="shared" si="13"/>
        <v>2010</v>
      </c>
      <c r="G70" s="11" t="str" cm="1">
        <f t="array" ref="G70">gssBoardClass(A70,B70,C70,D70,E70,F70)</f>
        <v>Wave / Freestyle</v>
      </c>
      <c r="H70" s="39" t="str">
        <f t="shared" si="14"/>
        <v>2010-Fa-New-69-53-232</v>
      </c>
      <c r="I70" s="42" t="str">
        <f t="shared" si="15"/>
        <v>2010</v>
      </c>
      <c r="J70" s="46">
        <v>2010</v>
      </c>
      <c r="K70" t="s">
        <v>1</v>
      </c>
      <c r="L70" t="s">
        <v>519</v>
      </c>
      <c r="M70">
        <v>69</v>
      </c>
      <c r="N70">
        <v>53</v>
      </c>
      <c r="O70">
        <v>232</v>
      </c>
      <c r="P70" t="s">
        <v>520</v>
      </c>
      <c r="Q70" t="s">
        <v>522</v>
      </c>
      <c r="R70" t="s">
        <v>521</v>
      </c>
      <c r="S70" t="s">
        <v>523</v>
      </c>
    </row>
    <row r="71" spans="1:19" x14ac:dyDescent="0.3">
      <c r="A71" s="11" t="str">
        <f t="shared" si="8"/>
        <v>Fanatic</v>
      </c>
      <c r="B71" s="11" t="str">
        <f t="shared" si="9"/>
        <v>Newwave Twin Te 72</v>
      </c>
      <c r="C71" s="11">
        <f t="shared" si="10"/>
        <v>230</v>
      </c>
      <c r="D71" s="11">
        <f t="shared" si="11"/>
        <v>53</v>
      </c>
      <c r="E71" s="11">
        <f t="shared" si="12"/>
        <v>72</v>
      </c>
      <c r="F71" s="38" t="str">
        <f t="shared" si="13"/>
        <v>2010</v>
      </c>
      <c r="G71" s="11" t="str" cm="1">
        <f t="array" ref="G71">gssBoardClass(A71,B71,C71,D71,E71,F71)</f>
        <v>Wave / Freestyle</v>
      </c>
      <c r="H71" s="39" t="str">
        <f t="shared" si="14"/>
        <v>2010-Fa-New-72-53-230</v>
      </c>
      <c r="I71" s="42" t="str">
        <f t="shared" si="15"/>
        <v>2010</v>
      </c>
      <c r="J71" s="46">
        <v>2010</v>
      </c>
      <c r="K71" t="s">
        <v>1</v>
      </c>
      <c r="L71" t="s">
        <v>533</v>
      </c>
      <c r="M71">
        <v>72</v>
      </c>
      <c r="N71">
        <v>53.5</v>
      </c>
      <c r="O71">
        <v>230</v>
      </c>
      <c r="P71" t="s">
        <v>520</v>
      </c>
      <c r="Q71" t="s">
        <v>522</v>
      </c>
      <c r="R71" t="s">
        <v>534</v>
      </c>
      <c r="S71" t="s">
        <v>535</v>
      </c>
    </row>
    <row r="72" spans="1:19" x14ac:dyDescent="0.3">
      <c r="A72" s="11" t="str">
        <f t="shared" si="8"/>
        <v>Fanatic</v>
      </c>
      <c r="B72" s="11" t="str">
        <f t="shared" si="9"/>
        <v>Newwave Te 76</v>
      </c>
      <c r="C72" s="11">
        <f t="shared" si="10"/>
        <v>234</v>
      </c>
      <c r="D72" s="11">
        <f t="shared" si="11"/>
        <v>55</v>
      </c>
      <c r="E72" s="11">
        <f t="shared" si="12"/>
        <v>76</v>
      </c>
      <c r="F72" s="38" t="str">
        <f t="shared" si="13"/>
        <v>2010</v>
      </c>
      <c r="G72" s="11" t="str" cm="1">
        <f t="array" ref="G72">gssBoardClass(A72,B72,C72,D72,E72,F72)</f>
        <v>Wave / Freestyle</v>
      </c>
      <c r="H72" s="39" t="str">
        <f t="shared" si="14"/>
        <v>2010-Fa-New-76-55-234</v>
      </c>
      <c r="I72" s="42" t="str">
        <f t="shared" si="15"/>
        <v>2010</v>
      </c>
      <c r="J72" s="46">
        <v>2010</v>
      </c>
      <c r="K72" t="s">
        <v>1</v>
      </c>
      <c r="L72" t="s">
        <v>524</v>
      </c>
      <c r="M72">
        <v>76</v>
      </c>
      <c r="N72">
        <v>55</v>
      </c>
      <c r="O72">
        <v>234</v>
      </c>
      <c r="P72" t="s">
        <v>520</v>
      </c>
      <c r="Q72" t="s">
        <v>522</v>
      </c>
      <c r="R72" t="s">
        <v>525</v>
      </c>
      <c r="S72" t="s">
        <v>526</v>
      </c>
    </row>
    <row r="73" spans="1:19" x14ac:dyDescent="0.3">
      <c r="A73" s="11" t="str">
        <f t="shared" si="8"/>
        <v>Fanatic</v>
      </c>
      <c r="B73" s="11" t="str">
        <f t="shared" si="9"/>
        <v>Newwave Twin Te 79</v>
      </c>
      <c r="C73" s="11">
        <f t="shared" si="10"/>
        <v>232</v>
      </c>
      <c r="D73" s="11">
        <f t="shared" si="11"/>
        <v>55</v>
      </c>
      <c r="E73" s="11">
        <f t="shared" si="12"/>
        <v>79</v>
      </c>
      <c r="F73" s="38" t="str">
        <f t="shared" si="13"/>
        <v>2010</v>
      </c>
      <c r="G73" s="11" t="str" cm="1">
        <f t="array" ref="G73">gssBoardClass(A73,B73,C73,D73,E73,F73)</f>
        <v>Wave / Freestyle</v>
      </c>
      <c r="H73" s="39" t="str">
        <f t="shared" si="14"/>
        <v>2010-Fa-New-79-55-232</v>
      </c>
      <c r="I73" s="42" t="str">
        <f t="shared" si="15"/>
        <v>2010</v>
      </c>
      <c r="J73" s="46">
        <v>2010</v>
      </c>
      <c r="K73" t="s">
        <v>1</v>
      </c>
      <c r="L73" t="s">
        <v>536</v>
      </c>
      <c r="M73">
        <v>79</v>
      </c>
      <c r="N73">
        <v>55.5</v>
      </c>
      <c r="O73">
        <v>232</v>
      </c>
      <c r="P73" t="s">
        <v>520</v>
      </c>
      <c r="Q73" t="s">
        <v>522</v>
      </c>
      <c r="R73" t="s">
        <v>537</v>
      </c>
      <c r="S73" t="s">
        <v>538</v>
      </c>
    </row>
    <row r="74" spans="1:19" x14ac:dyDescent="0.3">
      <c r="A74" s="11" t="str">
        <f t="shared" si="8"/>
        <v>Fanatic</v>
      </c>
      <c r="B74" s="11" t="str">
        <f t="shared" si="9"/>
        <v>Newwave Te 83</v>
      </c>
      <c r="C74" s="11">
        <f t="shared" si="10"/>
        <v>236</v>
      </c>
      <c r="D74" s="11">
        <f t="shared" si="11"/>
        <v>57</v>
      </c>
      <c r="E74" s="11">
        <f t="shared" si="12"/>
        <v>83</v>
      </c>
      <c r="F74" s="38" t="str">
        <f t="shared" si="13"/>
        <v>2010</v>
      </c>
      <c r="G74" s="11" t="str" cm="1">
        <f t="array" ref="G74">gssBoardClass(A74,B74,C74,D74,E74,F74)</f>
        <v>Wave / Freestyle</v>
      </c>
      <c r="H74" s="39" t="str">
        <f t="shared" si="14"/>
        <v>2010-Fa-New-83-57-236</v>
      </c>
      <c r="I74" s="42" t="str">
        <f t="shared" si="15"/>
        <v>2010</v>
      </c>
      <c r="J74" s="46">
        <v>2010</v>
      </c>
      <c r="K74" t="s">
        <v>1</v>
      </c>
      <c r="L74" t="s">
        <v>527</v>
      </c>
      <c r="M74">
        <v>83</v>
      </c>
      <c r="N74">
        <v>57</v>
      </c>
      <c r="O74">
        <v>236</v>
      </c>
      <c r="P74" t="s">
        <v>520</v>
      </c>
      <c r="Q74" t="s">
        <v>522</v>
      </c>
      <c r="R74" t="s">
        <v>528</v>
      </c>
      <c r="S74" t="s">
        <v>529</v>
      </c>
    </row>
    <row r="75" spans="1:19" x14ac:dyDescent="0.3">
      <c r="A75" s="11" t="str">
        <f t="shared" si="8"/>
        <v>Fanatic</v>
      </c>
      <c r="B75" s="11" t="str">
        <f t="shared" si="9"/>
        <v>Newwave Twin Te 86</v>
      </c>
      <c r="C75" s="11">
        <f t="shared" si="10"/>
        <v>234</v>
      </c>
      <c r="D75" s="11">
        <f t="shared" si="11"/>
        <v>57</v>
      </c>
      <c r="E75" s="11">
        <f t="shared" si="12"/>
        <v>86</v>
      </c>
      <c r="F75" s="38" t="str">
        <f t="shared" si="13"/>
        <v>2010</v>
      </c>
      <c r="G75" s="11" t="str" cm="1">
        <f t="array" ref="G75">gssBoardClass(A75,B75,C75,D75,E75,F75)</f>
        <v>Wave / Freestyle</v>
      </c>
      <c r="H75" s="39" t="str">
        <f t="shared" si="14"/>
        <v>2010-Fa-New-86-57-234</v>
      </c>
      <c r="I75" s="42" t="str">
        <f t="shared" si="15"/>
        <v>2010</v>
      </c>
      <c r="J75" s="46">
        <v>2010</v>
      </c>
      <c r="K75" t="s">
        <v>1</v>
      </c>
      <c r="L75" t="s">
        <v>539</v>
      </c>
      <c r="M75">
        <v>86</v>
      </c>
      <c r="N75">
        <v>57.5</v>
      </c>
      <c r="O75">
        <v>234</v>
      </c>
      <c r="P75" t="s">
        <v>520</v>
      </c>
      <c r="Q75" t="s">
        <v>522</v>
      </c>
      <c r="R75" t="s">
        <v>540</v>
      </c>
      <c r="S75" t="s">
        <v>541</v>
      </c>
    </row>
    <row r="76" spans="1:19" x14ac:dyDescent="0.3">
      <c r="A76" s="11" t="str">
        <f t="shared" si="8"/>
        <v>Fanatic</v>
      </c>
      <c r="B76" s="11" t="str">
        <f t="shared" si="9"/>
        <v>Newwave Te 91</v>
      </c>
      <c r="C76" s="11">
        <f t="shared" si="10"/>
        <v>243</v>
      </c>
      <c r="D76" s="11">
        <f t="shared" si="11"/>
        <v>59</v>
      </c>
      <c r="E76" s="11">
        <f t="shared" si="12"/>
        <v>91</v>
      </c>
      <c r="F76" s="38" t="str">
        <f t="shared" si="13"/>
        <v>2010</v>
      </c>
      <c r="G76" s="11" t="str" cm="1">
        <f t="array" ref="G76">gssBoardClass(A76,B76,C76,D76,E76,F76)</f>
        <v>Wave / Freestyle</v>
      </c>
      <c r="H76" s="39" t="str">
        <f t="shared" si="14"/>
        <v>2010-Fa-New-91-59-243</v>
      </c>
      <c r="I76" s="42" t="str">
        <f t="shared" si="15"/>
        <v>2010</v>
      </c>
      <c r="J76" s="46">
        <v>2010</v>
      </c>
      <c r="K76" t="s">
        <v>1</v>
      </c>
      <c r="L76" t="s">
        <v>530</v>
      </c>
      <c r="M76">
        <v>91</v>
      </c>
      <c r="N76">
        <v>59.5</v>
      </c>
      <c r="O76">
        <v>243</v>
      </c>
      <c r="P76" t="s">
        <v>520</v>
      </c>
      <c r="Q76" t="s">
        <v>522</v>
      </c>
      <c r="R76" t="s">
        <v>531</v>
      </c>
      <c r="S76" t="s">
        <v>532</v>
      </c>
    </row>
    <row r="77" spans="1:19" x14ac:dyDescent="0.3">
      <c r="A77" s="11" t="str">
        <f t="shared" si="8"/>
        <v>Fanatic</v>
      </c>
      <c r="B77" s="11" t="str">
        <f t="shared" si="9"/>
        <v>Newwave Twin Te 93</v>
      </c>
      <c r="C77" s="11">
        <f t="shared" si="10"/>
        <v>236</v>
      </c>
      <c r="D77" s="11">
        <f t="shared" si="11"/>
        <v>59</v>
      </c>
      <c r="E77" s="11">
        <f t="shared" si="12"/>
        <v>93</v>
      </c>
      <c r="F77" s="38" t="str">
        <f t="shared" si="13"/>
        <v>2010</v>
      </c>
      <c r="G77" s="11" t="str" cm="1">
        <f t="array" ref="G77">gssBoardClass(A77,B77,C77,D77,E77,F77)</f>
        <v>Wave / Freestyle</v>
      </c>
      <c r="H77" s="39" t="str">
        <f t="shared" si="14"/>
        <v>2010-Fa-New-93-59-236</v>
      </c>
      <c r="I77" s="42" t="str">
        <f t="shared" si="15"/>
        <v>2010</v>
      </c>
      <c r="J77" s="46">
        <v>2010</v>
      </c>
      <c r="K77" t="s">
        <v>1</v>
      </c>
      <c r="L77" t="s">
        <v>542</v>
      </c>
      <c r="M77">
        <v>93</v>
      </c>
      <c r="N77">
        <v>59.5</v>
      </c>
      <c r="O77">
        <v>236</v>
      </c>
      <c r="P77" t="s">
        <v>520</v>
      </c>
      <c r="Q77" t="s">
        <v>522</v>
      </c>
      <c r="R77" t="s">
        <v>543</v>
      </c>
      <c r="S77" t="s">
        <v>544</v>
      </c>
    </row>
    <row r="78" spans="1:19" x14ac:dyDescent="0.3">
      <c r="A78" s="11" t="str">
        <f t="shared" si="8"/>
        <v>Fanatic</v>
      </c>
      <c r="B78" s="11" t="str">
        <f t="shared" si="9"/>
        <v>Ray 110 Ltd</v>
      </c>
      <c r="C78" s="11">
        <f t="shared" si="10"/>
        <v>245</v>
      </c>
      <c r="D78" s="11">
        <f t="shared" si="11"/>
        <v>65</v>
      </c>
      <c r="E78" s="11">
        <f t="shared" si="12"/>
        <v>110</v>
      </c>
      <c r="F78" s="38" t="str">
        <f t="shared" si="13"/>
        <v>2010</v>
      </c>
      <c r="G78" s="11" t="str" cm="1">
        <f t="array" ref="G78">gssBoardClass(A78,B78,C78,D78,E78,F78)</f>
        <v>Speed/Slalom Small</v>
      </c>
      <c r="H78" s="39" t="str">
        <f t="shared" si="14"/>
        <v>2010-Fa-Ray-110-65-245</v>
      </c>
      <c r="I78" s="42" t="str">
        <f t="shared" si="15"/>
        <v>2010</v>
      </c>
      <c r="J78" s="46">
        <v>2010</v>
      </c>
      <c r="K78" t="s">
        <v>1</v>
      </c>
      <c r="L78" t="s">
        <v>613</v>
      </c>
      <c r="M78">
        <v>110</v>
      </c>
      <c r="N78">
        <v>65</v>
      </c>
      <c r="O78">
        <v>245</v>
      </c>
      <c r="P78" t="s">
        <v>585</v>
      </c>
      <c r="Q78" t="s">
        <v>232</v>
      </c>
      <c r="R78" t="s">
        <v>614</v>
      </c>
      <c r="S78" t="s">
        <v>615</v>
      </c>
    </row>
    <row r="79" spans="1:19" x14ac:dyDescent="0.3">
      <c r="A79" s="11" t="str">
        <f t="shared" si="8"/>
        <v>Fanatic</v>
      </c>
      <c r="B79" s="11" t="str">
        <f t="shared" si="9"/>
        <v>Ray 125 Ltd</v>
      </c>
      <c r="C79" s="11">
        <f t="shared" si="10"/>
        <v>245</v>
      </c>
      <c r="D79" s="11">
        <f t="shared" si="11"/>
        <v>70</v>
      </c>
      <c r="E79" s="11">
        <f t="shared" si="12"/>
        <v>125</v>
      </c>
      <c r="F79" s="38" t="str">
        <f t="shared" si="13"/>
        <v>2010</v>
      </c>
      <c r="G79" s="11" t="str" cm="1">
        <f t="array" ref="G79">gssBoardClass(A79,B79,C79,D79,E79,F79)</f>
        <v>Slalom Medium</v>
      </c>
      <c r="H79" s="39" t="str">
        <f t="shared" si="14"/>
        <v>2010-Fa-Ray-125-70-245</v>
      </c>
      <c r="I79" s="42" t="str">
        <f t="shared" si="15"/>
        <v>2010</v>
      </c>
      <c r="J79" s="46">
        <v>2010</v>
      </c>
      <c r="K79" t="s">
        <v>1</v>
      </c>
      <c r="L79" t="s">
        <v>616</v>
      </c>
      <c r="M79">
        <v>125</v>
      </c>
      <c r="N79">
        <v>70</v>
      </c>
      <c r="O79">
        <v>245</v>
      </c>
      <c r="P79" t="s">
        <v>585</v>
      </c>
      <c r="Q79" t="s">
        <v>232</v>
      </c>
      <c r="R79" t="s">
        <v>617</v>
      </c>
      <c r="S79" t="s">
        <v>618</v>
      </c>
    </row>
    <row r="80" spans="1:19" x14ac:dyDescent="0.3">
      <c r="A80" s="11" t="str">
        <f t="shared" si="8"/>
        <v>Fanatic</v>
      </c>
      <c r="B80" s="11" t="str">
        <f t="shared" si="9"/>
        <v>Ray 140 Ltd</v>
      </c>
      <c r="C80" s="11">
        <f t="shared" si="10"/>
        <v>245</v>
      </c>
      <c r="D80" s="11">
        <f t="shared" si="11"/>
        <v>77</v>
      </c>
      <c r="E80" s="11">
        <f t="shared" si="12"/>
        <v>140</v>
      </c>
      <c r="F80" s="38" t="str">
        <f t="shared" si="13"/>
        <v>2010</v>
      </c>
      <c r="G80" s="11" t="str" cm="1">
        <f t="array" ref="G80">gssBoardClass(A80,B80,C80,D80,E80,F80)</f>
        <v>Slalom Large</v>
      </c>
      <c r="H80" s="39" t="str">
        <f t="shared" si="14"/>
        <v>2010-Fa-Ray-140-77-245</v>
      </c>
      <c r="I80" s="42" t="str">
        <f t="shared" si="15"/>
        <v>2010</v>
      </c>
      <c r="J80" s="46">
        <v>2010</v>
      </c>
      <c r="K80" t="s">
        <v>1</v>
      </c>
      <c r="L80" t="s">
        <v>619</v>
      </c>
      <c r="M80">
        <v>140</v>
      </c>
      <c r="N80">
        <v>77</v>
      </c>
      <c r="O80">
        <v>245</v>
      </c>
      <c r="P80" t="s">
        <v>585</v>
      </c>
      <c r="Q80" t="s">
        <v>260</v>
      </c>
      <c r="R80" t="s">
        <v>620</v>
      </c>
      <c r="S80" t="s">
        <v>603</v>
      </c>
    </row>
    <row r="81" spans="1:19" x14ac:dyDescent="0.3">
      <c r="A81" s="11" t="str">
        <f t="shared" si="8"/>
        <v>Fanatic</v>
      </c>
      <c r="B81" s="11" t="str">
        <f t="shared" si="9"/>
        <v>Ray 95 Ltd</v>
      </c>
      <c r="C81" s="11">
        <f t="shared" si="10"/>
        <v>245</v>
      </c>
      <c r="D81" s="11">
        <f t="shared" si="11"/>
        <v>59</v>
      </c>
      <c r="E81" s="11">
        <f t="shared" si="12"/>
        <v>95</v>
      </c>
      <c r="F81" s="38" t="str">
        <f t="shared" si="13"/>
        <v>2010</v>
      </c>
      <c r="G81" s="11" t="str" cm="1">
        <f t="array" ref="G81">gssBoardClass(A81,B81,C81,D81,E81,F81)</f>
        <v>Speed/Slalom Xtra Small</v>
      </c>
      <c r="H81" s="39" t="str">
        <f t="shared" si="14"/>
        <v>2010-Fa-Ray-95-59-245</v>
      </c>
      <c r="I81" s="42" t="str">
        <f t="shared" si="15"/>
        <v>2010</v>
      </c>
      <c r="J81" s="46">
        <v>2010</v>
      </c>
      <c r="K81" t="s">
        <v>1</v>
      </c>
      <c r="L81" t="s">
        <v>611</v>
      </c>
      <c r="M81">
        <v>95</v>
      </c>
      <c r="N81">
        <v>59</v>
      </c>
      <c r="O81">
        <v>245</v>
      </c>
      <c r="P81" t="s">
        <v>585</v>
      </c>
      <c r="Q81" t="s">
        <v>232</v>
      </c>
      <c r="R81" t="s">
        <v>612</v>
      </c>
      <c r="S81" t="s">
        <v>598</v>
      </c>
    </row>
    <row r="82" spans="1:19" x14ac:dyDescent="0.3">
      <c r="A82" s="11" t="str">
        <f t="shared" si="8"/>
        <v>Fanatic</v>
      </c>
      <c r="B82" s="11" t="str">
        <f t="shared" si="9"/>
        <v>Ripper 102</v>
      </c>
      <c r="C82" s="11">
        <f t="shared" si="10"/>
        <v>242</v>
      </c>
      <c r="D82" s="11">
        <f t="shared" si="11"/>
        <v>69</v>
      </c>
      <c r="E82" s="11">
        <f t="shared" si="12"/>
        <v>102</v>
      </c>
      <c r="F82" s="38" t="str">
        <f t="shared" si="13"/>
        <v>2010</v>
      </c>
      <c r="G82" s="11" t="str" cm="1">
        <f t="array" ref="G82">gssBoardClass(A82,B82,C82,D82,E82,F82)</f>
        <v>Slalom Medium</v>
      </c>
      <c r="H82" s="39" t="str">
        <f t="shared" si="14"/>
        <v>2010-Fa-Rip-102-69-242</v>
      </c>
      <c r="I82" s="42" t="str">
        <f t="shared" si="15"/>
        <v>2010</v>
      </c>
      <c r="J82" s="46">
        <v>2010</v>
      </c>
      <c r="K82" t="s">
        <v>1</v>
      </c>
      <c r="L82" t="s">
        <v>423</v>
      </c>
      <c r="M82">
        <v>102</v>
      </c>
      <c r="N82">
        <v>69</v>
      </c>
      <c r="O82">
        <v>242</v>
      </c>
      <c r="P82" t="s">
        <v>638</v>
      </c>
      <c r="Q82" t="s">
        <v>179</v>
      </c>
      <c r="R82" t="s">
        <v>275</v>
      </c>
      <c r="S82" t="s">
        <v>636</v>
      </c>
    </row>
    <row r="83" spans="1:19" x14ac:dyDescent="0.3">
      <c r="A83" s="11" t="str">
        <f t="shared" si="8"/>
        <v>Fanatic</v>
      </c>
      <c r="B83" s="11" t="str">
        <f t="shared" si="9"/>
        <v>Shark 100</v>
      </c>
      <c r="C83" s="11">
        <f t="shared" si="10"/>
        <v>245</v>
      </c>
      <c r="D83" s="11">
        <f t="shared" si="11"/>
        <v>63</v>
      </c>
      <c r="E83" s="11">
        <f t="shared" si="12"/>
        <v>100</v>
      </c>
      <c r="F83" s="38" t="str">
        <f t="shared" si="13"/>
        <v>2010</v>
      </c>
      <c r="G83" s="11" t="str" cm="1">
        <f t="array" ref="G83">gssBoardClass(A83,B83,C83,D83,E83,F83)</f>
        <v>Speed/Slalom Small</v>
      </c>
      <c r="H83" s="39" t="str">
        <f t="shared" si="14"/>
        <v>2010-Fa-Sha-100-63-245</v>
      </c>
      <c r="I83" s="42" t="str">
        <f t="shared" si="15"/>
        <v>2010</v>
      </c>
      <c r="J83" s="46">
        <v>2010</v>
      </c>
      <c r="K83" t="s">
        <v>1</v>
      </c>
      <c r="L83" t="s">
        <v>591</v>
      </c>
      <c r="M83">
        <v>100</v>
      </c>
      <c r="N83">
        <v>63</v>
      </c>
      <c r="O83">
        <v>245</v>
      </c>
      <c r="P83" t="s">
        <v>592</v>
      </c>
      <c r="Q83" t="s">
        <v>179</v>
      </c>
      <c r="R83" t="s">
        <v>593</v>
      </c>
      <c r="S83" t="s">
        <v>567</v>
      </c>
    </row>
    <row r="84" spans="1:19" x14ac:dyDescent="0.3">
      <c r="A84" s="11" t="str">
        <f t="shared" si="8"/>
        <v>Fanatic</v>
      </c>
      <c r="B84" s="11" t="str">
        <f t="shared" si="9"/>
        <v>Shark 115</v>
      </c>
      <c r="C84" s="11">
        <f t="shared" si="10"/>
        <v>247</v>
      </c>
      <c r="D84" s="11">
        <f t="shared" si="11"/>
        <v>66</v>
      </c>
      <c r="E84" s="11">
        <f t="shared" si="12"/>
        <v>115</v>
      </c>
      <c r="F84" s="38" t="str">
        <f t="shared" si="13"/>
        <v>2010</v>
      </c>
      <c r="G84" s="11" t="str" cm="1">
        <f t="array" ref="G84">gssBoardClass(A84,B84,C84,D84,E84,F84)</f>
        <v>Slalom Medium</v>
      </c>
      <c r="H84" s="39" t="str">
        <f t="shared" si="14"/>
        <v>2010-Fa-Sha-115-66-247</v>
      </c>
      <c r="I84" s="42" t="str">
        <f t="shared" si="15"/>
        <v>2010</v>
      </c>
      <c r="J84" s="46">
        <v>2010</v>
      </c>
      <c r="K84" t="s">
        <v>1</v>
      </c>
      <c r="L84" t="s">
        <v>594</v>
      </c>
      <c r="M84">
        <v>115</v>
      </c>
      <c r="N84">
        <v>66</v>
      </c>
      <c r="O84">
        <v>247</v>
      </c>
      <c r="P84" t="s">
        <v>592</v>
      </c>
      <c r="Q84" t="s">
        <v>179</v>
      </c>
      <c r="R84" t="s">
        <v>595</v>
      </c>
      <c r="S84" t="s">
        <v>569</v>
      </c>
    </row>
    <row r="85" spans="1:19" x14ac:dyDescent="0.3">
      <c r="A85" s="11" t="str">
        <f t="shared" si="8"/>
        <v>Fanatic</v>
      </c>
      <c r="B85" s="11" t="str">
        <f t="shared" si="9"/>
        <v>Shark 125</v>
      </c>
      <c r="C85" s="11">
        <f t="shared" si="10"/>
        <v>249</v>
      </c>
      <c r="D85" s="11">
        <f t="shared" si="11"/>
        <v>69</v>
      </c>
      <c r="E85" s="11">
        <f t="shared" si="12"/>
        <v>125</v>
      </c>
      <c r="F85" s="38" t="str">
        <f t="shared" si="13"/>
        <v>2010</v>
      </c>
      <c r="G85" s="11" t="str" cm="1">
        <f t="array" ref="G85">gssBoardClass(A85,B85,C85,D85,E85,F85)</f>
        <v>Slalom Medium</v>
      </c>
      <c r="H85" s="39" t="str">
        <f t="shared" si="14"/>
        <v>2010-Fa-Sha-125-69-249</v>
      </c>
      <c r="I85" s="42" t="str">
        <f t="shared" si="15"/>
        <v>2010</v>
      </c>
      <c r="J85" s="46">
        <v>2010</v>
      </c>
      <c r="K85" t="s">
        <v>1</v>
      </c>
      <c r="L85" t="s">
        <v>596</v>
      </c>
      <c r="M85">
        <v>125</v>
      </c>
      <c r="N85">
        <v>69</v>
      </c>
      <c r="O85">
        <v>249</v>
      </c>
      <c r="P85" t="s">
        <v>592</v>
      </c>
      <c r="Q85" t="s">
        <v>179</v>
      </c>
      <c r="R85" t="s">
        <v>597</v>
      </c>
      <c r="S85" t="s">
        <v>598</v>
      </c>
    </row>
    <row r="86" spans="1:19" x14ac:dyDescent="0.3">
      <c r="A86" s="11" t="str">
        <f t="shared" si="8"/>
        <v>Fanatic</v>
      </c>
      <c r="B86" s="11" t="str">
        <f t="shared" si="9"/>
        <v>Shark 135</v>
      </c>
      <c r="C86" s="11">
        <f t="shared" si="10"/>
        <v>245</v>
      </c>
      <c r="D86" s="11">
        <f t="shared" si="11"/>
        <v>73</v>
      </c>
      <c r="E86" s="11">
        <f t="shared" si="12"/>
        <v>135</v>
      </c>
      <c r="F86" s="38" t="str">
        <f t="shared" si="13"/>
        <v>2010</v>
      </c>
      <c r="G86" s="11" t="str" cm="1">
        <f t="array" ref="G86">gssBoardClass(A86,B86,C86,D86,E86,F86)</f>
        <v>Slalom Medium</v>
      </c>
      <c r="H86" s="39" t="str">
        <f t="shared" si="14"/>
        <v>2010-Fa-Sha-135-73-245</v>
      </c>
      <c r="I86" s="42" t="str">
        <f t="shared" si="15"/>
        <v>2010</v>
      </c>
      <c r="J86" s="46">
        <v>2010</v>
      </c>
      <c r="K86" t="s">
        <v>1</v>
      </c>
      <c r="L86" t="s">
        <v>599</v>
      </c>
      <c r="M86">
        <v>135</v>
      </c>
      <c r="N86">
        <v>73</v>
      </c>
      <c r="O86">
        <v>245</v>
      </c>
      <c r="P86" t="s">
        <v>592</v>
      </c>
      <c r="Q86" t="s">
        <v>179</v>
      </c>
      <c r="R86" t="s">
        <v>600</v>
      </c>
      <c r="S86" t="s">
        <v>583</v>
      </c>
    </row>
    <row r="87" spans="1:19" x14ac:dyDescent="0.3">
      <c r="A87" s="11" t="str">
        <f t="shared" si="8"/>
        <v>Fanatic</v>
      </c>
      <c r="B87" s="11" t="str">
        <f t="shared" si="9"/>
        <v>Shark 135 Ltd</v>
      </c>
      <c r="C87" s="11">
        <f t="shared" si="10"/>
        <v>245</v>
      </c>
      <c r="D87" s="11">
        <f t="shared" si="11"/>
        <v>73</v>
      </c>
      <c r="E87" s="11">
        <f t="shared" si="12"/>
        <v>135</v>
      </c>
      <c r="F87" s="38" t="str">
        <f t="shared" si="13"/>
        <v>2010</v>
      </c>
      <c r="G87" s="11" t="str" cm="1">
        <f t="array" ref="G87">gssBoardClass(A87,B87,C87,D87,E87,F87)</f>
        <v>Slalom Medium</v>
      </c>
      <c r="H87" s="39" t="str">
        <f t="shared" si="14"/>
        <v>2010-Fa-Sha-135-73-245</v>
      </c>
      <c r="I87" s="42" t="str">
        <f t="shared" si="15"/>
        <v>2010</v>
      </c>
      <c r="J87" s="46">
        <v>2010</v>
      </c>
      <c r="K87" t="s">
        <v>1</v>
      </c>
      <c r="L87" t="s">
        <v>607</v>
      </c>
      <c r="M87">
        <v>135</v>
      </c>
      <c r="N87">
        <v>73</v>
      </c>
      <c r="O87">
        <v>245</v>
      </c>
      <c r="P87" t="s">
        <v>585</v>
      </c>
      <c r="Q87" t="s">
        <v>179</v>
      </c>
      <c r="R87" t="s">
        <v>608</v>
      </c>
      <c r="S87" t="s">
        <v>583</v>
      </c>
    </row>
    <row r="88" spans="1:19" x14ac:dyDescent="0.3">
      <c r="A88" s="11" t="str">
        <f t="shared" si="8"/>
        <v>Fanatic</v>
      </c>
      <c r="B88" s="11" t="str">
        <f t="shared" si="9"/>
        <v>Shark 150</v>
      </c>
      <c r="C88" s="11">
        <f t="shared" si="10"/>
        <v>250</v>
      </c>
      <c r="D88" s="11">
        <f t="shared" si="11"/>
        <v>78</v>
      </c>
      <c r="E88" s="11">
        <f t="shared" si="12"/>
        <v>150</v>
      </c>
      <c r="F88" s="38" t="str">
        <f t="shared" si="13"/>
        <v>2010</v>
      </c>
      <c r="G88" s="11" t="str" cm="1">
        <f t="array" ref="G88">gssBoardClass(A88,B88,C88,D88,E88,F88)</f>
        <v>Slalom Large</v>
      </c>
      <c r="H88" s="39" t="str">
        <f t="shared" si="14"/>
        <v>2010-Fa-Sha-150-78-250</v>
      </c>
      <c r="I88" s="42" t="str">
        <f t="shared" si="15"/>
        <v>2010</v>
      </c>
      <c r="J88" s="46">
        <v>2010</v>
      </c>
      <c r="K88" t="s">
        <v>1</v>
      </c>
      <c r="L88" t="s">
        <v>601</v>
      </c>
      <c r="M88">
        <v>150</v>
      </c>
      <c r="N88">
        <v>78</v>
      </c>
      <c r="O88">
        <v>250</v>
      </c>
      <c r="P88" t="s">
        <v>592</v>
      </c>
      <c r="Q88" t="s">
        <v>179</v>
      </c>
      <c r="R88" t="s">
        <v>602</v>
      </c>
      <c r="S88" t="s">
        <v>603</v>
      </c>
    </row>
    <row r="89" spans="1:19" x14ac:dyDescent="0.3">
      <c r="A89" s="11" t="str">
        <f t="shared" si="8"/>
        <v>Fanatic</v>
      </c>
      <c r="B89" s="11" t="str">
        <f t="shared" si="9"/>
        <v>Shark 150 Ltd</v>
      </c>
      <c r="C89" s="11">
        <f t="shared" si="10"/>
        <v>250</v>
      </c>
      <c r="D89" s="11">
        <f t="shared" si="11"/>
        <v>78</v>
      </c>
      <c r="E89" s="11">
        <f t="shared" si="12"/>
        <v>150</v>
      </c>
      <c r="F89" s="38" t="str">
        <f t="shared" si="13"/>
        <v>2010</v>
      </c>
      <c r="G89" s="11" t="str" cm="1">
        <f t="array" ref="G89">gssBoardClass(A89,B89,C89,D89,E89,F89)</f>
        <v>Slalom Large</v>
      </c>
      <c r="H89" s="39" t="str">
        <f t="shared" si="14"/>
        <v>2010-Fa-Sha-150-78-250</v>
      </c>
      <c r="I89" s="42" t="str">
        <f t="shared" si="15"/>
        <v>2010</v>
      </c>
      <c r="J89" s="46">
        <v>2010</v>
      </c>
      <c r="K89" t="s">
        <v>1</v>
      </c>
      <c r="L89" t="s">
        <v>609</v>
      </c>
      <c r="M89">
        <v>150</v>
      </c>
      <c r="N89">
        <v>78</v>
      </c>
      <c r="O89">
        <v>250</v>
      </c>
      <c r="P89" t="s">
        <v>585</v>
      </c>
      <c r="Q89" t="s">
        <v>179</v>
      </c>
      <c r="R89" t="s">
        <v>610</v>
      </c>
      <c r="S89" t="s">
        <v>603</v>
      </c>
    </row>
    <row r="90" spans="1:19" x14ac:dyDescent="0.3">
      <c r="A90" s="11" t="str">
        <f t="shared" si="8"/>
        <v>Fanatic</v>
      </c>
      <c r="B90" s="11" t="str">
        <f t="shared" si="9"/>
        <v>Shark 165</v>
      </c>
      <c r="C90" s="11">
        <f t="shared" si="10"/>
        <v>255</v>
      </c>
      <c r="D90" s="11">
        <f t="shared" si="11"/>
        <v>83</v>
      </c>
      <c r="E90" s="11">
        <f t="shared" si="12"/>
        <v>165</v>
      </c>
      <c r="F90" s="38" t="str">
        <f t="shared" si="13"/>
        <v>2010</v>
      </c>
      <c r="G90" s="11" t="str" cm="1">
        <f t="array" ref="G90">gssBoardClass(A90,B90,C90,D90,E90,F90)</f>
        <v>Special / Longboard</v>
      </c>
      <c r="H90" s="39" t="str">
        <f t="shared" si="14"/>
        <v>2010-Fa-Sha-165-83-255</v>
      </c>
      <c r="I90" s="42" t="str">
        <f t="shared" si="15"/>
        <v>2010</v>
      </c>
      <c r="J90" s="46">
        <v>2010</v>
      </c>
      <c r="K90" t="s">
        <v>1</v>
      </c>
      <c r="L90" t="s">
        <v>604</v>
      </c>
      <c r="M90">
        <v>165</v>
      </c>
      <c r="N90">
        <v>83</v>
      </c>
      <c r="O90">
        <v>255</v>
      </c>
      <c r="P90" t="s">
        <v>592</v>
      </c>
      <c r="Q90" t="s">
        <v>179</v>
      </c>
      <c r="R90" t="s">
        <v>605</v>
      </c>
      <c r="S90" t="s">
        <v>606</v>
      </c>
    </row>
    <row r="91" spans="1:19" x14ac:dyDescent="0.3">
      <c r="A91" s="11" t="str">
        <f t="shared" si="8"/>
        <v>Fanatic</v>
      </c>
      <c r="B91" s="11" t="str">
        <f t="shared" si="9"/>
        <v>Skate 100</v>
      </c>
      <c r="C91" s="11">
        <f t="shared" si="10"/>
        <v>235</v>
      </c>
      <c r="D91" s="11">
        <f t="shared" si="11"/>
        <v>63</v>
      </c>
      <c r="E91" s="11">
        <f t="shared" si="12"/>
        <v>100</v>
      </c>
      <c r="F91" s="38" t="str">
        <f t="shared" si="13"/>
        <v>2010</v>
      </c>
      <c r="G91" s="11" t="str" cm="1">
        <f t="array" ref="G91">gssBoardClass(A91,B91,C91,D91,E91,F91)</f>
        <v>Wave / Freestyle</v>
      </c>
      <c r="H91" s="39" t="str">
        <f t="shared" si="14"/>
        <v>2010-Fa-Ska-100-63-235</v>
      </c>
      <c r="I91" s="42" t="str">
        <f t="shared" si="15"/>
        <v>2010</v>
      </c>
      <c r="J91" s="46">
        <v>2010</v>
      </c>
      <c r="K91" t="s">
        <v>1</v>
      </c>
      <c r="L91" t="s">
        <v>389</v>
      </c>
      <c r="M91">
        <v>100</v>
      </c>
      <c r="N91">
        <v>63.5</v>
      </c>
      <c r="O91">
        <v>235</v>
      </c>
      <c r="P91" t="s">
        <v>565</v>
      </c>
      <c r="Q91" t="s">
        <v>179</v>
      </c>
      <c r="R91" t="s">
        <v>566</v>
      </c>
      <c r="S91" t="s">
        <v>567</v>
      </c>
    </row>
    <row r="92" spans="1:19" x14ac:dyDescent="0.3">
      <c r="A92" s="11" t="str">
        <f t="shared" si="8"/>
        <v>Fanatic</v>
      </c>
      <c r="B92" s="11" t="str">
        <f t="shared" si="9"/>
        <v>Skate Te 100</v>
      </c>
      <c r="C92" s="11">
        <f t="shared" si="10"/>
        <v>235</v>
      </c>
      <c r="D92" s="11">
        <f t="shared" si="11"/>
        <v>63</v>
      </c>
      <c r="E92" s="11">
        <f t="shared" si="12"/>
        <v>100</v>
      </c>
      <c r="F92" s="38" t="str">
        <f t="shared" si="13"/>
        <v>2010</v>
      </c>
      <c r="G92" s="11" t="str" cm="1">
        <f t="array" ref="G92">gssBoardClass(A92,B92,C92,D92,E92,F92)</f>
        <v>Wave / Freestyle</v>
      </c>
      <c r="H92" s="39" t="str">
        <f t="shared" si="14"/>
        <v>2010-Fa-Ska-100-63-235</v>
      </c>
      <c r="I92" s="42" t="str">
        <f t="shared" si="15"/>
        <v>2010</v>
      </c>
      <c r="J92" s="46">
        <v>2010</v>
      </c>
      <c r="K92" t="s">
        <v>1</v>
      </c>
      <c r="L92" t="s">
        <v>184</v>
      </c>
      <c r="M92">
        <v>100</v>
      </c>
      <c r="N92">
        <v>63.5</v>
      </c>
      <c r="O92">
        <v>235</v>
      </c>
      <c r="P92" t="s">
        <v>520</v>
      </c>
      <c r="Q92" t="s">
        <v>179</v>
      </c>
      <c r="R92" t="s">
        <v>566</v>
      </c>
      <c r="S92" t="s">
        <v>567</v>
      </c>
    </row>
    <row r="93" spans="1:19" x14ac:dyDescent="0.3">
      <c r="A93" s="11" t="str">
        <f t="shared" si="8"/>
        <v>Fanatic</v>
      </c>
      <c r="B93" s="11" t="str">
        <f t="shared" si="9"/>
        <v>Skate 110</v>
      </c>
      <c r="C93" s="11">
        <f t="shared" si="10"/>
        <v>237</v>
      </c>
      <c r="D93" s="11">
        <f t="shared" si="11"/>
        <v>66</v>
      </c>
      <c r="E93" s="11">
        <f t="shared" si="12"/>
        <v>110</v>
      </c>
      <c r="F93" s="38" t="str">
        <f t="shared" si="13"/>
        <v>2010</v>
      </c>
      <c r="G93" s="11" t="str" cm="1">
        <f t="array" ref="G93">gssBoardClass(A93,B93,C93,D93,E93,F93)</f>
        <v>Wave / Freestyle</v>
      </c>
      <c r="H93" s="39" t="str">
        <f t="shared" si="14"/>
        <v>2010-Fa-Ska-110-66-237</v>
      </c>
      <c r="I93" s="42" t="str">
        <f t="shared" si="15"/>
        <v>2010</v>
      </c>
      <c r="J93" s="46">
        <v>2010</v>
      </c>
      <c r="K93" t="s">
        <v>1</v>
      </c>
      <c r="L93" t="s">
        <v>391</v>
      </c>
      <c r="M93">
        <v>110</v>
      </c>
      <c r="N93">
        <v>66.5</v>
      </c>
      <c r="O93">
        <v>237</v>
      </c>
      <c r="P93" t="s">
        <v>565</v>
      </c>
      <c r="Q93" t="s">
        <v>179</v>
      </c>
      <c r="R93" t="s">
        <v>568</v>
      </c>
      <c r="S93" t="s">
        <v>569</v>
      </c>
    </row>
    <row r="94" spans="1:19" x14ac:dyDescent="0.3">
      <c r="A94" s="11" t="str">
        <f t="shared" si="8"/>
        <v>Fanatic</v>
      </c>
      <c r="B94" s="11" t="str">
        <f t="shared" si="9"/>
        <v>Skate Te 110</v>
      </c>
      <c r="C94" s="11">
        <f t="shared" si="10"/>
        <v>237</v>
      </c>
      <c r="D94" s="11">
        <f t="shared" si="11"/>
        <v>66</v>
      </c>
      <c r="E94" s="11">
        <f t="shared" si="12"/>
        <v>110</v>
      </c>
      <c r="F94" s="38" t="str">
        <f t="shared" si="13"/>
        <v>2010</v>
      </c>
      <c r="G94" s="11" t="str" cm="1">
        <f t="array" ref="G94">gssBoardClass(A94,B94,C94,D94,E94,F94)</f>
        <v>Wave / Freestyle</v>
      </c>
      <c r="H94" s="39" t="str">
        <f t="shared" si="14"/>
        <v>2010-Fa-Ska-110-66-237</v>
      </c>
      <c r="I94" s="42" t="str">
        <f t="shared" si="15"/>
        <v>2010</v>
      </c>
      <c r="J94" s="46">
        <v>2010</v>
      </c>
      <c r="K94" t="s">
        <v>1</v>
      </c>
      <c r="L94" t="s">
        <v>573</v>
      </c>
      <c r="M94">
        <v>110</v>
      </c>
      <c r="N94">
        <v>66.5</v>
      </c>
      <c r="O94">
        <v>237</v>
      </c>
      <c r="P94" t="s">
        <v>520</v>
      </c>
      <c r="Q94" t="s">
        <v>179</v>
      </c>
      <c r="R94" t="s">
        <v>568</v>
      </c>
      <c r="S94" t="s">
        <v>569</v>
      </c>
    </row>
    <row r="95" spans="1:19" x14ac:dyDescent="0.3">
      <c r="A95" s="11" t="str">
        <f t="shared" si="8"/>
        <v>Fanatic</v>
      </c>
      <c r="B95" s="11" t="str">
        <f t="shared" si="9"/>
        <v>Skate Te 90</v>
      </c>
      <c r="C95" s="11">
        <f t="shared" si="10"/>
        <v>232</v>
      </c>
      <c r="D95" s="11">
        <f t="shared" si="11"/>
        <v>60</v>
      </c>
      <c r="E95" s="11">
        <f t="shared" si="12"/>
        <v>90</v>
      </c>
      <c r="F95" s="38" t="str">
        <f t="shared" si="13"/>
        <v>2010</v>
      </c>
      <c r="G95" s="11" t="str" cm="1">
        <f t="array" ref="G95">gssBoardClass(A95,B95,C95,D95,E95,F95)</f>
        <v>Wave / Freestyle</v>
      </c>
      <c r="H95" s="39" t="str">
        <f t="shared" si="14"/>
        <v>2010-Fa-Ska-90-60-232</v>
      </c>
      <c r="I95" s="42" t="str">
        <f t="shared" si="15"/>
        <v>2010</v>
      </c>
      <c r="J95" s="46">
        <v>2010</v>
      </c>
      <c r="K95" t="s">
        <v>1</v>
      </c>
      <c r="L95" t="s">
        <v>570</v>
      </c>
      <c r="M95">
        <v>90</v>
      </c>
      <c r="N95">
        <v>60</v>
      </c>
      <c r="O95">
        <v>232</v>
      </c>
      <c r="P95" t="s">
        <v>520</v>
      </c>
      <c r="Q95" t="s">
        <v>179</v>
      </c>
      <c r="R95" t="s">
        <v>571</v>
      </c>
      <c r="S95" t="s">
        <v>572</v>
      </c>
    </row>
    <row r="96" spans="1:19" x14ac:dyDescent="0.3">
      <c r="A96" s="11" t="str">
        <f t="shared" si="8"/>
        <v>Fanatic</v>
      </c>
      <c r="B96" s="11" t="str">
        <f t="shared" si="9"/>
        <v>Viper 70</v>
      </c>
      <c r="C96" s="11">
        <f t="shared" si="10"/>
        <v>270</v>
      </c>
      <c r="D96" s="11">
        <f t="shared" si="11"/>
        <v>70</v>
      </c>
      <c r="E96" s="11">
        <f t="shared" si="12"/>
        <v>150</v>
      </c>
      <c r="F96" s="38" t="str">
        <f t="shared" si="13"/>
        <v>2010</v>
      </c>
      <c r="G96" s="11" t="str" cm="1">
        <f t="array" ref="G96">gssBoardClass(A96,B96,C96,D96,E96,F96)</f>
        <v>Slalom Medium</v>
      </c>
      <c r="H96" s="39" t="str">
        <f t="shared" si="14"/>
        <v>2010-Fa-Vip-150-70-270</v>
      </c>
      <c r="I96" s="42" t="str">
        <f t="shared" si="15"/>
        <v>2010</v>
      </c>
      <c r="J96" s="46">
        <v>2010</v>
      </c>
      <c r="K96" t="s">
        <v>1</v>
      </c>
      <c r="L96" t="s">
        <v>418</v>
      </c>
      <c r="M96">
        <v>150</v>
      </c>
      <c r="N96">
        <v>70</v>
      </c>
      <c r="O96">
        <v>270</v>
      </c>
      <c r="P96" t="s">
        <v>634</v>
      </c>
      <c r="Q96" t="s">
        <v>179</v>
      </c>
      <c r="R96" t="s">
        <v>635</v>
      </c>
      <c r="S96" t="s">
        <v>636</v>
      </c>
    </row>
    <row r="97" spans="1:21" x14ac:dyDescent="0.3">
      <c r="A97" s="11" t="str">
        <f t="shared" si="8"/>
        <v>Fanatic</v>
      </c>
      <c r="B97" s="11" t="str">
        <f t="shared" si="9"/>
        <v>Viper 75</v>
      </c>
      <c r="C97" s="11">
        <f t="shared" si="10"/>
        <v>275</v>
      </c>
      <c r="D97" s="11">
        <f t="shared" si="11"/>
        <v>75</v>
      </c>
      <c r="E97" s="11">
        <f t="shared" si="12"/>
        <v>160</v>
      </c>
      <c r="F97" s="38" t="str">
        <f t="shared" si="13"/>
        <v>2010</v>
      </c>
      <c r="G97" s="11" t="str" cm="1">
        <f t="array" ref="G97">gssBoardClass(A97,B97,C97,D97,E97,F97)</f>
        <v>Slalom Large</v>
      </c>
      <c r="H97" s="39" t="str">
        <f t="shared" si="14"/>
        <v>2010-Fa-Vip-160-75-275</v>
      </c>
      <c r="I97" s="42" t="str">
        <f t="shared" si="15"/>
        <v>2010</v>
      </c>
      <c r="J97" s="46">
        <v>2010</v>
      </c>
      <c r="K97" t="s">
        <v>1</v>
      </c>
      <c r="L97" t="s">
        <v>262</v>
      </c>
      <c r="M97">
        <v>160</v>
      </c>
      <c r="N97">
        <v>75</v>
      </c>
      <c r="O97">
        <v>275</v>
      </c>
      <c r="P97" t="s">
        <v>634</v>
      </c>
      <c r="Q97" t="s">
        <v>179</v>
      </c>
      <c r="R97" t="s">
        <v>635</v>
      </c>
      <c r="S97" t="s">
        <v>637</v>
      </c>
    </row>
    <row r="98" spans="1:21" x14ac:dyDescent="0.3">
      <c r="A98" s="11" t="str">
        <f t="shared" si="8"/>
        <v>Fanatic</v>
      </c>
      <c r="B98" s="11" t="str">
        <f t="shared" si="9"/>
        <v>Viper 80</v>
      </c>
      <c r="C98" s="11">
        <f t="shared" si="10"/>
        <v>280</v>
      </c>
      <c r="D98" s="11">
        <f t="shared" si="11"/>
        <v>80</v>
      </c>
      <c r="E98" s="11">
        <f t="shared" si="12"/>
        <v>190</v>
      </c>
      <c r="F98" s="38" t="str">
        <f t="shared" si="13"/>
        <v>2010</v>
      </c>
      <c r="G98" s="11" t="str" cm="1">
        <f t="array" ref="G98">gssBoardClass(A98,B98,C98,D98,E98,F98)</f>
        <v>Special / Longboard</v>
      </c>
      <c r="H98" s="39" t="str">
        <f t="shared" si="14"/>
        <v>2010-Fa-Vip-190-80-280</v>
      </c>
      <c r="I98" s="42" t="str">
        <f t="shared" si="15"/>
        <v>2010</v>
      </c>
      <c r="J98" s="46">
        <v>2010</v>
      </c>
      <c r="K98" t="s">
        <v>1</v>
      </c>
      <c r="L98" t="s">
        <v>264</v>
      </c>
      <c r="M98">
        <v>190</v>
      </c>
      <c r="N98">
        <v>80</v>
      </c>
      <c r="O98">
        <v>280</v>
      </c>
      <c r="P98" t="s">
        <v>634</v>
      </c>
      <c r="Q98" t="s">
        <v>179</v>
      </c>
      <c r="R98" t="s">
        <v>635</v>
      </c>
      <c r="S98" t="s">
        <v>637</v>
      </c>
    </row>
    <row r="99" spans="1:21" x14ac:dyDescent="0.3">
      <c r="A99" s="11" t="str">
        <f t="shared" si="8"/>
        <v>Fanatic</v>
      </c>
      <c r="B99" s="11" t="str">
        <f t="shared" si="9"/>
        <v>Viper 85</v>
      </c>
      <c r="C99" s="11">
        <f t="shared" si="10"/>
        <v>285</v>
      </c>
      <c r="D99" s="11">
        <f t="shared" si="11"/>
        <v>85</v>
      </c>
      <c r="E99" s="11">
        <f t="shared" si="12"/>
        <v>220</v>
      </c>
      <c r="F99" s="38" t="str">
        <f t="shared" si="13"/>
        <v>2010</v>
      </c>
      <c r="G99" s="11" t="str" cm="1">
        <f t="array" ref="G99">gssBoardClass(A99,B99,C99,D99,E99,F99)</f>
        <v>Special / Longboard</v>
      </c>
      <c r="H99" s="39" t="str">
        <f t="shared" si="14"/>
        <v>2010-Fa-Vip-220-85-285</v>
      </c>
      <c r="I99" s="42" t="str">
        <f t="shared" si="15"/>
        <v>2010</v>
      </c>
      <c r="J99" s="46">
        <v>2010</v>
      </c>
      <c r="K99" t="s">
        <v>1</v>
      </c>
      <c r="L99" t="s">
        <v>265</v>
      </c>
      <c r="M99">
        <v>220</v>
      </c>
      <c r="N99">
        <v>85</v>
      </c>
      <c r="O99">
        <v>285</v>
      </c>
      <c r="P99" t="s">
        <v>634</v>
      </c>
      <c r="Q99" t="s">
        <v>179</v>
      </c>
      <c r="R99" t="s">
        <v>635</v>
      </c>
      <c r="S99" t="s">
        <v>637</v>
      </c>
    </row>
    <row r="100" spans="1:21" x14ac:dyDescent="0.3">
      <c r="A100" s="11" t="str">
        <f t="shared" si="8"/>
        <v>Rrd</v>
      </c>
      <c r="B100" s="11" t="str">
        <f t="shared" si="9"/>
        <v>360 Evolution Duratech V3 Xs</v>
      </c>
      <c r="C100" s="11">
        <f t="shared" si="10"/>
        <v>248</v>
      </c>
      <c r="D100" s="11">
        <f t="shared" si="11"/>
        <v>72</v>
      </c>
      <c r="E100" s="11">
        <f t="shared" si="12"/>
        <v>135</v>
      </c>
      <c r="F100" s="38" t="str">
        <f t="shared" si="13"/>
        <v>2014</v>
      </c>
      <c r="G100" s="11" t="str" cm="1">
        <f t="array" ref="G100">gssBoardClass(A100,B100,C100,D100,E100,F100)</f>
        <v>Slalom Medium</v>
      </c>
      <c r="H100" s="39" t="str">
        <f t="shared" si="14"/>
        <v>2014-RR-360-135-72-248</v>
      </c>
      <c r="I100" s="42" t="str">
        <f t="shared" si="15"/>
        <v>2014</v>
      </c>
      <c r="J100" s="46" t="s">
        <v>731</v>
      </c>
      <c r="K100" t="s">
        <v>1614</v>
      </c>
      <c r="L100" t="s">
        <v>2193</v>
      </c>
      <c r="M100">
        <v>135</v>
      </c>
      <c r="N100">
        <v>72</v>
      </c>
      <c r="O100">
        <v>248</v>
      </c>
      <c r="R100" t="s">
        <v>2194</v>
      </c>
      <c r="S100" t="s">
        <v>2195</v>
      </c>
      <c r="T100">
        <v>9.5</v>
      </c>
      <c r="U100" t="s">
        <v>2196</v>
      </c>
    </row>
    <row r="101" spans="1:21" x14ac:dyDescent="0.3">
      <c r="A101" s="11" t="str">
        <f t="shared" si="8"/>
        <v>Rrd</v>
      </c>
      <c r="B101" s="11" t="str">
        <f t="shared" si="9"/>
        <v>360 Evolution Softskin V2 Xs</v>
      </c>
      <c r="C101" s="11">
        <f t="shared" si="10"/>
        <v>248</v>
      </c>
      <c r="D101" s="11">
        <f t="shared" si="11"/>
        <v>72</v>
      </c>
      <c r="E101" s="11">
        <f t="shared" si="12"/>
        <v>135</v>
      </c>
      <c r="F101" s="38" t="str">
        <f t="shared" si="13"/>
        <v>2014</v>
      </c>
      <c r="G101" s="11" t="str" cm="1">
        <f t="array" ref="G101">gssBoardClass(A101,B101,C101,D101,E101,F101)</f>
        <v>Slalom Medium</v>
      </c>
      <c r="H101" s="39" t="str">
        <f t="shared" si="14"/>
        <v>2014-RR-360-135-72-248</v>
      </c>
      <c r="I101" s="42" t="str">
        <f t="shared" si="15"/>
        <v>2014</v>
      </c>
      <c r="J101" s="46" t="s">
        <v>731</v>
      </c>
      <c r="K101" t="s">
        <v>1614</v>
      </c>
      <c r="L101" t="s">
        <v>2203</v>
      </c>
      <c r="M101">
        <v>135</v>
      </c>
      <c r="N101">
        <v>72</v>
      </c>
      <c r="O101">
        <v>248</v>
      </c>
      <c r="R101" t="s">
        <v>2204</v>
      </c>
      <c r="S101" t="s">
        <v>2195</v>
      </c>
      <c r="T101">
        <v>9.5</v>
      </c>
      <c r="U101" t="s">
        <v>2205</v>
      </c>
    </row>
    <row r="102" spans="1:21" x14ac:dyDescent="0.3">
      <c r="A102" s="11" t="str">
        <f t="shared" si="8"/>
        <v>Rrd</v>
      </c>
      <c r="B102" s="11" t="str">
        <f t="shared" si="9"/>
        <v>360 Evolution Duratech V3 S</v>
      </c>
      <c r="C102" s="11">
        <f t="shared" si="10"/>
        <v>249</v>
      </c>
      <c r="D102" s="11">
        <f t="shared" si="11"/>
        <v>75</v>
      </c>
      <c r="E102" s="11">
        <f t="shared" si="12"/>
        <v>145</v>
      </c>
      <c r="F102" s="38" t="str">
        <f t="shared" si="13"/>
        <v>2014</v>
      </c>
      <c r="G102" s="11" t="str" cm="1">
        <f t="array" ref="G102">gssBoardClass(A102,B102,C102,D102,E102,F102)</f>
        <v>Slalom Large</v>
      </c>
      <c r="H102" s="39" t="str">
        <f t="shared" si="14"/>
        <v>2014-RR-360-145-75-249</v>
      </c>
      <c r="I102" s="42" t="str">
        <f t="shared" si="15"/>
        <v>2014</v>
      </c>
      <c r="J102" s="46" t="s">
        <v>731</v>
      </c>
      <c r="K102" t="s">
        <v>1614</v>
      </c>
      <c r="L102" t="s">
        <v>2197</v>
      </c>
      <c r="M102">
        <v>145</v>
      </c>
      <c r="N102">
        <v>75</v>
      </c>
      <c r="O102">
        <v>249</v>
      </c>
      <c r="R102" t="s">
        <v>2194</v>
      </c>
      <c r="S102" t="s">
        <v>2198</v>
      </c>
      <c r="T102">
        <v>9.6999999999999993</v>
      </c>
      <c r="U102" t="s">
        <v>2199</v>
      </c>
    </row>
    <row r="103" spans="1:21" x14ac:dyDescent="0.3">
      <c r="A103" s="11" t="str">
        <f t="shared" si="8"/>
        <v>Rrd</v>
      </c>
      <c r="B103" s="11" t="str">
        <f t="shared" si="9"/>
        <v>360 Evolution Softskin V2 S</v>
      </c>
      <c r="C103" s="11">
        <f t="shared" si="10"/>
        <v>249</v>
      </c>
      <c r="D103" s="11">
        <f t="shared" si="11"/>
        <v>75</v>
      </c>
      <c r="E103" s="11">
        <f t="shared" si="12"/>
        <v>145</v>
      </c>
      <c r="F103" s="38" t="str">
        <f t="shared" si="13"/>
        <v>2014</v>
      </c>
      <c r="G103" s="11" t="str" cm="1">
        <f t="array" ref="G103">gssBoardClass(A103,B103,C103,D103,E103,F103)</f>
        <v>Slalom Large</v>
      </c>
      <c r="H103" s="39" t="str">
        <f t="shared" si="14"/>
        <v>2014-RR-360-145-75-249</v>
      </c>
      <c r="I103" s="42" t="str">
        <f t="shared" si="15"/>
        <v>2014</v>
      </c>
      <c r="J103" s="46" t="s">
        <v>731</v>
      </c>
      <c r="K103" t="s">
        <v>1614</v>
      </c>
      <c r="L103" t="s">
        <v>2206</v>
      </c>
      <c r="M103">
        <v>145</v>
      </c>
      <c r="N103">
        <v>75</v>
      </c>
      <c r="O103">
        <v>249</v>
      </c>
      <c r="R103" t="s">
        <v>2207</v>
      </c>
      <c r="S103" t="s">
        <v>2198</v>
      </c>
      <c r="T103">
        <v>10.3</v>
      </c>
      <c r="U103" t="s">
        <v>2208</v>
      </c>
    </row>
    <row r="104" spans="1:21" x14ac:dyDescent="0.3">
      <c r="A104" s="11" t="str">
        <f t="shared" si="8"/>
        <v>Rrd</v>
      </c>
      <c r="B104" s="11" t="str">
        <f t="shared" si="9"/>
        <v>360 Evolution Duratech V3 M</v>
      </c>
      <c r="C104" s="11">
        <f t="shared" si="10"/>
        <v>251</v>
      </c>
      <c r="D104" s="11">
        <f t="shared" si="11"/>
        <v>78</v>
      </c>
      <c r="E104" s="11">
        <f t="shared" si="12"/>
        <v>155</v>
      </c>
      <c r="F104" s="38" t="str">
        <f t="shared" si="13"/>
        <v>2014</v>
      </c>
      <c r="G104" s="11" t="str" cm="1">
        <f t="array" ref="G104">gssBoardClass(A104,B104,C104,D104,E104,F104)</f>
        <v>Slalom Large</v>
      </c>
      <c r="H104" s="39" t="str">
        <f t="shared" si="14"/>
        <v>2014-RR-360-155-78-251</v>
      </c>
      <c r="I104" s="42" t="str">
        <f t="shared" si="15"/>
        <v>2014</v>
      </c>
      <c r="J104" s="46" t="s">
        <v>731</v>
      </c>
      <c r="K104" t="s">
        <v>1614</v>
      </c>
      <c r="L104" t="s">
        <v>2200</v>
      </c>
      <c r="M104">
        <v>155</v>
      </c>
      <c r="N104">
        <v>78</v>
      </c>
      <c r="O104">
        <v>251</v>
      </c>
      <c r="R104" t="s">
        <v>2194</v>
      </c>
      <c r="S104" t="s">
        <v>2201</v>
      </c>
      <c r="T104">
        <v>10.199999999999999</v>
      </c>
      <c r="U104" t="s">
        <v>2202</v>
      </c>
    </row>
    <row r="105" spans="1:21" x14ac:dyDescent="0.3">
      <c r="A105" s="11" t="str">
        <f t="shared" si="8"/>
        <v>Rrd</v>
      </c>
      <c r="B105" s="11" t="str">
        <f t="shared" si="9"/>
        <v>360 Evolution Softskin V2 M</v>
      </c>
      <c r="C105" s="11">
        <f t="shared" si="10"/>
        <v>251</v>
      </c>
      <c r="D105" s="11">
        <f t="shared" si="11"/>
        <v>78</v>
      </c>
      <c r="E105" s="11">
        <f t="shared" si="12"/>
        <v>155</v>
      </c>
      <c r="F105" s="38" t="str">
        <f t="shared" si="13"/>
        <v>2014</v>
      </c>
      <c r="G105" s="11" t="str" cm="1">
        <f t="array" ref="G105">gssBoardClass(A105,B105,C105,D105,E105,F105)</f>
        <v>Slalom Large</v>
      </c>
      <c r="H105" s="39" t="str">
        <f t="shared" si="14"/>
        <v>2014-RR-360-155-78-251</v>
      </c>
      <c r="I105" s="42" t="str">
        <f t="shared" si="15"/>
        <v>2014</v>
      </c>
      <c r="J105" s="46" t="s">
        <v>731</v>
      </c>
      <c r="K105" t="s">
        <v>1614</v>
      </c>
      <c r="L105" t="s">
        <v>2209</v>
      </c>
      <c r="M105">
        <v>155</v>
      </c>
      <c r="N105">
        <v>78</v>
      </c>
      <c r="O105">
        <v>251</v>
      </c>
      <c r="R105" t="s">
        <v>2207</v>
      </c>
      <c r="S105" t="s">
        <v>2201</v>
      </c>
      <c r="T105">
        <v>10.9</v>
      </c>
      <c r="U105" t="s">
        <v>2210</v>
      </c>
    </row>
    <row r="106" spans="1:21" x14ac:dyDescent="0.3">
      <c r="A106" s="11" t="str">
        <f t="shared" si="8"/>
        <v>Rrd</v>
      </c>
      <c r="B106" s="11" t="str">
        <f t="shared" si="9"/>
        <v>360 Evolution Softskin V2 L</v>
      </c>
      <c r="C106" s="11">
        <f t="shared" si="10"/>
        <v>257</v>
      </c>
      <c r="D106" s="11">
        <f t="shared" si="11"/>
        <v>81</v>
      </c>
      <c r="E106" s="11">
        <f t="shared" si="12"/>
        <v>158</v>
      </c>
      <c r="F106" s="38" t="str">
        <f t="shared" si="13"/>
        <v>2014</v>
      </c>
      <c r="G106" s="11" t="str" cm="1">
        <f t="array" ref="G106">gssBoardClass(A106,B106,C106,D106,E106,F106)</f>
        <v>Slalom Large</v>
      </c>
      <c r="H106" s="39" t="str">
        <f t="shared" si="14"/>
        <v>2014-RR-360-158-81-257</v>
      </c>
      <c r="I106" s="42" t="str">
        <f t="shared" si="15"/>
        <v>2014</v>
      </c>
      <c r="J106" s="46" t="s">
        <v>731</v>
      </c>
      <c r="K106" t="s">
        <v>1614</v>
      </c>
      <c r="L106" t="s">
        <v>2211</v>
      </c>
      <c r="M106">
        <v>158</v>
      </c>
      <c r="N106">
        <v>81</v>
      </c>
      <c r="O106">
        <v>257</v>
      </c>
      <c r="R106" t="s">
        <v>2212</v>
      </c>
      <c r="S106" t="s">
        <v>2213</v>
      </c>
      <c r="T106">
        <v>11.6</v>
      </c>
      <c r="U106" t="s">
        <v>2214</v>
      </c>
    </row>
    <row r="107" spans="1:21" x14ac:dyDescent="0.3">
      <c r="A107" s="11" t="str">
        <f t="shared" si="8"/>
        <v>Rrd</v>
      </c>
      <c r="B107" s="11" t="str">
        <f t="shared" si="9"/>
        <v>360 Evolution Softskin V2 L W/O Dagger</v>
      </c>
      <c r="C107" s="11">
        <f t="shared" si="10"/>
        <v>257</v>
      </c>
      <c r="D107" s="11">
        <f t="shared" si="11"/>
        <v>81</v>
      </c>
      <c r="E107" s="11">
        <f t="shared" si="12"/>
        <v>158</v>
      </c>
      <c r="F107" s="38" t="str">
        <f t="shared" si="13"/>
        <v>2014</v>
      </c>
      <c r="G107" s="11" t="str" cm="1">
        <f t="array" ref="G107">gssBoardClass(A107,B107,C107,D107,E107,F107)</f>
        <v>Slalom Large</v>
      </c>
      <c r="H107" s="39" t="str">
        <f t="shared" si="14"/>
        <v>2014-RR-360-158-81-257</v>
      </c>
      <c r="I107" s="42" t="str">
        <f t="shared" si="15"/>
        <v>2014</v>
      </c>
      <c r="J107" s="46" t="s">
        <v>731</v>
      </c>
      <c r="K107" t="s">
        <v>1614</v>
      </c>
      <c r="L107" t="s">
        <v>2215</v>
      </c>
      <c r="M107">
        <v>158</v>
      </c>
      <c r="N107">
        <v>81</v>
      </c>
      <c r="O107">
        <v>257</v>
      </c>
      <c r="R107" t="s">
        <v>2216</v>
      </c>
      <c r="S107" t="s">
        <v>2213</v>
      </c>
      <c r="T107">
        <v>11.3</v>
      </c>
      <c r="U107" t="s">
        <v>2217</v>
      </c>
    </row>
    <row r="108" spans="1:21" x14ac:dyDescent="0.3">
      <c r="A108" s="11" t="str">
        <f t="shared" si="8"/>
        <v>Rrd</v>
      </c>
      <c r="B108" s="11" t="str">
        <f t="shared" si="9"/>
        <v>Easyjoy V2 Softskin</v>
      </c>
      <c r="C108" s="11">
        <f t="shared" si="10"/>
        <v>233</v>
      </c>
      <c r="D108" s="11">
        <f t="shared" si="11"/>
        <v>67</v>
      </c>
      <c r="E108" s="11">
        <f t="shared" si="12"/>
        <v>110</v>
      </c>
      <c r="F108" s="38" t="str">
        <f t="shared" si="13"/>
        <v>2014</v>
      </c>
      <c r="G108" s="11" t="str" cm="1">
        <f t="array" ref="G108">gssBoardClass(A108,B108,C108,D108,E108,F108)</f>
        <v>Slalom Medium</v>
      </c>
      <c r="H108" s="39" t="str">
        <f t="shared" si="14"/>
        <v>2014-RR-EAS-110-67-233</v>
      </c>
      <c r="I108" s="42" t="str">
        <f t="shared" si="15"/>
        <v>2014</v>
      </c>
      <c r="J108" s="46" t="s">
        <v>731</v>
      </c>
      <c r="K108" t="s">
        <v>1614</v>
      </c>
      <c r="L108" t="s">
        <v>2226</v>
      </c>
      <c r="M108">
        <v>110</v>
      </c>
      <c r="N108">
        <v>67</v>
      </c>
      <c r="O108">
        <v>233</v>
      </c>
      <c r="R108" t="s">
        <v>2227</v>
      </c>
      <c r="S108" t="s">
        <v>2228</v>
      </c>
      <c r="T108">
        <v>8.6999999999999993</v>
      </c>
      <c r="U108" t="s">
        <v>2229</v>
      </c>
    </row>
    <row r="109" spans="1:21" x14ac:dyDescent="0.3">
      <c r="A109" s="11" t="str">
        <f t="shared" si="8"/>
        <v>Rrd</v>
      </c>
      <c r="B109" s="11" t="str">
        <f t="shared" si="9"/>
        <v>Easyride Softskin V2 S</v>
      </c>
      <c r="C109" s="11">
        <f t="shared" si="10"/>
        <v>260</v>
      </c>
      <c r="D109" s="11">
        <f t="shared" si="11"/>
        <v>80</v>
      </c>
      <c r="E109" s="11">
        <f t="shared" si="12"/>
        <v>166</v>
      </c>
      <c r="F109" s="38" t="str">
        <f t="shared" si="13"/>
        <v>2014</v>
      </c>
      <c r="G109" s="11" t="str" cm="1">
        <f t="array" ref="G109">gssBoardClass(A109,B109,C109,D109,E109,F109)</f>
        <v>Special / Longboard</v>
      </c>
      <c r="H109" s="39" t="str">
        <f t="shared" si="14"/>
        <v>2014-RR-EAS-166-80-260</v>
      </c>
      <c r="I109" s="42" t="str">
        <f t="shared" si="15"/>
        <v>2014</v>
      </c>
      <c r="J109" s="46" t="s">
        <v>731</v>
      </c>
      <c r="K109" t="s">
        <v>1614</v>
      </c>
      <c r="L109" t="s">
        <v>2218</v>
      </c>
      <c r="M109">
        <v>166</v>
      </c>
      <c r="N109">
        <v>80</v>
      </c>
      <c r="O109">
        <v>260</v>
      </c>
      <c r="R109" t="s">
        <v>2212</v>
      </c>
      <c r="S109" t="s">
        <v>2219</v>
      </c>
      <c r="T109">
        <v>12.5</v>
      </c>
      <c r="U109" t="s">
        <v>2220</v>
      </c>
    </row>
    <row r="110" spans="1:21" x14ac:dyDescent="0.3">
      <c r="A110" s="11" t="str">
        <f t="shared" si="8"/>
        <v>Rrd</v>
      </c>
      <c r="B110" s="11" t="str">
        <f t="shared" si="9"/>
        <v>Easyride Softskin V2 M</v>
      </c>
      <c r="C110" s="11">
        <f t="shared" si="10"/>
        <v>260</v>
      </c>
      <c r="D110" s="11">
        <f t="shared" si="11"/>
        <v>85</v>
      </c>
      <c r="E110" s="11">
        <f t="shared" si="12"/>
        <v>180</v>
      </c>
      <c r="F110" s="38" t="str">
        <f t="shared" si="13"/>
        <v>2014</v>
      </c>
      <c r="G110" s="11" t="str" cm="1">
        <f t="array" ref="G110">gssBoardClass(A110,B110,C110,D110,E110,F110)</f>
        <v>Special / Longboard</v>
      </c>
      <c r="H110" s="39" t="str">
        <f t="shared" si="14"/>
        <v>2014-RR-EAS-180-85-260</v>
      </c>
      <c r="I110" s="42" t="str">
        <f t="shared" si="15"/>
        <v>2014</v>
      </c>
      <c r="J110" s="46" t="s">
        <v>731</v>
      </c>
      <c r="K110" t="s">
        <v>1614</v>
      </c>
      <c r="L110" t="s">
        <v>2221</v>
      </c>
      <c r="M110">
        <v>180</v>
      </c>
      <c r="N110">
        <v>85</v>
      </c>
      <c r="O110">
        <v>260</v>
      </c>
      <c r="R110" t="s">
        <v>2212</v>
      </c>
      <c r="S110" t="s">
        <v>2222</v>
      </c>
      <c r="T110">
        <v>13</v>
      </c>
      <c r="U110" t="s">
        <v>2223</v>
      </c>
    </row>
    <row r="111" spans="1:21" x14ac:dyDescent="0.3">
      <c r="A111" s="11" t="str">
        <f t="shared" si="8"/>
        <v>Rrd</v>
      </c>
      <c r="B111" s="11" t="str">
        <f t="shared" si="9"/>
        <v>Easyride Softskin V2 L</v>
      </c>
      <c r="C111" s="11">
        <f t="shared" si="10"/>
        <v>270</v>
      </c>
      <c r="D111" s="11">
        <f t="shared" si="11"/>
        <v>100</v>
      </c>
      <c r="E111" s="11">
        <f t="shared" si="12"/>
        <v>220</v>
      </c>
      <c r="F111" s="38" t="str">
        <f t="shared" si="13"/>
        <v>2014</v>
      </c>
      <c r="G111" s="11" t="str" cm="1">
        <f t="array" ref="G111">gssBoardClass(A111,B111,C111,D111,E111,F111)</f>
        <v>Special / Longboard</v>
      </c>
      <c r="H111" s="39" t="str">
        <f t="shared" si="14"/>
        <v>2014-RR-EAS-220-100-270</v>
      </c>
      <c r="I111" s="42" t="str">
        <f t="shared" si="15"/>
        <v>2014</v>
      </c>
      <c r="J111" s="46" t="s">
        <v>731</v>
      </c>
      <c r="K111" t="s">
        <v>1614</v>
      </c>
      <c r="L111" t="s">
        <v>2224</v>
      </c>
      <c r="M111">
        <v>220</v>
      </c>
      <c r="N111">
        <v>100</v>
      </c>
      <c r="O111">
        <v>270</v>
      </c>
      <c r="R111" t="s">
        <v>2212</v>
      </c>
      <c r="S111" t="s">
        <v>2222</v>
      </c>
      <c r="T111">
        <v>14.5</v>
      </c>
      <c r="U111" t="s">
        <v>2225</v>
      </c>
    </row>
    <row r="112" spans="1:21" x14ac:dyDescent="0.3">
      <c r="A112" s="11" t="str">
        <f t="shared" si="8"/>
        <v>Rrd</v>
      </c>
      <c r="B112" s="11" t="str">
        <f t="shared" si="9"/>
        <v>Firestorm Ltd V2 101</v>
      </c>
      <c r="C112" s="11">
        <f t="shared" si="10"/>
        <v>236</v>
      </c>
      <c r="D112" s="11">
        <f t="shared" si="11"/>
        <v>65</v>
      </c>
      <c r="E112" s="11">
        <f t="shared" si="12"/>
        <v>101</v>
      </c>
      <c r="F112" s="38" t="str">
        <f t="shared" si="13"/>
        <v>2014</v>
      </c>
      <c r="G112" s="11" t="str" cm="1">
        <f t="array" ref="G112">gssBoardClass(A112,B112,C112,D112,E112,F112)</f>
        <v>Speed/Slalom Small</v>
      </c>
      <c r="H112" s="39" t="str">
        <f t="shared" si="14"/>
        <v>2014-RR-FIR-101-65-236</v>
      </c>
      <c r="I112" s="42" t="str">
        <f t="shared" si="15"/>
        <v>2014</v>
      </c>
      <c r="J112" s="46" t="s">
        <v>731</v>
      </c>
      <c r="K112" t="s">
        <v>1614</v>
      </c>
      <c r="L112" t="s">
        <v>2364</v>
      </c>
      <c r="M112">
        <v>101</v>
      </c>
      <c r="N112">
        <v>65</v>
      </c>
      <c r="O112">
        <v>236</v>
      </c>
      <c r="R112" t="s">
        <v>2142</v>
      </c>
      <c r="S112" t="s">
        <v>2143</v>
      </c>
      <c r="T112">
        <v>6.4</v>
      </c>
      <c r="U112" t="s">
        <v>2144</v>
      </c>
    </row>
    <row r="113" spans="1:21" x14ac:dyDescent="0.3">
      <c r="A113" s="11" t="str">
        <f t="shared" si="8"/>
        <v>Rrd</v>
      </c>
      <c r="B113" s="11" t="str">
        <f t="shared" si="9"/>
        <v>Firestorm Wood V2 101</v>
      </c>
      <c r="C113" s="11">
        <f t="shared" si="10"/>
        <v>235</v>
      </c>
      <c r="D113" s="11">
        <f t="shared" si="11"/>
        <v>66</v>
      </c>
      <c r="E113" s="11">
        <f t="shared" si="12"/>
        <v>101</v>
      </c>
      <c r="F113" s="38" t="str">
        <f t="shared" si="13"/>
        <v>2014</v>
      </c>
      <c r="G113" s="11" t="str" cm="1">
        <f t="array" ref="G113">gssBoardClass(A113,B113,C113,D113,E113,F113)</f>
        <v>Slalom Medium</v>
      </c>
      <c r="H113" s="39" t="str">
        <f t="shared" si="14"/>
        <v>2014-RR-FIR-101-66-235</v>
      </c>
      <c r="I113" s="42" t="str">
        <f t="shared" si="15"/>
        <v>2014</v>
      </c>
      <c r="J113" s="46" t="s">
        <v>731</v>
      </c>
      <c r="K113" t="s">
        <v>1614</v>
      </c>
      <c r="L113" t="s">
        <v>2363</v>
      </c>
      <c r="M113">
        <v>101</v>
      </c>
      <c r="N113">
        <v>66</v>
      </c>
      <c r="O113">
        <v>235</v>
      </c>
      <c r="R113" t="s">
        <v>2142</v>
      </c>
      <c r="S113" t="s">
        <v>2143</v>
      </c>
      <c r="T113">
        <v>6.7</v>
      </c>
      <c r="U113" t="s">
        <v>2157</v>
      </c>
    </row>
    <row r="114" spans="1:21" x14ac:dyDescent="0.3">
      <c r="A114" s="11" t="str">
        <f t="shared" si="8"/>
        <v>Rrd</v>
      </c>
      <c r="B114" s="11" t="str">
        <f t="shared" si="9"/>
        <v>Firewave Ltd</v>
      </c>
      <c r="C114" s="11">
        <f t="shared" si="10"/>
        <v>235</v>
      </c>
      <c r="D114" s="11">
        <f t="shared" si="11"/>
        <v>64</v>
      </c>
      <c r="E114" s="11">
        <f t="shared" si="12"/>
        <v>102</v>
      </c>
      <c r="F114" s="38" t="str">
        <f t="shared" si="13"/>
        <v>2014</v>
      </c>
      <c r="G114" s="11" t="str" cm="1">
        <f t="array" ref="G114">gssBoardClass(A114,B114,C114,D114,E114,F114)</f>
        <v>Wave / Freestyle</v>
      </c>
      <c r="H114" s="39" t="str">
        <f t="shared" si="14"/>
        <v>2014-RR-FIR-102-64-235</v>
      </c>
      <c r="I114" s="42" t="str">
        <f t="shared" si="15"/>
        <v>2014</v>
      </c>
      <c r="J114" s="46" t="s">
        <v>731</v>
      </c>
      <c r="K114" t="s">
        <v>1614</v>
      </c>
      <c r="L114" t="s">
        <v>2078</v>
      </c>
      <c r="M114">
        <v>102</v>
      </c>
      <c r="N114">
        <v>64</v>
      </c>
      <c r="O114">
        <v>235</v>
      </c>
      <c r="R114" t="s">
        <v>2086</v>
      </c>
      <c r="S114" t="s">
        <v>2063</v>
      </c>
      <c r="T114">
        <v>6.8</v>
      </c>
      <c r="U114" t="s">
        <v>2087</v>
      </c>
    </row>
    <row r="115" spans="1:21" x14ac:dyDescent="0.3">
      <c r="A115" s="11" t="str">
        <f t="shared" si="8"/>
        <v>Rrd</v>
      </c>
      <c r="B115" s="11" t="str">
        <f t="shared" si="9"/>
        <v>Firewave Wood</v>
      </c>
      <c r="C115" s="11">
        <f t="shared" si="10"/>
        <v>235</v>
      </c>
      <c r="D115" s="11">
        <f t="shared" si="11"/>
        <v>64</v>
      </c>
      <c r="E115" s="11">
        <f t="shared" si="12"/>
        <v>102</v>
      </c>
      <c r="F115" s="38" t="str">
        <f t="shared" si="13"/>
        <v>2014</v>
      </c>
      <c r="G115" s="11" t="str" cm="1">
        <f t="array" ref="G115">gssBoardClass(A115,B115,C115,D115,E115,F115)</f>
        <v>Wave / Freestyle</v>
      </c>
      <c r="H115" s="39" t="str">
        <f t="shared" si="14"/>
        <v>2014-RR-FIR-102-64-235</v>
      </c>
      <c r="I115" s="42" t="str">
        <f t="shared" si="15"/>
        <v>2014</v>
      </c>
      <c r="J115" s="46" t="s">
        <v>731</v>
      </c>
      <c r="K115" t="s">
        <v>1614</v>
      </c>
      <c r="L115" t="s">
        <v>2091</v>
      </c>
      <c r="M115">
        <v>102</v>
      </c>
      <c r="N115">
        <v>64</v>
      </c>
      <c r="O115">
        <v>235</v>
      </c>
      <c r="R115" t="s">
        <v>2086</v>
      </c>
      <c r="S115" t="s">
        <v>2063</v>
      </c>
      <c r="T115">
        <v>6.8</v>
      </c>
      <c r="U115" t="s">
        <v>2095</v>
      </c>
    </row>
    <row r="116" spans="1:21" x14ac:dyDescent="0.3">
      <c r="A116" s="11" t="str">
        <f t="shared" si="8"/>
        <v>Rrd</v>
      </c>
      <c r="B116" s="11" t="str">
        <f t="shared" si="9"/>
        <v>Firemove Ltd V2</v>
      </c>
      <c r="C116" s="11">
        <f t="shared" si="10"/>
        <v>238</v>
      </c>
      <c r="D116" s="11">
        <f t="shared" si="11"/>
        <v>68</v>
      </c>
      <c r="E116" s="11">
        <f t="shared" si="12"/>
        <v>102</v>
      </c>
      <c r="F116" s="38" t="str">
        <f t="shared" si="13"/>
        <v>2014</v>
      </c>
      <c r="G116" s="11" t="str" cm="1">
        <f t="array" ref="G116">gssBoardClass(A116,B116,C116,D116,E116,F116)</f>
        <v>Slalom Medium</v>
      </c>
      <c r="H116" s="39" t="str">
        <f t="shared" si="14"/>
        <v>2014-RR-FIR-102-68-238</v>
      </c>
      <c r="I116" s="42" t="str">
        <f t="shared" si="15"/>
        <v>2014</v>
      </c>
      <c r="J116" s="46" t="s">
        <v>731</v>
      </c>
      <c r="K116" t="s">
        <v>1614</v>
      </c>
      <c r="L116" t="s">
        <v>2162</v>
      </c>
      <c r="M116">
        <v>102</v>
      </c>
      <c r="N116">
        <v>68</v>
      </c>
      <c r="O116">
        <v>238</v>
      </c>
      <c r="R116" t="s">
        <v>2163</v>
      </c>
      <c r="S116" t="s">
        <v>2143</v>
      </c>
      <c r="T116">
        <v>7.2</v>
      </c>
      <c r="U116" t="s">
        <v>2164</v>
      </c>
    </row>
    <row r="117" spans="1:21" x14ac:dyDescent="0.3">
      <c r="A117" s="11" t="str">
        <f t="shared" si="8"/>
        <v>Rrd</v>
      </c>
      <c r="B117" s="11" t="str">
        <f t="shared" si="9"/>
        <v>Firemove Wood V2</v>
      </c>
      <c r="C117" s="11">
        <f t="shared" si="10"/>
        <v>238</v>
      </c>
      <c r="D117" s="11">
        <f t="shared" si="11"/>
        <v>68</v>
      </c>
      <c r="E117" s="11">
        <f t="shared" si="12"/>
        <v>102</v>
      </c>
      <c r="F117" s="38" t="str">
        <f t="shared" si="13"/>
        <v>2014</v>
      </c>
      <c r="G117" s="11" t="str" cm="1">
        <f t="array" ref="G117">gssBoardClass(A117,B117,C117,D117,E117,F117)</f>
        <v>Slalom Medium</v>
      </c>
      <c r="H117" s="39" t="str">
        <f t="shared" si="14"/>
        <v>2014-RR-FIR-102-68-238</v>
      </c>
      <c r="I117" s="42" t="str">
        <f t="shared" si="15"/>
        <v>2014</v>
      </c>
      <c r="J117" s="46" t="s">
        <v>731</v>
      </c>
      <c r="K117" t="s">
        <v>1614</v>
      </c>
      <c r="L117" t="s">
        <v>2177</v>
      </c>
      <c r="M117">
        <v>102</v>
      </c>
      <c r="N117">
        <v>68</v>
      </c>
      <c r="O117">
        <v>238</v>
      </c>
      <c r="R117" t="s">
        <v>2163</v>
      </c>
      <c r="S117" t="s">
        <v>2143</v>
      </c>
      <c r="T117">
        <v>7.8</v>
      </c>
      <c r="U117" t="s">
        <v>2178</v>
      </c>
    </row>
    <row r="118" spans="1:21" x14ac:dyDescent="0.3">
      <c r="A118" s="11" t="str">
        <f t="shared" si="8"/>
        <v>Rrd</v>
      </c>
      <c r="B118" s="11" t="str">
        <f t="shared" si="9"/>
        <v>Firemove E-Tech V2</v>
      </c>
      <c r="C118" s="11">
        <f t="shared" si="10"/>
        <v>238</v>
      </c>
      <c r="D118" s="11">
        <f t="shared" si="11"/>
        <v>68</v>
      </c>
      <c r="E118" s="11">
        <f t="shared" si="12"/>
        <v>102</v>
      </c>
      <c r="F118" s="38" t="str">
        <f t="shared" si="13"/>
        <v>2014</v>
      </c>
      <c r="G118" s="11" t="str" cm="1">
        <f t="array" ref="G118">gssBoardClass(A118,B118,C118,D118,E118,F118)</f>
        <v>Slalom Medium</v>
      </c>
      <c r="H118" s="39" t="str">
        <f t="shared" si="14"/>
        <v>2014-RR-FIR-102-68-238</v>
      </c>
      <c r="I118" s="42" t="str">
        <f t="shared" si="15"/>
        <v>2014</v>
      </c>
      <c r="J118" s="46" t="s">
        <v>731</v>
      </c>
      <c r="K118" t="s">
        <v>1614</v>
      </c>
      <c r="L118" t="s">
        <v>2183</v>
      </c>
      <c r="M118">
        <v>102</v>
      </c>
      <c r="N118">
        <v>68</v>
      </c>
      <c r="O118">
        <v>238</v>
      </c>
      <c r="R118" t="s">
        <v>2184</v>
      </c>
      <c r="S118" t="s">
        <v>2143</v>
      </c>
      <c r="T118">
        <v>8.4</v>
      </c>
      <c r="U118" t="s">
        <v>2185</v>
      </c>
    </row>
    <row r="119" spans="1:21" x14ac:dyDescent="0.3">
      <c r="A119" s="11" t="str">
        <f t="shared" si="8"/>
        <v>Rrd</v>
      </c>
      <c r="B119" s="11" t="str">
        <f t="shared" si="9"/>
        <v>Firestorm Ltd V2</v>
      </c>
      <c r="C119" s="11">
        <f t="shared" si="10"/>
        <v>236</v>
      </c>
      <c r="D119" s="11">
        <f t="shared" si="11"/>
        <v>68</v>
      </c>
      <c r="E119" s="11">
        <f t="shared" si="12"/>
        <v>111</v>
      </c>
      <c r="F119" s="38" t="str">
        <f t="shared" si="13"/>
        <v>2014</v>
      </c>
      <c r="G119" s="11" t="str" cm="1">
        <f t="array" ref="G119">gssBoardClass(A119,B119,C119,D119,E119,F119)</f>
        <v>Slalom Medium</v>
      </c>
      <c r="H119" s="39" t="str">
        <f t="shared" si="14"/>
        <v>2014-RR-FIR-111-68-236</v>
      </c>
      <c r="I119" s="42" t="str">
        <f t="shared" si="15"/>
        <v>2014</v>
      </c>
      <c r="J119" s="46" t="s">
        <v>731</v>
      </c>
      <c r="K119" t="s">
        <v>1614</v>
      </c>
      <c r="L119" t="s">
        <v>2141</v>
      </c>
      <c r="M119">
        <v>111</v>
      </c>
      <c r="N119">
        <v>68</v>
      </c>
      <c r="O119">
        <v>236</v>
      </c>
      <c r="R119" t="s">
        <v>2145</v>
      </c>
      <c r="S119" t="s">
        <v>2130</v>
      </c>
      <c r="T119">
        <v>6.6</v>
      </c>
      <c r="U119" t="s">
        <v>2146</v>
      </c>
    </row>
    <row r="120" spans="1:21" x14ac:dyDescent="0.3">
      <c r="A120" s="11" t="str">
        <f t="shared" si="8"/>
        <v>Rrd</v>
      </c>
      <c r="B120" s="11" t="str">
        <f t="shared" si="9"/>
        <v>Firestorm Wood V2</v>
      </c>
      <c r="C120" s="11">
        <f t="shared" si="10"/>
        <v>236</v>
      </c>
      <c r="D120" s="11">
        <f t="shared" si="11"/>
        <v>68</v>
      </c>
      <c r="E120" s="11">
        <f t="shared" si="12"/>
        <v>111</v>
      </c>
      <c r="F120" s="38" t="str">
        <f t="shared" si="13"/>
        <v>2014</v>
      </c>
      <c r="G120" s="11" t="str" cm="1">
        <f t="array" ref="G120">gssBoardClass(A120,B120,C120,D120,E120,F120)</f>
        <v>Slalom Medium</v>
      </c>
      <c r="H120" s="39" t="str">
        <f t="shared" si="14"/>
        <v>2014-RR-FIR-111-68-236</v>
      </c>
      <c r="I120" s="42" t="str">
        <f t="shared" si="15"/>
        <v>2014</v>
      </c>
      <c r="J120" s="46" t="s">
        <v>731</v>
      </c>
      <c r="K120" t="s">
        <v>1614</v>
      </c>
      <c r="L120" t="s">
        <v>2156</v>
      </c>
      <c r="M120">
        <v>111</v>
      </c>
      <c r="N120">
        <v>68</v>
      </c>
      <c r="O120">
        <v>236</v>
      </c>
      <c r="R120" t="s">
        <v>2145</v>
      </c>
      <c r="S120" t="s">
        <v>2130</v>
      </c>
      <c r="T120">
        <v>6.9</v>
      </c>
      <c r="U120" t="s">
        <v>2158</v>
      </c>
    </row>
    <row r="121" spans="1:21" x14ac:dyDescent="0.3">
      <c r="A121" s="11" t="str">
        <f t="shared" si="8"/>
        <v>Rrd</v>
      </c>
      <c r="B121" s="11" t="str">
        <f t="shared" si="9"/>
        <v>Firewave Ltd</v>
      </c>
      <c r="C121" s="11">
        <f t="shared" si="10"/>
        <v>235</v>
      </c>
      <c r="D121" s="11">
        <f t="shared" si="11"/>
        <v>66</v>
      </c>
      <c r="E121" s="11">
        <f t="shared" si="12"/>
        <v>112</v>
      </c>
      <c r="F121" s="38" t="str">
        <f t="shared" si="13"/>
        <v>2014</v>
      </c>
      <c r="G121" s="11" t="str" cm="1">
        <f t="array" ref="G121">gssBoardClass(A121,B121,C121,D121,E121,F121)</f>
        <v>Wave / Freestyle</v>
      </c>
      <c r="H121" s="39" t="str">
        <f t="shared" si="14"/>
        <v>2014-RR-FIR-112-66-235</v>
      </c>
      <c r="I121" s="42" t="str">
        <f t="shared" si="15"/>
        <v>2014</v>
      </c>
      <c r="J121" s="46" t="s">
        <v>731</v>
      </c>
      <c r="K121" t="s">
        <v>1614</v>
      </c>
      <c r="L121" t="s">
        <v>2078</v>
      </c>
      <c r="M121">
        <v>112</v>
      </c>
      <c r="N121">
        <v>66</v>
      </c>
      <c r="O121">
        <v>235</v>
      </c>
      <c r="R121" t="s">
        <v>2088</v>
      </c>
      <c r="S121" t="s">
        <v>2089</v>
      </c>
      <c r="T121">
        <v>7.2</v>
      </c>
      <c r="U121" t="s">
        <v>2090</v>
      </c>
    </row>
    <row r="122" spans="1:21" x14ac:dyDescent="0.3">
      <c r="A122" s="11" t="str">
        <f t="shared" si="8"/>
        <v>Rrd</v>
      </c>
      <c r="B122" s="11" t="str">
        <f t="shared" si="9"/>
        <v>Firewave Wood</v>
      </c>
      <c r="C122" s="11">
        <f t="shared" si="10"/>
        <v>235</v>
      </c>
      <c r="D122" s="11">
        <f t="shared" si="11"/>
        <v>66</v>
      </c>
      <c r="E122" s="11">
        <f t="shared" si="12"/>
        <v>112</v>
      </c>
      <c r="F122" s="38" t="str">
        <f t="shared" si="13"/>
        <v>2014</v>
      </c>
      <c r="G122" s="11" t="str" cm="1">
        <f t="array" ref="G122">gssBoardClass(A122,B122,C122,D122,E122,F122)</f>
        <v>Wave / Freestyle</v>
      </c>
      <c r="H122" s="39" t="str">
        <f t="shared" si="14"/>
        <v>2014-RR-FIR-112-66-235</v>
      </c>
      <c r="I122" s="42" t="str">
        <f t="shared" si="15"/>
        <v>2014</v>
      </c>
      <c r="J122" s="46" t="s">
        <v>731</v>
      </c>
      <c r="K122" t="s">
        <v>1614</v>
      </c>
      <c r="L122" t="s">
        <v>2091</v>
      </c>
      <c r="M122">
        <v>112</v>
      </c>
      <c r="N122">
        <v>66</v>
      </c>
      <c r="O122">
        <v>235</v>
      </c>
      <c r="R122" t="s">
        <v>2088</v>
      </c>
      <c r="S122" t="s">
        <v>2089</v>
      </c>
      <c r="T122">
        <v>7.2</v>
      </c>
      <c r="U122" t="s">
        <v>2096</v>
      </c>
    </row>
    <row r="123" spans="1:21" x14ac:dyDescent="0.3">
      <c r="A123" s="11" t="str">
        <f t="shared" si="8"/>
        <v>Rrd</v>
      </c>
      <c r="B123" s="11" t="str">
        <f t="shared" si="9"/>
        <v>Firemove Ltd V2</v>
      </c>
      <c r="C123" s="11">
        <f t="shared" si="10"/>
        <v>238</v>
      </c>
      <c r="D123" s="11">
        <f t="shared" si="11"/>
        <v>74</v>
      </c>
      <c r="E123" s="11">
        <f t="shared" si="12"/>
        <v>112</v>
      </c>
      <c r="F123" s="38" t="str">
        <f t="shared" si="13"/>
        <v>2014</v>
      </c>
      <c r="G123" s="11" t="str" cm="1">
        <f t="array" ref="G123">gssBoardClass(A123,B123,C123,D123,E123,F123)</f>
        <v>Slalom Medium</v>
      </c>
      <c r="H123" s="39" t="str">
        <f t="shared" si="14"/>
        <v>2014-RR-FIR-112-74-238</v>
      </c>
      <c r="I123" s="42" t="str">
        <f t="shared" si="15"/>
        <v>2014</v>
      </c>
      <c r="J123" s="46" t="s">
        <v>731</v>
      </c>
      <c r="K123" t="s">
        <v>1614</v>
      </c>
      <c r="L123" t="s">
        <v>2162</v>
      </c>
      <c r="M123">
        <v>112</v>
      </c>
      <c r="N123">
        <v>74</v>
      </c>
      <c r="O123">
        <v>238</v>
      </c>
      <c r="R123" t="s">
        <v>2165</v>
      </c>
      <c r="S123" t="s">
        <v>2166</v>
      </c>
      <c r="T123">
        <v>7.5</v>
      </c>
      <c r="U123" t="s">
        <v>2167</v>
      </c>
    </row>
    <row r="124" spans="1:21" x14ac:dyDescent="0.3">
      <c r="A124" s="11" t="str">
        <f t="shared" si="8"/>
        <v>Rrd</v>
      </c>
      <c r="B124" s="11" t="str">
        <f t="shared" si="9"/>
        <v>Firemove Wood V2</v>
      </c>
      <c r="C124" s="11">
        <f t="shared" si="10"/>
        <v>238</v>
      </c>
      <c r="D124" s="11">
        <f t="shared" si="11"/>
        <v>74</v>
      </c>
      <c r="E124" s="11">
        <f t="shared" si="12"/>
        <v>112</v>
      </c>
      <c r="F124" s="38" t="str">
        <f t="shared" si="13"/>
        <v>2014</v>
      </c>
      <c r="G124" s="11" t="str" cm="1">
        <f t="array" ref="G124">gssBoardClass(A124,B124,C124,D124,E124,F124)</f>
        <v>Slalom Medium</v>
      </c>
      <c r="H124" s="39" t="str">
        <f t="shared" si="14"/>
        <v>2014-RR-FIR-112-74-238</v>
      </c>
      <c r="I124" s="42" t="str">
        <f t="shared" si="15"/>
        <v>2014</v>
      </c>
      <c r="J124" s="46" t="s">
        <v>731</v>
      </c>
      <c r="K124" t="s">
        <v>1614</v>
      </c>
      <c r="L124" t="s">
        <v>2177</v>
      </c>
      <c r="M124">
        <v>112</v>
      </c>
      <c r="N124">
        <v>74</v>
      </c>
      <c r="O124">
        <v>238</v>
      </c>
      <c r="R124" t="s">
        <v>2165</v>
      </c>
      <c r="S124" t="s">
        <v>2166</v>
      </c>
      <c r="T124">
        <v>8.3000000000000007</v>
      </c>
      <c r="U124" t="s">
        <v>2179</v>
      </c>
    </row>
    <row r="125" spans="1:21" x14ac:dyDescent="0.3">
      <c r="A125" s="11" t="str">
        <f t="shared" si="8"/>
        <v>Rrd</v>
      </c>
      <c r="B125" s="11" t="str">
        <f t="shared" si="9"/>
        <v>Firemove E-Tech V2</v>
      </c>
      <c r="C125" s="11">
        <f t="shared" si="10"/>
        <v>238</v>
      </c>
      <c r="D125" s="11">
        <f t="shared" si="11"/>
        <v>74</v>
      </c>
      <c r="E125" s="11">
        <f t="shared" si="12"/>
        <v>112</v>
      </c>
      <c r="F125" s="38" t="str">
        <f t="shared" si="13"/>
        <v>2014</v>
      </c>
      <c r="G125" s="11" t="str" cm="1">
        <f t="array" ref="G125">gssBoardClass(A125,B125,C125,D125,E125,F125)</f>
        <v>Slalom Medium</v>
      </c>
      <c r="H125" s="39" t="str">
        <f t="shared" si="14"/>
        <v>2014-RR-FIR-112-74-238</v>
      </c>
      <c r="I125" s="42" t="str">
        <f t="shared" si="15"/>
        <v>2014</v>
      </c>
      <c r="J125" s="46" t="s">
        <v>731</v>
      </c>
      <c r="K125" t="s">
        <v>1614</v>
      </c>
      <c r="L125" t="s">
        <v>2183</v>
      </c>
      <c r="M125">
        <v>112</v>
      </c>
      <c r="N125">
        <v>74</v>
      </c>
      <c r="O125">
        <v>238</v>
      </c>
      <c r="R125" t="s">
        <v>2184</v>
      </c>
      <c r="S125" t="s">
        <v>2166</v>
      </c>
      <c r="T125">
        <v>8.8000000000000007</v>
      </c>
      <c r="U125" t="s">
        <v>2186</v>
      </c>
    </row>
    <row r="126" spans="1:21" x14ac:dyDescent="0.3">
      <c r="A126" s="11" t="str">
        <f t="shared" si="8"/>
        <v>Rrd</v>
      </c>
      <c r="B126" s="11" t="str">
        <f t="shared" si="9"/>
        <v>Firestorm Ltd V2</v>
      </c>
      <c r="C126" s="11">
        <f t="shared" si="10"/>
        <v>238</v>
      </c>
      <c r="D126" s="11">
        <f t="shared" si="11"/>
        <v>72</v>
      </c>
      <c r="E126" s="11">
        <f t="shared" si="12"/>
        <v>120</v>
      </c>
      <c r="F126" s="38" t="str">
        <f t="shared" si="13"/>
        <v>2014</v>
      </c>
      <c r="G126" s="11" t="str" cm="1">
        <f t="array" ref="G126">gssBoardClass(A126,B126,C126,D126,E126,F126)</f>
        <v>Slalom Medium</v>
      </c>
      <c r="H126" s="39" t="str">
        <f t="shared" si="14"/>
        <v>2014-RR-FIR-120-72-238</v>
      </c>
      <c r="I126" s="42" t="str">
        <f t="shared" si="15"/>
        <v>2014</v>
      </c>
      <c r="J126" s="46" t="s">
        <v>731</v>
      </c>
      <c r="K126" t="s">
        <v>1614</v>
      </c>
      <c r="L126" t="s">
        <v>2141</v>
      </c>
      <c r="M126">
        <v>120</v>
      </c>
      <c r="N126">
        <v>72</v>
      </c>
      <c r="O126">
        <v>238</v>
      </c>
      <c r="R126" t="s">
        <v>2147</v>
      </c>
      <c r="S126" t="s">
        <v>2148</v>
      </c>
      <c r="T126">
        <v>6.9</v>
      </c>
      <c r="U126" t="s">
        <v>2149</v>
      </c>
    </row>
    <row r="127" spans="1:21" x14ac:dyDescent="0.3">
      <c r="A127" s="11" t="str">
        <f t="shared" si="8"/>
        <v>Rrd</v>
      </c>
      <c r="B127" s="11" t="str">
        <f t="shared" si="9"/>
        <v>Firestorm Wood V2</v>
      </c>
      <c r="C127" s="11">
        <f t="shared" si="10"/>
        <v>238</v>
      </c>
      <c r="D127" s="11">
        <f t="shared" si="11"/>
        <v>72</v>
      </c>
      <c r="E127" s="11">
        <f t="shared" si="12"/>
        <v>120</v>
      </c>
      <c r="F127" s="38" t="str">
        <f t="shared" si="13"/>
        <v>2014</v>
      </c>
      <c r="G127" s="11" t="str" cm="1">
        <f t="array" ref="G127">gssBoardClass(A127,B127,C127,D127,E127,F127)</f>
        <v>Slalom Medium</v>
      </c>
      <c r="H127" s="39" t="str">
        <f t="shared" si="14"/>
        <v>2014-RR-FIR-120-72-238</v>
      </c>
      <c r="I127" s="42" t="str">
        <f t="shared" si="15"/>
        <v>2014</v>
      </c>
      <c r="J127" s="46" t="s">
        <v>731</v>
      </c>
      <c r="K127" t="s">
        <v>1614</v>
      </c>
      <c r="L127" t="s">
        <v>2156</v>
      </c>
      <c r="M127">
        <v>120</v>
      </c>
      <c r="N127">
        <v>72</v>
      </c>
      <c r="O127">
        <v>238</v>
      </c>
      <c r="R127" t="s">
        <v>2147</v>
      </c>
      <c r="S127" t="s">
        <v>2148</v>
      </c>
      <c r="T127">
        <v>7.2</v>
      </c>
      <c r="U127" t="s">
        <v>2159</v>
      </c>
    </row>
    <row r="128" spans="1:21" x14ac:dyDescent="0.3">
      <c r="A128" s="11" t="str">
        <f t="shared" si="8"/>
        <v>Rrd</v>
      </c>
      <c r="B128" s="11" t="str">
        <f t="shared" si="9"/>
        <v>Firemove Ltd V2</v>
      </c>
      <c r="C128" s="11">
        <f t="shared" si="10"/>
        <v>238</v>
      </c>
      <c r="D128" s="11">
        <f t="shared" si="11"/>
        <v>79</v>
      </c>
      <c r="E128" s="11">
        <f t="shared" si="12"/>
        <v>122</v>
      </c>
      <c r="F128" s="38" t="str">
        <f t="shared" si="13"/>
        <v>2014</v>
      </c>
      <c r="G128" s="11" t="str" cm="1">
        <f t="array" ref="G128">gssBoardClass(A128,B128,C128,D128,E128,F128)</f>
        <v>Slalom Large</v>
      </c>
      <c r="H128" s="39" t="str">
        <f t="shared" si="14"/>
        <v>2014-RR-FIR-122-79-238</v>
      </c>
      <c r="I128" s="42" t="str">
        <f t="shared" si="15"/>
        <v>2014</v>
      </c>
      <c r="J128" s="46" t="s">
        <v>731</v>
      </c>
      <c r="K128" t="s">
        <v>1614</v>
      </c>
      <c r="L128" t="s">
        <v>2162</v>
      </c>
      <c r="M128">
        <v>122</v>
      </c>
      <c r="N128">
        <v>79</v>
      </c>
      <c r="O128">
        <v>238</v>
      </c>
      <c r="R128" t="s">
        <v>2168</v>
      </c>
      <c r="S128" t="s">
        <v>2169</v>
      </c>
      <c r="T128">
        <v>7.9</v>
      </c>
      <c r="U128" t="s">
        <v>2170</v>
      </c>
    </row>
    <row r="129" spans="1:21" x14ac:dyDescent="0.3">
      <c r="A129" s="11" t="str">
        <f t="shared" si="8"/>
        <v>Rrd</v>
      </c>
      <c r="B129" s="11" t="str">
        <f t="shared" si="9"/>
        <v>Firemove Wood V2</v>
      </c>
      <c r="C129" s="11">
        <f t="shared" si="10"/>
        <v>238</v>
      </c>
      <c r="D129" s="11">
        <f t="shared" si="11"/>
        <v>79</v>
      </c>
      <c r="E129" s="11">
        <f t="shared" si="12"/>
        <v>122</v>
      </c>
      <c r="F129" s="38" t="str">
        <f t="shared" si="13"/>
        <v>2014</v>
      </c>
      <c r="G129" s="11" t="str" cm="1">
        <f t="array" ref="G129">gssBoardClass(A129,B129,C129,D129,E129,F129)</f>
        <v>Slalom Large</v>
      </c>
      <c r="H129" s="39" t="str">
        <f t="shared" si="14"/>
        <v>2014-RR-FIR-122-79-238</v>
      </c>
      <c r="I129" s="42" t="str">
        <f t="shared" si="15"/>
        <v>2014</v>
      </c>
      <c r="J129" s="46" t="s">
        <v>731</v>
      </c>
      <c r="K129" t="s">
        <v>1614</v>
      </c>
      <c r="L129" t="s">
        <v>2177</v>
      </c>
      <c r="M129">
        <v>122</v>
      </c>
      <c r="N129">
        <v>79</v>
      </c>
      <c r="O129">
        <v>238</v>
      </c>
      <c r="R129" t="s">
        <v>2168</v>
      </c>
      <c r="S129" t="s">
        <v>2169</v>
      </c>
      <c r="T129">
        <v>8.6</v>
      </c>
      <c r="U129" t="s">
        <v>2180</v>
      </c>
    </row>
    <row r="130" spans="1:21" x14ac:dyDescent="0.3">
      <c r="A130" s="11" t="str">
        <f t="shared" ref="A130:A193" si="16">PROPER(K130)</f>
        <v>Rrd</v>
      </c>
      <c r="B130" s="11" t="str">
        <f t="shared" ref="B130:B193" si="17">TRIM(PROPER(LEFT(L130,IFERROR(FIND(" ",L130),99))&amp;MID(L130,IFERROR(FIND(" ",L130),99),99)))</f>
        <v>Firemove E-Tech V2</v>
      </c>
      <c r="C130" s="11">
        <f t="shared" ref="C130:C193" si="18">TRUNC(O130)</f>
        <v>238</v>
      </c>
      <c r="D130" s="11">
        <f t="shared" ref="D130:D193" si="19">TRUNC(N130)</f>
        <v>79</v>
      </c>
      <c r="E130" s="11">
        <f t="shared" ref="E130:E193" si="20">M130</f>
        <v>122</v>
      </c>
      <c r="F130" s="38" t="str">
        <f t="shared" ref="F130:F193" si="21">I130</f>
        <v>2014</v>
      </c>
      <c r="G130" s="11" t="str" cm="1">
        <f t="array" ref="G130">gssBoardClass(A130,B130,C130,D130,E130,F130)</f>
        <v>Slalom Large</v>
      </c>
      <c r="H130" s="39" t="str">
        <f t="shared" ref="H130:H193" si="22">_xlfn.CONCAT(I130,"-",LEFT(K130,2),"-",LEFT(L130,3),"-",M130,"-",TRUNC(N130),"-",TRUNC(O130))</f>
        <v>2014-RR-FIR-122-79-238</v>
      </c>
      <c r="I130" s="42" t="str">
        <f t="shared" ref="I130:I193" si="23">LEFT(J130,4)</f>
        <v>2014</v>
      </c>
      <c r="J130" s="46" t="s">
        <v>731</v>
      </c>
      <c r="K130" t="s">
        <v>1614</v>
      </c>
      <c r="L130" t="s">
        <v>2183</v>
      </c>
      <c r="M130">
        <v>122</v>
      </c>
      <c r="N130">
        <v>79</v>
      </c>
      <c r="O130">
        <v>238</v>
      </c>
      <c r="R130" t="s">
        <v>2187</v>
      </c>
      <c r="S130" t="s">
        <v>2169</v>
      </c>
      <c r="T130">
        <v>9.1999999999999993</v>
      </c>
      <c r="U130" t="s">
        <v>2188</v>
      </c>
    </row>
    <row r="131" spans="1:21" x14ac:dyDescent="0.3">
      <c r="A131" s="11" t="str">
        <f t="shared" si="16"/>
        <v>Rrd</v>
      </c>
      <c r="B131" s="11" t="str">
        <f t="shared" si="17"/>
        <v>Firestorm Wood V2</v>
      </c>
      <c r="C131" s="11">
        <f t="shared" si="18"/>
        <v>239</v>
      </c>
      <c r="D131" s="11">
        <f t="shared" si="19"/>
        <v>75</v>
      </c>
      <c r="E131" s="11">
        <f t="shared" si="20"/>
        <v>129</v>
      </c>
      <c r="F131" s="38" t="str">
        <f t="shared" si="21"/>
        <v>2014</v>
      </c>
      <c r="G131" s="11" t="str" cm="1">
        <f t="array" ref="G131">gssBoardClass(A131,B131,C131,D131,E131,F131)</f>
        <v>Slalom Large</v>
      </c>
      <c r="H131" s="39" t="str">
        <f t="shared" si="22"/>
        <v>2014-RR-FIR-129-75-239</v>
      </c>
      <c r="I131" s="42" t="str">
        <f t="shared" si="23"/>
        <v>2014</v>
      </c>
      <c r="J131" s="46" t="s">
        <v>731</v>
      </c>
      <c r="K131" t="s">
        <v>1614</v>
      </c>
      <c r="L131" t="s">
        <v>2156</v>
      </c>
      <c r="M131">
        <v>129</v>
      </c>
      <c r="N131">
        <v>75</v>
      </c>
      <c r="O131">
        <v>239</v>
      </c>
      <c r="R131" t="s">
        <v>2150</v>
      </c>
      <c r="S131" t="s">
        <v>2151</v>
      </c>
      <c r="T131">
        <v>7.3</v>
      </c>
      <c r="U131" t="s">
        <v>2160</v>
      </c>
    </row>
    <row r="132" spans="1:21" x14ac:dyDescent="0.3">
      <c r="A132" s="11" t="str">
        <f t="shared" si="16"/>
        <v>Rrd</v>
      </c>
      <c r="B132" s="11" t="str">
        <f t="shared" si="17"/>
        <v>Firestorm Ltd V2</v>
      </c>
      <c r="C132" s="11">
        <f t="shared" si="18"/>
        <v>240</v>
      </c>
      <c r="D132" s="11">
        <f t="shared" si="19"/>
        <v>75</v>
      </c>
      <c r="E132" s="11">
        <f t="shared" si="20"/>
        <v>129</v>
      </c>
      <c r="F132" s="38" t="str">
        <f t="shared" si="21"/>
        <v>2014</v>
      </c>
      <c r="G132" s="11" t="str" cm="1">
        <f t="array" ref="G132">gssBoardClass(A132,B132,C132,D132,E132,F132)</f>
        <v>Slalom Large</v>
      </c>
      <c r="H132" s="39" t="str">
        <f t="shared" si="22"/>
        <v>2014-RR-FIR-129-75-240</v>
      </c>
      <c r="I132" s="42" t="str">
        <f t="shared" si="23"/>
        <v>2014</v>
      </c>
      <c r="J132" s="46" t="s">
        <v>731</v>
      </c>
      <c r="K132" t="s">
        <v>1614</v>
      </c>
      <c r="L132" t="s">
        <v>2141</v>
      </c>
      <c r="M132">
        <v>129</v>
      </c>
      <c r="N132">
        <v>75</v>
      </c>
      <c r="O132">
        <v>240</v>
      </c>
      <c r="R132" t="s">
        <v>2150</v>
      </c>
      <c r="S132" t="s">
        <v>2151</v>
      </c>
      <c r="T132">
        <v>7.15</v>
      </c>
      <c r="U132" t="s">
        <v>2152</v>
      </c>
    </row>
    <row r="133" spans="1:21" x14ac:dyDescent="0.3">
      <c r="A133" s="11" t="str">
        <f t="shared" si="16"/>
        <v>Rrd</v>
      </c>
      <c r="B133" s="11" t="str">
        <f t="shared" si="17"/>
        <v>Firemove Ltd V2</v>
      </c>
      <c r="C133" s="11">
        <f t="shared" si="18"/>
        <v>236</v>
      </c>
      <c r="D133" s="11">
        <f t="shared" si="19"/>
        <v>85</v>
      </c>
      <c r="E133" s="11">
        <f t="shared" si="20"/>
        <v>130</v>
      </c>
      <c r="F133" s="38" t="str">
        <f t="shared" si="21"/>
        <v>2014</v>
      </c>
      <c r="G133" s="11" t="str" cm="1">
        <f t="array" ref="G133">gssBoardClass(A133,B133,C133,D133,E133,F133)</f>
        <v>Slalom Large</v>
      </c>
      <c r="H133" s="39" t="str">
        <f t="shared" si="22"/>
        <v>2014-RR-FIR-130-85-236</v>
      </c>
      <c r="I133" s="42" t="str">
        <f t="shared" si="23"/>
        <v>2014</v>
      </c>
      <c r="J133" s="46" t="s">
        <v>731</v>
      </c>
      <c r="K133" t="s">
        <v>1614</v>
      </c>
      <c r="L133" t="s">
        <v>2162</v>
      </c>
      <c r="M133">
        <v>130</v>
      </c>
      <c r="N133">
        <v>85</v>
      </c>
      <c r="O133">
        <v>236</v>
      </c>
      <c r="R133" t="s">
        <v>2171</v>
      </c>
      <c r="S133" t="s">
        <v>2172</v>
      </c>
      <c r="T133">
        <v>8.6</v>
      </c>
      <c r="U133" t="s">
        <v>2173</v>
      </c>
    </row>
    <row r="134" spans="1:21" x14ac:dyDescent="0.3">
      <c r="A134" s="11" t="str">
        <f t="shared" si="16"/>
        <v>Rrd</v>
      </c>
      <c r="B134" s="11" t="str">
        <f t="shared" si="17"/>
        <v>Firemove Wood V2</v>
      </c>
      <c r="C134" s="11">
        <f t="shared" si="18"/>
        <v>236</v>
      </c>
      <c r="D134" s="11">
        <f t="shared" si="19"/>
        <v>85</v>
      </c>
      <c r="E134" s="11">
        <f t="shared" si="20"/>
        <v>130</v>
      </c>
      <c r="F134" s="38" t="str">
        <f t="shared" si="21"/>
        <v>2014</v>
      </c>
      <c r="G134" s="11" t="str" cm="1">
        <f t="array" ref="G134">gssBoardClass(A134,B134,C134,D134,E134,F134)</f>
        <v>Slalom Large</v>
      </c>
      <c r="H134" s="39" t="str">
        <f t="shared" si="22"/>
        <v>2014-RR-FIR-130-85-236</v>
      </c>
      <c r="I134" s="42" t="str">
        <f t="shared" si="23"/>
        <v>2014</v>
      </c>
      <c r="J134" s="46" t="s">
        <v>731</v>
      </c>
      <c r="K134" t="s">
        <v>1614</v>
      </c>
      <c r="L134" t="s">
        <v>2177</v>
      </c>
      <c r="M134">
        <v>130</v>
      </c>
      <c r="N134">
        <v>85</v>
      </c>
      <c r="O134">
        <v>236</v>
      </c>
      <c r="R134" t="s">
        <v>2171</v>
      </c>
      <c r="S134" t="s">
        <v>2172</v>
      </c>
      <c r="T134">
        <v>9.3000000000000007</v>
      </c>
      <c r="U134" t="s">
        <v>2181</v>
      </c>
    </row>
    <row r="135" spans="1:21" x14ac:dyDescent="0.3">
      <c r="A135" s="11" t="str">
        <f t="shared" si="16"/>
        <v>Rrd</v>
      </c>
      <c r="B135" s="11" t="str">
        <f t="shared" si="17"/>
        <v>Firemove E-Tech V2</v>
      </c>
      <c r="C135" s="11">
        <f t="shared" si="18"/>
        <v>236</v>
      </c>
      <c r="D135" s="11">
        <f t="shared" si="19"/>
        <v>85</v>
      </c>
      <c r="E135" s="11">
        <f t="shared" si="20"/>
        <v>130</v>
      </c>
      <c r="F135" s="38" t="str">
        <f t="shared" si="21"/>
        <v>2014</v>
      </c>
      <c r="G135" s="11" t="str" cm="1">
        <f t="array" ref="G135">gssBoardClass(A135,B135,C135,D135,E135,F135)</f>
        <v>Slalom Large</v>
      </c>
      <c r="H135" s="39" t="str">
        <f t="shared" si="22"/>
        <v>2014-RR-FIR-130-85-236</v>
      </c>
      <c r="I135" s="42" t="str">
        <f t="shared" si="23"/>
        <v>2014</v>
      </c>
      <c r="J135" s="46" t="s">
        <v>731</v>
      </c>
      <c r="K135" t="s">
        <v>1614</v>
      </c>
      <c r="L135" t="s">
        <v>2183</v>
      </c>
      <c r="M135">
        <v>130</v>
      </c>
      <c r="N135">
        <v>85</v>
      </c>
      <c r="O135">
        <v>236</v>
      </c>
      <c r="R135" t="s">
        <v>2189</v>
      </c>
      <c r="S135" t="s">
        <v>2172</v>
      </c>
      <c r="T135">
        <v>10.5</v>
      </c>
      <c r="U135" t="s">
        <v>2190</v>
      </c>
    </row>
    <row r="136" spans="1:21" x14ac:dyDescent="0.3">
      <c r="A136" s="11" t="str">
        <f t="shared" si="16"/>
        <v>Rrd</v>
      </c>
      <c r="B136" s="11" t="str">
        <f t="shared" si="17"/>
        <v>Firestorm Ltd V2</v>
      </c>
      <c r="C136" s="11">
        <f t="shared" si="18"/>
        <v>240</v>
      </c>
      <c r="D136" s="11">
        <f t="shared" si="19"/>
        <v>77</v>
      </c>
      <c r="E136" s="11">
        <f t="shared" si="20"/>
        <v>138</v>
      </c>
      <c r="F136" s="38" t="str">
        <f t="shared" si="21"/>
        <v>2014</v>
      </c>
      <c r="G136" s="11" t="str" cm="1">
        <f t="array" ref="G136">gssBoardClass(A136,B136,C136,D136,E136,F136)</f>
        <v>Slalom Large</v>
      </c>
      <c r="H136" s="39" t="str">
        <f t="shared" si="22"/>
        <v>2014-RR-FIR-138-77-240</v>
      </c>
      <c r="I136" s="42" t="str">
        <f t="shared" si="23"/>
        <v>2014</v>
      </c>
      <c r="J136" s="46" t="s">
        <v>731</v>
      </c>
      <c r="K136" t="s">
        <v>1614</v>
      </c>
      <c r="L136" t="s">
        <v>2141</v>
      </c>
      <c r="M136">
        <v>138</v>
      </c>
      <c r="N136">
        <v>77</v>
      </c>
      <c r="O136">
        <v>240</v>
      </c>
      <c r="R136" t="s">
        <v>2153</v>
      </c>
      <c r="S136" t="s">
        <v>2154</v>
      </c>
      <c r="T136">
        <v>7.3</v>
      </c>
      <c r="U136" t="s">
        <v>2155</v>
      </c>
    </row>
    <row r="137" spans="1:21" x14ac:dyDescent="0.3">
      <c r="A137" s="11" t="str">
        <f t="shared" si="16"/>
        <v>Rrd</v>
      </c>
      <c r="B137" s="11" t="str">
        <f t="shared" si="17"/>
        <v>Firestorm Wood V2</v>
      </c>
      <c r="C137" s="11">
        <f t="shared" si="18"/>
        <v>240</v>
      </c>
      <c r="D137" s="11">
        <f t="shared" si="19"/>
        <v>77</v>
      </c>
      <c r="E137" s="11">
        <f t="shared" si="20"/>
        <v>138</v>
      </c>
      <c r="F137" s="38" t="str">
        <f t="shared" si="21"/>
        <v>2014</v>
      </c>
      <c r="G137" s="11" t="str" cm="1">
        <f t="array" ref="G137">gssBoardClass(A137,B137,C137,D137,E137,F137)</f>
        <v>Slalom Large</v>
      </c>
      <c r="H137" s="39" t="str">
        <f t="shared" si="22"/>
        <v>2014-RR-FIR-138-77-240</v>
      </c>
      <c r="I137" s="42" t="str">
        <f t="shared" si="23"/>
        <v>2014</v>
      </c>
      <c r="J137" s="46" t="s">
        <v>731</v>
      </c>
      <c r="K137" t="s">
        <v>1614</v>
      </c>
      <c r="L137" t="s">
        <v>2156</v>
      </c>
      <c r="M137">
        <v>138</v>
      </c>
      <c r="N137">
        <v>77</v>
      </c>
      <c r="O137">
        <v>240</v>
      </c>
      <c r="R137" t="s">
        <v>2153</v>
      </c>
      <c r="S137" t="s">
        <v>2154</v>
      </c>
      <c r="T137">
        <v>7.5</v>
      </c>
      <c r="U137" t="s">
        <v>2161</v>
      </c>
    </row>
    <row r="138" spans="1:21" x14ac:dyDescent="0.3">
      <c r="A138" s="11" t="str">
        <f t="shared" si="16"/>
        <v>Rrd</v>
      </c>
      <c r="B138" s="11" t="str">
        <f t="shared" si="17"/>
        <v>Firemove Ltd V2</v>
      </c>
      <c r="C138" s="11">
        <f t="shared" si="18"/>
        <v>238</v>
      </c>
      <c r="D138" s="11">
        <f t="shared" si="19"/>
        <v>90</v>
      </c>
      <c r="E138" s="11">
        <f t="shared" si="20"/>
        <v>140</v>
      </c>
      <c r="F138" s="38" t="str">
        <f t="shared" si="21"/>
        <v>2014</v>
      </c>
      <c r="G138" s="11" t="str" cm="1">
        <f t="array" ref="G138">gssBoardClass(A138,B138,C138,D138,E138,F138)</f>
        <v>Slalom Xtra Large</v>
      </c>
      <c r="H138" s="39" t="str">
        <f t="shared" si="22"/>
        <v>2014-RR-FIR-140-90-238</v>
      </c>
      <c r="I138" s="42" t="str">
        <f t="shared" si="23"/>
        <v>2014</v>
      </c>
      <c r="J138" s="46" t="s">
        <v>731</v>
      </c>
      <c r="K138" t="s">
        <v>1614</v>
      </c>
      <c r="L138" t="s">
        <v>2162</v>
      </c>
      <c r="M138">
        <v>140</v>
      </c>
      <c r="N138">
        <v>90</v>
      </c>
      <c r="O138">
        <v>238</v>
      </c>
      <c r="R138" t="s">
        <v>2174</v>
      </c>
      <c r="S138" t="s">
        <v>2175</v>
      </c>
      <c r="T138">
        <v>9.1999999999999993</v>
      </c>
      <c r="U138" t="s">
        <v>2176</v>
      </c>
    </row>
    <row r="139" spans="1:21" x14ac:dyDescent="0.3">
      <c r="A139" s="11" t="str">
        <f t="shared" si="16"/>
        <v>Rrd</v>
      </c>
      <c r="B139" s="11" t="str">
        <f t="shared" si="17"/>
        <v>Firemove Wood V2</v>
      </c>
      <c r="C139" s="11">
        <f t="shared" si="18"/>
        <v>238</v>
      </c>
      <c r="D139" s="11">
        <f t="shared" si="19"/>
        <v>90</v>
      </c>
      <c r="E139" s="11">
        <f t="shared" si="20"/>
        <v>140</v>
      </c>
      <c r="F139" s="38" t="str">
        <f t="shared" si="21"/>
        <v>2014</v>
      </c>
      <c r="G139" s="11" t="str" cm="1">
        <f t="array" ref="G139">gssBoardClass(A139,B139,C139,D139,E139,F139)</f>
        <v>Slalom Xtra Large</v>
      </c>
      <c r="H139" s="39" t="str">
        <f t="shared" si="22"/>
        <v>2014-RR-FIR-140-90-238</v>
      </c>
      <c r="I139" s="42" t="str">
        <f t="shared" si="23"/>
        <v>2014</v>
      </c>
      <c r="J139" s="46" t="s">
        <v>731</v>
      </c>
      <c r="K139" t="s">
        <v>1614</v>
      </c>
      <c r="L139" t="s">
        <v>2177</v>
      </c>
      <c r="M139">
        <v>140</v>
      </c>
      <c r="N139">
        <v>90</v>
      </c>
      <c r="O139">
        <v>238</v>
      </c>
      <c r="R139" t="s">
        <v>2174</v>
      </c>
      <c r="S139" t="s">
        <v>2175</v>
      </c>
      <c r="T139">
        <v>9.9</v>
      </c>
      <c r="U139" t="s">
        <v>2182</v>
      </c>
    </row>
    <row r="140" spans="1:21" x14ac:dyDescent="0.3">
      <c r="A140" s="11" t="str">
        <f t="shared" si="16"/>
        <v>Rrd</v>
      </c>
      <c r="B140" s="11" t="str">
        <f t="shared" si="17"/>
        <v>Firemove E-Tech V2</v>
      </c>
      <c r="C140" s="11">
        <f t="shared" si="18"/>
        <v>238</v>
      </c>
      <c r="D140" s="11">
        <f t="shared" si="19"/>
        <v>90</v>
      </c>
      <c r="E140" s="11">
        <f t="shared" si="20"/>
        <v>140</v>
      </c>
      <c r="F140" s="38" t="str">
        <f t="shared" si="21"/>
        <v>2014</v>
      </c>
      <c r="G140" s="11" t="str" cm="1">
        <f t="array" ref="G140">gssBoardClass(A140,B140,C140,D140,E140,F140)</f>
        <v>Slalom Xtra Large</v>
      </c>
      <c r="H140" s="39" t="str">
        <f t="shared" si="22"/>
        <v>2014-RR-FIR-140-90-238</v>
      </c>
      <c r="I140" s="42" t="str">
        <f t="shared" si="23"/>
        <v>2014</v>
      </c>
      <c r="J140" s="46" t="s">
        <v>731</v>
      </c>
      <c r="K140" t="s">
        <v>1614</v>
      </c>
      <c r="L140" t="s">
        <v>2183</v>
      </c>
      <c r="M140">
        <v>140</v>
      </c>
      <c r="N140">
        <v>90</v>
      </c>
      <c r="O140">
        <v>238</v>
      </c>
      <c r="R140" t="s">
        <v>2191</v>
      </c>
      <c r="S140" t="s">
        <v>2175</v>
      </c>
      <c r="T140">
        <v>11</v>
      </c>
      <c r="U140" t="s">
        <v>2192</v>
      </c>
    </row>
    <row r="141" spans="1:21" x14ac:dyDescent="0.3">
      <c r="A141" s="11" t="str">
        <f t="shared" si="16"/>
        <v>Rrd</v>
      </c>
      <c r="B141" s="11" t="str">
        <f t="shared" si="17"/>
        <v>Firewave Ltd</v>
      </c>
      <c r="C141" s="11">
        <f t="shared" si="18"/>
        <v>233</v>
      </c>
      <c r="D141" s="11">
        <f t="shared" si="19"/>
        <v>58</v>
      </c>
      <c r="E141" s="11">
        <f t="shared" si="20"/>
        <v>74</v>
      </c>
      <c r="F141" s="38" t="str">
        <f t="shared" si="21"/>
        <v>2014</v>
      </c>
      <c r="G141" s="11" t="str" cm="1">
        <f t="array" ref="G141">gssBoardClass(A141,B141,C141,D141,E141,F141)</f>
        <v>Wave / Freestyle</v>
      </c>
      <c r="H141" s="39" t="str">
        <f t="shared" si="22"/>
        <v>2014-RR-FIR-74-58-233</v>
      </c>
      <c r="I141" s="42" t="str">
        <f t="shared" si="23"/>
        <v>2014</v>
      </c>
      <c r="J141" s="46" t="s">
        <v>731</v>
      </c>
      <c r="K141" t="s">
        <v>1614</v>
      </c>
      <c r="L141" t="s">
        <v>2078</v>
      </c>
      <c r="M141">
        <v>74</v>
      </c>
      <c r="N141">
        <v>58</v>
      </c>
      <c r="O141">
        <v>233</v>
      </c>
      <c r="R141" t="s">
        <v>2079</v>
      </c>
      <c r="S141" t="s">
        <v>2080</v>
      </c>
      <c r="T141">
        <v>6.2</v>
      </c>
      <c r="U141" t="s">
        <v>2081</v>
      </c>
    </row>
    <row r="142" spans="1:21" x14ac:dyDescent="0.3">
      <c r="A142" s="11" t="str">
        <f t="shared" si="16"/>
        <v>Rrd</v>
      </c>
      <c r="B142" s="11" t="str">
        <f t="shared" si="17"/>
        <v>Firewave Wood</v>
      </c>
      <c r="C142" s="11">
        <f t="shared" si="18"/>
        <v>233</v>
      </c>
      <c r="D142" s="11">
        <f t="shared" si="19"/>
        <v>58</v>
      </c>
      <c r="E142" s="11">
        <f t="shared" si="20"/>
        <v>74</v>
      </c>
      <c r="F142" s="38" t="str">
        <f t="shared" si="21"/>
        <v>2014</v>
      </c>
      <c r="G142" s="11" t="str" cm="1">
        <f t="array" ref="G142">gssBoardClass(A142,B142,C142,D142,E142,F142)</f>
        <v>Wave / Freestyle</v>
      </c>
      <c r="H142" s="39" t="str">
        <f t="shared" si="22"/>
        <v>2014-RR-FIR-74-58-233</v>
      </c>
      <c r="I142" s="42" t="str">
        <f t="shared" si="23"/>
        <v>2014</v>
      </c>
      <c r="J142" s="46" t="s">
        <v>731</v>
      </c>
      <c r="K142" t="s">
        <v>1614</v>
      </c>
      <c r="L142" t="s">
        <v>2091</v>
      </c>
      <c r="M142">
        <v>74</v>
      </c>
      <c r="N142">
        <v>58</v>
      </c>
      <c r="O142">
        <v>233</v>
      </c>
      <c r="R142" t="s">
        <v>2079</v>
      </c>
      <c r="S142" t="s">
        <v>2080</v>
      </c>
      <c r="T142">
        <v>6.2</v>
      </c>
      <c r="U142" t="s">
        <v>2092</v>
      </c>
    </row>
    <row r="143" spans="1:21" x14ac:dyDescent="0.3">
      <c r="A143" s="11" t="str">
        <f t="shared" si="16"/>
        <v>Rrd</v>
      </c>
      <c r="B143" s="11" t="str">
        <f t="shared" si="17"/>
        <v>Firewave Ltd</v>
      </c>
      <c r="C143" s="11">
        <f t="shared" si="18"/>
        <v>233</v>
      </c>
      <c r="D143" s="11">
        <f t="shared" si="19"/>
        <v>60</v>
      </c>
      <c r="E143" s="11">
        <f t="shared" si="20"/>
        <v>82</v>
      </c>
      <c r="F143" s="38" t="str">
        <f t="shared" si="21"/>
        <v>2014</v>
      </c>
      <c r="G143" s="11" t="str" cm="1">
        <f t="array" ref="G143">gssBoardClass(A143,B143,C143,D143,E143,F143)</f>
        <v>Wave / Freestyle</v>
      </c>
      <c r="H143" s="39" t="str">
        <f t="shared" si="22"/>
        <v>2014-RR-FIR-82-60-233</v>
      </c>
      <c r="I143" s="42" t="str">
        <f t="shared" si="23"/>
        <v>2014</v>
      </c>
      <c r="J143" s="46" t="s">
        <v>731</v>
      </c>
      <c r="K143" t="s">
        <v>1614</v>
      </c>
      <c r="L143" t="s">
        <v>2078</v>
      </c>
      <c r="M143">
        <v>82</v>
      </c>
      <c r="N143">
        <v>60</v>
      </c>
      <c r="O143">
        <v>233</v>
      </c>
      <c r="R143" t="s">
        <v>2082</v>
      </c>
      <c r="S143" t="s">
        <v>2059</v>
      </c>
      <c r="T143">
        <v>6.5</v>
      </c>
      <c r="U143" t="s">
        <v>2083</v>
      </c>
    </row>
    <row r="144" spans="1:21" x14ac:dyDescent="0.3">
      <c r="A144" s="11" t="str">
        <f t="shared" si="16"/>
        <v>Rrd</v>
      </c>
      <c r="B144" s="11" t="str">
        <f t="shared" si="17"/>
        <v>Firewave Wood</v>
      </c>
      <c r="C144" s="11">
        <f t="shared" si="18"/>
        <v>233</v>
      </c>
      <c r="D144" s="11">
        <f t="shared" si="19"/>
        <v>60</v>
      </c>
      <c r="E144" s="11">
        <f t="shared" si="20"/>
        <v>82</v>
      </c>
      <c r="F144" s="38" t="str">
        <f t="shared" si="21"/>
        <v>2014</v>
      </c>
      <c r="G144" s="11" t="str" cm="1">
        <f t="array" ref="G144">gssBoardClass(A144,B144,C144,D144,E144,F144)</f>
        <v>Wave / Freestyle</v>
      </c>
      <c r="H144" s="39" t="str">
        <f t="shared" si="22"/>
        <v>2014-RR-FIR-82-60-233</v>
      </c>
      <c r="I144" s="42" t="str">
        <f t="shared" si="23"/>
        <v>2014</v>
      </c>
      <c r="J144" s="46" t="s">
        <v>731</v>
      </c>
      <c r="K144" t="s">
        <v>1614</v>
      </c>
      <c r="L144" t="s">
        <v>2091</v>
      </c>
      <c r="M144">
        <v>82</v>
      </c>
      <c r="N144">
        <v>60</v>
      </c>
      <c r="O144">
        <v>233</v>
      </c>
      <c r="R144" t="s">
        <v>2082</v>
      </c>
      <c r="S144" t="s">
        <v>2059</v>
      </c>
      <c r="T144">
        <v>6.5</v>
      </c>
      <c r="U144" t="s">
        <v>2093</v>
      </c>
    </row>
    <row r="145" spans="1:21" x14ac:dyDescent="0.3">
      <c r="A145" s="11" t="str">
        <f t="shared" si="16"/>
        <v>Rrd</v>
      </c>
      <c r="B145" s="11" t="str">
        <f t="shared" si="17"/>
        <v>Firewave Ltd</v>
      </c>
      <c r="C145" s="11">
        <f t="shared" si="18"/>
        <v>234</v>
      </c>
      <c r="D145" s="11">
        <f t="shared" si="19"/>
        <v>62</v>
      </c>
      <c r="E145" s="11">
        <f t="shared" si="20"/>
        <v>92</v>
      </c>
      <c r="F145" s="38" t="str">
        <f t="shared" si="21"/>
        <v>2014</v>
      </c>
      <c r="G145" s="11" t="str" cm="1">
        <f t="array" ref="G145">gssBoardClass(A145,B145,C145,D145,E145,F145)</f>
        <v>Wave / Freestyle</v>
      </c>
      <c r="H145" s="39" t="str">
        <f t="shared" si="22"/>
        <v>2014-RR-FIR-92-62-234</v>
      </c>
      <c r="I145" s="42" t="str">
        <f t="shared" si="23"/>
        <v>2014</v>
      </c>
      <c r="J145" s="46" t="s">
        <v>731</v>
      </c>
      <c r="K145" t="s">
        <v>1614</v>
      </c>
      <c r="L145" t="s">
        <v>2078</v>
      </c>
      <c r="M145">
        <v>92</v>
      </c>
      <c r="N145">
        <v>62</v>
      </c>
      <c r="O145">
        <v>234</v>
      </c>
      <c r="R145" t="s">
        <v>2084</v>
      </c>
      <c r="S145" t="s">
        <v>2061</v>
      </c>
      <c r="T145">
        <v>6.7</v>
      </c>
      <c r="U145" t="s">
        <v>2085</v>
      </c>
    </row>
    <row r="146" spans="1:21" x14ac:dyDescent="0.3">
      <c r="A146" s="11" t="str">
        <f t="shared" si="16"/>
        <v>Rrd</v>
      </c>
      <c r="B146" s="11" t="str">
        <f t="shared" si="17"/>
        <v>Firewave Wood</v>
      </c>
      <c r="C146" s="11">
        <f t="shared" si="18"/>
        <v>234</v>
      </c>
      <c r="D146" s="11">
        <f t="shared" si="19"/>
        <v>62</v>
      </c>
      <c r="E146" s="11">
        <f t="shared" si="20"/>
        <v>92</v>
      </c>
      <c r="F146" s="38" t="str">
        <f t="shared" si="21"/>
        <v>2014</v>
      </c>
      <c r="G146" s="11" t="str" cm="1">
        <f t="array" ref="G146">gssBoardClass(A146,B146,C146,D146,E146,F146)</f>
        <v>Wave / Freestyle</v>
      </c>
      <c r="H146" s="39" t="str">
        <f t="shared" si="22"/>
        <v>2014-RR-FIR-92-62-234</v>
      </c>
      <c r="I146" s="42" t="str">
        <f t="shared" si="23"/>
        <v>2014</v>
      </c>
      <c r="J146" s="46" t="s">
        <v>731</v>
      </c>
      <c r="K146" t="s">
        <v>1614</v>
      </c>
      <c r="L146" t="s">
        <v>2091</v>
      </c>
      <c r="M146">
        <v>92</v>
      </c>
      <c r="N146">
        <v>62</v>
      </c>
      <c r="O146">
        <v>234</v>
      </c>
      <c r="R146" t="s">
        <v>2084</v>
      </c>
      <c r="S146" t="s">
        <v>2061</v>
      </c>
      <c r="T146">
        <v>6.7</v>
      </c>
      <c r="U146" t="s">
        <v>2094</v>
      </c>
    </row>
    <row r="147" spans="1:21" x14ac:dyDescent="0.3">
      <c r="A147" s="11" t="str">
        <f t="shared" si="16"/>
        <v>Rrd</v>
      </c>
      <c r="B147" s="11" t="str">
        <f t="shared" si="17"/>
        <v>Freestyle Wave Ltd V3</v>
      </c>
      <c r="C147" s="11">
        <f t="shared" si="18"/>
        <v>237</v>
      </c>
      <c r="D147" s="11">
        <f t="shared" si="19"/>
        <v>63</v>
      </c>
      <c r="E147" s="11">
        <f t="shared" si="20"/>
        <v>100</v>
      </c>
      <c r="F147" s="38" t="str">
        <f t="shared" si="21"/>
        <v>2014</v>
      </c>
      <c r="G147" s="11" t="str" cm="1">
        <f t="array" ref="G147">gssBoardClass(A147,B147,C147,D147,E147,F147)</f>
        <v>Wave / Freestyle</v>
      </c>
      <c r="H147" s="39" t="str">
        <f t="shared" si="22"/>
        <v>2014-RR-FRE-100-63-237</v>
      </c>
      <c r="I147" s="42" t="str">
        <f t="shared" si="23"/>
        <v>2014</v>
      </c>
      <c r="J147" s="46" t="s">
        <v>731</v>
      </c>
      <c r="K147" t="s">
        <v>1614</v>
      </c>
      <c r="L147" t="s">
        <v>2097</v>
      </c>
      <c r="M147">
        <v>100</v>
      </c>
      <c r="N147">
        <v>63</v>
      </c>
      <c r="O147">
        <v>237</v>
      </c>
      <c r="R147" t="s">
        <v>2104</v>
      </c>
      <c r="S147" t="s">
        <v>2105</v>
      </c>
      <c r="T147">
        <v>6.6</v>
      </c>
      <c r="U147" t="s">
        <v>2106</v>
      </c>
    </row>
    <row r="148" spans="1:21" x14ac:dyDescent="0.3">
      <c r="A148" s="11" t="str">
        <f t="shared" si="16"/>
        <v>Rrd</v>
      </c>
      <c r="B148" s="11" t="str">
        <f t="shared" si="17"/>
        <v>Freestyle Wave Wood V3</v>
      </c>
      <c r="C148" s="11">
        <f t="shared" si="18"/>
        <v>237</v>
      </c>
      <c r="D148" s="11">
        <f t="shared" si="19"/>
        <v>63</v>
      </c>
      <c r="E148" s="11">
        <f t="shared" si="20"/>
        <v>100</v>
      </c>
      <c r="F148" s="38" t="str">
        <f t="shared" si="21"/>
        <v>2014</v>
      </c>
      <c r="G148" s="11" t="str" cm="1">
        <f t="array" ref="G148">gssBoardClass(A148,B148,C148,D148,E148,F148)</f>
        <v>Wave / Freestyle</v>
      </c>
      <c r="H148" s="39" t="str">
        <f t="shared" si="22"/>
        <v>2014-RR-FRE-100-63-237</v>
      </c>
      <c r="I148" s="42" t="str">
        <f t="shared" si="23"/>
        <v>2014</v>
      </c>
      <c r="J148" s="46" t="s">
        <v>731</v>
      </c>
      <c r="K148" t="s">
        <v>1614</v>
      </c>
      <c r="L148" t="s">
        <v>2110</v>
      </c>
      <c r="M148">
        <v>100</v>
      </c>
      <c r="N148">
        <v>63</v>
      </c>
      <c r="O148">
        <v>237</v>
      </c>
      <c r="R148" t="s">
        <v>2104</v>
      </c>
      <c r="S148" t="s">
        <v>2105</v>
      </c>
      <c r="T148">
        <v>7.1</v>
      </c>
      <c r="U148" t="s">
        <v>2113</v>
      </c>
    </row>
    <row r="149" spans="1:21" x14ac:dyDescent="0.3">
      <c r="A149" s="11" t="str">
        <f t="shared" si="16"/>
        <v>Rrd</v>
      </c>
      <c r="B149" s="11" t="str">
        <f t="shared" si="17"/>
        <v>Freestyle Wave Ltd V3</v>
      </c>
      <c r="C149" s="11">
        <f t="shared" si="18"/>
        <v>237</v>
      </c>
      <c r="D149" s="11">
        <f t="shared" si="19"/>
        <v>64</v>
      </c>
      <c r="E149" s="11">
        <f t="shared" si="20"/>
        <v>106</v>
      </c>
      <c r="F149" s="38" t="str">
        <f t="shared" si="21"/>
        <v>2014</v>
      </c>
      <c r="G149" s="11" t="str" cm="1">
        <f t="array" ref="G149">gssBoardClass(A149,B149,C149,D149,E149,F149)</f>
        <v>Wave / Freestyle</v>
      </c>
      <c r="H149" s="39" t="str">
        <f t="shared" si="22"/>
        <v>2014-RR-FRE-106-64-237</v>
      </c>
      <c r="I149" s="42" t="str">
        <f t="shared" si="23"/>
        <v>2014</v>
      </c>
      <c r="J149" s="46" t="s">
        <v>731</v>
      </c>
      <c r="K149" t="s">
        <v>1614</v>
      </c>
      <c r="L149" t="s">
        <v>2097</v>
      </c>
      <c r="M149">
        <v>106</v>
      </c>
      <c r="N149">
        <v>64.5</v>
      </c>
      <c r="O149">
        <v>237</v>
      </c>
      <c r="R149" t="s">
        <v>2107</v>
      </c>
      <c r="S149" t="s">
        <v>2108</v>
      </c>
      <c r="T149">
        <v>6.7</v>
      </c>
      <c r="U149" t="s">
        <v>2109</v>
      </c>
    </row>
    <row r="150" spans="1:21" x14ac:dyDescent="0.3">
      <c r="A150" s="11" t="str">
        <f t="shared" si="16"/>
        <v>Rrd</v>
      </c>
      <c r="B150" s="11" t="str">
        <f t="shared" si="17"/>
        <v>Freestyle Wave Wood V3</v>
      </c>
      <c r="C150" s="11">
        <f t="shared" si="18"/>
        <v>237</v>
      </c>
      <c r="D150" s="11">
        <f t="shared" si="19"/>
        <v>64</v>
      </c>
      <c r="E150" s="11">
        <f t="shared" si="20"/>
        <v>106</v>
      </c>
      <c r="F150" s="38" t="str">
        <f t="shared" si="21"/>
        <v>2014</v>
      </c>
      <c r="G150" s="11" t="str" cm="1">
        <f t="array" ref="G150">gssBoardClass(A150,B150,C150,D150,E150,F150)</f>
        <v>Wave / Freestyle</v>
      </c>
      <c r="H150" s="39" t="str">
        <f t="shared" si="22"/>
        <v>2014-RR-FRE-106-64-237</v>
      </c>
      <c r="I150" s="42" t="str">
        <f t="shared" si="23"/>
        <v>2014</v>
      </c>
      <c r="J150" s="46" t="s">
        <v>731</v>
      </c>
      <c r="K150" t="s">
        <v>1614</v>
      </c>
      <c r="L150" t="s">
        <v>2110</v>
      </c>
      <c r="M150">
        <v>106</v>
      </c>
      <c r="N150">
        <v>64.5</v>
      </c>
      <c r="O150">
        <v>237</v>
      </c>
      <c r="R150" t="s">
        <v>2107</v>
      </c>
      <c r="S150" t="s">
        <v>2108</v>
      </c>
      <c r="T150">
        <v>7.3</v>
      </c>
      <c r="U150" t="s">
        <v>2114</v>
      </c>
    </row>
    <row r="151" spans="1:21" x14ac:dyDescent="0.3">
      <c r="A151" s="11" t="str">
        <f t="shared" si="16"/>
        <v>Rrd</v>
      </c>
      <c r="B151" s="11" t="str">
        <f t="shared" si="17"/>
        <v>Freestyle Wave Ltd V3</v>
      </c>
      <c r="C151" s="11">
        <f t="shared" si="18"/>
        <v>234</v>
      </c>
      <c r="D151" s="11">
        <f t="shared" si="19"/>
        <v>59</v>
      </c>
      <c r="E151" s="11">
        <f t="shared" si="20"/>
        <v>88</v>
      </c>
      <c r="F151" s="38" t="str">
        <f t="shared" si="21"/>
        <v>2014</v>
      </c>
      <c r="G151" s="11" t="str" cm="1">
        <f t="array" ref="G151">gssBoardClass(A151,B151,C151,D151,E151,F151)</f>
        <v>Wave / Freestyle</v>
      </c>
      <c r="H151" s="39" t="str">
        <f t="shared" si="22"/>
        <v>2014-RR-FRE-88-59-234</v>
      </c>
      <c r="I151" s="42" t="str">
        <f t="shared" si="23"/>
        <v>2014</v>
      </c>
      <c r="J151" s="46" t="s">
        <v>731</v>
      </c>
      <c r="K151" t="s">
        <v>1614</v>
      </c>
      <c r="L151" t="s">
        <v>2097</v>
      </c>
      <c r="M151">
        <v>88</v>
      </c>
      <c r="N151">
        <v>59</v>
      </c>
      <c r="O151">
        <v>234</v>
      </c>
      <c r="R151" t="s">
        <v>2098</v>
      </c>
      <c r="S151" t="s">
        <v>2099</v>
      </c>
      <c r="T151">
        <v>6.3</v>
      </c>
      <c r="U151" t="s">
        <v>2100</v>
      </c>
    </row>
    <row r="152" spans="1:21" x14ac:dyDescent="0.3">
      <c r="A152" s="11" t="str">
        <f t="shared" si="16"/>
        <v>Rrd</v>
      </c>
      <c r="B152" s="11" t="str">
        <f t="shared" si="17"/>
        <v>Freestyle Wave Wood V3</v>
      </c>
      <c r="C152" s="11">
        <f t="shared" si="18"/>
        <v>234</v>
      </c>
      <c r="D152" s="11">
        <f t="shared" si="19"/>
        <v>59</v>
      </c>
      <c r="E152" s="11">
        <f t="shared" si="20"/>
        <v>88</v>
      </c>
      <c r="F152" s="38" t="str">
        <f t="shared" si="21"/>
        <v>2014</v>
      </c>
      <c r="G152" s="11" t="str" cm="1">
        <f t="array" ref="G152">gssBoardClass(A152,B152,C152,D152,E152,F152)</f>
        <v>Wave / Freestyle</v>
      </c>
      <c r="H152" s="39" t="str">
        <f t="shared" si="22"/>
        <v>2014-RR-FRE-88-59-234</v>
      </c>
      <c r="I152" s="42" t="str">
        <f t="shared" si="23"/>
        <v>2014</v>
      </c>
      <c r="J152" s="46" t="s">
        <v>731</v>
      </c>
      <c r="K152" t="s">
        <v>1614</v>
      </c>
      <c r="L152" t="s">
        <v>2110</v>
      </c>
      <c r="M152">
        <v>88</v>
      </c>
      <c r="N152">
        <v>59</v>
      </c>
      <c r="O152">
        <v>234</v>
      </c>
      <c r="R152" t="s">
        <v>2098</v>
      </c>
      <c r="S152" t="s">
        <v>2099</v>
      </c>
      <c r="T152">
        <v>6.7</v>
      </c>
      <c r="U152" t="s">
        <v>2111</v>
      </c>
    </row>
    <row r="153" spans="1:21" x14ac:dyDescent="0.3">
      <c r="A153" s="11" t="str">
        <f t="shared" si="16"/>
        <v>Rrd</v>
      </c>
      <c r="B153" s="11" t="str">
        <f t="shared" si="17"/>
        <v>Freestyle Wave Ltd V3</v>
      </c>
      <c r="C153" s="11">
        <f t="shared" si="18"/>
        <v>236</v>
      </c>
      <c r="D153" s="11">
        <f t="shared" si="19"/>
        <v>61</v>
      </c>
      <c r="E153" s="11">
        <f t="shared" si="20"/>
        <v>94</v>
      </c>
      <c r="F153" s="38" t="str">
        <f t="shared" si="21"/>
        <v>2014</v>
      </c>
      <c r="G153" s="11" t="str" cm="1">
        <f t="array" ref="G153">gssBoardClass(A153,B153,C153,D153,E153,F153)</f>
        <v>Wave / Freestyle</v>
      </c>
      <c r="H153" s="39" t="str">
        <f t="shared" si="22"/>
        <v>2014-RR-FRE-94-61-236</v>
      </c>
      <c r="I153" s="42" t="str">
        <f t="shared" si="23"/>
        <v>2014</v>
      </c>
      <c r="J153" s="46" t="s">
        <v>731</v>
      </c>
      <c r="K153" t="s">
        <v>1614</v>
      </c>
      <c r="L153" t="s">
        <v>2097</v>
      </c>
      <c r="M153">
        <v>94</v>
      </c>
      <c r="N153">
        <v>61</v>
      </c>
      <c r="O153">
        <v>236</v>
      </c>
      <c r="R153" t="s">
        <v>2101</v>
      </c>
      <c r="S153" t="s">
        <v>2102</v>
      </c>
      <c r="T153">
        <v>6.5</v>
      </c>
      <c r="U153" t="s">
        <v>2103</v>
      </c>
    </row>
    <row r="154" spans="1:21" x14ac:dyDescent="0.3">
      <c r="A154" s="11" t="str">
        <f t="shared" si="16"/>
        <v>Rrd</v>
      </c>
      <c r="B154" s="11" t="str">
        <f t="shared" si="17"/>
        <v>Freestyle Wave Wood V3</v>
      </c>
      <c r="C154" s="11">
        <f t="shared" si="18"/>
        <v>236</v>
      </c>
      <c r="D154" s="11">
        <f t="shared" si="19"/>
        <v>61</v>
      </c>
      <c r="E154" s="11">
        <f t="shared" si="20"/>
        <v>94</v>
      </c>
      <c r="F154" s="38" t="str">
        <f t="shared" si="21"/>
        <v>2014</v>
      </c>
      <c r="G154" s="11" t="str" cm="1">
        <f t="array" ref="G154">gssBoardClass(A154,B154,C154,D154,E154,F154)</f>
        <v>Wave / Freestyle</v>
      </c>
      <c r="H154" s="39" t="str">
        <f t="shared" si="22"/>
        <v>2014-RR-FRE-94-61-236</v>
      </c>
      <c r="I154" s="42" t="str">
        <f t="shared" si="23"/>
        <v>2014</v>
      </c>
      <c r="J154" s="46" t="s">
        <v>731</v>
      </c>
      <c r="K154" t="s">
        <v>1614</v>
      </c>
      <c r="L154" t="s">
        <v>2110</v>
      </c>
      <c r="M154">
        <v>94</v>
      </c>
      <c r="N154">
        <v>61</v>
      </c>
      <c r="O154">
        <v>236</v>
      </c>
      <c r="R154" t="s">
        <v>2101</v>
      </c>
      <c r="S154" t="s">
        <v>2102</v>
      </c>
      <c r="T154">
        <v>6.9</v>
      </c>
      <c r="U154" t="s">
        <v>2112</v>
      </c>
    </row>
    <row r="155" spans="1:21" x14ac:dyDescent="0.3">
      <c r="A155" s="11" t="str">
        <f t="shared" si="16"/>
        <v>Rrd</v>
      </c>
      <c r="B155" s="11" t="str">
        <f t="shared" si="17"/>
        <v>Hardcore Wave Ltd V5</v>
      </c>
      <c r="C155" s="11">
        <f t="shared" si="18"/>
        <v>227</v>
      </c>
      <c r="D155" s="11">
        <f t="shared" si="19"/>
        <v>53</v>
      </c>
      <c r="E155" s="11">
        <f t="shared" si="20"/>
        <v>68</v>
      </c>
      <c r="F155" s="38" t="str">
        <f t="shared" si="21"/>
        <v>2014</v>
      </c>
      <c r="G155" s="11" t="str" cm="1">
        <f t="array" ref="G155">gssBoardClass(A155,B155,C155,D155,E155,F155)</f>
        <v>Wave / Freestyle</v>
      </c>
      <c r="H155" s="39" t="str">
        <f t="shared" si="22"/>
        <v>2014-RR-HAR-68-53-227</v>
      </c>
      <c r="I155" s="42" t="str">
        <f t="shared" si="23"/>
        <v>2014</v>
      </c>
      <c r="J155" s="46">
        <v>2014</v>
      </c>
      <c r="K155" t="s">
        <v>1614</v>
      </c>
      <c r="L155" t="s">
        <v>2058</v>
      </c>
      <c r="M155">
        <v>68</v>
      </c>
      <c r="N155">
        <v>53.5</v>
      </c>
      <c r="O155">
        <v>227</v>
      </c>
      <c r="R155" t="s">
        <v>2238</v>
      </c>
      <c r="S155" t="s">
        <v>2059</v>
      </c>
      <c r="T155">
        <v>6.4</v>
      </c>
      <c r="U155" t="s">
        <v>2060</v>
      </c>
    </row>
    <row r="156" spans="1:21" x14ac:dyDescent="0.3">
      <c r="A156" s="11" t="str">
        <f t="shared" si="16"/>
        <v>Rrd</v>
      </c>
      <c r="B156" s="11" t="str">
        <f t="shared" si="17"/>
        <v>Hardcore Wave Ltd V5</v>
      </c>
      <c r="C156" s="11">
        <f t="shared" si="18"/>
        <v>227</v>
      </c>
      <c r="D156" s="11">
        <f t="shared" si="19"/>
        <v>55</v>
      </c>
      <c r="E156" s="11">
        <f t="shared" si="20"/>
        <v>78</v>
      </c>
      <c r="F156" s="38" t="str">
        <f t="shared" si="21"/>
        <v>2014</v>
      </c>
      <c r="G156" s="11" t="str" cm="1">
        <f t="array" ref="G156">gssBoardClass(A156,B156,C156,D156,E156,F156)</f>
        <v>Wave / Freestyle</v>
      </c>
      <c r="H156" s="39" t="str">
        <f t="shared" si="22"/>
        <v>2014-RR-HAR-78-55-227</v>
      </c>
      <c r="I156" s="42" t="str">
        <f t="shared" si="23"/>
        <v>2014</v>
      </c>
      <c r="J156" s="46" t="s">
        <v>731</v>
      </c>
      <c r="K156" t="s">
        <v>1614</v>
      </c>
      <c r="L156" t="s">
        <v>2058</v>
      </c>
      <c r="M156">
        <v>78</v>
      </c>
      <c r="N156">
        <v>55.5</v>
      </c>
      <c r="O156">
        <v>227</v>
      </c>
      <c r="R156" t="s">
        <v>2239</v>
      </c>
      <c r="S156" t="s">
        <v>2061</v>
      </c>
      <c r="T156">
        <v>6.6</v>
      </c>
      <c r="U156" t="s">
        <v>2062</v>
      </c>
    </row>
    <row r="157" spans="1:21" x14ac:dyDescent="0.3">
      <c r="A157" s="11" t="str">
        <f t="shared" si="16"/>
        <v>Rrd</v>
      </c>
      <c r="B157" s="11" t="str">
        <f t="shared" si="17"/>
        <v>Hardcore Wave Ltd V5</v>
      </c>
      <c r="C157" s="11">
        <f t="shared" si="18"/>
        <v>228</v>
      </c>
      <c r="D157" s="11">
        <f t="shared" si="19"/>
        <v>58</v>
      </c>
      <c r="E157" s="11">
        <f t="shared" si="20"/>
        <v>88</v>
      </c>
      <c r="F157" s="38" t="str">
        <f t="shared" si="21"/>
        <v>2014</v>
      </c>
      <c r="G157" s="11" t="str" cm="1">
        <f t="array" ref="G157">gssBoardClass(A157,B157,C157,D157,E157,F157)</f>
        <v>Wave / Freestyle</v>
      </c>
      <c r="H157" s="39" t="str">
        <f t="shared" si="22"/>
        <v>2014-RR-HAR-88-58-228</v>
      </c>
      <c r="I157" s="42" t="str">
        <f t="shared" si="23"/>
        <v>2014</v>
      </c>
      <c r="J157" s="46" t="s">
        <v>731</v>
      </c>
      <c r="K157" t="s">
        <v>1614</v>
      </c>
      <c r="L157" t="s">
        <v>2058</v>
      </c>
      <c r="M157">
        <v>88</v>
      </c>
      <c r="N157">
        <v>58.5</v>
      </c>
      <c r="O157">
        <v>228</v>
      </c>
      <c r="R157" t="s">
        <v>2239</v>
      </c>
      <c r="S157" t="s">
        <v>2063</v>
      </c>
      <c r="T157">
        <v>6.7</v>
      </c>
      <c r="U157" t="s">
        <v>2064</v>
      </c>
    </row>
    <row r="158" spans="1:21" x14ac:dyDescent="0.3">
      <c r="A158" s="11" t="str">
        <f t="shared" si="16"/>
        <v>Rrd</v>
      </c>
      <c r="B158" s="11" t="str">
        <f t="shared" si="17"/>
        <v>Hardcore Wave Ltd V5</v>
      </c>
      <c r="C158" s="11">
        <f t="shared" si="18"/>
        <v>228</v>
      </c>
      <c r="D158" s="11">
        <f t="shared" si="19"/>
        <v>61</v>
      </c>
      <c r="E158" s="11">
        <f t="shared" si="20"/>
        <v>98</v>
      </c>
      <c r="F158" s="38" t="str">
        <f t="shared" si="21"/>
        <v>2014</v>
      </c>
      <c r="G158" s="11" t="str" cm="1">
        <f t="array" ref="G158">gssBoardClass(A158,B158,C158,D158,E158,F158)</f>
        <v>Wave / Freestyle</v>
      </c>
      <c r="H158" s="39" t="str">
        <f t="shared" si="22"/>
        <v>2014-RR-HAR-98-61-228</v>
      </c>
      <c r="I158" s="42" t="str">
        <f t="shared" si="23"/>
        <v>2014</v>
      </c>
      <c r="J158" s="46" t="s">
        <v>731</v>
      </c>
      <c r="K158" t="s">
        <v>1614</v>
      </c>
      <c r="L158" t="s">
        <v>2058</v>
      </c>
      <c r="M158">
        <v>98</v>
      </c>
      <c r="N158">
        <v>61</v>
      </c>
      <c r="O158">
        <v>228</v>
      </c>
      <c r="R158" t="s">
        <v>2239</v>
      </c>
      <c r="S158" t="s">
        <v>2065</v>
      </c>
      <c r="T158">
        <v>7</v>
      </c>
      <c r="U158" t="s">
        <v>2066</v>
      </c>
    </row>
    <row r="159" spans="1:21" x14ac:dyDescent="0.3">
      <c r="A159" s="11" t="str">
        <f t="shared" si="16"/>
        <v>Rrd</v>
      </c>
      <c r="B159" s="11" t="str">
        <f t="shared" si="17"/>
        <v>Longrider</v>
      </c>
      <c r="C159" s="11">
        <f t="shared" si="18"/>
        <v>340</v>
      </c>
      <c r="D159" s="11">
        <f t="shared" si="19"/>
        <v>70</v>
      </c>
      <c r="E159" s="11">
        <f t="shared" si="20"/>
        <v>180</v>
      </c>
      <c r="F159" s="38" t="str">
        <f t="shared" si="21"/>
        <v>2014</v>
      </c>
      <c r="G159" s="11" t="str" cm="1">
        <f t="array" ref="G159">gssBoardClass(A159,B159,C159,D159,E159,F159)</f>
        <v>Special / Longboard</v>
      </c>
      <c r="H159" s="39" t="str">
        <f t="shared" si="22"/>
        <v>2014-RR-LON-180-70-340</v>
      </c>
      <c r="I159" s="42" t="str">
        <f t="shared" si="23"/>
        <v>2014</v>
      </c>
      <c r="J159" s="46" t="s">
        <v>731</v>
      </c>
      <c r="K159" t="s">
        <v>1614</v>
      </c>
      <c r="L159" t="s">
        <v>2234</v>
      </c>
      <c r="M159">
        <v>180</v>
      </c>
      <c r="N159">
        <v>70</v>
      </c>
      <c r="O159">
        <v>340</v>
      </c>
      <c r="R159" t="s">
        <v>2235</v>
      </c>
      <c r="S159" t="s">
        <v>2236</v>
      </c>
      <c r="T159">
        <v>14.2</v>
      </c>
      <c r="U159" t="s">
        <v>2237</v>
      </c>
    </row>
    <row r="160" spans="1:21" x14ac:dyDescent="0.3">
      <c r="A160" s="11" t="str">
        <f t="shared" si="16"/>
        <v>Rrd</v>
      </c>
      <c r="B160" s="11" t="str">
        <f t="shared" si="17"/>
        <v>Twintip Ltd V4</v>
      </c>
      <c r="C160" s="11">
        <f t="shared" si="18"/>
        <v>227</v>
      </c>
      <c r="D160" s="11">
        <f t="shared" si="19"/>
        <v>63</v>
      </c>
      <c r="E160" s="11">
        <f t="shared" si="20"/>
        <v>101</v>
      </c>
      <c r="F160" s="38" t="str">
        <f t="shared" si="21"/>
        <v>2014</v>
      </c>
      <c r="G160" s="11" t="str" cm="1">
        <f t="array" ref="G160">gssBoardClass(A160,B160,C160,D160,E160,F160)</f>
        <v>Speed/Slalom Small</v>
      </c>
      <c r="H160" s="39" t="str">
        <f t="shared" si="22"/>
        <v>2014-RR-TWI-101-63-227</v>
      </c>
      <c r="I160" s="42" t="str">
        <f t="shared" si="23"/>
        <v>2014</v>
      </c>
      <c r="J160" s="46" t="s">
        <v>731</v>
      </c>
      <c r="K160" t="s">
        <v>1614</v>
      </c>
      <c r="L160" t="s">
        <v>2115</v>
      </c>
      <c r="M160">
        <v>101</v>
      </c>
      <c r="N160">
        <v>63</v>
      </c>
      <c r="O160">
        <v>227</v>
      </c>
      <c r="R160" t="s">
        <v>2119</v>
      </c>
      <c r="S160" t="s">
        <v>2120</v>
      </c>
      <c r="T160">
        <v>6.3</v>
      </c>
      <c r="U160" t="s">
        <v>2121</v>
      </c>
    </row>
    <row r="161" spans="1:21" x14ac:dyDescent="0.3">
      <c r="A161" s="11" t="str">
        <f t="shared" si="16"/>
        <v>Rrd</v>
      </c>
      <c r="B161" s="11" t="str">
        <f t="shared" si="17"/>
        <v>Twintip Ltd V4</v>
      </c>
      <c r="C161" s="11">
        <f t="shared" si="18"/>
        <v>230</v>
      </c>
      <c r="D161" s="11">
        <f t="shared" si="19"/>
        <v>59</v>
      </c>
      <c r="E161" s="11">
        <f t="shared" si="20"/>
        <v>91</v>
      </c>
      <c r="F161" s="38" t="str">
        <f t="shared" si="21"/>
        <v>2014</v>
      </c>
      <c r="G161" s="11" t="str" cm="1">
        <f t="array" ref="G161">gssBoardClass(A161,B161,C161,D161,E161,F161)</f>
        <v>Speed/Slalom Xtra Small</v>
      </c>
      <c r="H161" s="39" t="str">
        <f t="shared" si="22"/>
        <v>2014-RR-TWI-91-59-230</v>
      </c>
      <c r="I161" s="42" t="str">
        <f t="shared" si="23"/>
        <v>2014</v>
      </c>
      <c r="J161" s="46" t="s">
        <v>731</v>
      </c>
      <c r="K161" t="s">
        <v>1614</v>
      </c>
      <c r="L161" t="s">
        <v>2115</v>
      </c>
      <c r="M161">
        <v>91</v>
      </c>
      <c r="N161">
        <v>59.5</v>
      </c>
      <c r="O161">
        <v>230</v>
      </c>
      <c r="R161" t="s">
        <v>2116</v>
      </c>
      <c r="S161" t="s">
        <v>2117</v>
      </c>
      <c r="T161">
        <v>5.9</v>
      </c>
      <c r="U161" t="s">
        <v>2118</v>
      </c>
    </row>
    <row r="162" spans="1:21" x14ac:dyDescent="0.3">
      <c r="A162" s="11" t="str">
        <f t="shared" si="16"/>
        <v>Rrd</v>
      </c>
      <c r="B162" s="11" t="str">
        <f t="shared" si="17"/>
        <v>Wave Cult Ltd V5</v>
      </c>
      <c r="C162" s="11">
        <f t="shared" si="18"/>
        <v>233</v>
      </c>
      <c r="D162" s="11">
        <f t="shared" si="19"/>
        <v>62</v>
      </c>
      <c r="E162" s="11">
        <f t="shared" si="20"/>
        <v>100</v>
      </c>
      <c r="F162" s="38" t="str">
        <f t="shared" si="21"/>
        <v>2014</v>
      </c>
      <c r="G162" s="11" t="str" cm="1">
        <f t="array" ref="G162">gssBoardClass(A162,B162,C162,D162,E162,F162)</f>
        <v>Wave / Freestyle</v>
      </c>
      <c r="H162" s="39" t="str">
        <f t="shared" si="22"/>
        <v>2014-RR-WAV-100-62-233</v>
      </c>
      <c r="I162" s="42" t="str">
        <f t="shared" si="23"/>
        <v>2014</v>
      </c>
      <c r="J162" s="46" t="s">
        <v>731</v>
      </c>
      <c r="K162" t="s">
        <v>1614</v>
      </c>
      <c r="L162" t="s">
        <v>2067</v>
      </c>
      <c r="M162">
        <v>100</v>
      </c>
      <c r="N162">
        <v>62</v>
      </c>
      <c r="O162">
        <v>233</v>
      </c>
      <c r="R162" t="s">
        <v>2073</v>
      </c>
      <c r="S162" t="s">
        <v>2076</v>
      </c>
      <c r="T162">
        <v>7.1</v>
      </c>
      <c r="U162" t="s">
        <v>2077</v>
      </c>
    </row>
    <row r="163" spans="1:21" x14ac:dyDescent="0.3">
      <c r="A163" s="11" t="str">
        <f t="shared" si="16"/>
        <v>Rrd</v>
      </c>
      <c r="B163" s="11" t="str">
        <f t="shared" si="17"/>
        <v>Wavejoy V2 X-Tech</v>
      </c>
      <c r="C163" s="11">
        <f t="shared" si="18"/>
        <v>229</v>
      </c>
      <c r="D163" s="11">
        <f t="shared" si="19"/>
        <v>53</v>
      </c>
      <c r="E163" s="11">
        <f t="shared" si="20"/>
        <v>64</v>
      </c>
      <c r="F163" s="38" t="str">
        <f t="shared" si="21"/>
        <v>2014</v>
      </c>
      <c r="G163" s="11" t="str" cm="1">
        <f t="array" ref="G163">gssBoardClass(A163,B163,C163,D163,E163,F163)</f>
        <v>Wave / Freestyle</v>
      </c>
      <c r="H163" s="39" t="str">
        <f t="shared" si="22"/>
        <v>2014-RR-WAV-64-53-229</v>
      </c>
      <c r="I163" s="42" t="str">
        <f t="shared" si="23"/>
        <v>2014</v>
      </c>
      <c r="J163" s="46" t="s">
        <v>731</v>
      </c>
      <c r="K163" t="s">
        <v>1614</v>
      </c>
      <c r="L163" t="s">
        <v>2230</v>
      </c>
      <c r="M163">
        <v>64</v>
      </c>
      <c r="N163">
        <v>53</v>
      </c>
      <c r="O163">
        <v>229</v>
      </c>
      <c r="R163" t="s">
        <v>2231</v>
      </c>
      <c r="S163" t="s">
        <v>2232</v>
      </c>
      <c r="T163">
        <v>6.7</v>
      </c>
      <c r="U163" t="s">
        <v>2233</v>
      </c>
    </row>
    <row r="164" spans="1:21" x14ac:dyDescent="0.3">
      <c r="A164" s="11" t="str">
        <f t="shared" si="16"/>
        <v>Rrd</v>
      </c>
      <c r="B164" s="11" t="str">
        <f t="shared" si="17"/>
        <v>Wave Cult Ltd V5</v>
      </c>
      <c r="C164" s="11">
        <f t="shared" si="18"/>
        <v>229</v>
      </c>
      <c r="D164" s="11">
        <f t="shared" si="19"/>
        <v>57</v>
      </c>
      <c r="E164" s="11">
        <f t="shared" si="20"/>
        <v>75</v>
      </c>
      <c r="F164" s="38" t="str">
        <f t="shared" si="21"/>
        <v>2014</v>
      </c>
      <c r="G164" s="11" t="str" cm="1">
        <f t="array" ref="G164">gssBoardClass(A164,B164,C164,D164,E164,F164)</f>
        <v>Wave / Freestyle</v>
      </c>
      <c r="H164" s="39" t="str">
        <f t="shared" si="22"/>
        <v>2014-RR-WAV-75-57-229</v>
      </c>
      <c r="I164" s="42" t="str">
        <f t="shared" si="23"/>
        <v>2014</v>
      </c>
      <c r="J164" s="46" t="s">
        <v>731</v>
      </c>
      <c r="K164" t="s">
        <v>1614</v>
      </c>
      <c r="L164" t="s">
        <v>2067</v>
      </c>
      <c r="M164">
        <v>75</v>
      </c>
      <c r="N164">
        <v>57</v>
      </c>
      <c r="O164">
        <v>229</v>
      </c>
      <c r="R164" t="s">
        <v>2068</v>
      </c>
      <c r="S164" t="s">
        <v>2069</v>
      </c>
      <c r="T164">
        <v>6.4</v>
      </c>
      <c r="U164" t="s">
        <v>2070</v>
      </c>
    </row>
    <row r="165" spans="1:21" x14ac:dyDescent="0.3">
      <c r="A165" s="11" t="str">
        <f t="shared" si="16"/>
        <v>Rrd</v>
      </c>
      <c r="B165" s="11" t="str">
        <f t="shared" si="17"/>
        <v>Wave Cult Ltd V5</v>
      </c>
      <c r="C165" s="11">
        <f t="shared" si="18"/>
        <v>230</v>
      </c>
      <c r="D165" s="11">
        <f t="shared" si="19"/>
        <v>59</v>
      </c>
      <c r="E165" s="11">
        <f t="shared" si="20"/>
        <v>83</v>
      </c>
      <c r="F165" s="38" t="str">
        <f t="shared" si="21"/>
        <v>2014</v>
      </c>
      <c r="G165" s="11" t="str" cm="1">
        <f t="array" ref="G165">gssBoardClass(A165,B165,C165,D165,E165,F165)</f>
        <v>Wave / Freestyle</v>
      </c>
      <c r="H165" s="39" t="str">
        <f t="shared" si="22"/>
        <v>2014-RR-WAV-83-59-230</v>
      </c>
      <c r="I165" s="42" t="str">
        <f t="shared" si="23"/>
        <v>2014</v>
      </c>
      <c r="J165" s="46" t="s">
        <v>731</v>
      </c>
      <c r="K165" t="s">
        <v>1614</v>
      </c>
      <c r="L165" t="s">
        <v>2067</v>
      </c>
      <c r="M165">
        <v>83</v>
      </c>
      <c r="N165">
        <v>59</v>
      </c>
      <c r="O165">
        <v>230</v>
      </c>
      <c r="R165" t="s">
        <v>2068</v>
      </c>
      <c r="S165" t="s">
        <v>2071</v>
      </c>
      <c r="T165">
        <v>6.7</v>
      </c>
      <c r="U165" t="s">
        <v>2072</v>
      </c>
    </row>
    <row r="166" spans="1:21" x14ac:dyDescent="0.3">
      <c r="A166" s="11" t="str">
        <f t="shared" si="16"/>
        <v>Rrd</v>
      </c>
      <c r="B166" s="11" t="str">
        <f t="shared" si="17"/>
        <v>Wave Cult Ltd V5</v>
      </c>
      <c r="C166" s="11">
        <f t="shared" si="18"/>
        <v>231</v>
      </c>
      <c r="D166" s="11">
        <f t="shared" si="19"/>
        <v>61</v>
      </c>
      <c r="E166" s="11">
        <f t="shared" si="20"/>
        <v>92</v>
      </c>
      <c r="F166" s="38" t="str">
        <f t="shared" si="21"/>
        <v>2014</v>
      </c>
      <c r="G166" s="11" t="str" cm="1">
        <f t="array" ref="G166">gssBoardClass(A166,B166,C166,D166,E166,F166)</f>
        <v>Wave / Freestyle</v>
      </c>
      <c r="H166" s="39" t="str">
        <f t="shared" si="22"/>
        <v>2014-RR-WAV-92-61-231</v>
      </c>
      <c r="I166" s="42" t="str">
        <f t="shared" si="23"/>
        <v>2014</v>
      </c>
      <c r="J166" s="46" t="s">
        <v>731</v>
      </c>
      <c r="K166" t="s">
        <v>1614</v>
      </c>
      <c r="L166" t="s">
        <v>2067</v>
      </c>
      <c r="M166">
        <v>92</v>
      </c>
      <c r="N166">
        <v>61</v>
      </c>
      <c r="O166">
        <v>231</v>
      </c>
      <c r="R166" t="s">
        <v>2073</v>
      </c>
      <c r="S166" t="s">
        <v>2074</v>
      </c>
      <c r="T166">
        <v>6.9</v>
      </c>
      <c r="U166" t="s">
        <v>2075</v>
      </c>
    </row>
    <row r="167" spans="1:21" x14ac:dyDescent="0.3">
      <c r="A167" s="11" t="str">
        <f t="shared" si="16"/>
        <v>Rrd</v>
      </c>
      <c r="B167" s="11" t="str">
        <f t="shared" si="17"/>
        <v>X-Fire Ltd V6 105</v>
      </c>
      <c r="C167" s="11">
        <f t="shared" si="18"/>
        <v>235</v>
      </c>
      <c r="D167" s="11">
        <f t="shared" si="19"/>
        <v>65</v>
      </c>
      <c r="E167" s="11">
        <f t="shared" si="20"/>
        <v>105</v>
      </c>
      <c r="F167" s="38" t="str">
        <f t="shared" si="21"/>
        <v>2014</v>
      </c>
      <c r="G167" s="11" t="str" cm="1">
        <f t="array" ref="G167">gssBoardClass(A167,B167,C167,D167,E167,F167)</f>
        <v>Speed/Slalom Small</v>
      </c>
      <c r="H167" s="39" t="str">
        <f t="shared" si="22"/>
        <v>2014-RR-X-F-105-65-235</v>
      </c>
      <c r="I167" s="42" t="str">
        <f t="shared" si="23"/>
        <v>2014</v>
      </c>
      <c r="J167" s="46">
        <v>2014</v>
      </c>
      <c r="K167" t="s">
        <v>1614</v>
      </c>
      <c r="L167" t="s">
        <v>2054</v>
      </c>
      <c r="M167">
        <v>105</v>
      </c>
      <c r="N167">
        <v>65</v>
      </c>
      <c r="O167">
        <v>235</v>
      </c>
      <c r="Q167" t="s">
        <v>333</v>
      </c>
      <c r="S167" t="s">
        <v>2046</v>
      </c>
      <c r="T167" t="s">
        <v>2045</v>
      </c>
    </row>
    <row r="168" spans="1:21" x14ac:dyDescent="0.3">
      <c r="A168" s="11" t="str">
        <f t="shared" si="16"/>
        <v>Rrd</v>
      </c>
      <c r="B168" s="11" t="str">
        <f t="shared" si="17"/>
        <v>X-Fire Ltd V7</v>
      </c>
      <c r="C168" s="11">
        <f t="shared" si="18"/>
        <v>235</v>
      </c>
      <c r="D168" s="11">
        <f t="shared" si="19"/>
        <v>65</v>
      </c>
      <c r="E168" s="11">
        <f t="shared" si="20"/>
        <v>105</v>
      </c>
      <c r="F168" s="38" t="str">
        <f t="shared" si="21"/>
        <v>2014</v>
      </c>
      <c r="G168" s="11" t="str" cm="1">
        <f t="array" ref="G168">gssBoardClass(A168,B168,C168,D168,E168,F168)</f>
        <v>Speed/Slalom Small</v>
      </c>
      <c r="H168" s="39" t="str">
        <f t="shared" si="22"/>
        <v>2014-RR-X-F-105-65-235</v>
      </c>
      <c r="I168" s="42" t="str">
        <f t="shared" si="23"/>
        <v>2014</v>
      </c>
      <c r="J168" s="46" t="s">
        <v>731</v>
      </c>
      <c r="K168" t="s">
        <v>1614</v>
      </c>
      <c r="L168" t="s">
        <v>2122</v>
      </c>
      <c r="M168">
        <v>105</v>
      </c>
      <c r="N168">
        <v>65</v>
      </c>
      <c r="O168">
        <v>235</v>
      </c>
      <c r="R168" t="s">
        <v>2123</v>
      </c>
      <c r="S168" t="s">
        <v>2130</v>
      </c>
      <c r="T168">
        <v>6.4</v>
      </c>
      <c r="U168" t="s">
        <v>2131</v>
      </c>
    </row>
    <row r="169" spans="1:21" x14ac:dyDescent="0.3">
      <c r="A169" s="11" t="str">
        <f t="shared" si="16"/>
        <v>Rrd</v>
      </c>
      <c r="B169" s="11" t="str">
        <f t="shared" si="17"/>
        <v>X-Fire Ltd V6 114</v>
      </c>
      <c r="C169" s="11">
        <f t="shared" si="18"/>
        <v>235</v>
      </c>
      <c r="D169" s="11">
        <f t="shared" si="19"/>
        <v>70</v>
      </c>
      <c r="E169" s="11">
        <f t="shared" si="20"/>
        <v>114</v>
      </c>
      <c r="F169" s="38" t="str">
        <f t="shared" si="21"/>
        <v>2014</v>
      </c>
      <c r="G169" s="11" t="str" cm="1">
        <f t="array" ref="G169">gssBoardClass(A169,B169,C169,D169,E169,F169)</f>
        <v>Slalom Medium</v>
      </c>
      <c r="H169" s="39" t="str">
        <f t="shared" si="22"/>
        <v>2014-RR-X-F-114-70-235</v>
      </c>
      <c r="I169" s="42" t="str">
        <f t="shared" si="23"/>
        <v>2014</v>
      </c>
      <c r="J169" s="46">
        <v>2014</v>
      </c>
      <c r="K169" t="s">
        <v>1614</v>
      </c>
      <c r="L169" t="s">
        <v>2055</v>
      </c>
      <c r="M169">
        <v>114</v>
      </c>
      <c r="N169">
        <v>70</v>
      </c>
      <c r="O169">
        <v>235</v>
      </c>
      <c r="Q169" t="s">
        <v>333</v>
      </c>
      <c r="S169" t="s">
        <v>2047</v>
      </c>
      <c r="T169" t="s">
        <v>2045</v>
      </c>
    </row>
    <row r="170" spans="1:21" x14ac:dyDescent="0.3">
      <c r="A170" s="11" t="str">
        <f t="shared" si="16"/>
        <v>Rrd</v>
      </c>
      <c r="B170" s="11" t="str">
        <f t="shared" si="17"/>
        <v>X-Fire Ltd V7</v>
      </c>
      <c r="C170" s="11">
        <f t="shared" si="18"/>
        <v>235</v>
      </c>
      <c r="D170" s="11">
        <f t="shared" si="19"/>
        <v>70</v>
      </c>
      <c r="E170" s="11">
        <f t="shared" si="20"/>
        <v>114</v>
      </c>
      <c r="F170" s="38" t="str">
        <f t="shared" si="21"/>
        <v>2014</v>
      </c>
      <c r="G170" s="11" t="str" cm="1">
        <f t="array" ref="G170">gssBoardClass(A170,B170,C170,D170,E170,F170)</f>
        <v>Slalom Medium</v>
      </c>
      <c r="H170" s="39" t="str">
        <f t="shared" si="22"/>
        <v>2014-RR-X-F-114-70-235</v>
      </c>
      <c r="I170" s="42" t="str">
        <f t="shared" si="23"/>
        <v>2014</v>
      </c>
      <c r="J170" s="46" t="s">
        <v>731</v>
      </c>
      <c r="K170" t="s">
        <v>1614</v>
      </c>
      <c r="L170" t="s">
        <v>2122</v>
      </c>
      <c r="M170">
        <v>114</v>
      </c>
      <c r="N170">
        <v>70</v>
      </c>
      <c r="O170">
        <v>235</v>
      </c>
      <c r="R170" t="s">
        <v>2123</v>
      </c>
      <c r="S170" t="s">
        <v>2132</v>
      </c>
      <c r="T170">
        <v>6.4</v>
      </c>
      <c r="U170" t="s">
        <v>2133</v>
      </c>
    </row>
    <row r="171" spans="1:21" x14ac:dyDescent="0.3">
      <c r="A171" s="11" t="str">
        <f t="shared" si="16"/>
        <v>Rrd</v>
      </c>
      <c r="B171" s="11" t="str">
        <f t="shared" si="17"/>
        <v>X-Fire Ltd V6 122</v>
      </c>
      <c r="C171" s="11">
        <f t="shared" si="18"/>
        <v>228</v>
      </c>
      <c r="D171" s="11">
        <f t="shared" si="19"/>
        <v>81</v>
      </c>
      <c r="E171" s="11">
        <f t="shared" si="20"/>
        <v>122</v>
      </c>
      <c r="F171" s="38" t="str">
        <f t="shared" si="21"/>
        <v>2014</v>
      </c>
      <c r="G171" s="11" t="str" cm="1">
        <f t="array" ref="G171">gssBoardClass(A171,B171,C171,D171,E171,F171)</f>
        <v>Slalom Large</v>
      </c>
      <c r="H171" s="39" t="str">
        <f t="shared" si="22"/>
        <v>2014-RR-X-F-122-81-228</v>
      </c>
      <c r="I171" s="42" t="str">
        <f t="shared" si="23"/>
        <v>2014</v>
      </c>
      <c r="J171" s="46">
        <v>2014</v>
      </c>
      <c r="K171" t="s">
        <v>1614</v>
      </c>
      <c r="L171" t="s">
        <v>2056</v>
      </c>
      <c r="M171">
        <v>122</v>
      </c>
      <c r="N171">
        <v>81</v>
      </c>
      <c r="O171">
        <v>228</v>
      </c>
      <c r="Q171" t="s">
        <v>333</v>
      </c>
      <c r="S171" t="s">
        <v>2049</v>
      </c>
      <c r="T171" t="s">
        <v>2048</v>
      </c>
    </row>
    <row r="172" spans="1:21" x14ac:dyDescent="0.3">
      <c r="A172" s="11" t="str">
        <f t="shared" si="16"/>
        <v>Rrd</v>
      </c>
      <c r="B172" s="11" t="str">
        <f t="shared" si="17"/>
        <v>X-Fire Ltd V7</v>
      </c>
      <c r="C172" s="11">
        <f t="shared" si="18"/>
        <v>228</v>
      </c>
      <c r="D172" s="11">
        <f t="shared" si="19"/>
        <v>81</v>
      </c>
      <c r="E172" s="11">
        <f t="shared" si="20"/>
        <v>122</v>
      </c>
      <c r="F172" s="38" t="str">
        <f t="shared" si="21"/>
        <v>2014</v>
      </c>
      <c r="G172" s="11" t="str" cm="1">
        <f t="array" ref="G172">gssBoardClass(A172,B172,C172,D172,E172,F172)</f>
        <v>Slalom Large</v>
      </c>
      <c r="H172" s="39" t="str">
        <f t="shared" si="22"/>
        <v>2014-RR-X-F-122-81-228</v>
      </c>
      <c r="I172" s="42" t="str">
        <f t="shared" si="23"/>
        <v>2014</v>
      </c>
      <c r="J172" s="46" t="s">
        <v>731</v>
      </c>
      <c r="K172" t="s">
        <v>1614</v>
      </c>
      <c r="L172" t="s">
        <v>2122</v>
      </c>
      <c r="M172">
        <v>122</v>
      </c>
      <c r="N172">
        <v>81</v>
      </c>
      <c r="O172">
        <v>228</v>
      </c>
      <c r="R172" t="s">
        <v>2123</v>
      </c>
      <c r="S172" t="s">
        <v>2134</v>
      </c>
      <c r="T172">
        <v>7.18</v>
      </c>
      <c r="U172" t="s">
        <v>2135</v>
      </c>
    </row>
    <row r="173" spans="1:21" x14ac:dyDescent="0.3">
      <c r="A173" s="11" t="str">
        <f t="shared" si="16"/>
        <v>Rrd</v>
      </c>
      <c r="B173" s="11" t="str">
        <f t="shared" si="17"/>
        <v>X-Fire Ltd V6 129</v>
      </c>
      <c r="C173" s="11">
        <f t="shared" si="18"/>
        <v>228</v>
      </c>
      <c r="D173" s="11">
        <f t="shared" si="19"/>
        <v>85</v>
      </c>
      <c r="E173" s="11">
        <f t="shared" si="20"/>
        <v>129</v>
      </c>
      <c r="F173" s="38" t="str">
        <f t="shared" si="21"/>
        <v>2014</v>
      </c>
      <c r="G173" s="11" t="str" cm="1">
        <f t="array" ref="G173">gssBoardClass(A173,B173,C173,D173,E173,F173)</f>
        <v>Slalom Large</v>
      </c>
      <c r="H173" s="39" t="str">
        <f t="shared" si="22"/>
        <v>2014-RR-X-F-129-85-228</v>
      </c>
      <c r="I173" s="42" t="str">
        <f t="shared" si="23"/>
        <v>2014</v>
      </c>
      <c r="J173" s="46">
        <v>2014</v>
      </c>
      <c r="K173" t="s">
        <v>1614</v>
      </c>
      <c r="L173" t="s">
        <v>2057</v>
      </c>
      <c r="M173">
        <v>129</v>
      </c>
      <c r="N173">
        <v>85</v>
      </c>
      <c r="O173">
        <v>228</v>
      </c>
      <c r="Q173" t="s">
        <v>333</v>
      </c>
      <c r="S173" t="s">
        <v>2051</v>
      </c>
      <c r="T173" t="s">
        <v>2050</v>
      </c>
    </row>
    <row r="174" spans="1:21" x14ac:dyDescent="0.3">
      <c r="A174" s="11" t="str">
        <f t="shared" si="16"/>
        <v>Rrd</v>
      </c>
      <c r="B174" s="11" t="str">
        <f t="shared" si="17"/>
        <v>X-Fire Ltd V7</v>
      </c>
      <c r="C174" s="11">
        <f t="shared" si="18"/>
        <v>228</v>
      </c>
      <c r="D174" s="11">
        <f t="shared" si="19"/>
        <v>85</v>
      </c>
      <c r="E174" s="11">
        <f t="shared" si="20"/>
        <v>129</v>
      </c>
      <c r="F174" s="38" t="str">
        <f t="shared" si="21"/>
        <v>2014</v>
      </c>
      <c r="G174" s="11" t="str" cm="1">
        <f t="array" ref="G174">gssBoardClass(A174,B174,C174,D174,E174,F174)</f>
        <v>Slalom Large</v>
      </c>
      <c r="H174" s="39" t="str">
        <f t="shared" si="22"/>
        <v>2014-RR-X-F-129-85-228</v>
      </c>
      <c r="I174" s="42" t="str">
        <f t="shared" si="23"/>
        <v>2014</v>
      </c>
      <c r="J174" s="46" t="s">
        <v>731</v>
      </c>
      <c r="K174" t="s">
        <v>1614</v>
      </c>
      <c r="L174" t="s">
        <v>2122</v>
      </c>
      <c r="M174">
        <v>129</v>
      </c>
      <c r="N174">
        <v>85</v>
      </c>
      <c r="O174">
        <v>228</v>
      </c>
      <c r="R174" t="s">
        <v>2123</v>
      </c>
      <c r="S174" t="s">
        <v>2136</v>
      </c>
      <c r="T174">
        <v>7.6</v>
      </c>
      <c r="U174" t="s">
        <v>2137</v>
      </c>
    </row>
    <row r="175" spans="1:21" x14ac:dyDescent="0.3">
      <c r="A175" s="11" t="str">
        <f t="shared" si="16"/>
        <v>Rrd</v>
      </c>
      <c r="B175" s="11" t="str">
        <f t="shared" si="17"/>
        <v>X-Fire Lightwind Ltd</v>
      </c>
      <c r="C175" s="11">
        <f t="shared" si="18"/>
        <v>236</v>
      </c>
      <c r="D175" s="11">
        <f t="shared" si="19"/>
        <v>91</v>
      </c>
      <c r="E175" s="11">
        <f t="shared" si="20"/>
        <v>150</v>
      </c>
      <c r="F175" s="38" t="str">
        <f t="shared" si="21"/>
        <v>2014</v>
      </c>
      <c r="G175" s="11" t="str" cm="1">
        <f t="array" ref="G175">gssBoardClass(A175,B175,C175,D175,E175,F175)</f>
        <v>Slalom Xtra Large</v>
      </c>
      <c r="H175" s="39" t="str">
        <f t="shared" si="22"/>
        <v>2014-RR-X-F-150-91-236</v>
      </c>
      <c r="I175" s="42" t="str">
        <f t="shared" si="23"/>
        <v>2014</v>
      </c>
      <c r="J175" s="46" t="s">
        <v>731</v>
      </c>
      <c r="K175" t="s">
        <v>1614</v>
      </c>
      <c r="L175" t="s">
        <v>2138</v>
      </c>
      <c r="M175">
        <v>150</v>
      </c>
      <c r="N175">
        <v>91</v>
      </c>
      <c r="O175">
        <v>236</v>
      </c>
      <c r="R175" t="s">
        <v>2123</v>
      </c>
      <c r="S175" t="s">
        <v>2139</v>
      </c>
      <c r="T175">
        <v>7.8</v>
      </c>
      <c r="U175" t="s">
        <v>2140</v>
      </c>
    </row>
    <row r="176" spans="1:21" x14ac:dyDescent="0.3">
      <c r="A176" s="11" t="str">
        <f t="shared" si="16"/>
        <v>Rrd</v>
      </c>
      <c r="B176" s="11" t="str">
        <f t="shared" si="17"/>
        <v>X-Fire Ltd V7</v>
      </c>
      <c r="C176" s="11">
        <f t="shared" si="18"/>
        <v>235</v>
      </c>
      <c r="D176" s="11">
        <f t="shared" si="19"/>
        <v>53</v>
      </c>
      <c r="E176" s="11">
        <f t="shared" si="20"/>
        <v>80</v>
      </c>
      <c r="F176" s="38" t="str">
        <f t="shared" si="21"/>
        <v>2014</v>
      </c>
      <c r="G176" s="11" t="str" cm="1">
        <f t="array" ref="G176">gssBoardClass(A176,B176,C176,D176,E176,F176)</f>
        <v>Speed/Slalom Xtra Small</v>
      </c>
      <c r="H176" s="39" t="str">
        <f t="shared" si="22"/>
        <v>2014-RR-X-F-80-53-235</v>
      </c>
      <c r="I176" s="42" t="str">
        <f t="shared" si="23"/>
        <v>2014</v>
      </c>
      <c r="J176" s="46" t="s">
        <v>731</v>
      </c>
      <c r="K176" t="s">
        <v>1614</v>
      </c>
      <c r="L176" t="s">
        <v>2122</v>
      </c>
      <c r="M176">
        <v>80</v>
      </c>
      <c r="N176">
        <v>53</v>
      </c>
      <c r="O176">
        <v>235</v>
      </c>
      <c r="R176" t="s">
        <v>2123</v>
      </c>
      <c r="S176" t="s">
        <v>2124</v>
      </c>
      <c r="T176">
        <v>5.4</v>
      </c>
      <c r="U176" t="s">
        <v>2125</v>
      </c>
    </row>
    <row r="177" spans="1:21" x14ac:dyDescent="0.3">
      <c r="A177" s="11" t="str">
        <f t="shared" si="16"/>
        <v>Rrd</v>
      </c>
      <c r="B177" s="11" t="str">
        <f t="shared" si="17"/>
        <v>X-Fire Ltd V6 90</v>
      </c>
      <c r="C177" s="11">
        <f t="shared" si="18"/>
        <v>235</v>
      </c>
      <c r="D177" s="11">
        <f t="shared" si="19"/>
        <v>59</v>
      </c>
      <c r="E177" s="11">
        <f t="shared" si="20"/>
        <v>90</v>
      </c>
      <c r="F177" s="38" t="str">
        <f t="shared" si="21"/>
        <v>2014</v>
      </c>
      <c r="G177" s="11" t="str" cm="1">
        <f t="array" ref="G177">gssBoardClass(A177,B177,C177,D177,E177,F177)</f>
        <v>Speed/Slalom Xtra Small</v>
      </c>
      <c r="H177" s="39" t="str">
        <f t="shared" si="22"/>
        <v>2014-RR-X-F-90-59-235</v>
      </c>
      <c r="I177" s="42" t="str">
        <f t="shared" si="23"/>
        <v>2014</v>
      </c>
      <c r="J177" s="46">
        <v>2014</v>
      </c>
      <c r="K177" t="s">
        <v>1614</v>
      </c>
      <c r="L177" t="s">
        <v>2052</v>
      </c>
      <c r="M177">
        <v>90</v>
      </c>
      <c r="N177">
        <v>59</v>
      </c>
      <c r="O177">
        <v>235</v>
      </c>
      <c r="Q177" t="s">
        <v>333</v>
      </c>
      <c r="S177" t="s">
        <v>2042</v>
      </c>
      <c r="T177" t="s">
        <v>2041</v>
      </c>
    </row>
    <row r="178" spans="1:21" x14ac:dyDescent="0.3">
      <c r="A178" s="11" t="str">
        <f t="shared" si="16"/>
        <v>Rrd</v>
      </c>
      <c r="B178" s="11" t="str">
        <f t="shared" si="17"/>
        <v>X-Fire Ltd V7</v>
      </c>
      <c r="C178" s="11">
        <f t="shared" si="18"/>
        <v>235</v>
      </c>
      <c r="D178" s="11">
        <f t="shared" si="19"/>
        <v>59</v>
      </c>
      <c r="E178" s="11">
        <f t="shared" si="20"/>
        <v>90</v>
      </c>
      <c r="F178" s="38" t="str">
        <f t="shared" si="21"/>
        <v>2014</v>
      </c>
      <c r="G178" s="11" t="str" cm="1">
        <f t="array" ref="G178">gssBoardClass(A178,B178,C178,D178,E178,F178)</f>
        <v>Speed/Slalom Xtra Small</v>
      </c>
      <c r="H178" s="39" t="str">
        <f t="shared" si="22"/>
        <v>2014-RR-X-F-90-59-235</v>
      </c>
      <c r="I178" s="42" t="str">
        <f t="shared" si="23"/>
        <v>2014</v>
      </c>
      <c r="J178" s="46" t="s">
        <v>731</v>
      </c>
      <c r="K178" t="s">
        <v>1614</v>
      </c>
      <c r="L178" t="s">
        <v>2122</v>
      </c>
      <c r="M178">
        <v>90</v>
      </c>
      <c r="N178">
        <v>59</v>
      </c>
      <c r="O178">
        <v>235</v>
      </c>
      <c r="R178" t="s">
        <v>2123</v>
      </c>
      <c r="S178" t="s">
        <v>2126</v>
      </c>
      <c r="T178">
        <v>5.8</v>
      </c>
      <c r="U178" t="s">
        <v>2127</v>
      </c>
    </row>
    <row r="179" spans="1:21" x14ac:dyDescent="0.3">
      <c r="A179" s="11" t="str">
        <f t="shared" si="16"/>
        <v>Rrd</v>
      </c>
      <c r="B179" s="11" t="str">
        <f t="shared" si="17"/>
        <v>X-Fire Ltd V6 98</v>
      </c>
      <c r="C179" s="11">
        <f t="shared" si="18"/>
        <v>235</v>
      </c>
      <c r="D179" s="11">
        <f t="shared" si="19"/>
        <v>61</v>
      </c>
      <c r="E179" s="11">
        <f t="shared" si="20"/>
        <v>98</v>
      </c>
      <c r="F179" s="38" t="str">
        <f t="shared" si="21"/>
        <v>2014</v>
      </c>
      <c r="G179" s="11" t="str" cm="1">
        <f t="array" ref="G179">gssBoardClass(A179,B179,C179,D179,E179,F179)</f>
        <v>Speed/Slalom Small</v>
      </c>
      <c r="H179" s="39" t="str">
        <f t="shared" si="22"/>
        <v>2014-RR-X-F-98-61-235</v>
      </c>
      <c r="I179" s="42" t="str">
        <f t="shared" si="23"/>
        <v>2014</v>
      </c>
      <c r="J179" s="46">
        <v>2014</v>
      </c>
      <c r="K179" t="s">
        <v>1614</v>
      </c>
      <c r="L179" t="s">
        <v>2053</v>
      </c>
      <c r="M179">
        <v>98</v>
      </c>
      <c r="N179">
        <v>61.5</v>
      </c>
      <c r="O179">
        <v>235</v>
      </c>
      <c r="Q179" t="s">
        <v>333</v>
      </c>
      <c r="S179" t="s">
        <v>2044</v>
      </c>
      <c r="T179" t="s">
        <v>2043</v>
      </c>
    </row>
    <row r="180" spans="1:21" x14ac:dyDescent="0.3">
      <c r="A180" s="11" t="str">
        <f t="shared" si="16"/>
        <v>Rrd</v>
      </c>
      <c r="B180" s="11" t="str">
        <f t="shared" si="17"/>
        <v>X-Fire Ltd V7</v>
      </c>
      <c r="C180" s="11">
        <f t="shared" si="18"/>
        <v>235</v>
      </c>
      <c r="D180" s="11">
        <f t="shared" si="19"/>
        <v>62</v>
      </c>
      <c r="E180" s="11">
        <f t="shared" si="20"/>
        <v>98</v>
      </c>
      <c r="F180" s="38" t="str">
        <f t="shared" si="21"/>
        <v>2014</v>
      </c>
      <c r="G180" s="11" t="str" cm="1">
        <f t="array" ref="G180">gssBoardClass(A180,B180,C180,D180,E180,F180)</f>
        <v>Speed/Slalom Small</v>
      </c>
      <c r="H180" s="39" t="str">
        <f t="shared" si="22"/>
        <v>2014-RR-X-F-98-62-235</v>
      </c>
      <c r="I180" s="42" t="str">
        <f t="shared" si="23"/>
        <v>2014</v>
      </c>
      <c r="J180" s="46" t="s">
        <v>731</v>
      </c>
      <c r="K180" t="s">
        <v>1614</v>
      </c>
      <c r="L180" t="s">
        <v>2122</v>
      </c>
      <c r="M180">
        <v>98</v>
      </c>
      <c r="N180">
        <v>62</v>
      </c>
      <c r="O180">
        <v>235</v>
      </c>
      <c r="R180" t="s">
        <v>2123</v>
      </c>
      <c r="S180" t="s">
        <v>2128</v>
      </c>
      <c r="T180">
        <v>6.1</v>
      </c>
      <c r="U180" t="s">
        <v>2129</v>
      </c>
    </row>
    <row r="181" spans="1:21" x14ac:dyDescent="0.3">
      <c r="A181" s="11" t="str">
        <f t="shared" si="16"/>
        <v>Fanatic</v>
      </c>
      <c r="B181" s="11" t="str">
        <f t="shared" si="17"/>
        <v>Falcon Slalom Te 112</v>
      </c>
      <c r="C181" s="11">
        <f t="shared" si="18"/>
        <v>230</v>
      </c>
      <c r="D181" s="11">
        <f t="shared" si="19"/>
        <v>70</v>
      </c>
      <c r="E181" s="11">
        <f t="shared" si="20"/>
        <v>112</v>
      </c>
      <c r="F181" s="38" t="str">
        <f t="shared" si="21"/>
        <v>2016</v>
      </c>
      <c r="G181" s="11" t="str" cm="1">
        <f t="array" ref="G181">gssBoardClass(A181,B181,C181,D181,E181,F181)</f>
        <v>Slalom Medium</v>
      </c>
      <c r="H181" s="39" t="str">
        <f t="shared" si="22"/>
        <v>2016-Fa-Fal-112-70-230</v>
      </c>
      <c r="I181" s="42" t="str">
        <f t="shared" si="23"/>
        <v>2016</v>
      </c>
      <c r="J181" s="46">
        <v>2016</v>
      </c>
      <c r="K181" t="s">
        <v>1</v>
      </c>
      <c r="L181" t="s">
        <v>432</v>
      </c>
      <c r="M181">
        <v>112</v>
      </c>
      <c r="N181">
        <v>70</v>
      </c>
      <c r="O181">
        <v>230</v>
      </c>
      <c r="P181" t="s">
        <v>407</v>
      </c>
      <c r="S181" t="s">
        <v>408</v>
      </c>
    </row>
    <row r="182" spans="1:21" x14ac:dyDescent="0.3">
      <c r="A182" s="11" t="str">
        <f t="shared" si="16"/>
        <v>Fanatic</v>
      </c>
      <c r="B182" s="11" t="str">
        <f t="shared" si="17"/>
        <v>Falcon Slalom Te 121</v>
      </c>
      <c r="C182" s="11">
        <f t="shared" si="18"/>
        <v>230</v>
      </c>
      <c r="D182" s="11">
        <f t="shared" si="19"/>
        <v>75</v>
      </c>
      <c r="E182" s="11">
        <f t="shared" si="20"/>
        <v>121</v>
      </c>
      <c r="F182" s="38" t="str">
        <f t="shared" si="21"/>
        <v>2016</v>
      </c>
      <c r="G182" s="11" t="str" cm="1">
        <f t="array" ref="G182">gssBoardClass(A182,B182,C182,D182,E182,F182)</f>
        <v>Slalom Large</v>
      </c>
      <c r="H182" s="39" t="str">
        <f t="shared" si="22"/>
        <v>2016-Fa-Fal-121-75-230</v>
      </c>
      <c r="I182" s="42" t="str">
        <f t="shared" si="23"/>
        <v>2016</v>
      </c>
      <c r="J182" s="46">
        <v>2016</v>
      </c>
      <c r="K182" t="s">
        <v>1</v>
      </c>
      <c r="L182" t="s">
        <v>431</v>
      </c>
      <c r="M182">
        <v>121</v>
      </c>
      <c r="N182">
        <v>75</v>
      </c>
      <c r="O182">
        <v>230</v>
      </c>
      <c r="P182" t="s">
        <v>407</v>
      </c>
      <c r="S182" t="s">
        <v>409</v>
      </c>
    </row>
    <row r="183" spans="1:21" x14ac:dyDescent="0.3">
      <c r="A183" s="11" t="str">
        <f t="shared" si="16"/>
        <v>Fanatic</v>
      </c>
      <c r="B183" s="11" t="str">
        <f t="shared" si="17"/>
        <v>Falcon Slalom Te 129</v>
      </c>
      <c r="C183" s="11">
        <f t="shared" si="18"/>
        <v>230</v>
      </c>
      <c r="D183" s="11">
        <f t="shared" si="19"/>
        <v>80</v>
      </c>
      <c r="E183" s="11">
        <f t="shared" si="20"/>
        <v>129</v>
      </c>
      <c r="F183" s="38" t="str">
        <f t="shared" si="21"/>
        <v>2016</v>
      </c>
      <c r="G183" s="11" t="str" cm="1">
        <f t="array" ref="G183">gssBoardClass(A183,B183,C183,D183,E183,F183)</f>
        <v>Slalom Large</v>
      </c>
      <c r="H183" s="39" t="str">
        <f t="shared" si="22"/>
        <v>2016-Fa-Fal-129-80-230</v>
      </c>
      <c r="I183" s="42" t="str">
        <f t="shared" si="23"/>
        <v>2016</v>
      </c>
      <c r="J183" s="46">
        <v>2016</v>
      </c>
      <c r="K183" t="s">
        <v>1</v>
      </c>
      <c r="L183" t="s">
        <v>430</v>
      </c>
      <c r="M183">
        <v>129</v>
      </c>
      <c r="N183">
        <v>80</v>
      </c>
      <c r="O183">
        <v>230</v>
      </c>
      <c r="P183" t="s">
        <v>410</v>
      </c>
      <c r="S183" t="s">
        <v>411</v>
      </c>
    </row>
    <row r="184" spans="1:21" x14ac:dyDescent="0.3">
      <c r="A184" s="11" t="str">
        <f t="shared" si="16"/>
        <v>Fanatic</v>
      </c>
      <c r="B184" s="11" t="str">
        <f t="shared" si="17"/>
        <v>Falcon Slalom Te 138</v>
      </c>
      <c r="C184" s="11">
        <f t="shared" si="18"/>
        <v>230</v>
      </c>
      <c r="D184" s="11">
        <f t="shared" si="19"/>
        <v>85</v>
      </c>
      <c r="E184" s="11">
        <f t="shared" si="20"/>
        <v>138</v>
      </c>
      <c r="F184" s="38" t="str">
        <f t="shared" si="21"/>
        <v>2016</v>
      </c>
      <c r="G184" s="11" t="str" cm="1">
        <f t="array" ref="G184">gssBoardClass(A184,B184,C184,D184,E184,F184)</f>
        <v>Slalom Large</v>
      </c>
      <c r="H184" s="39" t="str">
        <f t="shared" si="22"/>
        <v>2016-Fa-Fal-138-85-230</v>
      </c>
      <c r="I184" s="42" t="str">
        <f t="shared" si="23"/>
        <v>2016</v>
      </c>
      <c r="J184" s="46">
        <v>2016</v>
      </c>
      <c r="K184" t="s">
        <v>1</v>
      </c>
      <c r="L184" t="s">
        <v>412</v>
      </c>
      <c r="M184">
        <v>138</v>
      </c>
      <c r="N184">
        <v>85</v>
      </c>
      <c r="O184">
        <v>230</v>
      </c>
      <c r="P184" t="s">
        <v>410</v>
      </c>
      <c r="S184" t="s">
        <v>399</v>
      </c>
    </row>
    <row r="185" spans="1:21" x14ac:dyDescent="0.3">
      <c r="A185" s="11" t="str">
        <f t="shared" si="16"/>
        <v>Fanatic</v>
      </c>
      <c r="B185" s="11" t="str">
        <f t="shared" si="17"/>
        <v>Falcon Slalom Te 152</v>
      </c>
      <c r="C185" s="11">
        <f t="shared" si="18"/>
        <v>230</v>
      </c>
      <c r="D185" s="11">
        <f t="shared" si="19"/>
        <v>90</v>
      </c>
      <c r="E185" s="11">
        <f t="shared" si="20"/>
        <v>152</v>
      </c>
      <c r="F185" s="38" t="str">
        <f t="shared" si="21"/>
        <v>2016</v>
      </c>
      <c r="G185" s="11" t="str" cm="1">
        <f t="array" ref="G185">gssBoardClass(A185,B185,C185,D185,E185,F185)</f>
        <v>Slalom Xtra Large</v>
      </c>
      <c r="H185" s="39" t="str">
        <f t="shared" si="22"/>
        <v>2016-Fa-Fal-152-90-230</v>
      </c>
      <c r="I185" s="42" t="str">
        <f t="shared" si="23"/>
        <v>2016</v>
      </c>
      <c r="J185" s="46">
        <v>2016</v>
      </c>
      <c r="K185" t="s">
        <v>1</v>
      </c>
      <c r="L185" t="s">
        <v>413</v>
      </c>
      <c r="M185">
        <v>152</v>
      </c>
      <c r="N185">
        <v>90</v>
      </c>
      <c r="O185">
        <v>230</v>
      </c>
      <c r="P185" t="s">
        <v>410</v>
      </c>
      <c r="S185" t="s">
        <v>414</v>
      </c>
    </row>
    <row r="186" spans="1:21" x14ac:dyDescent="0.3">
      <c r="A186" s="11" t="str">
        <f t="shared" si="16"/>
        <v>Fanatic</v>
      </c>
      <c r="B186" s="11" t="str">
        <f t="shared" si="17"/>
        <v>Falcon Formula 172</v>
      </c>
      <c r="C186" s="11">
        <f t="shared" si="18"/>
        <v>230</v>
      </c>
      <c r="D186" s="11">
        <f t="shared" si="19"/>
        <v>100</v>
      </c>
      <c r="E186" s="11">
        <f t="shared" si="20"/>
        <v>172</v>
      </c>
      <c r="F186" s="38" t="str">
        <f t="shared" si="21"/>
        <v>2016</v>
      </c>
      <c r="G186" s="11" t="str" cm="1">
        <f t="array" ref="G186">gssBoardClass(A186,B186,C186,D186,E186,F186)</f>
        <v>Formula Raceboard</v>
      </c>
      <c r="H186" s="39" t="str">
        <f t="shared" si="22"/>
        <v>2016-Fa-Fal-172-100-230</v>
      </c>
      <c r="I186" s="42" t="str">
        <f t="shared" si="23"/>
        <v>2016</v>
      </c>
      <c r="J186" s="46">
        <v>2016</v>
      </c>
      <c r="K186" t="s">
        <v>1</v>
      </c>
      <c r="L186" t="s">
        <v>259</v>
      </c>
      <c r="M186">
        <v>172</v>
      </c>
      <c r="N186">
        <v>100</v>
      </c>
      <c r="O186">
        <v>230</v>
      </c>
      <c r="P186" t="s">
        <v>410</v>
      </c>
      <c r="S186" t="s">
        <v>415</v>
      </c>
    </row>
    <row r="187" spans="1:21" x14ac:dyDescent="0.3">
      <c r="A187" s="11" t="str">
        <f t="shared" si="16"/>
        <v>Fanatic</v>
      </c>
      <c r="B187" s="11" t="str">
        <f t="shared" si="17"/>
        <v>Falcon Speed 44 Lüderitz</v>
      </c>
      <c r="C187" s="11">
        <f t="shared" si="18"/>
        <v>230</v>
      </c>
      <c r="D187" s="11">
        <f t="shared" si="19"/>
        <v>44</v>
      </c>
      <c r="E187" s="11">
        <f t="shared" si="20"/>
        <v>54</v>
      </c>
      <c r="F187" s="38" t="str">
        <f t="shared" si="21"/>
        <v>2016</v>
      </c>
      <c r="G187" s="11" t="str" cm="1">
        <f t="array" ref="G187">gssBoardClass(A187,B187,C187,D187,E187,F187)</f>
        <v>Speedboard</v>
      </c>
      <c r="H187" s="39" t="str">
        <f t="shared" si="22"/>
        <v>2016-Fa-Fal-54-44-230</v>
      </c>
      <c r="I187" s="42" t="str">
        <f t="shared" si="23"/>
        <v>2016</v>
      </c>
      <c r="J187" s="46">
        <v>2016</v>
      </c>
      <c r="K187" t="s">
        <v>1</v>
      </c>
      <c r="L187" t="s">
        <v>256</v>
      </c>
      <c r="M187">
        <v>54</v>
      </c>
      <c r="N187">
        <v>44</v>
      </c>
      <c r="O187">
        <v>230</v>
      </c>
      <c r="P187" t="s">
        <v>403</v>
      </c>
      <c r="S187" t="s">
        <v>416</v>
      </c>
    </row>
    <row r="188" spans="1:21" x14ac:dyDescent="0.3">
      <c r="A188" s="11" t="str">
        <f t="shared" si="16"/>
        <v>Fanatic</v>
      </c>
      <c r="B188" s="11" t="str">
        <f t="shared" si="17"/>
        <v>Falcon Speed 50</v>
      </c>
      <c r="C188" s="11">
        <f t="shared" si="18"/>
        <v>230</v>
      </c>
      <c r="D188" s="11">
        <f t="shared" si="19"/>
        <v>50</v>
      </c>
      <c r="E188" s="11">
        <f t="shared" si="20"/>
        <v>68</v>
      </c>
      <c r="F188" s="38" t="str">
        <f t="shared" si="21"/>
        <v>2016</v>
      </c>
      <c r="G188" s="11" t="str" cm="1">
        <f t="array" ref="G188">gssBoardClass(A188,B188,C188,D188,E188,F188)</f>
        <v>Speedboard</v>
      </c>
      <c r="H188" s="39" t="str">
        <f t="shared" si="22"/>
        <v>2016-Fa-Fal-68-50-230</v>
      </c>
      <c r="I188" s="42" t="str">
        <f t="shared" si="23"/>
        <v>2016</v>
      </c>
      <c r="J188" s="46">
        <v>2016</v>
      </c>
      <c r="K188" t="s">
        <v>1</v>
      </c>
      <c r="L188" t="s">
        <v>417</v>
      </c>
      <c r="M188">
        <v>68</v>
      </c>
      <c r="N188">
        <v>50</v>
      </c>
      <c r="O188">
        <v>230</v>
      </c>
      <c r="P188" t="s">
        <v>403</v>
      </c>
      <c r="S188" t="s">
        <v>387</v>
      </c>
    </row>
    <row r="189" spans="1:21" x14ac:dyDescent="0.3">
      <c r="A189" s="11" t="str">
        <f t="shared" si="16"/>
        <v>Fanatic</v>
      </c>
      <c r="B189" s="11" t="str">
        <f t="shared" si="17"/>
        <v>Falcon Speed 56</v>
      </c>
      <c r="C189" s="11">
        <f t="shared" si="18"/>
        <v>235</v>
      </c>
      <c r="D189" s="11">
        <f t="shared" si="19"/>
        <v>56</v>
      </c>
      <c r="E189" s="11">
        <f t="shared" si="20"/>
        <v>79</v>
      </c>
      <c r="F189" s="38" t="str">
        <f t="shared" si="21"/>
        <v>2016</v>
      </c>
      <c r="G189" s="11" t="str" cm="1">
        <f t="array" ref="G189">gssBoardClass(A189,B189,C189,D189,E189,F189)</f>
        <v>Speed/Slalom Xtra Small</v>
      </c>
      <c r="H189" s="39" t="str">
        <f t="shared" si="22"/>
        <v>2016-Fa-Fal-79-56-235</v>
      </c>
      <c r="I189" s="42" t="str">
        <f t="shared" si="23"/>
        <v>2016</v>
      </c>
      <c r="J189" s="46">
        <v>2016</v>
      </c>
      <c r="K189" t="s">
        <v>1</v>
      </c>
      <c r="L189" t="s">
        <v>258</v>
      </c>
      <c r="M189">
        <v>79</v>
      </c>
      <c r="N189">
        <v>56</v>
      </c>
      <c r="O189">
        <v>235</v>
      </c>
      <c r="P189" t="s">
        <v>403</v>
      </c>
      <c r="S189" t="s">
        <v>393</v>
      </c>
    </row>
    <row r="190" spans="1:21" x14ac:dyDescent="0.3">
      <c r="A190" s="11" t="str">
        <f t="shared" si="16"/>
        <v>Fanatic</v>
      </c>
      <c r="B190" s="11" t="str">
        <f t="shared" si="17"/>
        <v>Falcon Slalom Te 90</v>
      </c>
      <c r="C190" s="11">
        <f t="shared" si="18"/>
        <v>235</v>
      </c>
      <c r="D190" s="11">
        <f t="shared" si="19"/>
        <v>59</v>
      </c>
      <c r="E190" s="11">
        <f t="shared" si="20"/>
        <v>90</v>
      </c>
      <c r="F190" s="38" t="str">
        <f t="shared" si="21"/>
        <v>2016</v>
      </c>
      <c r="G190" s="11" t="str" cm="1">
        <f t="array" ref="G190">gssBoardClass(A190,B190,C190,D190,E190,F190)</f>
        <v>Speed/Slalom Xtra Small</v>
      </c>
      <c r="H190" s="39" t="str">
        <f t="shared" si="22"/>
        <v>2016-Fa-Fal-90-59-235</v>
      </c>
      <c r="I190" s="42" t="str">
        <f t="shared" si="23"/>
        <v>2016</v>
      </c>
      <c r="J190" s="46">
        <v>2016</v>
      </c>
      <c r="K190" t="s">
        <v>1</v>
      </c>
      <c r="L190" t="s">
        <v>402</v>
      </c>
      <c r="M190">
        <v>90</v>
      </c>
      <c r="N190">
        <v>59</v>
      </c>
      <c r="O190">
        <v>235</v>
      </c>
      <c r="P190" t="s">
        <v>403</v>
      </c>
      <c r="S190" t="s">
        <v>404</v>
      </c>
    </row>
    <row r="191" spans="1:21" x14ac:dyDescent="0.3">
      <c r="A191" s="11" t="str">
        <f t="shared" si="16"/>
        <v>Fanatic</v>
      </c>
      <c r="B191" s="11" t="str">
        <f t="shared" si="17"/>
        <v>Falcon Slalom Te 99</v>
      </c>
      <c r="C191" s="11">
        <f t="shared" si="18"/>
        <v>235</v>
      </c>
      <c r="D191" s="11">
        <f t="shared" si="19"/>
        <v>63</v>
      </c>
      <c r="E191" s="11">
        <f t="shared" si="20"/>
        <v>99</v>
      </c>
      <c r="F191" s="38" t="str">
        <f t="shared" si="21"/>
        <v>2016</v>
      </c>
      <c r="G191" s="11" t="str" cm="1">
        <f t="array" ref="G191">gssBoardClass(A191,B191,C191,D191,E191,F191)</f>
        <v>Speed/Slalom Small</v>
      </c>
      <c r="H191" s="39" t="str">
        <f t="shared" si="22"/>
        <v>2016-Fa-Fal-99-63-235</v>
      </c>
      <c r="I191" s="42" t="str">
        <f t="shared" si="23"/>
        <v>2016</v>
      </c>
      <c r="J191" s="46">
        <v>2016</v>
      </c>
      <c r="K191" t="s">
        <v>1</v>
      </c>
      <c r="L191" t="s">
        <v>429</v>
      </c>
      <c r="M191">
        <v>99</v>
      </c>
      <c r="N191">
        <v>63</v>
      </c>
      <c r="O191">
        <v>235</v>
      </c>
      <c r="P191" t="s">
        <v>405</v>
      </c>
      <c r="S191" t="s">
        <v>406</v>
      </c>
    </row>
    <row r="192" spans="1:21" x14ac:dyDescent="0.3">
      <c r="A192" s="11" t="str">
        <f t="shared" si="16"/>
        <v>Fanatic</v>
      </c>
      <c r="B192" s="11" t="str">
        <f t="shared" si="17"/>
        <v>Freewave 106</v>
      </c>
      <c r="C192" s="11">
        <f t="shared" si="18"/>
        <v>235</v>
      </c>
      <c r="D192" s="11">
        <f t="shared" si="19"/>
        <v>63</v>
      </c>
      <c r="E192" s="11">
        <f t="shared" si="20"/>
        <v>106</v>
      </c>
      <c r="F192" s="38" t="str">
        <f t="shared" si="21"/>
        <v>2016</v>
      </c>
      <c r="G192" s="11" t="str" cm="1">
        <f t="array" ref="G192">gssBoardClass(A192,B192,C192,D192,E192,F192)</f>
        <v>Wave / Freestyle</v>
      </c>
      <c r="H192" s="39" t="str">
        <f t="shared" si="22"/>
        <v>2016-Fa-Fre-106-63-235</v>
      </c>
      <c r="I192" s="42" t="str">
        <f t="shared" si="23"/>
        <v>2016</v>
      </c>
      <c r="J192" s="46">
        <v>2016</v>
      </c>
      <c r="K192" t="s">
        <v>1</v>
      </c>
      <c r="L192" t="s">
        <v>435</v>
      </c>
      <c r="M192">
        <v>106</v>
      </c>
      <c r="N192">
        <v>63.5</v>
      </c>
      <c r="O192">
        <v>235</v>
      </c>
      <c r="P192" t="s">
        <v>382</v>
      </c>
      <c r="S192" t="s">
        <v>383</v>
      </c>
    </row>
    <row r="193" spans="1:19" x14ac:dyDescent="0.3">
      <c r="A193" s="11" t="str">
        <f t="shared" si="16"/>
        <v>Fanatic</v>
      </c>
      <c r="B193" s="11" t="str">
        <f t="shared" si="17"/>
        <v>Freewave 116</v>
      </c>
      <c r="C193" s="11">
        <f t="shared" si="18"/>
        <v>236</v>
      </c>
      <c r="D193" s="11">
        <f t="shared" si="19"/>
        <v>66</v>
      </c>
      <c r="E193" s="11">
        <f t="shared" si="20"/>
        <v>116</v>
      </c>
      <c r="F193" s="38" t="str">
        <f t="shared" si="21"/>
        <v>2016</v>
      </c>
      <c r="G193" s="11" t="str" cm="1">
        <f t="array" ref="G193">gssBoardClass(A193,B193,C193,D193,E193,F193)</f>
        <v>Wave / Freestyle</v>
      </c>
      <c r="H193" s="39" t="str">
        <f t="shared" si="22"/>
        <v>2016-Fa-Fre-116-66-236</v>
      </c>
      <c r="I193" s="42" t="str">
        <f t="shared" si="23"/>
        <v>2016</v>
      </c>
      <c r="J193" s="46">
        <v>2016</v>
      </c>
      <c r="K193" t="s">
        <v>1</v>
      </c>
      <c r="L193" t="s">
        <v>436</v>
      </c>
      <c r="M193" s="5">
        <v>116</v>
      </c>
      <c r="N193" s="5">
        <v>66</v>
      </c>
      <c r="O193" s="5">
        <v>236</v>
      </c>
      <c r="P193" s="5" t="s">
        <v>380</v>
      </c>
      <c r="Q193" s="5"/>
      <c r="S193" s="5" t="s">
        <v>384</v>
      </c>
    </row>
    <row r="194" spans="1:19" x14ac:dyDescent="0.3">
      <c r="A194" s="11" t="str">
        <f t="shared" ref="A194:A257" si="24">PROPER(K194)</f>
        <v>Fanatic</v>
      </c>
      <c r="B194" s="11" t="str">
        <f t="shared" ref="B194:B257" si="25">TRIM(PROPER(LEFT(L194,IFERROR(FIND(" ",L194),99))&amp;MID(L194,IFERROR(FIND(" ",L194),99),99)))</f>
        <v>Freewave Te 76; Freewave Cws 76</v>
      </c>
      <c r="C194" s="11">
        <f t="shared" ref="C194:C257" si="26">TRUNC(O194)</f>
        <v>232</v>
      </c>
      <c r="D194" s="11">
        <f t="shared" ref="D194:D257" si="27">TRUNC(N194)</f>
        <v>56</v>
      </c>
      <c r="E194" s="11">
        <f t="shared" ref="E194:E257" si="28">M194</f>
        <v>76</v>
      </c>
      <c r="F194" s="38" t="str">
        <f t="shared" ref="F194:F257" si="29">I194</f>
        <v>2016</v>
      </c>
      <c r="G194" s="11" t="str" cm="1">
        <f t="array" ref="G194">gssBoardClass(A194,B194,C194,D194,E194,F194)</f>
        <v>Wave / Freestyle</v>
      </c>
      <c r="H194" s="39" t="str">
        <f t="shared" ref="H194:H257" si="30">_xlfn.CONCAT(I194,"-",LEFT(K194,2),"-",LEFT(L194,3),"-",M194,"-",TRUNC(N194),"-",TRUNC(O194))</f>
        <v>2016-Fa-Fre-76-56-232</v>
      </c>
      <c r="I194" s="42" t="str">
        <f t="shared" ref="I194:I257" si="31">LEFT(J194,4)</f>
        <v>2016</v>
      </c>
      <c r="J194" s="46">
        <v>2016</v>
      </c>
      <c r="K194" t="s">
        <v>1</v>
      </c>
      <c r="L194" t="s">
        <v>379</v>
      </c>
      <c r="M194" s="5">
        <v>76</v>
      </c>
      <c r="N194" s="5">
        <v>56</v>
      </c>
      <c r="O194" s="5">
        <v>232</v>
      </c>
      <c r="P194" s="5" t="s">
        <v>380</v>
      </c>
      <c r="Q194" s="5"/>
      <c r="S194" s="5" t="s">
        <v>381</v>
      </c>
    </row>
    <row r="195" spans="1:19" x14ac:dyDescent="0.3">
      <c r="A195" s="11" t="str">
        <f t="shared" si="24"/>
        <v>Fanatic</v>
      </c>
      <c r="B195" s="11" t="str">
        <f t="shared" si="25"/>
        <v>Freewave 86</v>
      </c>
      <c r="C195" s="11">
        <f t="shared" si="26"/>
        <v>233</v>
      </c>
      <c r="D195" s="11">
        <f t="shared" si="27"/>
        <v>58</v>
      </c>
      <c r="E195" s="11">
        <f t="shared" si="28"/>
        <v>86</v>
      </c>
      <c r="F195" s="38" t="str">
        <f t="shared" si="29"/>
        <v>2016</v>
      </c>
      <c r="G195" s="11" t="str" cm="1">
        <f t="array" ref="G195">gssBoardClass(A195,B195,C195,D195,E195,F195)</f>
        <v>Wave / Freestyle</v>
      </c>
      <c r="H195" s="39" t="str">
        <f t="shared" si="30"/>
        <v>2016-Fa-Fre-86-58-233</v>
      </c>
      <c r="I195" s="42" t="str">
        <f t="shared" si="31"/>
        <v>2016</v>
      </c>
      <c r="J195" s="46">
        <v>2016</v>
      </c>
      <c r="K195" t="s">
        <v>1</v>
      </c>
      <c r="L195" t="s">
        <v>433</v>
      </c>
      <c r="M195" s="5">
        <v>86</v>
      </c>
      <c r="N195" s="5">
        <v>58.5</v>
      </c>
      <c r="O195" s="5">
        <v>233</v>
      </c>
      <c r="P195" s="5" t="s">
        <v>382</v>
      </c>
      <c r="Q195" s="5"/>
      <c r="S195" s="5" t="s">
        <v>368</v>
      </c>
    </row>
    <row r="196" spans="1:19" x14ac:dyDescent="0.3">
      <c r="A196" s="11" t="str">
        <f t="shared" si="24"/>
        <v>Fanatic</v>
      </c>
      <c r="B196" s="11" t="str">
        <f t="shared" si="25"/>
        <v>Freewave 96</v>
      </c>
      <c r="C196" s="11">
        <f t="shared" si="26"/>
        <v>234</v>
      </c>
      <c r="D196" s="11">
        <f t="shared" si="27"/>
        <v>61</v>
      </c>
      <c r="E196" s="11">
        <f t="shared" si="28"/>
        <v>96</v>
      </c>
      <c r="F196" s="38" t="str">
        <f t="shared" si="29"/>
        <v>2016</v>
      </c>
      <c r="G196" s="11" t="str" cm="1">
        <f t="array" ref="G196">gssBoardClass(A196,B196,C196,D196,E196,F196)</f>
        <v>Wave / Freestyle</v>
      </c>
      <c r="H196" s="39" t="str">
        <f t="shared" si="30"/>
        <v>2016-Fa-Fre-96-61-234</v>
      </c>
      <c r="I196" s="42" t="str">
        <f t="shared" si="31"/>
        <v>2016</v>
      </c>
      <c r="J196" s="46">
        <v>2016</v>
      </c>
      <c r="K196" t="s">
        <v>1</v>
      </c>
      <c r="L196" t="s">
        <v>434</v>
      </c>
      <c r="M196" s="5">
        <v>96</v>
      </c>
      <c r="N196" s="5">
        <v>61</v>
      </c>
      <c r="O196" s="5">
        <v>234</v>
      </c>
      <c r="P196" s="5" t="s">
        <v>382</v>
      </c>
      <c r="Q196" s="5"/>
      <c r="S196" s="5" t="s">
        <v>378</v>
      </c>
    </row>
    <row r="197" spans="1:19" x14ac:dyDescent="0.3">
      <c r="A197" s="11" t="str">
        <f t="shared" si="24"/>
        <v>Fanatic</v>
      </c>
      <c r="B197" s="11" t="str">
        <f t="shared" si="25"/>
        <v>Gecko 105</v>
      </c>
      <c r="C197" s="11">
        <f t="shared" si="26"/>
        <v>239</v>
      </c>
      <c r="D197" s="11">
        <f t="shared" si="27"/>
        <v>69</v>
      </c>
      <c r="E197" s="11">
        <f t="shared" si="28"/>
        <v>105</v>
      </c>
      <c r="F197" s="38" t="str">
        <f t="shared" si="29"/>
        <v>2016</v>
      </c>
      <c r="G197" s="11" t="str" cm="1">
        <f t="array" ref="G197">gssBoardClass(A197,B197,C197,D197,E197,F197)</f>
        <v>Slalom Medium</v>
      </c>
      <c r="H197" s="39" t="str">
        <f t="shared" si="30"/>
        <v>2016-Fa-Gec-105-69-239</v>
      </c>
      <c r="I197" s="42" t="str">
        <f t="shared" si="31"/>
        <v>2016</v>
      </c>
      <c r="J197" s="46">
        <v>2016</v>
      </c>
      <c r="K197" t="s">
        <v>1</v>
      </c>
      <c r="L197" t="s">
        <v>442</v>
      </c>
      <c r="M197">
        <v>105</v>
      </c>
      <c r="N197">
        <v>69</v>
      </c>
      <c r="O197">
        <v>239</v>
      </c>
      <c r="P197" t="s">
        <v>396</v>
      </c>
      <c r="S197" t="s">
        <v>394</v>
      </c>
    </row>
    <row r="198" spans="1:19" x14ac:dyDescent="0.3">
      <c r="A198" s="11" t="str">
        <f t="shared" si="24"/>
        <v>Fanatic</v>
      </c>
      <c r="B198" s="11" t="str">
        <f t="shared" si="25"/>
        <v>Gecko 112</v>
      </c>
      <c r="C198" s="11">
        <f t="shared" si="26"/>
        <v>239</v>
      </c>
      <c r="D198" s="11">
        <f t="shared" si="27"/>
        <v>73</v>
      </c>
      <c r="E198" s="11">
        <f t="shared" si="28"/>
        <v>112</v>
      </c>
      <c r="F198" s="38" t="str">
        <f t="shared" si="29"/>
        <v>2016</v>
      </c>
      <c r="G198" s="11" t="str" cm="1">
        <f t="array" ref="G198">gssBoardClass(A198,B198,C198,D198,E198,F198)</f>
        <v>Slalom Medium</v>
      </c>
      <c r="H198" s="39" t="str">
        <f t="shared" si="30"/>
        <v>2016-Fa-Gec-112-73-239</v>
      </c>
      <c r="I198" s="42" t="str">
        <f t="shared" si="31"/>
        <v>2016</v>
      </c>
      <c r="J198" s="46">
        <v>2016</v>
      </c>
      <c r="K198" t="s">
        <v>1</v>
      </c>
      <c r="L198" t="s">
        <v>443</v>
      </c>
      <c r="M198">
        <v>112</v>
      </c>
      <c r="N198">
        <v>73</v>
      </c>
      <c r="O198">
        <v>239</v>
      </c>
      <c r="P198" t="s">
        <v>396</v>
      </c>
      <c r="S198" t="s">
        <v>395</v>
      </c>
    </row>
    <row r="199" spans="1:19" x14ac:dyDescent="0.3">
      <c r="A199" s="11" t="str">
        <f t="shared" si="24"/>
        <v>Fanatic</v>
      </c>
      <c r="B199" s="11" t="str">
        <f t="shared" si="25"/>
        <v>Gecko 120</v>
      </c>
      <c r="C199" s="11">
        <f t="shared" si="26"/>
        <v>242</v>
      </c>
      <c r="D199" s="11">
        <f t="shared" si="27"/>
        <v>76</v>
      </c>
      <c r="E199" s="11">
        <f t="shared" si="28"/>
        <v>120</v>
      </c>
      <c r="F199" s="38" t="str">
        <f t="shared" si="29"/>
        <v>2016</v>
      </c>
      <c r="G199" s="11" t="str" cm="1">
        <f t="array" ref="G199">gssBoardClass(A199,B199,C199,D199,E199,F199)</f>
        <v>Slalom Large</v>
      </c>
      <c r="H199" s="39" t="str">
        <f t="shared" si="30"/>
        <v>2016-Fa-Gec-120-76-242</v>
      </c>
      <c r="I199" s="42" t="str">
        <f t="shared" si="31"/>
        <v>2016</v>
      </c>
      <c r="J199" s="46">
        <v>2016</v>
      </c>
      <c r="K199" t="s">
        <v>1</v>
      </c>
      <c r="L199" t="s">
        <v>444</v>
      </c>
      <c r="M199">
        <v>120</v>
      </c>
      <c r="N199">
        <v>76</v>
      </c>
      <c r="O199">
        <v>242</v>
      </c>
      <c r="P199" t="s">
        <v>396</v>
      </c>
      <c r="S199" t="s">
        <v>397</v>
      </c>
    </row>
    <row r="200" spans="1:19" x14ac:dyDescent="0.3">
      <c r="A200" s="11" t="str">
        <f t="shared" si="24"/>
        <v>Fanatic</v>
      </c>
      <c r="B200" s="11" t="str">
        <f t="shared" si="25"/>
        <v>Gecko 133</v>
      </c>
      <c r="C200" s="11">
        <f t="shared" si="26"/>
        <v>246</v>
      </c>
      <c r="D200" s="11">
        <f t="shared" si="27"/>
        <v>78</v>
      </c>
      <c r="E200" s="11">
        <f t="shared" si="28"/>
        <v>133</v>
      </c>
      <c r="F200" s="38" t="str">
        <f t="shared" si="29"/>
        <v>2016</v>
      </c>
      <c r="G200" s="11" t="str" cm="1">
        <f t="array" ref="G200">gssBoardClass(A200,B200,C200,D200,E200,F200)</f>
        <v>Slalom Large</v>
      </c>
      <c r="H200" s="39" t="str">
        <f t="shared" si="30"/>
        <v>2016-Fa-Gec-133-78-246</v>
      </c>
      <c r="I200" s="42" t="str">
        <f t="shared" si="31"/>
        <v>2016</v>
      </c>
      <c r="J200" s="46">
        <v>2016</v>
      </c>
      <c r="K200" t="s">
        <v>1</v>
      </c>
      <c r="L200" t="s">
        <v>445</v>
      </c>
      <c r="M200">
        <v>133</v>
      </c>
      <c r="N200">
        <v>78</v>
      </c>
      <c r="O200">
        <v>246</v>
      </c>
      <c r="P200" t="s">
        <v>396</v>
      </c>
      <c r="S200" t="s">
        <v>398</v>
      </c>
    </row>
    <row r="201" spans="1:19" x14ac:dyDescent="0.3">
      <c r="A201" s="11" t="str">
        <f t="shared" si="24"/>
        <v>Fanatic</v>
      </c>
      <c r="B201" s="11" t="str">
        <f t="shared" si="25"/>
        <v>Gecko 146</v>
      </c>
      <c r="C201" s="11">
        <f t="shared" si="26"/>
        <v>250</v>
      </c>
      <c r="D201" s="11">
        <f t="shared" si="27"/>
        <v>83</v>
      </c>
      <c r="E201" s="11">
        <f t="shared" si="28"/>
        <v>146</v>
      </c>
      <c r="F201" s="38" t="str">
        <f t="shared" si="29"/>
        <v>2016</v>
      </c>
      <c r="G201" s="11" t="str" cm="1">
        <f t="array" ref="G201">gssBoardClass(A201,B201,C201,D201,E201,F201)</f>
        <v>Slalom Large</v>
      </c>
      <c r="H201" s="39" t="str">
        <f t="shared" si="30"/>
        <v>2016-Fa-Gec-146-83-250</v>
      </c>
      <c r="I201" s="42" t="str">
        <f t="shared" si="31"/>
        <v>2016</v>
      </c>
      <c r="J201" s="46">
        <v>2016</v>
      </c>
      <c r="K201" t="s">
        <v>1</v>
      </c>
      <c r="L201" t="s">
        <v>446</v>
      </c>
      <c r="M201">
        <v>146</v>
      </c>
      <c r="N201">
        <v>83</v>
      </c>
      <c r="O201">
        <v>250</v>
      </c>
      <c r="P201" t="s">
        <v>396</v>
      </c>
      <c r="S201" t="s">
        <v>399</v>
      </c>
    </row>
    <row r="202" spans="1:19" x14ac:dyDescent="0.3">
      <c r="A202" s="11" t="str">
        <f t="shared" si="24"/>
        <v>Fanatic</v>
      </c>
      <c r="B202" s="11" t="str">
        <f t="shared" si="25"/>
        <v>Gecko 156+</v>
      </c>
      <c r="C202" s="11">
        <f t="shared" si="26"/>
        <v>252</v>
      </c>
      <c r="D202" s="11">
        <f t="shared" si="27"/>
        <v>85</v>
      </c>
      <c r="E202" s="11">
        <f t="shared" si="28"/>
        <v>156</v>
      </c>
      <c r="F202" s="38" t="str">
        <f t="shared" si="29"/>
        <v>2016</v>
      </c>
      <c r="G202" s="11" t="str" cm="1">
        <f t="array" ref="G202">gssBoardClass(A202,B202,C202,D202,E202,F202)</f>
        <v>Slalom Large</v>
      </c>
      <c r="H202" s="39" t="str">
        <f t="shared" si="30"/>
        <v>2016-Fa-Gec-156-85-252</v>
      </c>
      <c r="I202" s="42" t="str">
        <f t="shared" si="31"/>
        <v>2016</v>
      </c>
      <c r="J202" s="46">
        <v>2016</v>
      </c>
      <c r="K202" t="s">
        <v>1</v>
      </c>
      <c r="L202" t="s">
        <v>447</v>
      </c>
      <c r="M202">
        <v>156</v>
      </c>
      <c r="N202">
        <v>85</v>
      </c>
      <c r="O202">
        <v>252</v>
      </c>
      <c r="P202" t="s">
        <v>400</v>
      </c>
      <c r="S202" t="s">
        <v>401</v>
      </c>
    </row>
    <row r="203" spans="1:19" x14ac:dyDescent="0.3">
      <c r="A203" s="11" t="str">
        <f t="shared" si="24"/>
        <v>Fanatic</v>
      </c>
      <c r="B203" s="11" t="str">
        <f t="shared" si="25"/>
        <v>Gecko 98</v>
      </c>
      <c r="C203" s="11">
        <f t="shared" si="26"/>
        <v>239</v>
      </c>
      <c r="D203" s="11">
        <f t="shared" si="27"/>
        <v>63</v>
      </c>
      <c r="E203" s="11">
        <f t="shared" si="28"/>
        <v>98</v>
      </c>
      <c r="F203" s="38" t="str">
        <f t="shared" si="29"/>
        <v>2016</v>
      </c>
      <c r="G203" s="11" t="str" cm="1">
        <f t="array" ref="G203">gssBoardClass(A203,B203,C203,D203,E203,F203)</f>
        <v>Speed/Slalom Small</v>
      </c>
      <c r="H203" s="39" t="str">
        <f t="shared" si="30"/>
        <v>2016-Fa-Gec-98-63-239</v>
      </c>
      <c r="I203" s="42" t="str">
        <f t="shared" si="31"/>
        <v>2016</v>
      </c>
      <c r="J203" s="46">
        <v>2016</v>
      </c>
      <c r="K203" t="s">
        <v>1</v>
      </c>
      <c r="L203" t="s">
        <v>441</v>
      </c>
      <c r="M203" s="5">
        <v>98</v>
      </c>
      <c r="N203" s="5">
        <v>63</v>
      </c>
      <c r="O203" s="5">
        <v>239</v>
      </c>
      <c r="P203" s="5" t="s">
        <v>396</v>
      </c>
      <c r="Q203" s="5"/>
      <c r="S203" s="5" t="s">
        <v>393</v>
      </c>
    </row>
    <row r="204" spans="1:19" x14ac:dyDescent="0.3">
      <c r="A204" s="11" t="str">
        <f t="shared" si="24"/>
        <v>Fanatic</v>
      </c>
      <c r="B204" s="11" t="str">
        <f t="shared" si="25"/>
        <v>Hawk 113</v>
      </c>
      <c r="C204" s="11">
        <f t="shared" si="26"/>
        <v>241</v>
      </c>
      <c r="D204" s="11">
        <f t="shared" si="27"/>
        <v>66</v>
      </c>
      <c r="E204" s="11">
        <f t="shared" si="28"/>
        <v>113</v>
      </c>
      <c r="F204" s="38" t="str">
        <f t="shared" si="29"/>
        <v>2016</v>
      </c>
      <c r="G204" s="11" t="str" cm="1">
        <f t="array" ref="G204">gssBoardClass(A204,B204,C204,D204,E204,F204)</f>
        <v>Slalom Medium</v>
      </c>
      <c r="H204" s="39" t="str">
        <f t="shared" si="30"/>
        <v>2016-Fa-Haw-113-66-241</v>
      </c>
      <c r="I204" s="42" t="str">
        <f t="shared" si="31"/>
        <v>2016</v>
      </c>
      <c r="J204" s="46">
        <v>2016</v>
      </c>
      <c r="K204" t="s">
        <v>1</v>
      </c>
      <c r="L204" t="s">
        <v>439</v>
      </c>
      <c r="M204" s="5">
        <v>113</v>
      </c>
      <c r="N204" s="5">
        <v>66</v>
      </c>
      <c r="O204" s="5">
        <v>241</v>
      </c>
      <c r="P204" s="5" t="s">
        <v>392</v>
      </c>
      <c r="Q204" s="5"/>
      <c r="S204" s="5" t="s">
        <v>394</v>
      </c>
    </row>
    <row r="205" spans="1:19" x14ac:dyDescent="0.3">
      <c r="A205" s="11" t="str">
        <f t="shared" si="24"/>
        <v>Fanatic</v>
      </c>
      <c r="B205" s="11" t="str">
        <f t="shared" si="25"/>
        <v>Hawk 124</v>
      </c>
      <c r="C205" s="11">
        <f t="shared" si="26"/>
        <v>242</v>
      </c>
      <c r="D205" s="11">
        <f t="shared" si="27"/>
        <v>70</v>
      </c>
      <c r="E205" s="11">
        <f t="shared" si="28"/>
        <v>124</v>
      </c>
      <c r="F205" s="38" t="str">
        <f t="shared" si="29"/>
        <v>2016</v>
      </c>
      <c r="G205" s="11" t="str" cm="1">
        <f t="array" ref="G205">gssBoardClass(A205,B205,C205,D205,E205,F205)</f>
        <v>Slalom Medium</v>
      </c>
      <c r="H205" s="39" t="str">
        <f t="shared" si="30"/>
        <v>2016-Fa-Haw-124-70-242</v>
      </c>
      <c r="I205" s="42" t="str">
        <f t="shared" si="31"/>
        <v>2016</v>
      </c>
      <c r="J205" s="46">
        <v>2016</v>
      </c>
      <c r="K205" t="s">
        <v>1</v>
      </c>
      <c r="L205" t="s">
        <v>440</v>
      </c>
      <c r="M205" s="5">
        <v>124</v>
      </c>
      <c r="N205" s="5">
        <v>70</v>
      </c>
      <c r="O205" s="5">
        <v>242</v>
      </c>
      <c r="P205" s="5" t="s">
        <v>392</v>
      </c>
      <c r="Q205" s="5"/>
      <c r="S205" s="5" t="s">
        <v>395</v>
      </c>
    </row>
    <row r="206" spans="1:19" x14ac:dyDescent="0.3">
      <c r="A206" s="11" t="str">
        <f t="shared" si="24"/>
        <v>Fanatic</v>
      </c>
      <c r="B206" s="11" t="str">
        <f t="shared" si="25"/>
        <v>Hawk 99</v>
      </c>
      <c r="C206" s="11">
        <f t="shared" si="26"/>
        <v>239</v>
      </c>
      <c r="D206" s="11">
        <f t="shared" si="27"/>
        <v>62</v>
      </c>
      <c r="E206" s="11">
        <f t="shared" si="28"/>
        <v>99</v>
      </c>
      <c r="F206" s="38" t="str">
        <f t="shared" si="29"/>
        <v>2016</v>
      </c>
      <c r="G206" s="11" t="str" cm="1">
        <f t="array" ref="G206">gssBoardClass(A206,B206,C206,D206,E206,F206)</f>
        <v>Speed/Slalom Small</v>
      </c>
      <c r="H206" s="39" t="str">
        <f t="shared" si="30"/>
        <v>2016-Fa-Haw-99-62-239</v>
      </c>
      <c r="I206" s="42" t="str">
        <f t="shared" si="31"/>
        <v>2016</v>
      </c>
      <c r="J206" s="46">
        <v>2016</v>
      </c>
      <c r="K206" t="s">
        <v>1</v>
      </c>
      <c r="L206" t="s">
        <v>438</v>
      </c>
      <c r="M206">
        <v>99</v>
      </c>
      <c r="N206">
        <v>62</v>
      </c>
      <c r="O206">
        <v>239</v>
      </c>
      <c r="P206" t="s">
        <v>392</v>
      </c>
      <c r="S206" t="s">
        <v>393</v>
      </c>
    </row>
    <row r="207" spans="1:19" x14ac:dyDescent="0.3">
      <c r="A207" s="11" t="str">
        <f t="shared" si="24"/>
        <v>Fanatic</v>
      </c>
      <c r="B207" s="11" t="str">
        <f t="shared" si="25"/>
        <v>Quad Te 69 New Shape</v>
      </c>
      <c r="C207" s="11">
        <f t="shared" si="26"/>
        <v>224</v>
      </c>
      <c r="D207" s="11">
        <f t="shared" si="27"/>
        <v>53</v>
      </c>
      <c r="E207" s="11">
        <f t="shared" si="28"/>
        <v>69</v>
      </c>
      <c r="F207" s="38" t="str">
        <f t="shared" si="29"/>
        <v>2016</v>
      </c>
      <c r="G207" s="11" t="str" cm="1">
        <f t="array" ref="G207">gssBoardClass(A207,B207,C207,D207,E207,F207)</f>
        <v>Wave / Freestyle</v>
      </c>
      <c r="H207" s="39" t="str">
        <f t="shared" si="30"/>
        <v>2016-Fa-Qua-69-53-224</v>
      </c>
      <c r="I207" s="42" t="str">
        <f t="shared" si="31"/>
        <v>2016</v>
      </c>
      <c r="J207" s="46">
        <v>2016</v>
      </c>
      <c r="K207" t="s">
        <v>1</v>
      </c>
      <c r="L207" t="s">
        <v>360</v>
      </c>
      <c r="M207" s="5">
        <v>69</v>
      </c>
      <c r="N207" s="5">
        <v>53.5</v>
      </c>
      <c r="O207" s="5">
        <v>224</v>
      </c>
      <c r="P207" s="5" t="s">
        <v>361</v>
      </c>
      <c r="Q207" s="5"/>
      <c r="S207" s="5" t="s">
        <v>362</v>
      </c>
    </row>
    <row r="208" spans="1:19" x14ac:dyDescent="0.3">
      <c r="A208" s="11" t="str">
        <f t="shared" si="24"/>
        <v>Fanatic</v>
      </c>
      <c r="B208" s="11" t="str">
        <f t="shared" si="25"/>
        <v>Quad Te 75 New Shape</v>
      </c>
      <c r="C208" s="11">
        <f t="shared" si="26"/>
        <v>225</v>
      </c>
      <c r="D208" s="11">
        <f t="shared" si="27"/>
        <v>55</v>
      </c>
      <c r="E208" s="11">
        <f t="shared" si="28"/>
        <v>75</v>
      </c>
      <c r="F208" s="38" t="str">
        <f t="shared" si="29"/>
        <v>2016</v>
      </c>
      <c r="G208" s="11" t="str" cm="1">
        <f t="array" ref="G208">gssBoardClass(A208,B208,C208,D208,E208,F208)</f>
        <v>Wave / Freestyle</v>
      </c>
      <c r="H208" s="39" t="str">
        <f t="shared" si="30"/>
        <v>2016-Fa-Qua-75-55-225</v>
      </c>
      <c r="I208" s="42" t="str">
        <f t="shared" si="31"/>
        <v>2016</v>
      </c>
      <c r="J208" s="46">
        <v>2016</v>
      </c>
      <c r="K208" t="s">
        <v>1</v>
      </c>
      <c r="L208" t="s">
        <v>363</v>
      </c>
      <c r="M208" s="5">
        <v>75</v>
      </c>
      <c r="N208" s="5">
        <v>55.5</v>
      </c>
      <c r="O208" s="5">
        <v>225</v>
      </c>
      <c r="P208" s="5" t="s">
        <v>361</v>
      </c>
      <c r="Q208" s="5"/>
      <c r="S208" s="5" t="s">
        <v>364</v>
      </c>
    </row>
    <row r="209" spans="1:19" x14ac:dyDescent="0.3">
      <c r="A209" s="11" t="str">
        <f t="shared" si="24"/>
        <v>Fanatic</v>
      </c>
      <c r="B209" s="11" t="str">
        <f t="shared" si="25"/>
        <v>Quad Te 81 New Shape</v>
      </c>
      <c r="C209" s="11">
        <f t="shared" si="26"/>
        <v>226</v>
      </c>
      <c r="D209" s="11">
        <f t="shared" si="27"/>
        <v>57</v>
      </c>
      <c r="E209" s="11">
        <f t="shared" si="28"/>
        <v>81</v>
      </c>
      <c r="F209" s="38" t="str">
        <f t="shared" si="29"/>
        <v>2016</v>
      </c>
      <c r="G209" s="11" t="str" cm="1">
        <f t="array" ref="G209">gssBoardClass(A209,B209,C209,D209,E209,F209)</f>
        <v>Wave / Freestyle</v>
      </c>
      <c r="H209" s="39" t="str">
        <f t="shared" si="30"/>
        <v>2016-Fa-Qua-81-57-226</v>
      </c>
      <c r="I209" s="42" t="str">
        <f t="shared" si="31"/>
        <v>2016</v>
      </c>
      <c r="J209" s="46">
        <v>2016</v>
      </c>
      <c r="K209" t="s">
        <v>1</v>
      </c>
      <c r="L209" t="s">
        <v>365</v>
      </c>
      <c r="M209" s="5">
        <v>81</v>
      </c>
      <c r="N209" s="5">
        <v>57.5</v>
      </c>
      <c r="O209" s="5">
        <v>226</v>
      </c>
      <c r="P209" s="5" t="s">
        <v>361</v>
      </c>
      <c r="Q209" s="5"/>
      <c r="S209" s="5" t="s">
        <v>366</v>
      </c>
    </row>
    <row r="210" spans="1:19" x14ac:dyDescent="0.3">
      <c r="A210" s="11" t="str">
        <f t="shared" si="24"/>
        <v>Fanatic</v>
      </c>
      <c r="B210" s="11" t="str">
        <f t="shared" si="25"/>
        <v>Quad Te 90 New Shape</v>
      </c>
      <c r="C210" s="11">
        <f t="shared" si="26"/>
        <v>227</v>
      </c>
      <c r="D210" s="11">
        <f t="shared" si="27"/>
        <v>59</v>
      </c>
      <c r="E210" s="11">
        <f t="shared" si="28"/>
        <v>90</v>
      </c>
      <c r="F210" s="38" t="str">
        <f t="shared" si="29"/>
        <v>2016</v>
      </c>
      <c r="G210" s="11" t="str" cm="1">
        <f t="array" ref="G210">gssBoardClass(A210,B210,C210,D210,E210,F210)</f>
        <v>Wave / Freestyle</v>
      </c>
      <c r="H210" s="39" t="str">
        <f t="shared" si="30"/>
        <v>2016-Fa-Qua-90-59-227</v>
      </c>
      <c r="I210" s="42" t="str">
        <f t="shared" si="31"/>
        <v>2016</v>
      </c>
      <c r="J210" s="46">
        <v>2016</v>
      </c>
      <c r="K210" t="s">
        <v>1</v>
      </c>
      <c r="L210" t="s">
        <v>367</v>
      </c>
      <c r="M210" s="5">
        <v>90</v>
      </c>
      <c r="N210" s="5">
        <v>59.5</v>
      </c>
      <c r="O210" s="5">
        <v>227</v>
      </c>
      <c r="P210" s="5" t="s">
        <v>361</v>
      </c>
      <c r="Q210" s="5"/>
      <c r="S210" s="5" t="s">
        <v>368</v>
      </c>
    </row>
    <row r="211" spans="1:19" x14ac:dyDescent="0.3">
      <c r="A211" s="11" t="str">
        <f t="shared" si="24"/>
        <v>Fanatic</v>
      </c>
      <c r="B211" s="11" t="str">
        <f t="shared" si="25"/>
        <v>Ripper 102</v>
      </c>
      <c r="C211" s="11">
        <f t="shared" si="26"/>
        <v>242</v>
      </c>
      <c r="D211" s="11">
        <f t="shared" si="27"/>
        <v>69</v>
      </c>
      <c r="E211" s="11">
        <f t="shared" si="28"/>
        <v>102</v>
      </c>
      <c r="F211" s="38" t="str">
        <f t="shared" si="29"/>
        <v>2016</v>
      </c>
      <c r="G211" s="11" t="str" cm="1">
        <f t="array" ref="G211">gssBoardClass(A211,B211,C211,D211,E211,F211)</f>
        <v>Slalom Medium</v>
      </c>
      <c r="H211" s="39" t="str">
        <f t="shared" si="30"/>
        <v>2016-Fa-Rip-102-69-242</v>
      </c>
      <c r="I211" s="42" t="str">
        <f t="shared" si="31"/>
        <v>2016</v>
      </c>
      <c r="J211" s="46">
        <v>2016</v>
      </c>
      <c r="K211" t="s">
        <v>1</v>
      </c>
      <c r="L211" t="s">
        <v>423</v>
      </c>
      <c r="M211">
        <v>102</v>
      </c>
      <c r="N211">
        <v>69</v>
      </c>
      <c r="O211">
        <v>242</v>
      </c>
      <c r="P211" t="s">
        <v>419</v>
      </c>
      <c r="S211" t="s">
        <v>424</v>
      </c>
    </row>
    <row r="212" spans="1:19" x14ac:dyDescent="0.3">
      <c r="A212" s="11" t="str">
        <f t="shared" si="24"/>
        <v>Fanatic</v>
      </c>
      <c r="B212" s="11" t="str">
        <f t="shared" si="25"/>
        <v>Ripper 120</v>
      </c>
      <c r="C212" s="11">
        <f t="shared" si="26"/>
        <v>245</v>
      </c>
      <c r="D212" s="11">
        <f t="shared" si="27"/>
        <v>69</v>
      </c>
      <c r="E212" s="11">
        <f t="shared" si="28"/>
        <v>120</v>
      </c>
      <c r="F212" s="38" t="str">
        <f t="shared" si="29"/>
        <v>2016</v>
      </c>
      <c r="G212" s="11" t="str" cm="1">
        <f t="array" ref="G212">gssBoardClass(A212,B212,C212,D212,E212,F212)</f>
        <v>Slalom Medium</v>
      </c>
      <c r="H212" s="39" t="str">
        <f t="shared" si="30"/>
        <v>2016-Fa-Rip-120-69-245</v>
      </c>
      <c r="I212" s="42" t="str">
        <f t="shared" si="31"/>
        <v>2016</v>
      </c>
      <c r="J212" s="46">
        <v>2016</v>
      </c>
      <c r="K212" t="s">
        <v>1</v>
      </c>
      <c r="L212" t="s">
        <v>425</v>
      </c>
      <c r="M212">
        <v>120</v>
      </c>
      <c r="N212">
        <v>69</v>
      </c>
      <c r="O212">
        <v>245</v>
      </c>
      <c r="P212" t="s">
        <v>419</v>
      </c>
      <c r="S212" t="s">
        <v>424</v>
      </c>
    </row>
    <row r="213" spans="1:19" x14ac:dyDescent="0.3">
      <c r="A213" s="11" t="str">
        <f t="shared" si="24"/>
        <v>Fanatic</v>
      </c>
      <c r="B213" s="11" t="str">
        <f t="shared" si="25"/>
        <v>Ripper Air Ws 187</v>
      </c>
      <c r="C213" s="11">
        <f t="shared" si="26"/>
        <v>274</v>
      </c>
      <c r="D213" s="11">
        <f t="shared" si="27"/>
        <v>73</v>
      </c>
      <c r="E213" s="11">
        <f t="shared" si="28"/>
        <v>187</v>
      </c>
      <c r="F213" s="38" t="str">
        <f t="shared" si="29"/>
        <v>2016</v>
      </c>
      <c r="G213" s="11" t="str" cm="1">
        <f t="array" ref="G213">gssBoardClass(A213,B213,C213,D213,E213,F213)</f>
        <v>Slalom Medium</v>
      </c>
      <c r="H213" s="39" t="str">
        <f t="shared" si="30"/>
        <v>2016-Fa-Rip-187-73-274</v>
      </c>
      <c r="I213" s="42" t="str">
        <f t="shared" si="31"/>
        <v>2016</v>
      </c>
      <c r="J213" s="46">
        <v>2016</v>
      </c>
      <c r="K213" t="s">
        <v>1</v>
      </c>
      <c r="L213" t="s">
        <v>449</v>
      </c>
      <c r="M213">
        <v>187</v>
      </c>
      <c r="N213">
        <v>73.7</v>
      </c>
      <c r="O213">
        <v>274.3</v>
      </c>
      <c r="P213" t="s">
        <v>426</v>
      </c>
      <c r="S213" t="s">
        <v>428</v>
      </c>
    </row>
    <row r="214" spans="1:19" x14ac:dyDescent="0.3">
      <c r="A214" s="11" t="str">
        <f t="shared" si="24"/>
        <v>Fanatic</v>
      </c>
      <c r="B214" s="11" t="str">
        <f t="shared" si="25"/>
        <v>Skate 100</v>
      </c>
      <c r="C214" s="11">
        <f t="shared" si="26"/>
        <v>235</v>
      </c>
      <c r="D214" s="11">
        <f t="shared" si="27"/>
        <v>63</v>
      </c>
      <c r="E214" s="11">
        <f t="shared" si="28"/>
        <v>100</v>
      </c>
      <c r="F214" s="38" t="str">
        <f t="shared" si="29"/>
        <v>2016</v>
      </c>
      <c r="G214" s="11" t="str" cm="1">
        <f t="array" ref="G214">gssBoardClass(A214,B214,C214,D214,E214,F214)</f>
        <v>Wave / Freestyle</v>
      </c>
      <c r="H214" s="39" t="str">
        <f t="shared" si="30"/>
        <v>2016-Fa-Ska-100-63-235</v>
      </c>
      <c r="I214" s="42" t="str">
        <f t="shared" si="31"/>
        <v>2016</v>
      </c>
      <c r="J214" s="46">
        <v>2016</v>
      </c>
      <c r="K214" t="s">
        <v>1</v>
      </c>
      <c r="L214" t="s">
        <v>389</v>
      </c>
      <c r="M214" s="5">
        <v>100</v>
      </c>
      <c r="N214" s="5">
        <v>63.5</v>
      </c>
      <c r="O214" s="5">
        <v>235</v>
      </c>
      <c r="P214" s="5" t="s">
        <v>390</v>
      </c>
      <c r="Q214" s="5"/>
      <c r="S214" s="5" t="s">
        <v>387</v>
      </c>
    </row>
    <row r="215" spans="1:19" x14ac:dyDescent="0.3">
      <c r="A215" s="11" t="str">
        <f t="shared" si="24"/>
        <v>Fanatic</v>
      </c>
      <c r="B215" s="11" t="str">
        <f t="shared" si="25"/>
        <v>Skate Te 100</v>
      </c>
      <c r="C215" s="11">
        <f t="shared" si="26"/>
        <v>228</v>
      </c>
      <c r="D215" s="11">
        <f t="shared" si="27"/>
        <v>64</v>
      </c>
      <c r="E215" s="11">
        <f t="shared" si="28"/>
        <v>100</v>
      </c>
      <c r="F215" s="38" t="str">
        <f t="shared" si="29"/>
        <v>2016</v>
      </c>
      <c r="G215" s="11" t="str" cm="1">
        <f t="array" ref="G215">gssBoardClass(A215,B215,C215,D215,E215,F215)</f>
        <v>Wave / Freestyle</v>
      </c>
      <c r="H215" s="39" t="str">
        <f t="shared" si="30"/>
        <v>2016-Fa-Ska-100-64-228</v>
      </c>
      <c r="I215" s="42" t="str">
        <f t="shared" si="31"/>
        <v>2016</v>
      </c>
      <c r="J215" s="46">
        <v>2016</v>
      </c>
      <c r="K215" t="s">
        <v>1</v>
      </c>
      <c r="L215" t="s">
        <v>184</v>
      </c>
      <c r="M215">
        <v>100</v>
      </c>
      <c r="N215">
        <v>64</v>
      </c>
      <c r="O215">
        <v>228</v>
      </c>
      <c r="P215" t="s">
        <v>361</v>
      </c>
      <c r="S215" t="s">
        <v>387</v>
      </c>
    </row>
    <row r="216" spans="1:19" x14ac:dyDescent="0.3">
      <c r="A216" s="11" t="str">
        <f t="shared" si="24"/>
        <v>Fanatic</v>
      </c>
      <c r="B216" s="11" t="str">
        <f t="shared" si="25"/>
        <v>Skate Te 108</v>
      </c>
      <c r="C216" s="11">
        <f t="shared" si="26"/>
        <v>226</v>
      </c>
      <c r="D216" s="11">
        <f t="shared" si="27"/>
        <v>66</v>
      </c>
      <c r="E216" s="11">
        <f t="shared" si="28"/>
        <v>108</v>
      </c>
      <c r="F216" s="38" t="str">
        <f t="shared" si="29"/>
        <v>2016</v>
      </c>
      <c r="G216" s="11" t="str" cm="1">
        <f t="array" ref="G216">gssBoardClass(A216,B216,C216,D216,E216,F216)</f>
        <v>Wave / Freestyle</v>
      </c>
      <c r="H216" s="39" t="str">
        <f t="shared" si="30"/>
        <v>2016-Fa-Ska-108-66-226</v>
      </c>
      <c r="I216" s="42" t="str">
        <f t="shared" si="31"/>
        <v>2016</v>
      </c>
      <c r="J216" s="46">
        <v>2016</v>
      </c>
      <c r="K216" t="s">
        <v>1</v>
      </c>
      <c r="L216" t="s">
        <v>186</v>
      </c>
      <c r="M216" s="5">
        <v>108</v>
      </c>
      <c r="N216" s="5">
        <v>66.5</v>
      </c>
      <c r="O216" s="5">
        <v>226</v>
      </c>
      <c r="P216" s="5" t="s">
        <v>361</v>
      </c>
      <c r="Q216" s="5"/>
      <c r="S216" s="5" t="s">
        <v>388</v>
      </c>
    </row>
    <row r="217" spans="1:19" x14ac:dyDescent="0.3">
      <c r="A217" s="11" t="str">
        <f t="shared" si="24"/>
        <v>Fanatic</v>
      </c>
      <c r="B217" s="11" t="str">
        <f t="shared" si="25"/>
        <v>Skate 110</v>
      </c>
      <c r="C217" s="11">
        <f t="shared" si="26"/>
        <v>237</v>
      </c>
      <c r="D217" s="11">
        <f t="shared" si="27"/>
        <v>66</v>
      </c>
      <c r="E217" s="11">
        <f t="shared" si="28"/>
        <v>110</v>
      </c>
      <c r="F217" s="38" t="str">
        <f t="shared" si="29"/>
        <v>2016</v>
      </c>
      <c r="G217" s="11" t="str" cm="1">
        <f t="array" ref="G217">gssBoardClass(A217,B217,C217,D217,E217,F217)</f>
        <v>Wave / Freestyle</v>
      </c>
      <c r="H217" s="39" t="str">
        <f t="shared" si="30"/>
        <v>2016-Fa-Ska-110-66-237</v>
      </c>
      <c r="I217" s="42" t="str">
        <f t="shared" si="31"/>
        <v>2016</v>
      </c>
      <c r="J217" s="46">
        <v>2016</v>
      </c>
      <c r="K217" t="s">
        <v>1</v>
      </c>
      <c r="L217" t="s">
        <v>391</v>
      </c>
      <c r="M217" s="5">
        <v>110</v>
      </c>
      <c r="N217" s="5">
        <v>66.5</v>
      </c>
      <c r="O217" s="5">
        <v>237</v>
      </c>
      <c r="P217" s="5" t="s">
        <v>390</v>
      </c>
      <c r="Q217" s="5"/>
      <c r="S217" s="5" t="s">
        <v>388</v>
      </c>
    </row>
    <row r="218" spans="1:19" x14ac:dyDescent="0.3">
      <c r="A218" s="11" t="str">
        <f t="shared" si="24"/>
        <v>Fanatic</v>
      </c>
      <c r="B218" s="11" t="str">
        <f t="shared" si="25"/>
        <v>Skate Te 86</v>
      </c>
      <c r="C218" s="11">
        <f t="shared" si="26"/>
        <v>228</v>
      </c>
      <c r="D218" s="11">
        <f t="shared" si="27"/>
        <v>60</v>
      </c>
      <c r="E218" s="11">
        <f t="shared" si="28"/>
        <v>86</v>
      </c>
      <c r="F218" s="38" t="str">
        <f t="shared" si="29"/>
        <v>2016</v>
      </c>
      <c r="G218" s="11" t="str" cm="1">
        <f t="array" ref="G218">gssBoardClass(A218,B218,C218,D218,E218,F218)</f>
        <v>Wave / Freestyle</v>
      </c>
      <c r="H218" s="39" t="str">
        <f t="shared" si="30"/>
        <v>2016-Fa-Ska-86-60-228</v>
      </c>
      <c r="I218" s="42" t="str">
        <f t="shared" si="31"/>
        <v>2016</v>
      </c>
      <c r="J218" s="46">
        <v>2016</v>
      </c>
      <c r="K218" t="s">
        <v>1</v>
      </c>
      <c r="L218" t="s">
        <v>178</v>
      </c>
      <c r="M218" s="5">
        <v>86</v>
      </c>
      <c r="N218" s="5">
        <v>60</v>
      </c>
      <c r="O218" s="5">
        <v>228</v>
      </c>
      <c r="P218" s="5" t="s">
        <v>361</v>
      </c>
      <c r="Q218" s="5"/>
      <c r="S218" s="5" t="s">
        <v>385</v>
      </c>
    </row>
    <row r="219" spans="1:19" x14ac:dyDescent="0.3">
      <c r="A219" s="11" t="str">
        <f t="shared" si="24"/>
        <v>Fanatic</v>
      </c>
      <c r="B219" s="11" t="str">
        <f t="shared" si="25"/>
        <v>Skate Te 94</v>
      </c>
      <c r="C219" s="11">
        <f t="shared" si="26"/>
        <v>228</v>
      </c>
      <c r="D219" s="11">
        <f t="shared" si="27"/>
        <v>62</v>
      </c>
      <c r="E219" s="11">
        <f t="shared" si="28"/>
        <v>94</v>
      </c>
      <c r="F219" s="38" t="str">
        <f t="shared" si="29"/>
        <v>2016</v>
      </c>
      <c r="G219" s="11" t="str" cm="1">
        <f t="array" ref="G219">gssBoardClass(A219,B219,C219,D219,E219,F219)</f>
        <v>Wave / Freestyle</v>
      </c>
      <c r="H219" s="39" t="str">
        <f t="shared" si="30"/>
        <v>2016-Fa-Ska-94-62-228</v>
      </c>
      <c r="I219" s="42" t="str">
        <f t="shared" si="31"/>
        <v>2016</v>
      </c>
      <c r="J219" s="46">
        <v>2016</v>
      </c>
      <c r="K219" t="s">
        <v>1</v>
      </c>
      <c r="L219" t="s">
        <v>437</v>
      </c>
      <c r="M219" s="5">
        <v>94</v>
      </c>
      <c r="N219" s="5">
        <v>62</v>
      </c>
      <c r="O219" s="5">
        <v>228</v>
      </c>
      <c r="P219" s="5" t="s">
        <v>361</v>
      </c>
      <c r="Q219" s="5"/>
      <c r="S219" s="5" t="s">
        <v>386</v>
      </c>
    </row>
    <row r="220" spans="1:19" x14ac:dyDescent="0.3">
      <c r="A220" s="11" t="str">
        <f t="shared" si="24"/>
        <v>Fanatic</v>
      </c>
      <c r="B220" s="11" t="str">
        <f t="shared" si="25"/>
        <v>Stubby Te 77 New Shape</v>
      </c>
      <c r="C220" s="11">
        <f t="shared" si="26"/>
        <v>212</v>
      </c>
      <c r="D220" s="11">
        <f t="shared" si="27"/>
        <v>55</v>
      </c>
      <c r="E220" s="11">
        <f t="shared" si="28"/>
        <v>77</v>
      </c>
      <c r="F220" s="38" t="str">
        <f t="shared" si="29"/>
        <v>2016</v>
      </c>
      <c r="G220" s="11" t="str" cm="1">
        <f t="array" ref="G220">gssBoardClass(A220,B220,C220,D220,E220,F220)</f>
        <v>Wave / Freestyle</v>
      </c>
      <c r="H220" s="39" t="str">
        <f t="shared" si="30"/>
        <v>2016-Fa-Stu-77-55-212</v>
      </c>
      <c r="I220" s="42" t="str">
        <f t="shared" si="31"/>
        <v>2016</v>
      </c>
      <c r="J220" s="46">
        <v>2016</v>
      </c>
      <c r="K220" t="s">
        <v>1</v>
      </c>
      <c r="L220" t="s">
        <v>369</v>
      </c>
      <c r="M220" s="5">
        <v>77</v>
      </c>
      <c r="N220" s="5">
        <v>55</v>
      </c>
      <c r="O220" s="5">
        <v>212</v>
      </c>
      <c r="P220" s="5" t="s">
        <v>361</v>
      </c>
      <c r="Q220" s="5"/>
      <c r="S220" s="5" t="s">
        <v>370</v>
      </c>
    </row>
    <row r="221" spans="1:19" x14ac:dyDescent="0.3">
      <c r="A221" s="11" t="str">
        <f t="shared" si="24"/>
        <v>Fanatic</v>
      </c>
      <c r="B221" s="11" t="str">
        <f t="shared" si="25"/>
        <v>Stubby Te 88 New Shape</v>
      </c>
      <c r="C221" s="11">
        <f t="shared" si="26"/>
        <v>215</v>
      </c>
      <c r="D221" s="11">
        <f t="shared" si="27"/>
        <v>57</v>
      </c>
      <c r="E221" s="11">
        <f t="shared" si="28"/>
        <v>88</v>
      </c>
      <c r="F221" s="38" t="str">
        <f t="shared" si="29"/>
        <v>2016</v>
      </c>
      <c r="G221" s="11" t="str" cm="1">
        <f t="array" ref="G221">gssBoardClass(A221,B221,C221,D221,E221,F221)</f>
        <v>Wave / Freestyle</v>
      </c>
      <c r="H221" s="39" t="str">
        <f t="shared" si="30"/>
        <v>2016-Fa-Stu-88-57-215</v>
      </c>
      <c r="I221" s="42" t="str">
        <f t="shared" si="31"/>
        <v>2016</v>
      </c>
      <c r="J221" s="46">
        <v>2016</v>
      </c>
      <c r="K221" t="s">
        <v>1</v>
      </c>
      <c r="L221" t="s">
        <v>371</v>
      </c>
      <c r="M221">
        <v>88</v>
      </c>
      <c r="N221">
        <v>57.5</v>
      </c>
      <c r="O221">
        <v>215</v>
      </c>
      <c r="P221" t="s">
        <v>361</v>
      </c>
      <c r="S221" t="s">
        <v>366</v>
      </c>
    </row>
    <row r="222" spans="1:19" x14ac:dyDescent="0.3">
      <c r="A222" s="11" t="str">
        <f t="shared" si="24"/>
        <v>Fanatic</v>
      </c>
      <c r="B222" s="11" t="str">
        <f t="shared" si="25"/>
        <v>Triwave Te 74 New Shape</v>
      </c>
      <c r="C222" s="11">
        <f t="shared" si="26"/>
        <v>222</v>
      </c>
      <c r="D222" s="11">
        <f t="shared" si="27"/>
        <v>56</v>
      </c>
      <c r="E222" s="11">
        <f t="shared" si="28"/>
        <v>74</v>
      </c>
      <c r="F222" s="38" t="str">
        <f t="shared" si="29"/>
        <v>2016</v>
      </c>
      <c r="G222" s="11" t="str" cm="1">
        <f t="array" ref="G222">gssBoardClass(A222,B222,C222,D222,E222,F222)</f>
        <v>Wave / Freestyle</v>
      </c>
      <c r="H222" s="39" t="str">
        <f t="shared" si="30"/>
        <v>2016-Fa-Tri-74-56-222</v>
      </c>
      <c r="I222" s="42" t="str">
        <f t="shared" si="31"/>
        <v>2016</v>
      </c>
      <c r="J222" s="46">
        <v>2016</v>
      </c>
      <c r="K222" t="s">
        <v>1</v>
      </c>
      <c r="L222" t="s">
        <v>372</v>
      </c>
      <c r="M222" s="5">
        <v>74</v>
      </c>
      <c r="N222" s="5">
        <v>56</v>
      </c>
      <c r="O222" s="5">
        <v>222</v>
      </c>
      <c r="P222" s="5" t="s">
        <v>361</v>
      </c>
      <c r="Q222" s="5"/>
      <c r="S222" s="5" t="s">
        <v>373</v>
      </c>
    </row>
    <row r="223" spans="1:19" x14ac:dyDescent="0.3">
      <c r="A223" s="11" t="str">
        <f t="shared" si="24"/>
        <v>Fanatic</v>
      </c>
      <c r="B223" s="11" t="str">
        <f t="shared" si="25"/>
        <v>Triwave Te 82 New Shape</v>
      </c>
      <c r="C223" s="11">
        <f t="shared" si="26"/>
        <v>224</v>
      </c>
      <c r="D223" s="11">
        <f t="shared" si="27"/>
        <v>58</v>
      </c>
      <c r="E223" s="11">
        <f t="shared" si="28"/>
        <v>82</v>
      </c>
      <c r="F223" s="38" t="str">
        <f t="shared" si="29"/>
        <v>2016</v>
      </c>
      <c r="G223" s="11" t="str" cm="1">
        <f t="array" ref="G223">gssBoardClass(A223,B223,C223,D223,E223,F223)</f>
        <v>Wave / Freestyle</v>
      </c>
      <c r="H223" s="39" t="str">
        <f t="shared" si="30"/>
        <v>2016-Fa-Tri-82-58-224</v>
      </c>
      <c r="I223" s="42" t="str">
        <f t="shared" si="31"/>
        <v>2016</v>
      </c>
      <c r="J223" s="46">
        <v>2016</v>
      </c>
      <c r="K223" t="s">
        <v>1</v>
      </c>
      <c r="L223" t="s">
        <v>374</v>
      </c>
      <c r="M223" s="5">
        <v>82</v>
      </c>
      <c r="N223" s="5">
        <v>58</v>
      </c>
      <c r="O223" s="5">
        <v>224</v>
      </c>
      <c r="P223" s="5" t="s">
        <v>361</v>
      </c>
      <c r="Q223" s="5"/>
      <c r="S223" s="5" t="s">
        <v>366</v>
      </c>
    </row>
    <row r="224" spans="1:19" x14ac:dyDescent="0.3">
      <c r="A224" s="11" t="str">
        <f t="shared" si="24"/>
        <v>Fanatic</v>
      </c>
      <c r="B224" s="11" t="str">
        <f t="shared" si="25"/>
        <v>Triwave Te 89 New Shape</v>
      </c>
      <c r="C224" s="11">
        <f t="shared" si="26"/>
        <v>227</v>
      </c>
      <c r="D224" s="11">
        <f t="shared" si="27"/>
        <v>59</v>
      </c>
      <c r="E224" s="11">
        <f t="shared" si="28"/>
        <v>89</v>
      </c>
      <c r="F224" s="38" t="str">
        <f t="shared" si="29"/>
        <v>2016</v>
      </c>
      <c r="G224" s="11" t="str" cm="1">
        <f t="array" ref="G224">gssBoardClass(A224,B224,C224,D224,E224,F224)</f>
        <v>Wave / Freestyle</v>
      </c>
      <c r="H224" s="39" t="str">
        <f t="shared" si="30"/>
        <v>2016-Fa-Tri-89-59-227</v>
      </c>
      <c r="I224" s="42" t="str">
        <f t="shared" si="31"/>
        <v>2016</v>
      </c>
      <c r="J224" s="46">
        <v>2016</v>
      </c>
      <c r="K224" t="s">
        <v>1</v>
      </c>
      <c r="L224" t="s">
        <v>375</v>
      </c>
      <c r="M224" s="5">
        <v>89</v>
      </c>
      <c r="N224" s="5">
        <v>59.5</v>
      </c>
      <c r="O224" s="5">
        <v>227</v>
      </c>
      <c r="P224" s="5" t="s">
        <v>361</v>
      </c>
      <c r="Q224" s="5"/>
      <c r="S224" s="5" t="s">
        <v>376</v>
      </c>
    </row>
    <row r="225" spans="1:19" x14ac:dyDescent="0.3">
      <c r="A225" s="11" t="str">
        <f t="shared" si="24"/>
        <v>Fanatic</v>
      </c>
      <c r="B225" s="11" t="str">
        <f t="shared" si="25"/>
        <v>Triwave Te 99 New Shape</v>
      </c>
      <c r="C225" s="11">
        <f t="shared" si="26"/>
        <v>229</v>
      </c>
      <c r="D225" s="11">
        <f t="shared" si="27"/>
        <v>62</v>
      </c>
      <c r="E225" s="11">
        <f t="shared" si="28"/>
        <v>99</v>
      </c>
      <c r="F225" s="38" t="str">
        <f t="shared" si="29"/>
        <v>2016</v>
      </c>
      <c r="G225" s="11" t="str" cm="1">
        <f t="array" ref="G225">gssBoardClass(A225,B225,C225,D225,E225,F225)</f>
        <v>Wave / Freestyle</v>
      </c>
      <c r="H225" s="39" t="str">
        <f t="shared" si="30"/>
        <v>2016-Fa-Tri-99-62-229</v>
      </c>
      <c r="I225" s="42" t="str">
        <f t="shared" si="31"/>
        <v>2016</v>
      </c>
      <c r="J225" s="46">
        <v>2016</v>
      </c>
      <c r="K225" t="s">
        <v>1</v>
      </c>
      <c r="L225" t="s">
        <v>377</v>
      </c>
      <c r="M225">
        <v>99</v>
      </c>
      <c r="N225">
        <v>62</v>
      </c>
      <c r="O225">
        <v>229</v>
      </c>
      <c r="P225" t="s">
        <v>361</v>
      </c>
      <c r="S225" t="s">
        <v>378</v>
      </c>
    </row>
    <row r="226" spans="1:19" x14ac:dyDescent="0.3">
      <c r="A226" s="11" t="str">
        <f t="shared" si="24"/>
        <v>Fanatic</v>
      </c>
      <c r="B226" s="11" t="str">
        <f t="shared" si="25"/>
        <v>Viper 70</v>
      </c>
      <c r="C226" s="11">
        <f t="shared" si="26"/>
        <v>270</v>
      </c>
      <c r="D226" s="11">
        <f t="shared" si="27"/>
        <v>70</v>
      </c>
      <c r="E226" s="11">
        <f t="shared" si="28"/>
        <v>150</v>
      </c>
      <c r="F226" s="38" t="str">
        <f t="shared" si="29"/>
        <v>2016</v>
      </c>
      <c r="G226" s="11" t="str" cm="1">
        <f t="array" ref="G226">gssBoardClass(A226,B226,C226,D226,E226,F226)</f>
        <v>Slalom Medium</v>
      </c>
      <c r="H226" s="39" t="str">
        <f t="shared" si="30"/>
        <v>2016-Fa-Vip-150-70-270</v>
      </c>
      <c r="I226" s="42" t="str">
        <f t="shared" si="31"/>
        <v>2016</v>
      </c>
      <c r="J226" s="46">
        <v>2016</v>
      </c>
      <c r="K226" t="s">
        <v>1</v>
      </c>
      <c r="L226" t="s">
        <v>418</v>
      </c>
      <c r="M226">
        <v>150</v>
      </c>
      <c r="N226">
        <v>70</v>
      </c>
      <c r="O226">
        <v>270</v>
      </c>
      <c r="P226" t="s">
        <v>419</v>
      </c>
      <c r="S226" t="s">
        <v>420</v>
      </c>
    </row>
    <row r="227" spans="1:19" x14ac:dyDescent="0.3">
      <c r="A227" s="11" t="str">
        <f t="shared" si="24"/>
        <v>Fanatic</v>
      </c>
      <c r="B227" s="11" t="str">
        <f t="shared" si="25"/>
        <v>Viper 75</v>
      </c>
      <c r="C227" s="11">
        <f t="shared" si="26"/>
        <v>275</v>
      </c>
      <c r="D227" s="11">
        <f t="shared" si="27"/>
        <v>75</v>
      </c>
      <c r="E227" s="11">
        <f t="shared" si="28"/>
        <v>160</v>
      </c>
      <c r="F227" s="38" t="str">
        <f t="shared" si="29"/>
        <v>2016</v>
      </c>
      <c r="G227" s="11" t="str" cm="1">
        <f t="array" ref="G227">gssBoardClass(A227,B227,C227,D227,E227,F227)</f>
        <v>Slalom Large</v>
      </c>
      <c r="H227" s="39" t="str">
        <f t="shared" si="30"/>
        <v>2016-Fa-Vip-160-75-275</v>
      </c>
      <c r="I227" s="42" t="str">
        <f t="shared" si="31"/>
        <v>2016</v>
      </c>
      <c r="J227" s="46">
        <v>2016</v>
      </c>
      <c r="K227" t="s">
        <v>1</v>
      </c>
      <c r="L227" t="s">
        <v>262</v>
      </c>
      <c r="M227">
        <v>160</v>
      </c>
      <c r="N227">
        <v>75</v>
      </c>
      <c r="O227">
        <v>275</v>
      </c>
      <c r="P227" t="s">
        <v>419</v>
      </c>
      <c r="S227" t="s">
        <v>421</v>
      </c>
    </row>
    <row r="228" spans="1:19" x14ac:dyDescent="0.3">
      <c r="A228" s="11" t="str">
        <f t="shared" si="24"/>
        <v>Fanatic</v>
      </c>
      <c r="B228" s="11" t="str">
        <f t="shared" si="25"/>
        <v>Viper 80</v>
      </c>
      <c r="C228" s="11">
        <f t="shared" si="26"/>
        <v>280</v>
      </c>
      <c r="D228" s="11">
        <f t="shared" si="27"/>
        <v>80</v>
      </c>
      <c r="E228" s="11">
        <f t="shared" si="28"/>
        <v>190</v>
      </c>
      <c r="F228" s="38" t="str">
        <f t="shared" si="29"/>
        <v>2016</v>
      </c>
      <c r="G228" s="11" t="str" cm="1">
        <f t="array" ref="G228">gssBoardClass(A228,B228,C228,D228,E228,F228)</f>
        <v>Special / Longboard</v>
      </c>
      <c r="H228" s="39" t="str">
        <f t="shared" si="30"/>
        <v>2016-Fa-Vip-190-80-280</v>
      </c>
      <c r="I228" s="42" t="str">
        <f t="shared" si="31"/>
        <v>2016</v>
      </c>
      <c r="J228" s="46">
        <v>2016</v>
      </c>
      <c r="K228" t="s">
        <v>1</v>
      </c>
      <c r="L228" t="s">
        <v>264</v>
      </c>
      <c r="M228">
        <v>190</v>
      </c>
      <c r="N228">
        <v>80</v>
      </c>
      <c r="O228">
        <v>280</v>
      </c>
      <c r="P228" t="s">
        <v>419</v>
      </c>
      <c r="S228" t="s">
        <v>421</v>
      </c>
    </row>
    <row r="229" spans="1:19" x14ac:dyDescent="0.3">
      <c r="A229" s="11" t="str">
        <f t="shared" si="24"/>
        <v>Fanatic</v>
      </c>
      <c r="B229" s="11" t="str">
        <f t="shared" si="25"/>
        <v>Viper 85</v>
      </c>
      <c r="C229" s="11">
        <f t="shared" si="26"/>
        <v>285</v>
      </c>
      <c r="D229" s="11">
        <f t="shared" si="27"/>
        <v>85</v>
      </c>
      <c r="E229" s="11">
        <f t="shared" si="28"/>
        <v>220</v>
      </c>
      <c r="F229" s="38" t="str">
        <f t="shared" si="29"/>
        <v>2016</v>
      </c>
      <c r="G229" s="11" t="str" cm="1">
        <f t="array" ref="G229">gssBoardClass(A229,B229,C229,D229,E229,F229)</f>
        <v>Special / Longboard</v>
      </c>
      <c r="H229" s="39" t="str">
        <f t="shared" si="30"/>
        <v>2016-Fa-Vip-220-85-285</v>
      </c>
      <c r="I229" s="42" t="str">
        <f t="shared" si="31"/>
        <v>2016</v>
      </c>
      <c r="J229" s="46">
        <v>2016</v>
      </c>
      <c r="K229" t="s">
        <v>1</v>
      </c>
      <c r="L229" t="s">
        <v>265</v>
      </c>
      <c r="M229">
        <v>220</v>
      </c>
      <c r="N229">
        <v>85</v>
      </c>
      <c r="O229">
        <v>285</v>
      </c>
      <c r="P229" t="s">
        <v>419</v>
      </c>
      <c r="S229" t="s">
        <v>421</v>
      </c>
    </row>
    <row r="230" spans="1:19" x14ac:dyDescent="0.3">
      <c r="A230" s="11" t="str">
        <f t="shared" si="24"/>
        <v>Fanatic</v>
      </c>
      <c r="B230" s="11" t="str">
        <f t="shared" si="25"/>
        <v>Viper 91</v>
      </c>
      <c r="C230" s="11">
        <f t="shared" si="26"/>
        <v>290</v>
      </c>
      <c r="D230" s="11">
        <f t="shared" si="27"/>
        <v>91</v>
      </c>
      <c r="E230" s="11">
        <f t="shared" si="28"/>
        <v>240</v>
      </c>
      <c r="F230" s="38" t="str">
        <f t="shared" si="29"/>
        <v>2016</v>
      </c>
      <c r="G230" s="11" t="str" cm="1">
        <f t="array" ref="G230">gssBoardClass(A230,B230,C230,D230,E230,F230)</f>
        <v>Special / Longboard</v>
      </c>
      <c r="H230" s="39" t="str">
        <f t="shared" si="30"/>
        <v>2016-Fa-Vip-240-91-290</v>
      </c>
      <c r="I230" s="42" t="str">
        <f t="shared" si="31"/>
        <v>2016</v>
      </c>
      <c r="J230" s="46">
        <v>2016</v>
      </c>
      <c r="K230" t="s">
        <v>1</v>
      </c>
      <c r="L230" t="s">
        <v>266</v>
      </c>
      <c r="M230">
        <v>240</v>
      </c>
      <c r="N230">
        <v>91</v>
      </c>
      <c r="O230">
        <v>290</v>
      </c>
      <c r="P230" t="s">
        <v>419</v>
      </c>
      <c r="S230" t="s">
        <v>422</v>
      </c>
    </row>
    <row r="231" spans="1:19" x14ac:dyDescent="0.3">
      <c r="A231" s="11" t="str">
        <f t="shared" si="24"/>
        <v>Fanatic</v>
      </c>
      <c r="B231" s="11" t="str">
        <f t="shared" si="25"/>
        <v>Viper Air 315</v>
      </c>
      <c r="C231" s="11">
        <f t="shared" si="26"/>
        <v>300</v>
      </c>
      <c r="D231" s="11">
        <f t="shared" si="27"/>
        <v>85</v>
      </c>
      <c r="E231" s="11">
        <f t="shared" si="28"/>
        <v>315</v>
      </c>
      <c r="F231" s="38" t="str">
        <f t="shared" si="29"/>
        <v>2016</v>
      </c>
      <c r="G231" s="11" t="str" cm="1">
        <f t="array" ref="G231">gssBoardClass(A231,B231,C231,D231,E231,F231)</f>
        <v>Special / Longboard</v>
      </c>
      <c r="H231" s="39" t="str">
        <f t="shared" si="30"/>
        <v>2016-Fa-Vip-315-85-300</v>
      </c>
      <c r="I231" s="42" t="str">
        <f t="shared" si="31"/>
        <v>2016</v>
      </c>
      <c r="J231" s="46">
        <v>2016</v>
      </c>
      <c r="K231" t="s">
        <v>1</v>
      </c>
      <c r="L231" t="s">
        <v>448</v>
      </c>
      <c r="M231">
        <v>315</v>
      </c>
      <c r="N231">
        <v>85.1</v>
      </c>
      <c r="O231">
        <v>300</v>
      </c>
      <c r="P231" t="s">
        <v>426</v>
      </c>
      <c r="S231" t="s">
        <v>427</v>
      </c>
    </row>
    <row r="232" spans="1:19" x14ac:dyDescent="0.3">
      <c r="A232" s="11" t="str">
        <f t="shared" si="24"/>
        <v>Av</v>
      </c>
      <c r="B232" s="11" t="str">
        <f t="shared" si="25"/>
        <v>Modena Speed 58</v>
      </c>
      <c r="C232" s="11">
        <f t="shared" si="26"/>
        <v>229</v>
      </c>
      <c r="D232" s="11">
        <f t="shared" si="27"/>
        <v>58</v>
      </c>
      <c r="E232" s="11">
        <f t="shared" si="28"/>
        <v>90</v>
      </c>
      <c r="F232" s="38" t="str">
        <f t="shared" si="29"/>
        <v>2018</v>
      </c>
      <c r="G232" s="11" t="str" cm="1">
        <f t="array" ref="G232">gssBoardClass(A232,B232,C232,D232,E232,F232)</f>
        <v>Speed/Slalom Xtra Small</v>
      </c>
      <c r="H232" s="39" t="str">
        <f t="shared" si="30"/>
        <v>2018-AV-Mod-90-58-229</v>
      </c>
      <c r="I232" s="42" t="str">
        <f t="shared" si="31"/>
        <v>2018</v>
      </c>
      <c r="J232" s="46">
        <v>2018</v>
      </c>
      <c r="K232" t="s">
        <v>712</v>
      </c>
      <c r="L232" t="s">
        <v>713</v>
      </c>
      <c r="M232">
        <v>90</v>
      </c>
      <c r="N232">
        <v>58</v>
      </c>
      <c r="O232">
        <v>229</v>
      </c>
      <c r="P232" t="s">
        <v>714</v>
      </c>
      <c r="Q232" t="s">
        <v>684</v>
      </c>
    </row>
    <row r="233" spans="1:19" x14ac:dyDescent="0.3">
      <c r="A233" s="11" t="str">
        <f t="shared" si="24"/>
        <v>Fanatic</v>
      </c>
      <c r="B233" s="11" t="str">
        <f t="shared" si="25"/>
        <v>Blast Txtr 100</v>
      </c>
      <c r="C233" s="11">
        <f t="shared" si="26"/>
        <v>231</v>
      </c>
      <c r="D233" s="11">
        <f t="shared" si="27"/>
        <v>62</v>
      </c>
      <c r="E233" s="11">
        <f t="shared" si="28"/>
        <v>100</v>
      </c>
      <c r="F233" s="38" t="str">
        <f t="shared" si="29"/>
        <v>2018</v>
      </c>
      <c r="G233" s="11" t="str" cm="1">
        <f t="array" ref="G233">gssBoardClass(A233,B233,C233,D233,E233,F233)</f>
        <v>Speed/Slalom Small</v>
      </c>
      <c r="H233" s="39" t="str">
        <f t="shared" si="30"/>
        <v>2018-Fa-Bla-100-62-231</v>
      </c>
      <c r="I233" s="42" t="str">
        <f t="shared" si="31"/>
        <v>2018</v>
      </c>
      <c r="J233" s="46">
        <v>2018</v>
      </c>
      <c r="K233" t="s">
        <v>1</v>
      </c>
      <c r="L233" t="s">
        <v>230</v>
      </c>
      <c r="M233">
        <v>100</v>
      </c>
      <c r="N233">
        <v>62</v>
      </c>
      <c r="O233">
        <v>231</v>
      </c>
      <c r="P233" t="s">
        <v>231</v>
      </c>
      <c r="Q233" t="s">
        <v>232</v>
      </c>
      <c r="R233" t="s">
        <v>190</v>
      </c>
      <c r="S233" t="s">
        <v>233</v>
      </c>
    </row>
    <row r="234" spans="1:19" x14ac:dyDescent="0.3">
      <c r="A234" s="11" t="str">
        <f t="shared" si="24"/>
        <v>Fanatic</v>
      </c>
      <c r="B234" s="11" t="str">
        <f t="shared" si="25"/>
        <v>Blast Ltd 100</v>
      </c>
      <c r="C234" s="11">
        <f t="shared" si="26"/>
        <v>231</v>
      </c>
      <c r="D234" s="11">
        <f t="shared" si="27"/>
        <v>62</v>
      </c>
      <c r="E234" s="11">
        <f t="shared" si="28"/>
        <v>100</v>
      </c>
      <c r="F234" s="38" t="str">
        <f t="shared" si="29"/>
        <v>2018</v>
      </c>
      <c r="G234" s="11" t="str" cm="1">
        <f t="array" ref="G234">gssBoardClass(A234,B234,C234,D234,E234,F234)</f>
        <v>Speed/Slalom Small</v>
      </c>
      <c r="H234" s="39" t="str">
        <f t="shared" si="30"/>
        <v>2018-Fa-Bla-100-62-231</v>
      </c>
      <c r="I234" s="42" t="str">
        <f t="shared" si="31"/>
        <v>2018</v>
      </c>
      <c r="J234" s="46">
        <v>2018</v>
      </c>
      <c r="K234" t="s">
        <v>1</v>
      </c>
      <c r="L234" t="s">
        <v>239</v>
      </c>
      <c r="M234">
        <v>100</v>
      </c>
      <c r="N234">
        <v>62</v>
      </c>
      <c r="O234">
        <v>231</v>
      </c>
      <c r="P234" t="s">
        <v>172</v>
      </c>
      <c r="Q234" t="s">
        <v>232</v>
      </c>
      <c r="R234" t="s">
        <v>190</v>
      </c>
      <c r="S234" t="s">
        <v>233</v>
      </c>
    </row>
    <row r="235" spans="1:19" x14ac:dyDescent="0.3">
      <c r="A235" s="11" t="str">
        <f t="shared" si="24"/>
        <v>Fanatic</v>
      </c>
      <c r="B235" s="11" t="str">
        <f t="shared" si="25"/>
        <v>Blast Txtr 115</v>
      </c>
      <c r="C235" s="11">
        <f t="shared" si="26"/>
        <v>232</v>
      </c>
      <c r="D235" s="11">
        <f t="shared" si="27"/>
        <v>66</v>
      </c>
      <c r="E235" s="11">
        <f t="shared" si="28"/>
        <v>115</v>
      </c>
      <c r="F235" s="38" t="str">
        <f t="shared" si="29"/>
        <v>2018</v>
      </c>
      <c r="G235" s="11" t="str" cm="1">
        <f t="array" ref="G235">gssBoardClass(A235,B235,C235,D235,E235,F235)</f>
        <v>Slalom Medium</v>
      </c>
      <c r="H235" s="39" t="str">
        <f t="shared" si="30"/>
        <v>2018-Fa-Bla-115-66-232</v>
      </c>
      <c r="I235" s="42" t="str">
        <f t="shared" si="31"/>
        <v>2018</v>
      </c>
      <c r="J235" s="46">
        <v>2018</v>
      </c>
      <c r="K235" t="s">
        <v>1</v>
      </c>
      <c r="L235" t="s">
        <v>234</v>
      </c>
      <c r="M235">
        <v>115</v>
      </c>
      <c r="N235">
        <v>66</v>
      </c>
      <c r="O235">
        <v>232</v>
      </c>
      <c r="R235" t="s">
        <v>195</v>
      </c>
      <c r="S235" t="s">
        <v>235</v>
      </c>
    </row>
    <row r="236" spans="1:19" x14ac:dyDescent="0.3">
      <c r="A236" s="11" t="str">
        <f t="shared" si="24"/>
        <v>Fanatic</v>
      </c>
      <c r="B236" s="11" t="str">
        <f t="shared" si="25"/>
        <v>Blast Ltd 115</v>
      </c>
      <c r="C236" s="11">
        <f t="shared" si="26"/>
        <v>232</v>
      </c>
      <c r="D236" s="11">
        <f t="shared" si="27"/>
        <v>66</v>
      </c>
      <c r="E236" s="11">
        <f t="shared" si="28"/>
        <v>115</v>
      </c>
      <c r="F236" s="38" t="str">
        <f t="shared" si="29"/>
        <v>2018</v>
      </c>
      <c r="G236" s="11" t="str" cm="1">
        <f t="array" ref="G236">gssBoardClass(A236,B236,C236,D236,E236,F236)</f>
        <v>Slalom Medium</v>
      </c>
      <c r="H236" s="39" t="str">
        <f t="shared" si="30"/>
        <v>2018-Fa-Bla-115-66-232</v>
      </c>
      <c r="I236" s="42" t="str">
        <f t="shared" si="31"/>
        <v>2018</v>
      </c>
      <c r="J236" s="46">
        <v>2018</v>
      </c>
      <c r="K236" t="s">
        <v>1</v>
      </c>
      <c r="L236" t="s">
        <v>240</v>
      </c>
      <c r="M236">
        <v>115</v>
      </c>
      <c r="N236">
        <v>66</v>
      </c>
      <c r="O236">
        <v>232</v>
      </c>
      <c r="R236" t="s">
        <v>195</v>
      </c>
      <c r="S236" t="s">
        <v>235</v>
      </c>
    </row>
    <row r="237" spans="1:19" x14ac:dyDescent="0.3">
      <c r="A237" s="11" t="str">
        <f t="shared" si="24"/>
        <v>Fanatic</v>
      </c>
      <c r="B237" s="11" t="str">
        <f t="shared" si="25"/>
        <v>Blast Txtr 130</v>
      </c>
      <c r="C237" s="11">
        <f t="shared" si="26"/>
        <v>233</v>
      </c>
      <c r="D237" s="11">
        <f t="shared" si="27"/>
        <v>70</v>
      </c>
      <c r="E237" s="11">
        <f t="shared" si="28"/>
        <v>130</v>
      </c>
      <c r="F237" s="38" t="str">
        <f t="shared" si="29"/>
        <v>2018</v>
      </c>
      <c r="G237" s="11" t="str" cm="1">
        <f t="array" ref="G237">gssBoardClass(A237,B237,C237,D237,E237,F237)</f>
        <v>Slalom Medium</v>
      </c>
      <c r="H237" s="39" t="str">
        <f t="shared" si="30"/>
        <v>2018-Fa-Bla-130-70-233</v>
      </c>
      <c r="I237" s="42" t="str">
        <f t="shared" si="31"/>
        <v>2018</v>
      </c>
      <c r="J237" s="46">
        <v>2018</v>
      </c>
      <c r="K237" t="s">
        <v>1</v>
      </c>
      <c r="L237" t="s">
        <v>236</v>
      </c>
      <c r="M237">
        <v>130</v>
      </c>
      <c r="N237">
        <v>70</v>
      </c>
      <c r="O237">
        <v>233</v>
      </c>
      <c r="Q237" t="s">
        <v>207</v>
      </c>
      <c r="R237" t="s">
        <v>201</v>
      </c>
      <c r="S237" t="s">
        <v>199</v>
      </c>
    </row>
    <row r="238" spans="1:19" x14ac:dyDescent="0.3">
      <c r="A238" s="11" t="str">
        <f t="shared" si="24"/>
        <v>Fanatic</v>
      </c>
      <c r="B238" s="11" t="str">
        <f t="shared" si="25"/>
        <v>Blast Ltd 130</v>
      </c>
      <c r="C238" s="11">
        <f t="shared" si="26"/>
        <v>233</v>
      </c>
      <c r="D238" s="11">
        <f t="shared" si="27"/>
        <v>70</v>
      </c>
      <c r="E238" s="11">
        <f t="shared" si="28"/>
        <v>130</v>
      </c>
      <c r="F238" s="38" t="str">
        <f t="shared" si="29"/>
        <v>2018</v>
      </c>
      <c r="G238" s="11" t="str" cm="1">
        <f t="array" ref="G238">gssBoardClass(A238,B238,C238,D238,E238,F238)</f>
        <v>Slalom Medium</v>
      </c>
      <c r="H238" s="39" t="str">
        <f t="shared" si="30"/>
        <v>2018-Fa-Bla-130-70-233</v>
      </c>
      <c r="I238" s="42" t="str">
        <f t="shared" si="31"/>
        <v>2018</v>
      </c>
      <c r="J238" s="46">
        <v>2018</v>
      </c>
      <c r="K238" t="s">
        <v>1</v>
      </c>
      <c r="L238" t="s">
        <v>241</v>
      </c>
      <c r="M238">
        <v>130</v>
      </c>
      <c r="N238">
        <v>70</v>
      </c>
      <c r="O238">
        <v>233</v>
      </c>
      <c r="Q238" t="s">
        <v>207</v>
      </c>
      <c r="R238" t="s">
        <v>201</v>
      </c>
      <c r="S238" t="s">
        <v>199</v>
      </c>
    </row>
    <row r="239" spans="1:19" x14ac:dyDescent="0.3">
      <c r="A239" s="11" t="str">
        <f t="shared" si="24"/>
        <v>Fanatic</v>
      </c>
      <c r="B239" s="11" t="str">
        <f t="shared" si="25"/>
        <v>Blast Txtr 145</v>
      </c>
      <c r="C239" s="11">
        <f t="shared" si="26"/>
        <v>235</v>
      </c>
      <c r="D239" s="11">
        <f t="shared" si="27"/>
        <v>77</v>
      </c>
      <c r="E239" s="11">
        <f t="shared" si="28"/>
        <v>145</v>
      </c>
      <c r="F239" s="38" t="str">
        <f t="shared" si="29"/>
        <v>2018</v>
      </c>
      <c r="G239" s="11" t="str" cm="1">
        <f t="array" ref="G239">gssBoardClass(A239,B239,C239,D239,E239,F239)</f>
        <v>Slalom Large</v>
      </c>
      <c r="H239" s="39" t="str">
        <f t="shared" si="30"/>
        <v>2018-Fa-Bla-145-77-235</v>
      </c>
      <c r="I239" s="42" t="str">
        <f t="shared" si="31"/>
        <v>2018</v>
      </c>
      <c r="J239" s="46">
        <v>2018</v>
      </c>
      <c r="K239" t="s">
        <v>1</v>
      </c>
      <c r="L239" t="s">
        <v>237</v>
      </c>
      <c r="M239">
        <v>145</v>
      </c>
      <c r="N239">
        <v>77</v>
      </c>
      <c r="O239">
        <v>235</v>
      </c>
      <c r="R239" t="s">
        <v>209</v>
      </c>
      <c r="S239" t="s">
        <v>238</v>
      </c>
    </row>
    <row r="240" spans="1:19" x14ac:dyDescent="0.3">
      <c r="A240" s="11" t="str">
        <f t="shared" si="24"/>
        <v>Fanatic</v>
      </c>
      <c r="B240" s="11" t="str">
        <f t="shared" si="25"/>
        <v>Blast Ltd 145</v>
      </c>
      <c r="C240" s="11">
        <f t="shared" si="26"/>
        <v>235</v>
      </c>
      <c r="D240" s="11">
        <f t="shared" si="27"/>
        <v>77</v>
      </c>
      <c r="E240" s="11">
        <f t="shared" si="28"/>
        <v>145</v>
      </c>
      <c r="F240" s="38" t="str">
        <f t="shared" si="29"/>
        <v>2018</v>
      </c>
      <c r="G240" s="11" t="str" cm="1">
        <f t="array" ref="G240">gssBoardClass(A240,B240,C240,D240,E240,F240)</f>
        <v>Slalom Large</v>
      </c>
      <c r="H240" s="39" t="str">
        <f t="shared" si="30"/>
        <v>2018-Fa-Bla-145-77-235</v>
      </c>
      <c r="I240" s="42" t="str">
        <f t="shared" si="31"/>
        <v>2018</v>
      </c>
      <c r="J240" s="46">
        <v>2018</v>
      </c>
      <c r="K240" t="s">
        <v>1</v>
      </c>
      <c r="L240" t="s">
        <v>242</v>
      </c>
      <c r="M240">
        <v>145</v>
      </c>
      <c r="N240">
        <v>77</v>
      </c>
      <c r="O240">
        <v>235</v>
      </c>
      <c r="R240" t="s">
        <v>209</v>
      </c>
      <c r="S240" t="s">
        <v>238</v>
      </c>
    </row>
    <row r="241" spans="1:19" x14ac:dyDescent="0.3">
      <c r="A241" s="11" t="str">
        <f t="shared" si="24"/>
        <v>Fanatic</v>
      </c>
      <c r="B241" s="11" t="str">
        <f t="shared" si="25"/>
        <v>Falcon Te 114</v>
      </c>
      <c r="C241" s="11">
        <f t="shared" si="26"/>
        <v>230</v>
      </c>
      <c r="D241" s="11">
        <f t="shared" si="27"/>
        <v>71</v>
      </c>
      <c r="E241" s="11">
        <f t="shared" si="28"/>
        <v>114</v>
      </c>
      <c r="F241" s="38" t="str">
        <f t="shared" si="29"/>
        <v>2018</v>
      </c>
      <c r="G241" s="11" t="str" cm="1">
        <f t="array" ref="G241">gssBoardClass(A241,B241,C241,D241,E241,F241)</f>
        <v>Slalom Medium</v>
      </c>
      <c r="H241" s="39" t="str">
        <f t="shared" si="30"/>
        <v>2018-Fa-Fal-114-71-230</v>
      </c>
      <c r="I241" s="42" t="str">
        <f t="shared" si="31"/>
        <v>2018</v>
      </c>
      <c r="J241" s="46">
        <v>2018</v>
      </c>
      <c r="K241" t="s">
        <v>1</v>
      </c>
      <c r="L241" t="s">
        <v>248</v>
      </c>
      <c r="M241">
        <v>114</v>
      </c>
      <c r="N241">
        <v>71</v>
      </c>
      <c r="O241">
        <v>230</v>
      </c>
      <c r="P241" t="s">
        <v>249</v>
      </c>
      <c r="Q241" t="s">
        <v>250</v>
      </c>
      <c r="R241" t="s">
        <v>246</v>
      </c>
      <c r="S241" t="s">
        <v>251</v>
      </c>
    </row>
    <row r="242" spans="1:19" x14ac:dyDescent="0.3">
      <c r="A242" s="11" t="str">
        <f t="shared" si="24"/>
        <v>Fanatic</v>
      </c>
      <c r="B242" s="11" t="str">
        <f t="shared" si="25"/>
        <v>Falcon Te 121</v>
      </c>
      <c r="C242" s="11">
        <f t="shared" si="26"/>
        <v>230</v>
      </c>
      <c r="D242" s="11">
        <f t="shared" si="27"/>
        <v>75</v>
      </c>
      <c r="E242" s="11">
        <f t="shared" si="28"/>
        <v>121</v>
      </c>
      <c r="F242" s="38" t="str">
        <f t="shared" si="29"/>
        <v>2018</v>
      </c>
      <c r="G242" s="11" t="str" cm="1">
        <f t="array" ref="G242">gssBoardClass(A242,B242,C242,D242,E242,F242)</f>
        <v>Slalom Large</v>
      </c>
      <c r="H242" s="39" t="str">
        <f t="shared" si="30"/>
        <v>2018-Fa-Fal-121-75-230</v>
      </c>
      <c r="I242" s="42" t="str">
        <f t="shared" si="31"/>
        <v>2018</v>
      </c>
      <c r="J242" s="46">
        <v>2018</v>
      </c>
      <c r="K242" t="s">
        <v>1</v>
      </c>
      <c r="L242" t="s">
        <v>57</v>
      </c>
      <c r="M242">
        <v>121</v>
      </c>
      <c r="N242">
        <v>75</v>
      </c>
      <c r="O242">
        <v>230</v>
      </c>
      <c r="Q242" t="s">
        <v>153</v>
      </c>
      <c r="R242" t="s">
        <v>153</v>
      </c>
      <c r="S242" t="s">
        <v>252</v>
      </c>
    </row>
    <row r="243" spans="1:19" x14ac:dyDescent="0.3">
      <c r="A243" s="11" t="str">
        <f t="shared" si="24"/>
        <v>Fanatic</v>
      </c>
      <c r="B243" s="11" t="str">
        <f t="shared" si="25"/>
        <v>Falcon Te129</v>
      </c>
      <c r="C243" s="11">
        <f t="shared" si="26"/>
        <v>230</v>
      </c>
      <c r="D243" s="11">
        <f t="shared" si="27"/>
        <v>80</v>
      </c>
      <c r="E243" s="11">
        <f t="shared" si="28"/>
        <v>129</v>
      </c>
      <c r="F243" s="38" t="str">
        <f t="shared" si="29"/>
        <v>2018</v>
      </c>
      <c r="G243" s="11" t="str" cm="1">
        <f t="array" ref="G243">gssBoardClass(A243,B243,C243,D243,E243,F243)</f>
        <v>Slalom Large</v>
      </c>
      <c r="H243" s="39" t="str">
        <f t="shared" si="30"/>
        <v>2018-Fa-Fal-129-80-230</v>
      </c>
      <c r="I243" s="42" t="str">
        <f t="shared" si="31"/>
        <v>2018</v>
      </c>
      <c r="J243" s="46">
        <v>2018</v>
      </c>
      <c r="K243" t="s">
        <v>1</v>
      </c>
      <c r="L243" t="s">
        <v>253</v>
      </c>
      <c r="M243">
        <v>129</v>
      </c>
      <c r="N243">
        <v>80</v>
      </c>
      <c r="O243">
        <v>230</v>
      </c>
      <c r="Q243" t="s">
        <v>207</v>
      </c>
      <c r="R243" t="s">
        <v>246</v>
      </c>
      <c r="S243" t="s">
        <v>202</v>
      </c>
    </row>
    <row r="244" spans="1:19" x14ac:dyDescent="0.3">
      <c r="A244" s="11" t="str">
        <f t="shared" si="24"/>
        <v>Fanatic</v>
      </c>
      <c r="B244" s="11" t="str">
        <f t="shared" si="25"/>
        <v>Falcon Te 136</v>
      </c>
      <c r="C244" s="11">
        <f t="shared" si="26"/>
        <v>225</v>
      </c>
      <c r="D244" s="11">
        <f t="shared" si="27"/>
        <v>85</v>
      </c>
      <c r="E244" s="11">
        <f t="shared" si="28"/>
        <v>136</v>
      </c>
      <c r="F244" s="38" t="str">
        <f t="shared" si="29"/>
        <v>2018</v>
      </c>
      <c r="G244" s="11" t="str" cm="1">
        <f t="array" ref="G244">gssBoardClass(A244,B244,C244,D244,E244,F244)</f>
        <v>Slalom Large</v>
      </c>
      <c r="H244" s="39" t="str">
        <f t="shared" si="30"/>
        <v>2018-Fa-Fal-136-85-225</v>
      </c>
      <c r="I244" s="42" t="str">
        <f t="shared" si="31"/>
        <v>2018</v>
      </c>
      <c r="J244" s="46">
        <v>2018</v>
      </c>
      <c r="K244" t="s">
        <v>1</v>
      </c>
      <c r="L244" t="s">
        <v>61</v>
      </c>
      <c r="M244">
        <v>136</v>
      </c>
      <c r="N244">
        <v>85</v>
      </c>
      <c r="O244">
        <v>225</v>
      </c>
      <c r="Q244" t="s">
        <v>153</v>
      </c>
      <c r="R244" t="s">
        <v>153</v>
      </c>
      <c r="S244" t="s">
        <v>205</v>
      </c>
    </row>
    <row r="245" spans="1:19" x14ac:dyDescent="0.3">
      <c r="A245" s="11" t="str">
        <f t="shared" si="24"/>
        <v>Fanatic</v>
      </c>
      <c r="B245" s="11" t="str">
        <f t="shared" si="25"/>
        <v>Falcon Lightwind 159</v>
      </c>
      <c r="C245" s="11">
        <f t="shared" si="26"/>
        <v>230</v>
      </c>
      <c r="D245" s="11">
        <f t="shared" si="27"/>
        <v>90</v>
      </c>
      <c r="E245" s="11">
        <f t="shared" si="28"/>
        <v>159</v>
      </c>
      <c r="F245" s="38" t="str">
        <f t="shared" si="29"/>
        <v>2018</v>
      </c>
      <c r="G245" s="11" t="str" cm="1">
        <f t="array" ref="G245">gssBoardClass(A245,B245,C245,D245,E245,F245)</f>
        <v>Slalom Xtra Large</v>
      </c>
      <c r="H245" s="39" t="str">
        <f t="shared" si="30"/>
        <v>2018-Fa-Fal-159-90-230</v>
      </c>
      <c r="I245" s="42" t="str">
        <f t="shared" si="31"/>
        <v>2018</v>
      </c>
      <c r="J245" s="46">
        <v>2018</v>
      </c>
      <c r="K245" t="s">
        <v>1</v>
      </c>
      <c r="L245" t="s">
        <v>254</v>
      </c>
      <c r="M245">
        <v>159</v>
      </c>
      <c r="N245">
        <v>90</v>
      </c>
      <c r="O245">
        <v>230</v>
      </c>
      <c r="P245" t="s">
        <v>172</v>
      </c>
      <c r="Q245" t="s">
        <v>207</v>
      </c>
      <c r="R245" t="s">
        <v>255</v>
      </c>
      <c r="S245" t="s">
        <v>227</v>
      </c>
    </row>
    <row r="246" spans="1:19" x14ac:dyDescent="0.3">
      <c r="A246" s="11" t="str">
        <f t="shared" si="24"/>
        <v>Fanatic</v>
      </c>
      <c r="B246" s="11" t="str">
        <f t="shared" si="25"/>
        <v>Falcon Formula 172</v>
      </c>
      <c r="C246" s="11">
        <f t="shared" si="26"/>
        <v>230</v>
      </c>
      <c r="D246" s="11">
        <f t="shared" si="27"/>
        <v>100</v>
      </c>
      <c r="E246" s="11">
        <f t="shared" si="28"/>
        <v>172</v>
      </c>
      <c r="F246" s="38" t="str">
        <f t="shared" si="29"/>
        <v>2018</v>
      </c>
      <c r="G246" s="11" t="str" cm="1">
        <f t="array" ref="G246">gssBoardClass(A246,B246,C246,D246,E246,F246)</f>
        <v>Formula Raceboard</v>
      </c>
      <c r="H246" s="39" t="str">
        <f t="shared" si="30"/>
        <v>2018-Fa-Fal-172-100-230</v>
      </c>
      <c r="I246" s="42" t="str">
        <f t="shared" si="31"/>
        <v>2018</v>
      </c>
      <c r="J246" s="46">
        <v>2018</v>
      </c>
      <c r="K246" t="s">
        <v>1</v>
      </c>
      <c r="L246" t="s">
        <v>259</v>
      </c>
      <c r="M246">
        <v>172</v>
      </c>
      <c r="N246">
        <v>100</v>
      </c>
      <c r="O246">
        <v>230</v>
      </c>
      <c r="P246" t="s">
        <v>249</v>
      </c>
      <c r="Q246" t="s">
        <v>260</v>
      </c>
      <c r="R246" t="s">
        <v>246</v>
      </c>
      <c r="S246" t="s">
        <v>261</v>
      </c>
    </row>
    <row r="247" spans="1:19" x14ac:dyDescent="0.3">
      <c r="A247" s="11" t="str">
        <f t="shared" si="24"/>
        <v>Fanatic</v>
      </c>
      <c r="B247" s="11" t="str">
        <f t="shared" si="25"/>
        <v>Falcon Speed 44 Lüderitz</v>
      </c>
      <c r="C247" s="11">
        <f t="shared" si="26"/>
        <v>230</v>
      </c>
      <c r="D247" s="11">
        <f t="shared" si="27"/>
        <v>44</v>
      </c>
      <c r="E247" s="11">
        <f t="shared" si="28"/>
        <v>54</v>
      </c>
      <c r="F247" s="38" t="str">
        <f t="shared" si="29"/>
        <v>2018</v>
      </c>
      <c r="G247" s="11" t="str" cm="1">
        <f t="array" ref="G247">gssBoardClass(A247,B247,C247,D247,E247,F247)</f>
        <v>Speedboard</v>
      </c>
      <c r="H247" s="39" t="str">
        <f t="shared" si="30"/>
        <v>2018-Fa-Fal-54-44-230</v>
      </c>
      <c r="I247" s="42" t="str">
        <f t="shared" si="31"/>
        <v>2018</v>
      </c>
      <c r="J247" s="46">
        <v>2018</v>
      </c>
      <c r="K247" t="s">
        <v>1</v>
      </c>
      <c r="L247" t="s">
        <v>256</v>
      </c>
      <c r="M247">
        <v>54</v>
      </c>
      <c r="N247">
        <v>44</v>
      </c>
      <c r="O247">
        <v>230</v>
      </c>
      <c r="P247" t="s">
        <v>244</v>
      </c>
      <c r="Q247" t="s">
        <v>245</v>
      </c>
      <c r="R247" t="s">
        <v>246</v>
      </c>
      <c r="S247" t="s">
        <v>139</v>
      </c>
    </row>
    <row r="248" spans="1:19" x14ac:dyDescent="0.3">
      <c r="A248" s="11" t="str">
        <f t="shared" si="24"/>
        <v>Fanatic</v>
      </c>
      <c r="B248" s="11" t="str">
        <f t="shared" si="25"/>
        <v>Falcon Speed 52.5</v>
      </c>
      <c r="C248" s="11">
        <f t="shared" si="26"/>
        <v>230</v>
      </c>
      <c r="D248" s="11">
        <f t="shared" si="27"/>
        <v>52</v>
      </c>
      <c r="E248" s="11">
        <f t="shared" si="28"/>
        <v>70</v>
      </c>
      <c r="F248" s="38" t="str">
        <f t="shared" si="29"/>
        <v>2018</v>
      </c>
      <c r="G248" s="11" t="str" cm="1">
        <f t="array" ref="G248">gssBoardClass(A248,B248,C248,D248,E248,F248)</f>
        <v>Speed/Slalom Xtra Small</v>
      </c>
      <c r="H248" s="39" t="str">
        <f t="shared" si="30"/>
        <v>2018-Fa-Fal-70-52-230</v>
      </c>
      <c r="I248" s="42" t="str">
        <f t="shared" si="31"/>
        <v>2018</v>
      </c>
      <c r="J248" s="46">
        <v>2018</v>
      </c>
      <c r="K248" t="s">
        <v>1</v>
      </c>
      <c r="L248" t="s">
        <v>50</v>
      </c>
      <c r="M248">
        <v>70</v>
      </c>
      <c r="N248">
        <v>52.5</v>
      </c>
      <c r="O248">
        <v>230</v>
      </c>
      <c r="Q248" t="s">
        <v>153</v>
      </c>
      <c r="R248" t="s">
        <v>153</v>
      </c>
      <c r="S248" t="s">
        <v>257</v>
      </c>
    </row>
    <row r="249" spans="1:19" x14ac:dyDescent="0.3">
      <c r="A249" s="11" t="str">
        <f t="shared" si="24"/>
        <v>Fanatic</v>
      </c>
      <c r="B249" s="11" t="str">
        <f t="shared" si="25"/>
        <v>Falcon Speed 56</v>
      </c>
      <c r="C249" s="11">
        <f t="shared" si="26"/>
        <v>235</v>
      </c>
      <c r="D249" s="11">
        <f t="shared" si="27"/>
        <v>56</v>
      </c>
      <c r="E249" s="11">
        <f t="shared" si="28"/>
        <v>79</v>
      </c>
      <c r="F249" s="38" t="str">
        <f t="shared" si="29"/>
        <v>2018</v>
      </c>
      <c r="G249" s="11" t="str" cm="1">
        <f t="array" ref="G249">gssBoardClass(A249,B249,C249,D249,E249,F249)</f>
        <v>Speed/Slalom Xtra Small</v>
      </c>
      <c r="H249" s="39" t="str">
        <f t="shared" si="30"/>
        <v>2018-Fa-Fal-79-56-235</v>
      </c>
      <c r="I249" s="42" t="str">
        <f t="shared" si="31"/>
        <v>2018</v>
      </c>
      <c r="J249" s="46">
        <v>2018</v>
      </c>
      <c r="K249" t="s">
        <v>1</v>
      </c>
      <c r="L249" t="s">
        <v>258</v>
      </c>
      <c r="M249">
        <v>79</v>
      </c>
      <c r="N249">
        <v>56</v>
      </c>
      <c r="O249">
        <v>235</v>
      </c>
      <c r="Q249" t="s">
        <v>153</v>
      </c>
      <c r="R249" t="s">
        <v>153</v>
      </c>
      <c r="S249" t="s">
        <v>166</v>
      </c>
    </row>
    <row r="250" spans="1:19" x14ac:dyDescent="0.3">
      <c r="A250" s="11" t="str">
        <f t="shared" si="24"/>
        <v>Fanatic</v>
      </c>
      <c r="B250" s="11" t="str">
        <f t="shared" si="25"/>
        <v>Falcon Te 89</v>
      </c>
      <c r="C250" s="11">
        <f t="shared" si="26"/>
        <v>235</v>
      </c>
      <c r="D250" s="11">
        <f t="shared" si="27"/>
        <v>60</v>
      </c>
      <c r="E250" s="11">
        <f t="shared" si="28"/>
        <v>89</v>
      </c>
      <c r="F250" s="38" t="str">
        <f t="shared" si="29"/>
        <v>2018</v>
      </c>
      <c r="G250" s="11" t="str" cm="1">
        <f t="array" ref="G250">gssBoardClass(A250,B250,C250,D250,E250,F250)</f>
        <v>Speed/Slalom Xtra Small</v>
      </c>
      <c r="H250" s="39" t="str">
        <f t="shared" si="30"/>
        <v>2018-Fa-Fal-89-60-235</v>
      </c>
      <c r="I250" s="42" t="str">
        <f t="shared" si="31"/>
        <v>2018</v>
      </c>
      <c r="J250" s="46">
        <v>2018</v>
      </c>
      <c r="K250" t="s">
        <v>1</v>
      </c>
      <c r="L250" t="s">
        <v>243</v>
      </c>
      <c r="M250">
        <v>89</v>
      </c>
      <c r="N250">
        <v>60</v>
      </c>
      <c r="O250">
        <v>235</v>
      </c>
      <c r="P250" t="s">
        <v>244</v>
      </c>
      <c r="Q250" t="s">
        <v>245</v>
      </c>
      <c r="R250" t="s">
        <v>246</v>
      </c>
      <c r="S250" t="s">
        <v>233</v>
      </c>
    </row>
    <row r="251" spans="1:19" x14ac:dyDescent="0.3">
      <c r="A251" s="11" t="str">
        <f t="shared" si="24"/>
        <v>Fanatic</v>
      </c>
      <c r="B251" s="11" t="str">
        <f t="shared" si="25"/>
        <v>Falcon Te 98</v>
      </c>
      <c r="C251" s="11">
        <f t="shared" si="26"/>
        <v>235</v>
      </c>
      <c r="D251" s="11">
        <f t="shared" si="27"/>
        <v>63</v>
      </c>
      <c r="E251" s="11">
        <f t="shared" si="28"/>
        <v>98</v>
      </c>
      <c r="F251" s="38" t="str">
        <f t="shared" si="29"/>
        <v>2018</v>
      </c>
      <c r="G251" s="11" t="str" cm="1">
        <f t="array" ref="G251">gssBoardClass(A251,B251,C251,D251,E251,F251)</f>
        <v>Speed/Slalom Small</v>
      </c>
      <c r="H251" s="39" t="str">
        <f t="shared" si="30"/>
        <v>2018-Fa-Fal-98-63-235</v>
      </c>
      <c r="I251" s="42" t="str">
        <f t="shared" si="31"/>
        <v>2018</v>
      </c>
      <c r="J251" s="46">
        <v>2018</v>
      </c>
      <c r="K251" t="s">
        <v>1</v>
      </c>
      <c r="L251" t="s">
        <v>65</v>
      </c>
      <c r="M251">
        <v>98</v>
      </c>
      <c r="N251">
        <v>63</v>
      </c>
      <c r="O251">
        <v>235</v>
      </c>
      <c r="Q251" t="s">
        <v>153</v>
      </c>
      <c r="R251" t="s">
        <v>153</v>
      </c>
      <c r="S251" t="s">
        <v>247</v>
      </c>
    </row>
    <row r="252" spans="1:19" x14ac:dyDescent="0.3">
      <c r="A252" s="11" t="str">
        <f t="shared" si="24"/>
        <v>Fanatic</v>
      </c>
      <c r="B252" s="11" t="str">
        <f t="shared" si="25"/>
        <v>Freewave Stb Txtr 105</v>
      </c>
      <c r="C252" s="11">
        <f t="shared" si="26"/>
        <v>229</v>
      </c>
      <c r="D252" s="11">
        <f t="shared" si="27"/>
        <v>62</v>
      </c>
      <c r="E252" s="11">
        <f t="shared" si="28"/>
        <v>105</v>
      </c>
      <c r="F252" s="38" t="str">
        <f t="shared" si="29"/>
        <v>2018</v>
      </c>
      <c r="G252" s="11" t="str" cm="1">
        <f t="array" ref="G252">gssBoardClass(A252,B252,C252,D252,E252,F252)</f>
        <v>Wave / Freestyle</v>
      </c>
      <c r="H252" s="39" t="str">
        <f t="shared" si="30"/>
        <v>2018-Fa-Fre-105-62-229</v>
      </c>
      <c r="I252" s="42" t="str">
        <f t="shared" si="31"/>
        <v>2018</v>
      </c>
      <c r="J252" s="46">
        <v>2018</v>
      </c>
      <c r="K252" t="s">
        <v>1</v>
      </c>
      <c r="L252" t="s">
        <v>161</v>
      </c>
      <c r="M252">
        <v>105</v>
      </c>
      <c r="N252">
        <v>62.5</v>
      </c>
      <c r="O252">
        <v>229</v>
      </c>
      <c r="R252" t="s">
        <v>162</v>
      </c>
      <c r="S252" t="s">
        <v>163</v>
      </c>
    </row>
    <row r="253" spans="1:19" x14ac:dyDescent="0.3">
      <c r="A253" s="11" t="str">
        <f t="shared" si="24"/>
        <v>Fanatic</v>
      </c>
      <c r="B253" s="11" t="str">
        <f t="shared" si="25"/>
        <v>Freewave Stb Te 105</v>
      </c>
      <c r="C253" s="11">
        <f t="shared" si="26"/>
        <v>229</v>
      </c>
      <c r="D253" s="11">
        <f t="shared" si="27"/>
        <v>62</v>
      </c>
      <c r="E253" s="11">
        <f t="shared" si="28"/>
        <v>105</v>
      </c>
      <c r="F253" s="38" t="str">
        <f t="shared" si="29"/>
        <v>2018</v>
      </c>
      <c r="G253" s="11" t="str" cm="1">
        <f t="array" ref="G253">gssBoardClass(A253,B253,C253,D253,E253,F253)</f>
        <v>Wave / Freestyle</v>
      </c>
      <c r="H253" s="39" t="str">
        <f t="shared" si="30"/>
        <v>2018-Fa-Fre-105-62-229</v>
      </c>
      <c r="I253" s="42" t="str">
        <f t="shared" si="31"/>
        <v>2018</v>
      </c>
      <c r="J253" s="46">
        <v>2018</v>
      </c>
      <c r="K253" t="s">
        <v>1</v>
      </c>
      <c r="L253" t="s">
        <v>169</v>
      </c>
      <c r="M253">
        <v>105</v>
      </c>
      <c r="N253">
        <v>62.5</v>
      </c>
      <c r="O253">
        <v>229</v>
      </c>
      <c r="R253" t="s">
        <v>162</v>
      </c>
      <c r="S253" t="s">
        <v>163</v>
      </c>
    </row>
    <row r="254" spans="1:19" x14ac:dyDescent="0.3">
      <c r="A254" s="11" t="str">
        <f t="shared" si="24"/>
        <v>Fanatic</v>
      </c>
      <c r="B254" s="11" t="str">
        <f t="shared" si="25"/>
        <v>Freewave Stb 105</v>
      </c>
      <c r="C254" s="11">
        <f t="shared" si="26"/>
        <v>229</v>
      </c>
      <c r="D254" s="11">
        <f t="shared" si="27"/>
        <v>62</v>
      </c>
      <c r="E254" s="11">
        <f t="shared" si="28"/>
        <v>105</v>
      </c>
      <c r="F254" s="38" t="str">
        <f t="shared" si="29"/>
        <v>2018</v>
      </c>
      <c r="G254" s="11" t="str" cm="1">
        <f t="array" ref="G254">gssBoardClass(A254,B254,C254,D254,E254,F254)</f>
        <v>Wave / Freestyle</v>
      </c>
      <c r="H254" s="39" t="str">
        <f t="shared" si="30"/>
        <v>2018-Fa-Fre-105-62-229</v>
      </c>
      <c r="I254" s="42" t="str">
        <f t="shared" si="31"/>
        <v>2018</v>
      </c>
      <c r="J254" s="46">
        <v>2018</v>
      </c>
      <c r="K254" t="s">
        <v>1</v>
      </c>
      <c r="L254" t="s">
        <v>176</v>
      </c>
      <c r="M254">
        <v>105</v>
      </c>
      <c r="N254">
        <v>62.5</v>
      </c>
      <c r="O254">
        <v>229</v>
      </c>
      <c r="R254" t="s">
        <v>177</v>
      </c>
      <c r="S254" t="s">
        <v>163</v>
      </c>
    </row>
    <row r="255" spans="1:19" x14ac:dyDescent="0.3">
      <c r="A255" s="11" t="str">
        <f t="shared" si="24"/>
        <v>Fanatic</v>
      </c>
      <c r="B255" s="11" t="str">
        <f t="shared" si="25"/>
        <v>Freewave Stb Txtr 115</v>
      </c>
      <c r="C255" s="11">
        <f t="shared" si="26"/>
        <v>231</v>
      </c>
      <c r="D255" s="11">
        <f t="shared" si="27"/>
        <v>65</v>
      </c>
      <c r="E255" s="11">
        <f t="shared" si="28"/>
        <v>115</v>
      </c>
      <c r="F255" s="38" t="str">
        <f t="shared" si="29"/>
        <v>2018</v>
      </c>
      <c r="G255" s="11" t="str" cm="1">
        <f t="array" ref="G255">gssBoardClass(A255,B255,C255,D255,E255,F255)</f>
        <v>Wave / Freestyle</v>
      </c>
      <c r="H255" s="39" t="str">
        <f t="shared" si="30"/>
        <v>2018-Fa-Fre-115-65-231</v>
      </c>
      <c r="I255" s="42" t="str">
        <f t="shared" si="31"/>
        <v>2018</v>
      </c>
      <c r="J255" s="46">
        <v>2018</v>
      </c>
      <c r="K255" t="s">
        <v>1</v>
      </c>
      <c r="L255" t="s">
        <v>164</v>
      </c>
      <c r="M255">
        <v>115</v>
      </c>
      <c r="N255">
        <v>65</v>
      </c>
      <c r="O255">
        <v>231</v>
      </c>
      <c r="R255" t="s">
        <v>165</v>
      </c>
      <c r="S255" t="s">
        <v>166</v>
      </c>
    </row>
    <row r="256" spans="1:19" x14ac:dyDescent="0.3">
      <c r="A256" s="11" t="str">
        <f t="shared" si="24"/>
        <v>Fanatic</v>
      </c>
      <c r="B256" s="11" t="str">
        <f t="shared" si="25"/>
        <v>Freewave Stb Te 115</v>
      </c>
      <c r="C256" s="11">
        <f t="shared" si="26"/>
        <v>231</v>
      </c>
      <c r="D256" s="11">
        <f t="shared" si="27"/>
        <v>65</v>
      </c>
      <c r="E256" s="11">
        <f t="shared" si="28"/>
        <v>115</v>
      </c>
      <c r="F256" s="38" t="str">
        <f t="shared" si="29"/>
        <v>2018</v>
      </c>
      <c r="G256" s="11" t="str" cm="1">
        <f t="array" ref="G256">gssBoardClass(A256,B256,C256,D256,E256,F256)</f>
        <v>Wave / Freestyle</v>
      </c>
      <c r="H256" s="39" t="str">
        <f t="shared" si="30"/>
        <v>2018-Fa-Fre-115-65-231</v>
      </c>
      <c r="I256" s="42" t="str">
        <f t="shared" si="31"/>
        <v>2018</v>
      </c>
      <c r="J256" s="46">
        <v>2018</v>
      </c>
      <c r="K256" t="s">
        <v>1</v>
      </c>
      <c r="L256" t="s">
        <v>170</v>
      </c>
      <c r="M256">
        <v>115</v>
      </c>
      <c r="N256">
        <v>65</v>
      </c>
      <c r="O256">
        <v>231</v>
      </c>
      <c r="R256" t="s">
        <v>165</v>
      </c>
      <c r="S256" t="s">
        <v>166</v>
      </c>
    </row>
    <row r="257" spans="1:19" x14ac:dyDescent="0.3">
      <c r="A257" s="11" t="str">
        <f t="shared" si="24"/>
        <v>Fanatic</v>
      </c>
      <c r="B257" s="11" t="str">
        <f t="shared" si="25"/>
        <v>Freewave Stb Txtr 85</v>
      </c>
      <c r="C257" s="11">
        <f t="shared" si="26"/>
        <v>225</v>
      </c>
      <c r="D257" s="11">
        <f t="shared" si="27"/>
        <v>57</v>
      </c>
      <c r="E257" s="11">
        <f t="shared" si="28"/>
        <v>85</v>
      </c>
      <c r="F257" s="38" t="str">
        <f t="shared" si="29"/>
        <v>2018</v>
      </c>
      <c r="G257" s="11" t="str" cm="1">
        <f t="array" ref="G257">gssBoardClass(A257,B257,C257,D257,E257,F257)</f>
        <v>Wave / Freestyle</v>
      </c>
      <c r="H257" s="39" t="str">
        <f t="shared" si="30"/>
        <v>2018-Fa-Fre-85-57-225</v>
      </c>
      <c r="I257" s="42" t="str">
        <f t="shared" si="31"/>
        <v>2018</v>
      </c>
      <c r="J257" s="46">
        <v>2018</v>
      </c>
      <c r="K257" t="s">
        <v>1</v>
      </c>
      <c r="L257" t="s">
        <v>154</v>
      </c>
      <c r="M257">
        <v>85</v>
      </c>
      <c r="N257">
        <v>57.5</v>
      </c>
      <c r="O257">
        <v>225</v>
      </c>
      <c r="P257" t="s">
        <v>155</v>
      </c>
      <c r="Q257" t="s">
        <v>156</v>
      </c>
      <c r="R257" t="s">
        <v>157</v>
      </c>
      <c r="S257" t="s">
        <v>158</v>
      </c>
    </row>
    <row r="258" spans="1:19" x14ac:dyDescent="0.3">
      <c r="A258" s="11" t="str">
        <f t="shared" ref="A258:A321" si="32">PROPER(K258)</f>
        <v>Fanatic</v>
      </c>
      <c r="B258" s="11" t="str">
        <f t="shared" ref="B258:B321" si="33">TRIM(PROPER(LEFT(L258,IFERROR(FIND(" ",L258),99))&amp;MID(L258,IFERROR(FIND(" ",L258),99),99)))</f>
        <v>Freewave Stb Te 85</v>
      </c>
      <c r="C258" s="11">
        <f t="shared" ref="C258:C321" si="34">TRUNC(O258)</f>
        <v>225</v>
      </c>
      <c r="D258" s="11">
        <f t="shared" ref="D258:D321" si="35">TRUNC(N258)</f>
        <v>57</v>
      </c>
      <c r="E258" s="11">
        <f t="shared" ref="E258:E321" si="36">M258</f>
        <v>85</v>
      </c>
      <c r="F258" s="38" t="str">
        <f t="shared" ref="F258:F321" si="37">I258</f>
        <v>2018</v>
      </c>
      <c r="G258" s="11" t="str" cm="1">
        <f t="array" ref="G258">gssBoardClass(A258,B258,C258,D258,E258,F258)</f>
        <v>Wave / Freestyle</v>
      </c>
      <c r="H258" s="39" t="str">
        <f t="shared" ref="H258:H321" si="38">_xlfn.CONCAT(I258,"-",LEFT(K258,2),"-",LEFT(L258,3),"-",M258,"-",TRUNC(N258),"-",TRUNC(O258))</f>
        <v>2018-Fa-Fre-85-57-225</v>
      </c>
      <c r="I258" s="42" t="str">
        <f t="shared" ref="I258:I321" si="39">LEFT(J258,4)</f>
        <v>2018</v>
      </c>
      <c r="J258" s="46">
        <v>2018</v>
      </c>
      <c r="K258" t="s">
        <v>1</v>
      </c>
      <c r="L258" t="s">
        <v>167</v>
      </c>
      <c r="M258">
        <v>85</v>
      </c>
      <c r="N258">
        <v>57.5</v>
      </c>
      <c r="O258">
        <v>225</v>
      </c>
      <c r="P258" t="s">
        <v>130</v>
      </c>
      <c r="Q258" t="s">
        <v>156</v>
      </c>
      <c r="R258" t="s">
        <v>157</v>
      </c>
      <c r="S258" t="s">
        <v>158</v>
      </c>
    </row>
    <row r="259" spans="1:19" x14ac:dyDescent="0.3">
      <c r="A259" s="11" t="str">
        <f t="shared" si="32"/>
        <v>Fanatic</v>
      </c>
      <c r="B259" s="11" t="str">
        <f t="shared" si="33"/>
        <v>Freewave Stb 85</v>
      </c>
      <c r="C259" s="11">
        <f t="shared" si="34"/>
        <v>225</v>
      </c>
      <c r="D259" s="11">
        <f t="shared" si="35"/>
        <v>57</v>
      </c>
      <c r="E259" s="11">
        <f t="shared" si="36"/>
        <v>85</v>
      </c>
      <c r="F259" s="38" t="str">
        <f t="shared" si="37"/>
        <v>2018</v>
      </c>
      <c r="G259" s="11" t="str" cm="1">
        <f t="array" ref="G259">gssBoardClass(A259,B259,C259,D259,E259,F259)</f>
        <v>Wave / Freestyle</v>
      </c>
      <c r="H259" s="39" t="str">
        <f t="shared" si="38"/>
        <v>2018-Fa-Fre-85-57-225</v>
      </c>
      <c r="I259" s="42" t="str">
        <f t="shared" si="39"/>
        <v>2018</v>
      </c>
      <c r="J259" s="46">
        <v>2018</v>
      </c>
      <c r="K259" t="s">
        <v>1</v>
      </c>
      <c r="L259" t="s">
        <v>171</v>
      </c>
      <c r="M259">
        <v>85</v>
      </c>
      <c r="N259">
        <v>57.5</v>
      </c>
      <c r="O259">
        <v>225</v>
      </c>
      <c r="P259" t="s">
        <v>172</v>
      </c>
      <c r="Q259" t="s">
        <v>156</v>
      </c>
      <c r="R259" t="s">
        <v>173</v>
      </c>
      <c r="S259" t="s">
        <v>158</v>
      </c>
    </row>
    <row r="260" spans="1:19" x14ac:dyDescent="0.3">
      <c r="A260" s="11" t="str">
        <f t="shared" si="32"/>
        <v>Fanatic</v>
      </c>
      <c r="B260" s="11" t="str">
        <f t="shared" si="33"/>
        <v>Freewave Stb Txtr 95</v>
      </c>
      <c r="C260" s="11">
        <f t="shared" si="34"/>
        <v>227</v>
      </c>
      <c r="D260" s="11">
        <f t="shared" si="35"/>
        <v>60</v>
      </c>
      <c r="E260" s="11">
        <f t="shared" si="36"/>
        <v>95</v>
      </c>
      <c r="F260" s="38" t="str">
        <f t="shared" si="37"/>
        <v>2018</v>
      </c>
      <c r="G260" s="11" t="str" cm="1">
        <f t="array" ref="G260">gssBoardClass(A260,B260,C260,D260,E260,F260)</f>
        <v>Wave / Freestyle</v>
      </c>
      <c r="H260" s="39" t="str">
        <f t="shared" si="38"/>
        <v>2018-Fa-Fre-95-60-227</v>
      </c>
      <c r="I260" s="42" t="str">
        <f t="shared" si="39"/>
        <v>2018</v>
      </c>
      <c r="J260" s="46">
        <v>2018</v>
      </c>
      <c r="K260" t="s">
        <v>1</v>
      </c>
      <c r="L260" t="s">
        <v>159</v>
      </c>
      <c r="M260">
        <v>95</v>
      </c>
      <c r="N260">
        <v>60</v>
      </c>
      <c r="O260">
        <v>227</v>
      </c>
      <c r="R260" t="s">
        <v>160</v>
      </c>
      <c r="S260" t="s">
        <v>138</v>
      </c>
    </row>
    <row r="261" spans="1:19" x14ac:dyDescent="0.3">
      <c r="A261" s="11" t="str">
        <f t="shared" si="32"/>
        <v>Fanatic</v>
      </c>
      <c r="B261" s="11" t="str">
        <f t="shared" si="33"/>
        <v>Freewave Stb Te 95</v>
      </c>
      <c r="C261" s="11">
        <f t="shared" si="34"/>
        <v>227</v>
      </c>
      <c r="D261" s="11">
        <f t="shared" si="35"/>
        <v>60</v>
      </c>
      <c r="E261" s="11">
        <f t="shared" si="36"/>
        <v>95</v>
      </c>
      <c r="F261" s="38" t="str">
        <f t="shared" si="37"/>
        <v>2018</v>
      </c>
      <c r="G261" s="11" t="str" cm="1">
        <f t="array" ref="G261">gssBoardClass(A261,B261,C261,D261,E261,F261)</f>
        <v>Wave / Freestyle</v>
      </c>
      <c r="H261" s="39" t="str">
        <f t="shared" si="38"/>
        <v>2018-Fa-Fre-95-60-227</v>
      </c>
      <c r="I261" s="42" t="str">
        <f t="shared" si="39"/>
        <v>2018</v>
      </c>
      <c r="J261" s="46">
        <v>2018</v>
      </c>
      <c r="K261" t="s">
        <v>1</v>
      </c>
      <c r="L261" t="s">
        <v>168</v>
      </c>
      <c r="M261">
        <v>95</v>
      </c>
      <c r="N261">
        <v>60</v>
      </c>
      <c r="O261">
        <v>227</v>
      </c>
      <c r="R261" t="s">
        <v>160</v>
      </c>
      <c r="S261" t="s">
        <v>138</v>
      </c>
    </row>
    <row r="262" spans="1:19" x14ac:dyDescent="0.3">
      <c r="A262" s="11" t="str">
        <f t="shared" si="32"/>
        <v>Fanatic</v>
      </c>
      <c r="B262" s="11" t="str">
        <f t="shared" si="33"/>
        <v>Freewave Stb 95</v>
      </c>
      <c r="C262" s="11">
        <f t="shared" si="34"/>
        <v>227</v>
      </c>
      <c r="D262" s="11">
        <f t="shared" si="35"/>
        <v>60</v>
      </c>
      <c r="E262" s="11">
        <f t="shared" si="36"/>
        <v>95</v>
      </c>
      <c r="F262" s="38" t="str">
        <f t="shared" si="37"/>
        <v>2018</v>
      </c>
      <c r="G262" s="11" t="str" cm="1">
        <f t="array" ref="G262">gssBoardClass(A262,B262,C262,D262,E262,F262)</f>
        <v>Wave / Freestyle</v>
      </c>
      <c r="H262" s="39" t="str">
        <f t="shared" si="38"/>
        <v>2018-Fa-Fre-95-60-227</v>
      </c>
      <c r="I262" s="42" t="str">
        <f t="shared" si="39"/>
        <v>2018</v>
      </c>
      <c r="J262" s="46">
        <v>2018</v>
      </c>
      <c r="K262" t="s">
        <v>1</v>
      </c>
      <c r="L262" t="s">
        <v>174</v>
      </c>
      <c r="M262">
        <v>95</v>
      </c>
      <c r="N262">
        <v>60</v>
      </c>
      <c r="O262">
        <v>227</v>
      </c>
      <c r="R262" t="s">
        <v>175</v>
      </c>
      <c r="S262" t="s">
        <v>138</v>
      </c>
    </row>
    <row r="263" spans="1:19" x14ac:dyDescent="0.3">
      <c r="A263" s="11" t="str">
        <f t="shared" si="32"/>
        <v>Fanatic</v>
      </c>
      <c r="B263" s="11" t="str">
        <f t="shared" si="33"/>
        <v>Gecko Ltd 105</v>
      </c>
      <c r="C263" s="11">
        <f t="shared" si="34"/>
        <v>239</v>
      </c>
      <c r="D263" s="11">
        <f t="shared" si="35"/>
        <v>69</v>
      </c>
      <c r="E263" s="11">
        <f t="shared" si="36"/>
        <v>105</v>
      </c>
      <c r="F263" s="38" t="str">
        <f t="shared" si="37"/>
        <v>2018</v>
      </c>
      <c r="G263" s="11" t="str" cm="1">
        <f t="array" ref="G263">gssBoardClass(A263,B263,C263,D263,E263,F263)</f>
        <v>Slalom Medium</v>
      </c>
      <c r="H263" s="39" t="str">
        <f t="shared" si="38"/>
        <v>2018-Fa-Gec-105-69-239</v>
      </c>
      <c r="I263" s="42" t="str">
        <f t="shared" si="39"/>
        <v>2018</v>
      </c>
      <c r="J263" s="46">
        <v>2018</v>
      </c>
      <c r="K263" t="s">
        <v>1</v>
      </c>
      <c r="L263" t="s">
        <v>191</v>
      </c>
      <c r="M263">
        <v>105</v>
      </c>
      <c r="N263">
        <v>69</v>
      </c>
      <c r="O263">
        <v>239</v>
      </c>
      <c r="R263" t="s">
        <v>192</v>
      </c>
      <c r="S263" t="s">
        <v>193</v>
      </c>
    </row>
    <row r="264" spans="1:19" x14ac:dyDescent="0.3">
      <c r="A264" s="11" t="str">
        <f t="shared" si="32"/>
        <v>Fanatic</v>
      </c>
      <c r="B264" s="11" t="str">
        <f t="shared" si="33"/>
        <v>Gecko Hrs 105</v>
      </c>
      <c r="C264" s="11">
        <f t="shared" si="34"/>
        <v>239</v>
      </c>
      <c r="D264" s="11">
        <f t="shared" si="35"/>
        <v>69</v>
      </c>
      <c r="E264" s="11">
        <f t="shared" si="36"/>
        <v>105</v>
      </c>
      <c r="F264" s="38" t="str">
        <f t="shared" si="37"/>
        <v>2018</v>
      </c>
      <c r="G264" s="11" t="str" cm="1">
        <f t="array" ref="G264">gssBoardClass(A264,B264,C264,D264,E264,F264)</f>
        <v>Slalom Medium</v>
      </c>
      <c r="H264" s="39" t="str">
        <f t="shared" si="38"/>
        <v>2018-Fa-Gec-105-69-239</v>
      </c>
      <c r="I264" s="42" t="str">
        <f t="shared" si="39"/>
        <v>2018</v>
      </c>
      <c r="J264" s="46">
        <v>2018</v>
      </c>
      <c r="K264" t="s">
        <v>1</v>
      </c>
      <c r="L264" t="s">
        <v>215</v>
      </c>
      <c r="M264">
        <v>105</v>
      </c>
      <c r="N264">
        <v>69</v>
      </c>
      <c r="O264">
        <v>239</v>
      </c>
      <c r="R264" t="s">
        <v>216</v>
      </c>
      <c r="S264" t="s">
        <v>193</v>
      </c>
    </row>
    <row r="265" spans="1:19" x14ac:dyDescent="0.3">
      <c r="A265" s="11" t="str">
        <f t="shared" si="32"/>
        <v>Fanatic</v>
      </c>
      <c r="B265" s="11" t="str">
        <f t="shared" si="33"/>
        <v>Gecko Ltd 112</v>
      </c>
      <c r="C265" s="11">
        <f t="shared" si="34"/>
        <v>239</v>
      </c>
      <c r="D265" s="11">
        <f t="shared" si="35"/>
        <v>73</v>
      </c>
      <c r="E265" s="11">
        <f t="shared" si="36"/>
        <v>112</v>
      </c>
      <c r="F265" s="38" t="str">
        <f t="shared" si="37"/>
        <v>2018</v>
      </c>
      <c r="G265" s="11" t="str" cm="1">
        <f t="array" ref="G265">gssBoardClass(A265,B265,C265,D265,E265,F265)</f>
        <v>Slalom Medium</v>
      </c>
      <c r="H265" s="39" t="str">
        <f t="shared" si="38"/>
        <v>2018-Fa-Gec-112-73-239</v>
      </c>
      <c r="I265" s="42" t="str">
        <f t="shared" si="39"/>
        <v>2018</v>
      </c>
      <c r="J265" s="46">
        <v>2018</v>
      </c>
      <c r="K265" t="s">
        <v>1</v>
      </c>
      <c r="L265" t="s">
        <v>194</v>
      </c>
      <c r="M265">
        <v>112</v>
      </c>
      <c r="N265">
        <v>73</v>
      </c>
      <c r="O265">
        <v>239</v>
      </c>
      <c r="R265" t="s">
        <v>195</v>
      </c>
      <c r="S265" t="s">
        <v>196</v>
      </c>
    </row>
    <row r="266" spans="1:19" x14ac:dyDescent="0.3">
      <c r="A266" s="11" t="str">
        <f t="shared" si="32"/>
        <v>Fanatic</v>
      </c>
      <c r="B266" s="11" t="str">
        <f t="shared" si="33"/>
        <v>Gecko Eco 112</v>
      </c>
      <c r="C266" s="11">
        <f t="shared" si="34"/>
        <v>239</v>
      </c>
      <c r="D266" s="11">
        <f t="shared" si="35"/>
        <v>73</v>
      </c>
      <c r="E266" s="11">
        <f t="shared" si="36"/>
        <v>112</v>
      </c>
      <c r="F266" s="38" t="str">
        <f t="shared" si="37"/>
        <v>2018</v>
      </c>
      <c r="G266" s="11" t="str" cm="1">
        <f t="array" ref="G266">gssBoardClass(A266,B266,C266,D266,E266,F266)</f>
        <v>Slalom Medium</v>
      </c>
      <c r="H266" s="39" t="str">
        <f t="shared" si="38"/>
        <v>2018-Fa-Gec-112-73-239</v>
      </c>
      <c r="I266" s="42" t="str">
        <f t="shared" si="39"/>
        <v>2018</v>
      </c>
      <c r="J266" s="46">
        <v>2018</v>
      </c>
      <c r="K266" t="s">
        <v>1</v>
      </c>
      <c r="L266" t="s">
        <v>210</v>
      </c>
      <c r="M266">
        <v>112</v>
      </c>
      <c r="N266">
        <v>73</v>
      </c>
      <c r="O266">
        <v>239</v>
      </c>
      <c r="P266" t="s">
        <v>211</v>
      </c>
      <c r="Q266" t="s">
        <v>179</v>
      </c>
      <c r="R266" t="s">
        <v>195</v>
      </c>
      <c r="S266" t="s">
        <v>196</v>
      </c>
    </row>
    <row r="267" spans="1:19" x14ac:dyDescent="0.3">
      <c r="A267" s="11" t="str">
        <f t="shared" si="32"/>
        <v>Fanatic</v>
      </c>
      <c r="B267" s="11" t="str">
        <f t="shared" si="33"/>
        <v>Gecko Hrs 112</v>
      </c>
      <c r="C267" s="11">
        <f t="shared" si="34"/>
        <v>239</v>
      </c>
      <c r="D267" s="11">
        <f t="shared" si="35"/>
        <v>73</v>
      </c>
      <c r="E267" s="11">
        <f t="shared" si="36"/>
        <v>112</v>
      </c>
      <c r="F267" s="38" t="str">
        <f t="shared" si="37"/>
        <v>2018</v>
      </c>
      <c r="G267" s="11" t="str" cm="1">
        <f t="array" ref="G267">gssBoardClass(A267,B267,C267,D267,E267,F267)</f>
        <v>Slalom Medium</v>
      </c>
      <c r="H267" s="39" t="str">
        <f t="shared" si="38"/>
        <v>2018-Fa-Gec-112-73-239</v>
      </c>
      <c r="I267" s="42" t="str">
        <f t="shared" si="39"/>
        <v>2018</v>
      </c>
      <c r="J267" s="46">
        <v>2018</v>
      </c>
      <c r="K267" t="s">
        <v>1</v>
      </c>
      <c r="L267" t="s">
        <v>217</v>
      </c>
      <c r="M267">
        <v>112</v>
      </c>
      <c r="N267">
        <v>73</v>
      </c>
      <c r="O267">
        <v>239</v>
      </c>
      <c r="R267" t="s">
        <v>218</v>
      </c>
      <c r="S267" t="s">
        <v>196</v>
      </c>
    </row>
    <row r="268" spans="1:19" x14ac:dyDescent="0.3">
      <c r="A268" s="11" t="str">
        <f t="shared" si="32"/>
        <v>Fanatic</v>
      </c>
      <c r="B268" s="11" t="str">
        <f t="shared" si="33"/>
        <v>Gecko Ltd 120</v>
      </c>
      <c r="C268" s="11">
        <f t="shared" si="34"/>
        <v>242</v>
      </c>
      <c r="D268" s="11">
        <f t="shared" si="35"/>
        <v>76</v>
      </c>
      <c r="E268" s="11">
        <f t="shared" si="36"/>
        <v>120</v>
      </c>
      <c r="F268" s="38" t="str">
        <f t="shared" si="37"/>
        <v>2018</v>
      </c>
      <c r="G268" s="11" t="str" cm="1">
        <f t="array" ref="G268">gssBoardClass(A268,B268,C268,D268,E268,F268)</f>
        <v>Slalom Large</v>
      </c>
      <c r="H268" s="39" t="str">
        <f t="shared" si="38"/>
        <v>2018-Fa-Gec-120-76-242</v>
      </c>
      <c r="I268" s="42" t="str">
        <f t="shared" si="39"/>
        <v>2018</v>
      </c>
      <c r="J268" s="46">
        <v>2018</v>
      </c>
      <c r="K268" t="s">
        <v>1</v>
      </c>
      <c r="L268" t="s">
        <v>197</v>
      </c>
      <c r="M268">
        <v>120</v>
      </c>
      <c r="N268">
        <v>76</v>
      </c>
      <c r="O268">
        <v>242</v>
      </c>
      <c r="R268" t="s">
        <v>198</v>
      </c>
      <c r="S268" t="s">
        <v>199</v>
      </c>
    </row>
    <row r="269" spans="1:19" x14ac:dyDescent="0.3">
      <c r="A269" s="11" t="str">
        <f t="shared" si="32"/>
        <v>Fanatic</v>
      </c>
      <c r="B269" s="11" t="str">
        <f t="shared" si="33"/>
        <v>Gecko Hrs 120</v>
      </c>
      <c r="C269" s="11">
        <f t="shared" si="34"/>
        <v>242</v>
      </c>
      <c r="D269" s="11">
        <f t="shared" si="35"/>
        <v>76</v>
      </c>
      <c r="E269" s="11">
        <f t="shared" si="36"/>
        <v>120</v>
      </c>
      <c r="F269" s="38" t="str">
        <f t="shared" si="37"/>
        <v>2018</v>
      </c>
      <c r="G269" s="11" t="str" cm="1">
        <f t="array" ref="G269">gssBoardClass(A269,B269,C269,D269,E269,F269)</f>
        <v>Slalom Large</v>
      </c>
      <c r="H269" s="39" t="str">
        <f t="shared" si="38"/>
        <v>2018-Fa-Gec-120-76-242</v>
      </c>
      <c r="I269" s="42" t="str">
        <f t="shared" si="39"/>
        <v>2018</v>
      </c>
      <c r="J269" s="46">
        <v>2018</v>
      </c>
      <c r="K269" t="s">
        <v>1</v>
      </c>
      <c r="L269" t="s">
        <v>219</v>
      </c>
      <c r="M269">
        <v>120</v>
      </c>
      <c r="N269">
        <v>76</v>
      </c>
      <c r="O269">
        <v>242</v>
      </c>
      <c r="R269" t="s">
        <v>220</v>
      </c>
      <c r="S269" t="s">
        <v>199</v>
      </c>
    </row>
    <row r="270" spans="1:19" x14ac:dyDescent="0.3">
      <c r="A270" s="11" t="str">
        <f t="shared" si="32"/>
        <v>Fanatic</v>
      </c>
      <c r="B270" s="11" t="str">
        <f t="shared" si="33"/>
        <v>Gecko Foil Edition 120</v>
      </c>
      <c r="C270" s="11">
        <f t="shared" si="34"/>
        <v>242</v>
      </c>
      <c r="D270" s="11">
        <f t="shared" si="35"/>
        <v>76</v>
      </c>
      <c r="E270" s="11">
        <f t="shared" si="36"/>
        <v>120</v>
      </c>
      <c r="F270" s="38" t="str">
        <f t="shared" si="37"/>
        <v>2018</v>
      </c>
      <c r="G270" s="11" t="str" cm="1">
        <f t="array" ref="G270">gssBoardClass(A270,B270,C270,D270,E270,F270)</f>
        <v>Foilboard</v>
      </c>
      <c r="H270" s="39" t="str">
        <f t="shared" si="38"/>
        <v>2018-Fa-Gec-120-76-242</v>
      </c>
      <c r="I270" s="42" t="str">
        <f t="shared" si="39"/>
        <v>2018</v>
      </c>
      <c r="J270" s="46">
        <v>2018</v>
      </c>
      <c r="K270" t="s">
        <v>1</v>
      </c>
      <c r="L270" t="s">
        <v>206</v>
      </c>
      <c r="M270">
        <v>120</v>
      </c>
      <c r="N270">
        <v>76</v>
      </c>
      <c r="O270">
        <v>242</v>
      </c>
      <c r="P270" t="s">
        <v>172</v>
      </c>
      <c r="Q270" t="s">
        <v>207</v>
      </c>
      <c r="R270" t="s">
        <v>201</v>
      </c>
      <c r="S270" t="s">
        <v>199</v>
      </c>
    </row>
    <row r="271" spans="1:19" x14ac:dyDescent="0.3">
      <c r="A271" s="11" t="str">
        <f t="shared" si="32"/>
        <v>Fanatic</v>
      </c>
      <c r="B271" s="11" t="str">
        <f t="shared" si="33"/>
        <v>Gecko Foil Edition 133</v>
      </c>
      <c r="C271" s="11">
        <f t="shared" si="34"/>
        <v>246</v>
      </c>
      <c r="D271" s="11">
        <f t="shared" si="35"/>
        <v>78</v>
      </c>
      <c r="E271" s="11">
        <f t="shared" si="36"/>
        <v>133</v>
      </c>
      <c r="F271" s="38" t="str">
        <f t="shared" si="37"/>
        <v>2018</v>
      </c>
      <c r="G271" s="11" t="str" cm="1">
        <f t="array" ref="G271">gssBoardClass(A271,B271,C271,D271,E271,F271)</f>
        <v>Foilboard</v>
      </c>
      <c r="H271" s="39" t="str">
        <f t="shared" si="38"/>
        <v>2018-Fa-Gec-133-78-246</v>
      </c>
      <c r="I271" s="42" t="str">
        <f t="shared" si="39"/>
        <v>2018</v>
      </c>
      <c r="J271" s="46">
        <v>2018</v>
      </c>
      <c r="K271" t="s">
        <v>1</v>
      </c>
      <c r="L271" t="s">
        <v>208</v>
      </c>
      <c r="M271">
        <v>133</v>
      </c>
      <c r="N271">
        <v>78</v>
      </c>
      <c r="O271">
        <v>246</v>
      </c>
      <c r="R271" t="s">
        <v>209</v>
      </c>
      <c r="S271" t="s">
        <v>202</v>
      </c>
    </row>
    <row r="272" spans="1:19" x14ac:dyDescent="0.3">
      <c r="A272" s="11" t="str">
        <f t="shared" si="32"/>
        <v>Fanatic</v>
      </c>
      <c r="B272" s="11" t="str">
        <f t="shared" si="33"/>
        <v>Gecko Ltd 133</v>
      </c>
      <c r="C272" s="11">
        <f t="shared" si="34"/>
        <v>246</v>
      </c>
      <c r="D272" s="11">
        <f t="shared" si="35"/>
        <v>78</v>
      </c>
      <c r="E272" s="11">
        <f t="shared" si="36"/>
        <v>133</v>
      </c>
      <c r="F272" s="38" t="str">
        <f t="shared" si="37"/>
        <v>2018</v>
      </c>
      <c r="G272" s="11" t="str" cm="1">
        <f t="array" ref="G272">gssBoardClass(A272,B272,C272,D272,E272,F272)</f>
        <v>Slalom Large</v>
      </c>
      <c r="H272" s="39" t="str">
        <f t="shared" si="38"/>
        <v>2018-Fa-Gec-133-78-246</v>
      </c>
      <c r="I272" s="42" t="str">
        <f t="shared" si="39"/>
        <v>2018</v>
      </c>
      <c r="J272" s="46">
        <v>2018</v>
      </c>
      <c r="K272" t="s">
        <v>1</v>
      </c>
      <c r="L272" t="s">
        <v>200</v>
      </c>
      <c r="M272">
        <v>133</v>
      </c>
      <c r="N272">
        <v>78</v>
      </c>
      <c r="O272">
        <v>246</v>
      </c>
      <c r="R272" t="s">
        <v>201</v>
      </c>
      <c r="S272" t="s">
        <v>202</v>
      </c>
    </row>
    <row r="273" spans="1:19" x14ac:dyDescent="0.3">
      <c r="A273" s="11" t="str">
        <f t="shared" si="32"/>
        <v>Fanatic</v>
      </c>
      <c r="B273" s="11" t="str">
        <f t="shared" si="33"/>
        <v>Gecko Hrs 133</v>
      </c>
      <c r="C273" s="11">
        <f t="shared" si="34"/>
        <v>246</v>
      </c>
      <c r="D273" s="11">
        <f t="shared" si="35"/>
        <v>78</v>
      </c>
      <c r="E273" s="11">
        <f t="shared" si="36"/>
        <v>133</v>
      </c>
      <c r="F273" s="38" t="str">
        <f t="shared" si="37"/>
        <v>2018</v>
      </c>
      <c r="G273" s="11" t="str" cm="1">
        <f t="array" ref="G273">gssBoardClass(A273,B273,C273,D273,E273,F273)</f>
        <v>Slalom Large</v>
      </c>
      <c r="H273" s="39" t="str">
        <f t="shared" si="38"/>
        <v>2018-Fa-Gec-133-78-246</v>
      </c>
      <c r="I273" s="42" t="str">
        <f t="shared" si="39"/>
        <v>2018</v>
      </c>
      <c r="J273" s="46">
        <v>2018</v>
      </c>
      <c r="K273" t="s">
        <v>1</v>
      </c>
      <c r="L273" t="s">
        <v>221</v>
      </c>
      <c r="M273">
        <v>133</v>
      </c>
      <c r="N273">
        <v>78</v>
      </c>
      <c r="O273">
        <v>246</v>
      </c>
      <c r="R273" t="s">
        <v>222</v>
      </c>
      <c r="S273" t="s">
        <v>202</v>
      </c>
    </row>
    <row r="274" spans="1:19" x14ac:dyDescent="0.3">
      <c r="A274" s="11" t="str">
        <f t="shared" si="32"/>
        <v>Fanatic</v>
      </c>
      <c r="B274" s="11" t="str">
        <f t="shared" si="33"/>
        <v>Gecko Ltd 146</v>
      </c>
      <c r="C274" s="11">
        <f t="shared" si="34"/>
        <v>250</v>
      </c>
      <c r="D274" s="11">
        <f t="shared" si="35"/>
        <v>83</v>
      </c>
      <c r="E274" s="11">
        <f t="shared" si="36"/>
        <v>146</v>
      </c>
      <c r="F274" s="38" t="str">
        <f t="shared" si="37"/>
        <v>2018</v>
      </c>
      <c r="G274" s="11" t="str" cm="1">
        <f t="array" ref="G274">gssBoardClass(A274,B274,C274,D274,E274,F274)</f>
        <v>Slalom Large</v>
      </c>
      <c r="H274" s="39" t="str">
        <f t="shared" si="38"/>
        <v>2018-Fa-Gec-146-83-250</v>
      </c>
      <c r="I274" s="42" t="str">
        <f t="shared" si="39"/>
        <v>2018</v>
      </c>
      <c r="J274" s="46">
        <v>2018</v>
      </c>
      <c r="K274" t="s">
        <v>1</v>
      </c>
      <c r="L274" t="s">
        <v>203</v>
      </c>
      <c r="M274">
        <v>146</v>
      </c>
      <c r="N274">
        <v>83</v>
      </c>
      <c r="O274">
        <v>250</v>
      </c>
      <c r="R274" t="s">
        <v>204</v>
      </c>
      <c r="S274" t="s">
        <v>205</v>
      </c>
    </row>
    <row r="275" spans="1:19" x14ac:dyDescent="0.3">
      <c r="A275" s="11" t="str">
        <f t="shared" si="32"/>
        <v>Fanatic</v>
      </c>
      <c r="B275" s="11" t="str">
        <f t="shared" si="33"/>
        <v>Gecko Hrs 146</v>
      </c>
      <c r="C275" s="11">
        <f t="shared" si="34"/>
        <v>250</v>
      </c>
      <c r="D275" s="11">
        <f t="shared" si="35"/>
        <v>83</v>
      </c>
      <c r="E275" s="11">
        <f t="shared" si="36"/>
        <v>146</v>
      </c>
      <c r="F275" s="38" t="str">
        <f t="shared" si="37"/>
        <v>2018</v>
      </c>
      <c r="G275" s="11" t="str" cm="1">
        <f t="array" ref="G275">gssBoardClass(A275,B275,C275,D275,E275,F275)</f>
        <v>Slalom Large</v>
      </c>
      <c r="H275" s="39" t="str">
        <f t="shared" si="38"/>
        <v>2018-Fa-Gec-146-83-250</v>
      </c>
      <c r="I275" s="42" t="str">
        <f t="shared" si="39"/>
        <v>2018</v>
      </c>
      <c r="J275" s="46">
        <v>2018</v>
      </c>
      <c r="K275" t="s">
        <v>1</v>
      </c>
      <c r="L275" t="s">
        <v>223</v>
      </c>
      <c r="M275">
        <v>146</v>
      </c>
      <c r="N275">
        <v>83</v>
      </c>
      <c r="O275">
        <v>250</v>
      </c>
      <c r="R275" t="s">
        <v>224</v>
      </c>
      <c r="S275" t="s">
        <v>205</v>
      </c>
    </row>
    <row r="276" spans="1:19" x14ac:dyDescent="0.3">
      <c r="A276" s="11" t="str">
        <f t="shared" si="32"/>
        <v>Fanatic</v>
      </c>
      <c r="B276" s="11" t="str">
        <f t="shared" si="33"/>
        <v>Gecko Hrs 156 +</v>
      </c>
      <c r="C276" s="11">
        <f t="shared" si="34"/>
        <v>252</v>
      </c>
      <c r="D276" s="11">
        <f t="shared" si="35"/>
        <v>85</v>
      </c>
      <c r="E276" s="11">
        <f t="shared" si="36"/>
        <v>156</v>
      </c>
      <c r="F276" s="38" t="str">
        <f t="shared" si="37"/>
        <v>2018</v>
      </c>
      <c r="G276" s="11" t="str" cm="1">
        <f t="array" ref="G276">gssBoardClass(A276,B276,C276,D276,E276,F276)</f>
        <v>Slalom Large</v>
      </c>
      <c r="H276" s="39" t="str">
        <f t="shared" si="38"/>
        <v>2018-Fa-Gec-156-85-252</v>
      </c>
      <c r="I276" s="42" t="str">
        <f t="shared" si="39"/>
        <v>2018</v>
      </c>
      <c r="J276" s="46">
        <v>2018</v>
      </c>
      <c r="K276" t="s">
        <v>1</v>
      </c>
      <c r="L276" t="s">
        <v>225</v>
      </c>
      <c r="M276">
        <v>156</v>
      </c>
      <c r="N276">
        <v>85</v>
      </c>
      <c r="O276">
        <v>252</v>
      </c>
      <c r="R276" t="s">
        <v>226</v>
      </c>
      <c r="S276" t="s">
        <v>227</v>
      </c>
    </row>
    <row r="277" spans="1:19" x14ac:dyDescent="0.3">
      <c r="A277" s="11" t="str">
        <f t="shared" si="32"/>
        <v>Fanatic</v>
      </c>
      <c r="B277" s="11" t="str">
        <f t="shared" si="33"/>
        <v>Gecko Hrs 156 + Daggerboard</v>
      </c>
      <c r="C277" s="11">
        <f t="shared" si="34"/>
        <v>252</v>
      </c>
      <c r="D277" s="11">
        <f t="shared" si="35"/>
        <v>85</v>
      </c>
      <c r="E277" s="11">
        <f t="shared" si="36"/>
        <v>156</v>
      </c>
      <c r="F277" s="38" t="str">
        <f t="shared" si="37"/>
        <v>2018</v>
      </c>
      <c r="G277" s="11" t="str" cm="1">
        <f t="array" ref="G277">gssBoardClass(A277,B277,C277,D277,E277,F277)</f>
        <v>Slalom Large</v>
      </c>
      <c r="H277" s="39" t="str">
        <f t="shared" si="38"/>
        <v>2018-Fa-Gec-156-85-252</v>
      </c>
      <c r="I277" s="42" t="str">
        <f t="shared" si="39"/>
        <v>2018</v>
      </c>
      <c r="J277" s="46">
        <v>2018</v>
      </c>
      <c r="K277" t="s">
        <v>1</v>
      </c>
      <c r="L277" t="s">
        <v>228</v>
      </c>
      <c r="M277">
        <v>156</v>
      </c>
      <c r="N277">
        <v>85</v>
      </c>
      <c r="O277">
        <v>252</v>
      </c>
      <c r="R277" t="s">
        <v>229</v>
      </c>
      <c r="S277" t="s">
        <v>227</v>
      </c>
    </row>
    <row r="278" spans="1:19" x14ac:dyDescent="0.3">
      <c r="A278" s="11" t="str">
        <f t="shared" si="32"/>
        <v>Fanatic</v>
      </c>
      <c r="B278" s="11" t="str">
        <f t="shared" si="33"/>
        <v>Gecko Ltd 98</v>
      </c>
      <c r="C278" s="11">
        <f t="shared" si="34"/>
        <v>239</v>
      </c>
      <c r="D278" s="11">
        <f t="shared" si="35"/>
        <v>63</v>
      </c>
      <c r="E278" s="11">
        <f t="shared" si="36"/>
        <v>98</v>
      </c>
      <c r="F278" s="38" t="str">
        <f t="shared" si="37"/>
        <v>2018</v>
      </c>
      <c r="G278" s="11" t="str" cm="1">
        <f t="array" ref="G278">gssBoardClass(A278,B278,C278,D278,E278,F278)</f>
        <v>Speed/Slalom Small</v>
      </c>
      <c r="H278" s="39" t="str">
        <f t="shared" si="38"/>
        <v>2018-Fa-Gec-98-63-239</v>
      </c>
      <c r="I278" s="42" t="str">
        <f t="shared" si="39"/>
        <v>2018</v>
      </c>
      <c r="J278" s="46">
        <v>2018</v>
      </c>
      <c r="K278" t="s">
        <v>1</v>
      </c>
      <c r="L278" t="s">
        <v>189</v>
      </c>
      <c r="M278">
        <v>98</v>
      </c>
      <c r="N278">
        <v>63</v>
      </c>
      <c r="O278">
        <v>239</v>
      </c>
      <c r="P278" t="s">
        <v>172</v>
      </c>
      <c r="Q278" t="s">
        <v>179</v>
      </c>
      <c r="R278" t="s">
        <v>190</v>
      </c>
      <c r="S278" t="s">
        <v>166</v>
      </c>
    </row>
    <row r="279" spans="1:19" x14ac:dyDescent="0.3">
      <c r="A279" s="11" t="str">
        <f t="shared" si="32"/>
        <v>Fanatic</v>
      </c>
      <c r="B279" s="11" t="str">
        <f t="shared" si="33"/>
        <v>Gecko Hrs 98</v>
      </c>
      <c r="C279" s="11">
        <f t="shared" si="34"/>
        <v>239</v>
      </c>
      <c r="D279" s="11">
        <f t="shared" si="35"/>
        <v>63</v>
      </c>
      <c r="E279" s="11">
        <f t="shared" si="36"/>
        <v>98</v>
      </c>
      <c r="F279" s="38" t="str">
        <f t="shared" si="37"/>
        <v>2018</v>
      </c>
      <c r="G279" s="11" t="str" cm="1">
        <f t="array" ref="G279">gssBoardClass(A279,B279,C279,D279,E279,F279)</f>
        <v>Speed/Slalom Small</v>
      </c>
      <c r="H279" s="39" t="str">
        <f t="shared" si="38"/>
        <v>2018-Fa-Gec-98-63-239</v>
      </c>
      <c r="I279" s="42" t="str">
        <f t="shared" si="39"/>
        <v>2018</v>
      </c>
      <c r="J279" s="46">
        <v>2018</v>
      </c>
      <c r="K279" t="s">
        <v>1</v>
      </c>
      <c r="L279" t="s">
        <v>212</v>
      </c>
      <c r="M279">
        <v>98</v>
      </c>
      <c r="N279">
        <v>63</v>
      </c>
      <c r="O279">
        <v>239</v>
      </c>
      <c r="P279" t="s">
        <v>213</v>
      </c>
      <c r="Q279" t="s">
        <v>179</v>
      </c>
      <c r="R279" t="s">
        <v>214</v>
      </c>
      <c r="S279" t="s">
        <v>166</v>
      </c>
    </row>
    <row r="280" spans="1:19" x14ac:dyDescent="0.3">
      <c r="A280" s="11" t="str">
        <f t="shared" si="32"/>
        <v>Fanatic</v>
      </c>
      <c r="B280" s="11" t="str">
        <f t="shared" si="33"/>
        <v>Grip Te 68</v>
      </c>
      <c r="C280" s="11">
        <f t="shared" si="34"/>
        <v>220</v>
      </c>
      <c r="D280" s="11">
        <f t="shared" si="35"/>
        <v>54</v>
      </c>
      <c r="E280" s="11">
        <f t="shared" si="36"/>
        <v>68</v>
      </c>
      <c r="F280" s="38" t="str">
        <f t="shared" si="37"/>
        <v>2018</v>
      </c>
      <c r="G280" s="11" t="str" cm="1">
        <f t="array" ref="G280">gssBoardClass(A280,B280,C280,D280,E280,F280)</f>
        <v>Wave / Freestyle</v>
      </c>
      <c r="H280" s="39" t="str">
        <f t="shared" si="38"/>
        <v>2018-Fa-Gri-68-54-220</v>
      </c>
      <c r="I280" s="42" t="str">
        <f t="shared" si="39"/>
        <v>2018</v>
      </c>
      <c r="J280" s="46">
        <v>2018</v>
      </c>
      <c r="K280" t="s">
        <v>1</v>
      </c>
      <c r="L280" t="s">
        <v>140</v>
      </c>
      <c r="M280">
        <v>68</v>
      </c>
      <c r="N280">
        <v>54</v>
      </c>
      <c r="O280">
        <v>220</v>
      </c>
      <c r="P280" t="s">
        <v>130</v>
      </c>
      <c r="Q280" t="s">
        <v>141</v>
      </c>
      <c r="R280" t="s">
        <v>142</v>
      </c>
      <c r="S280" t="s">
        <v>143</v>
      </c>
    </row>
    <row r="281" spans="1:19" x14ac:dyDescent="0.3">
      <c r="A281" s="11" t="str">
        <f t="shared" si="32"/>
        <v>Fanatic</v>
      </c>
      <c r="B281" s="11" t="str">
        <f t="shared" si="33"/>
        <v>Grip Te 76</v>
      </c>
      <c r="C281" s="11">
        <f t="shared" si="34"/>
        <v>222</v>
      </c>
      <c r="D281" s="11">
        <f t="shared" si="35"/>
        <v>56</v>
      </c>
      <c r="E281" s="11">
        <f t="shared" si="36"/>
        <v>76</v>
      </c>
      <c r="F281" s="38" t="str">
        <f t="shared" si="37"/>
        <v>2018</v>
      </c>
      <c r="G281" s="11" t="str" cm="1">
        <f t="array" ref="G281">gssBoardClass(A281,B281,C281,D281,E281,F281)</f>
        <v>Wave / Freestyle</v>
      </c>
      <c r="H281" s="39" t="str">
        <f t="shared" si="38"/>
        <v>2018-Fa-Gri-76-56-222</v>
      </c>
      <c r="I281" s="42" t="str">
        <f t="shared" si="39"/>
        <v>2018</v>
      </c>
      <c r="J281" s="46">
        <v>2018</v>
      </c>
      <c r="K281" t="s">
        <v>1</v>
      </c>
      <c r="L281" t="s">
        <v>144</v>
      </c>
      <c r="M281">
        <v>76</v>
      </c>
      <c r="N281">
        <v>56</v>
      </c>
      <c r="O281">
        <v>222</v>
      </c>
      <c r="Q281" t="s">
        <v>145</v>
      </c>
      <c r="R281" t="s">
        <v>146</v>
      </c>
      <c r="S281" t="s">
        <v>133</v>
      </c>
    </row>
    <row r="282" spans="1:19" x14ac:dyDescent="0.3">
      <c r="A282" s="11" t="str">
        <f t="shared" si="32"/>
        <v>Fanatic</v>
      </c>
      <c r="B282" s="11" t="str">
        <f t="shared" si="33"/>
        <v>Grip Te 82</v>
      </c>
      <c r="C282" s="11">
        <f t="shared" si="34"/>
        <v>224</v>
      </c>
      <c r="D282" s="11">
        <f t="shared" si="35"/>
        <v>58</v>
      </c>
      <c r="E282" s="11">
        <f t="shared" si="36"/>
        <v>82</v>
      </c>
      <c r="F282" s="38" t="str">
        <f t="shared" si="37"/>
        <v>2018</v>
      </c>
      <c r="G282" s="11" t="str" cm="1">
        <f t="array" ref="G282">gssBoardClass(A282,B282,C282,D282,E282,F282)</f>
        <v>Wave / Freestyle</v>
      </c>
      <c r="H282" s="39" t="str">
        <f t="shared" si="38"/>
        <v>2018-Fa-Gri-82-58-224</v>
      </c>
      <c r="I282" s="42" t="str">
        <f t="shared" si="39"/>
        <v>2018</v>
      </c>
      <c r="J282" s="46">
        <v>2018</v>
      </c>
      <c r="K282" t="s">
        <v>1</v>
      </c>
      <c r="L282" t="s">
        <v>147</v>
      </c>
      <c r="M282">
        <v>82</v>
      </c>
      <c r="N282">
        <v>58</v>
      </c>
      <c r="O282">
        <v>224</v>
      </c>
      <c r="R282" t="s">
        <v>146</v>
      </c>
      <c r="S282" t="s">
        <v>135</v>
      </c>
    </row>
    <row r="283" spans="1:19" x14ac:dyDescent="0.3">
      <c r="A283" s="11" t="str">
        <f t="shared" si="32"/>
        <v>Fanatic</v>
      </c>
      <c r="B283" s="11" t="str">
        <f t="shared" si="33"/>
        <v>Grip Te 89</v>
      </c>
      <c r="C283" s="11">
        <f t="shared" si="34"/>
        <v>226</v>
      </c>
      <c r="D283" s="11">
        <f t="shared" si="35"/>
        <v>59</v>
      </c>
      <c r="E283" s="11">
        <f t="shared" si="36"/>
        <v>89</v>
      </c>
      <c r="F283" s="38" t="str">
        <f t="shared" si="37"/>
        <v>2018</v>
      </c>
      <c r="G283" s="11" t="str" cm="1">
        <f t="array" ref="G283">gssBoardClass(A283,B283,C283,D283,E283,F283)</f>
        <v>Wave / Freestyle</v>
      </c>
      <c r="H283" s="39" t="str">
        <f t="shared" si="38"/>
        <v>2018-Fa-Gri-89-59-226</v>
      </c>
      <c r="I283" s="42" t="str">
        <f t="shared" si="39"/>
        <v>2018</v>
      </c>
      <c r="J283" s="46">
        <v>2018</v>
      </c>
      <c r="K283" t="s">
        <v>1</v>
      </c>
      <c r="L283" t="s">
        <v>148</v>
      </c>
      <c r="M283">
        <v>89</v>
      </c>
      <c r="N283">
        <v>59.5</v>
      </c>
      <c r="O283">
        <v>226</v>
      </c>
      <c r="R283" t="s">
        <v>149</v>
      </c>
      <c r="S283" t="s">
        <v>138</v>
      </c>
    </row>
    <row r="284" spans="1:19" x14ac:dyDescent="0.3">
      <c r="A284" s="11" t="str">
        <f t="shared" si="32"/>
        <v>Fanatic</v>
      </c>
      <c r="B284" s="11" t="str">
        <f t="shared" si="33"/>
        <v>Grip Te 99</v>
      </c>
      <c r="C284" s="11">
        <f t="shared" si="34"/>
        <v>229</v>
      </c>
      <c r="D284" s="11">
        <f t="shared" si="35"/>
        <v>62</v>
      </c>
      <c r="E284" s="11">
        <f t="shared" si="36"/>
        <v>99</v>
      </c>
      <c r="F284" s="38" t="str">
        <f t="shared" si="37"/>
        <v>2018</v>
      </c>
      <c r="G284" s="11" t="str" cm="1">
        <f t="array" ref="G284">gssBoardClass(A284,B284,C284,D284,E284,F284)</f>
        <v>Wave / Freestyle</v>
      </c>
      <c r="H284" s="39" t="str">
        <f t="shared" si="38"/>
        <v>2018-Fa-Gri-99-62-229</v>
      </c>
      <c r="I284" s="42" t="str">
        <f t="shared" si="39"/>
        <v>2018</v>
      </c>
      <c r="J284" s="46">
        <v>2018</v>
      </c>
      <c r="K284" t="s">
        <v>1</v>
      </c>
      <c r="L284" t="s">
        <v>150</v>
      </c>
      <c r="M284">
        <v>99</v>
      </c>
      <c r="N284">
        <v>62</v>
      </c>
      <c r="O284">
        <v>229</v>
      </c>
      <c r="P284" t="s">
        <v>151</v>
      </c>
      <c r="Q284" t="s">
        <v>152</v>
      </c>
      <c r="R284" t="s">
        <v>139</v>
      </c>
      <c r="S284" t="s">
        <v>153</v>
      </c>
    </row>
    <row r="285" spans="1:19" x14ac:dyDescent="0.3">
      <c r="A285" s="11" t="str">
        <f t="shared" si="32"/>
        <v>Fanatic</v>
      </c>
      <c r="B285" s="11" t="str">
        <f t="shared" si="33"/>
        <v>Ripper 112</v>
      </c>
      <c r="C285" s="11">
        <f t="shared" si="34"/>
        <v>239</v>
      </c>
      <c r="D285" s="11">
        <f t="shared" si="35"/>
        <v>73</v>
      </c>
      <c r="E285" s="11">
        <f t="shared" si="36"/>
        <v>112</v>
      </c>
      <c r="F285" s="38" t="str">
        <f t="shared" si="37"/>
        <v>2018</v>
      </c>
      <c r="G285" s="11" t="str" cm="1">
        <f t="array" ref="G285">gssBoardClass(A285,B285,C285,D285,E285,F285)</f>
        <v>Slalom Medium</v>
      </c>
      <c r="H285" s="39" t="str">
        <f t="shared" si="38"/>
        <v>2018-Fa-Rip-112-73-239</v>
      </c>
      <c r="I285" s="42" t="str">
        <f t="shared" si="39"/>
        <v>2018</v>
      </c>
      <c r="J285" s="46">
        <v>2018</v>
      </c>
      <c r="K285" t="s">
        <v>1</v>
      </c>
      <c r="L285" t="s">
        <v>274</v>
      </c>
      <c r="M285">
        <v>112</v>
      </c>
      <c r="N285">
        <v>73</v>
      </c>
      <c r="O285">
        <v>239</v>
      </c>
      <c r="P285" t="s">
        <v>213</v>
      </c>
      <c r="Q285" t="s">
        <v>179</v>
      </c>
      <c r="R285" t="s">
        <v>275</v>
      </c>
      <c r="S285" t="s">
        <v>193</v>
      </c>
    </row>
    <row r="286" spans="1:19" x14ac:dyDescent="0.3">
      <c r="A286" s="11" t="str">
        <f t="shared" si="32"/>
        <v>Fanatic</v>
      </c>
      <c r="B286" s="11" t="str">
        <f t="shared" si="33"/>
        <v>Ripper Air Windsurf 187</v>
      </c>
      <c r="C286" s="11">
        <f t="shared" si="34"/>
        <v>274</v>
      </c>
      <c r="D286" s="11">
        <f t="shared" si="35"/>
        <v>73</v>
      </c>
      <c r="E286" s="11">
        <f t="shared" si="36"/>
        <v>187</v>
      </c>
      <c r="F286" s="38" t="str">
        <f t="shared" si="37"/>
        <v>2018</v>
      </c>
      <c r="G286" s="11" t="str" cm="1">
        <f t="array" ref="G286">gssBoardClass(A286,B286,C286,D286,E286,F286)</f>
        <v>Slalom Medium</v>
      </c>
      <c r="H286" s="39" t="str">
        <f t="shared" si="38"/>
        <v>2018-Fa-Rip-187-73-274</v>
      </c>
      <c r="I286" s="42" t="str">
        <f t="shared" si="39"/>
        <v>2018</v>
      </c>
      <c r="J286" s="46">
        <v>2018</v>
      </c>
      <c r="K286" t="s">
        <v>1</v>
      </c>
      <c r="L286" t="s">
        <v>276</v>
      </c>
      <c r="M286">
        <v>187</v>
      </c>
      <c r="N286">
        <v>73.7</v>
      </c>
      <c r="O286">
        <v>274.3</v>
      </c>
      <c r="P286" t="s">
        <v>273</v>
      </c>
      <c r="Q286" t="s">
        <v>269</v>
      </c>
      <c r="R286" t="s">
        <v>270</v>
      </c>
      <c r="S286" t="s">
        <v>271</v>
      </c>
    </row>
    <row r="287" spans="1:19" x14ac:dyDescent="0.3">
      <c r="A287" s="11" t="str">
        <f t="shared" si="32"/>
        <v>Fanatic</v>
      </c>
      <c r="B287" s="11" t="str">
        <f t="shared" si="33"/>
        <v>Skate Te 100</v>
      </c>
      <c r="C287" s="11">
        <f t="shared" si="34"/>
        <v>228</v>
      </c>
      <c r="D287" s="11">
        <f t="shared" si="35"/>
        <v>64</v>
      </c>
      <c r="E287" s="11">
        <f t="shared" si="36"/>
        <v>100</v>
      </c>
      <c r="F287" s="38" t="str">
        <f t="shared" si="37"/>
        <v>2018</v>
      </c>
      <c r="G287" s="11" t="str" cm="1">
        <f t="array" ref="G287">gssBoardClass(A287,B287,C287,D287,E287,F287)</f>
        <v>Wave / Freestyle</v>
      </c>
      <c r="H287" s="39" t="str">
        <f t="shared" si="38"/>
        <v>2018-Fa-Ska-100-64-228</v>
      </c>
      <c r="I287" s="42" t="str">
        <f t="shared" si="39"/>
        <v>2018</v>
      </c>
      <c r="J287" s="46">
        <v>2018</v>
      </c>
      <c r="K287" t="s">
        <v>1</v>
      </c>
      <c r="L287" t="s">
        <v>184</v>
      </c>
      <c r="M287">
        <v>100</v>
      </c>
      <c r="N287">
        <v>64</v>
      </c>
      <c r="O287">
        <v>228</v>
      </c>
      <c r="R287" t="s">
        <v>185</v>
      </c>
      <c r="S287" t="s">
        <v>138</v>
      </c>
    </row>
    <row r="288" spans="1:19" x14ac:dyDescent="0.3">
      <c r="A288" s="11" t="str">
        <f t="shared" si="32"/>
        <v>Fanatic</v>
      </c>
      <c r="B288" s="11" t="str">
        <f t="shared" si="33"/>
        <v>Skate Te 108</v>
      </c>
      <c r="C288" s="11">
        <f t="shared" si="34"/>
        <v>226</v>
      </c>
      <c r="D288" s="11">
        <f t="shared" si="35"/>
        <v>66</v>
      </c>
      <c r="E288" s="11">
        <f t="shared" si="36"/>
        <v>108</v>
      </c>
      <c r="F288" s="38" t="str">
        <f t="shared" si="37"/>
        <v>2018</v>
      </c>
      <c r="G288" s="11" t="str" cm="1">
        <f t="array" ref="G288">gssBoardClass(A288,B288,C288,D288,E288,F288)</f>
        <v>Wave / Freestyle</v>
      </c>
      <c r="H288" s="39" t="str">
        <f t="shared" si="38"/>
        <v>2018-Fa-Ska-108-66-226</v>
      </c>
      <c r="I288" s="42" t="str">
        <f t="shared" si="39"/>
        <v>2018</v>
      </c>
      <c r="J288" s="46">
        <v>2018</v>
      </c>
      <c r="K288" t="s">
        <v>1</v>
      </c>
      <c r="L288" t="s">
        <v>186</v>
      </c>
      <c r="M288">
        <v>108</v>
      </c>
      <c r="N288">
        <v>66.5</v>
      </c>
      <c r="O288">
        <v>226</v>
      </c>
      <c r="R288" t="s">
        <v>187</v>
      </c>
      <c r="S288" t="s">
        <v>188</v>
      </c>
    </row>
    <row r="289" spans="1:19" x14ac:dyDescent="0.3">
      <c r="A289" s="11" t="str">
        <f t="shared" si="32"/>
        <v>Fanatic</v>
      </c>
      <c r="B289" s="11" t="str">
        <f t="shared" si="33"/>
        <v>Skate Te 86</v>
      </c>
      <c r="C289" s="11">
        <f t="shared" si="34"/>
        <v>228</v>
      </c>
      <c r="D289" s="11">
        <f t="shared" si="35"/>
        <v>60</v>
      </c>
      <c r="E289" s="11">
        <f t="shared" si="36"/>
        <v>86</v>
      </c>
      <c r="F289" s="38" t="str">
        <f t="shared" si="37"/>
        <v>2018</v>
      </c>
      <c r="G289" s="11" t="str" cm="1">
        <f t="array" ref="G289">gssBoardClass(A289,B289,C289,D289,E289,F289)</f>
        <v>Wave / Freestyle</v>
      </c>
      <c r="H289" s="39" t="str">
        <f t="shared" si="38"/>
        <v>2018-Fa-Ska-86-60-228</v>
      </c>
      <c r="I289" s="42" t="str">
        <f t="shared" si="39"/>
        <v>2018</v>
      </c>
      <c r="J289" s="46">
        <v>2018</v>
      </c>
      <c r="K289" t="s">
        <v>1</v>
      </c>
      <c r="L289" t="s">
        <v>178</v>
      </c>
      <c r="M289">
        <v>86</v>
      </c>
      <c r="N289">
        <v>60</v>
      </c>
      <c r="O289">
        <v>228</v>
      </c>
      <c r="P289" t="s">
        <v>130</v>
      </c>
      <c r="Q289" t="s">
        <v>179</v>
      </c>
      <c r="R289" t="s">
        <v>180</v>
      </c>
      <c r="S289" t="s">
        <v>133</v>
      </c>
    </row>
    <row r="290" spans="1:19" x14ac:dyDescent="0.3">
      <c r="A290" s="11" t="str">
        <f t="shared" si="32"/>
        <v>Fanatic</v>
      </c>
      <c r="B290" s="11" t="str">
        <f t="shared" si="33"/>
        <v>Skate Te 93</v>
      </c>
      <c r="C290" s="11">
        <f t="shared" si="34"/>
        <v>225</v>
      </c>
      <c r="D290" s="11">
        <f t="shared" si="35"/>
        <v>62</v>
      </c>
      <c r="E290" s="11">
        <f t="shared" si="36"/>
        <v>93</v>
      </c>
      <c r="F290" s="38" t="str">
        <f t="shared" si="37"/>
        <v>2018</v>
      </c>
      <c r="G290" s="11" t="str" cm="1">
        <f t="array" ref="G290">gssBoardClass(A290,B290,C290,D290,E290,F290)</f>
        <v>Wave / Freestyle</v>
      </c>
      <c r="H290" s="39" t="str">
        <f t="shared" si="38"/>
        <v>2018-Fa-Ska-93-62-225</v>
      </c>
      <c r="I290" s="42" t="str">
        <f t="shared" si="39"/>
        <v>2018</v>
      </c>
      <c r="J290" s="46">
        <v>2018</v>
      </c>
      <c r="K290" t="s">
        <v>1</v>
      </c>
      <c r="L290" t="s">
        <v>181</v>
      </c>
      <c r="M290">
        <v>93</v>
      </c>
      <c r="N290">
        <v>62</v>
      </c>
      <c r="O290">
        <v>225</v>
      </c>
      <c r="R290" t="s">
        <v>182</v>
      </c>
      <c r="S290" t="s">
        <v>183</v>
      </c>
    </row>
    <row r="291" spans="1:19" x14ac:dyDescent="0.3">
      <c r="A291" s="11" t="str">
        <f t="shared" si="32"/>
        <v>Fanatic</v>
      </c>
      <c r="B291" s="11" t="str">
        <f t="shared" si="33"/>
        <v>Stubby Te 76</v>
      </c>
      <c r="C291" s="11">
        <f t="shared" si="34"/>
        <v>212</v>
      </c>
      <c r="D291" s="11">
        <f t="shared" si="35"/>
        <v>55</v>
      </c>
      <c r="E291" s="11">
        <f t="shared" si="36"/>
        <v>76</v>
      </c>
      <c r="F291" s="38" t="str">
        <f t="shared" si="37"/>
        <v>2018</v>
      </c>
      <c r="G291" s="11" t="str" cm="1">
        <f t="array" ref="G291">gssBoardClass(A291,B291,C291,D291,E291,F291)</f>
        <v>Wave / Freestyle</v>
      </c>
      <c r="H291" s="39" t="str">
        <f t="shared" si="38"/>
        <v>2018-Fa-Stu-76-55-212</v>
      </c>
      <c r="I291" s="42" t="str">
        <f t="shared" si="39"/>
        <v>2018</v>
      </c>
      <c r="J291" s="46">
        <v>2018</v>
      </c>
      <c r="K291" t="s">
        <v>1</v>
      </c>
      <c r="L291" t="s">
        <v>129</v>
      </c>
      <c r="M291">
        <v>76</v>
      </c>
      <c r="N291">
        <v>55</v>
      </c>
      <c r="O291">
        <v>212</v>
      </c>
      <c r="P291" t="s">
        <v>130</v>
      </c>
      <c r="Q291" t="s">
        <v>131</v>
      </c>
      <c r="R291" t="s">
        <v>132</v>
      </c>
      <c r="S291" t="s">
        <v>133</v>
      </c>
    </row>
    <row r="292" spans="1:19" x14ac:dyDescent="0.3">
      <c r="A292" s="11" t="str">
        <f t="shared" si="32"/>
        <v>Fanatic</v>
      </c>
      <c r="B292" s="11" t="str">
        <f t="shared" si="33"/>
        <v>Stubby Te 82</v>
      </c>
      <c r="C292" s="11">
        <f t="shared" si="34"/>
        <v>214</v>
      </c>
      <c r="D292" s="11">
        <f t="shared" si="35"/>
        <v>56</v>
      </c>
      <c r="E292" s="11">
        <f t="shared" si="36"/>
        <v>82</v>
      </c>
      <c r="F292" s="38" t="str">
        <f t="shared" si="37"/>
        <v>2018</v>
      </c>
      <c r="G292" s="11" t="str" cm="1">
        <f t="array" ref="G292">gssBoardClass(A292,B292,C292,D292,E292,F292)</f>
        <v>Wave / Freestyle</v>
      </c>
      <c r="H292" s="39" t="str">
        <f t="shared" si="38"/>
        <v>2018-Fa-Stu-82-56-214</v>
      </c>
      <c r="I292" s="42" t="str">
        <f t="shared" si="39"/>
        <v>2018</v>
      </c>
      <c r="J292" s="46">
        <v>2018</v>
      </c>
      <c r="K292" t="s">
        <v>1</v>
      </c>
      <c r="L292" t="s">
        <v>134</v>
      </c>
      <c r="M292">
        <v>82</v>
      </c>
      <c r="N292">
        <v>56</v>
      </c>
      <c r="O292">
        <v>214</v>
      </c>
      <c r="R292" t="s">
        <v>132</v>
      </c>
      <c r="S292" t="s">
        <v>135</v>
      </c>
    </row>
    <row r="293" spans="1:19" x14ac:dyDescent="0.3">
      <c r="A293" s="11" t="str">
        <f t="shared" si="32"/>
        <v>Fanatic</v>
      </c>
      <c r="B293" s="11" t="str">
        <f t="shared" si="33"/>
        <v>Stubby Te 89</v>
      </c>
      <c r="C293" s="11">
        <f t="shared" si="34"/>
        <v>215</v>
      </c>
      <c r="D293" s="11">
        <f t="shared" si="35"/>
        <v>57</v>
      </c>
      <c r="E293" s="11">
        <f t="shared" si="36"/>
        <v>89</v>
      </c>
      <c r="F293" s="38" t="str">
        <f t="shared" si="37"/>
        <v>2018</v>
      </c>
      <c r="G293" s="11" t="str" cm="1">
        <f t="array" ref="G293">gssBoardClass(A293,B293,C293,D293,E293,F293)</f>
        <v>Wave / Freestyle</v>
      </c>
      <c r="H293" s="39" t="str">
        <f t="shared" si="38"/>
        <v>2018-Fa-Stu-89-57-215</v>
      </c>
      <c r="I293" s="42" t="str">
        <f t="shared" si="39"/>
        <v>2018</v>
      </c>
      <c r="J293" s="46">
        <v>2018</v>
      </c>
      <c r="K293" t="s">
        <v>1</v>
      </c>
      <c r="L293" t="s">
        <v>136</v>
      </c>
      <c r="M293">
        <v>89</v>
      </c>
      <c r="N293">
        <v>57.5</v>
      </c>
      <c r="O293">
        <v>215</v>
      </c>
      <c r="R293" t="s">
        <v>137</v>
      </c>
      <c r="S293" t="s">
        <v>138</v>
      </c>
    </row>
    <row r="294" spans="1:19" x14ac:dyDescent="0.3">
      <c r="A294" s="11" t="str">
        <f t="shared" si="32"/>
        <v>Fanatic</v>
      </c>
      <c r="B294" s="11" t="str">
        <f t="shared" si="33"/>
        <v>Stubby Te 99</v>
      </c>
      <c r="C294" s="11">
        <f t="shared" si="34"/>
        <v>218</v>
      </c>
      <c r="D294" s="11">
        <f t="shared" si="35"/>
        <v>60</v>
      </c>
      <c r="E294" s="11">
        <f t="shared" si="36"/>
        <v>99</v>
      </c>
      <c r="F294" s="38" t="str">
        <f t="shared" si="37"/>
        <v>2018</v>
      </c>
      <c r="G294" s="11" t="str" cm="1">
        <f t="array" ref="G294">gssBoardClass(A294,B294,C294,D294,E294,F294)</f>
        <v>Wave / Freestyle</v>
      </c>
      <c r="H294" s="39" t="str">
        <f t="shared" si="38"/>
        <v>2018-Fa-Stu-99-60-218</v>
      </c>
      <c r="I294" s="42" t="str">
        <f t="shared" si="39"/>
        <v>2018</v>
      </c>
      <c r="J294" s="46">
        <v>2018</v>
      </c>
      <c r="K294" t="s">
        <v>1</v>
      </c>
      <c r="L294" t="s">
        <v>110</v>
      </c>
      <c r="M294">
        <v>99</v>
      </c>
      <c r="N294">
        <v>60</v>
      </c>
      <c r="O294">
        <v>218</v>
      </c>
      <c r="R294" t="s">
        <v>137</v>
      </c>
      <c r="S294" t="s">
        <v>139</v>
      </c>
    </row>
    <row r="295" spans="1:19" x14ac:dyDescent="0.3">
      <c r="A295" s="11" t="str">
        <f t="shared" si="32"/>
        <v>Fanatic</v>
      </c>
      <c r="B295" s="11" t="str">
        <f t="shared" si="33"/>
        <v>Tandem Air Premium</v>
      </c>
      <c r="C295" s="11">
        <f t="shared" si="34"/>
        <v>487</v>
      </c>
      <c r="D295" s="11">
        <f t="shared" si="35"/>
        <v>86</v>
      </c>
      <c r="E295" s="11">
        <f t="shared" si="36"/>
        <v>505</v>
      </c>
      <c r="F295" s="38" t="str">
        <f t="shared" si="37"/>
        <v>2018</v>
      </c>
      <c r="G295" s="11" t="str" cm="1">
        <f t="array" ref="G295">gssBoardClass(A295,B295,C295,D295,E295,F295)</f>
        <v>Special / Longboard</v>
      </c>
      <c r="H295" s="39" t="str">
        <f t="shared" si="38"/>
        <v>2018-Fa-Tan-505-86-487</v>
      </c>
      <c r="I295" s="42" t="str">
        <f t="shared" si="39"/>
        <v>2018</v>
      </c>
      <c r="J295" s="46">
        <v>2018</v>
      </c>
      <c r="K295" t="s">
        <v>1</v>
      </c>
      <c r="L295" t="s">
        <v>277</v>
      </c>
      <c r="M295">
        <v>505</v>
      </c>
      <c r="N295">
        <v>86.4</v>
      </c>
      <c r="O295">
        <v>487.6</v>
      </c>
      <c r="P295" t="s">
        <v>268</v>
      </c>
      <c r="Q295" t="s">
        <v>269</v>
      </c>
      <c r="R295" t="s">
        <v>278</v>
      </c>
      <c r="S295" t="s">
        <v>271</v>
      </c>
    </row>
    <row r="296" spans="1:19" x14ac:dyDescent="0.3">
      <c r="A296" s="11" t="str">
        <f t="shared" si="32"/>
        <v>Fanatic</v>
      </c>
      <c r="B296" s="11" t="str">
        <f t="shared" si="33"/>
        <v>Viper 75</v>
      </c>
      <c r="C296" s="11">
        <f t="shared" si="34"/>
        <v>275</v>
      </c>
      <c r="D296" s="11">
        <f t="shared" si="35"/>
        <v>75</v>
      </c>
      <c r="E296" s="11">
        <f t="shared" si="36"/>
        <v>160</v>
      </c>
      <c r="F296" s="38" t="str">
        <f t="shared" si="37"/>
        <v>2018</v>
      </c>
      <c r="G296" s="11" t="str" cm="1">
        <f t="array" ref="G296">gssBoardClass(A296,B296,C296,D296,E296,F296)</f>
        <v>Slalom Large</v>
      </c>
      <c r="H296" s="39" t="str">
        <f t="shared" si="38"/>
        <v>2018-Fa-Vip-160-75-275</v>
      </c>
      <c r="I296" s="42" t="str">
        <f t="shared" si="39"/>
        <v>2018</v>
      </c>
      <c r="J296" s="46">
        <v>2018</v>
      </c>
      <c r="K296" t="s">
        <v>1</v>
      </c>
      <c r="L296" t="s">
        <v>262</v>
      </c>
      <c r="M296">
        <v>160</v>
      </c>
      <c r="N296">
        <v>75</v>
      </c>
      <c r="O296">
        <v>275</v>
      </c>
      <c r="P296" t="s">
        <v>213</v>
      </c>
      <c r="Q296" t="s">
        <v>179</v>
      </c>
      <c r="R296" t="s">
        <v>263</v>
      </c>
      <c r="S296" t="s">
        <v>205</v>
      </c>
    </row>
    <row r="297" spans="1:19" x14ac:dyDescent="0.3">
      <c r="A297" s="11" t="str">
        <f t="shared" si="32"/>
        <v>Fanatic</v>
      </c>
      <c r="B297" s="11" t="str">
        <f t="shared" si="33"/>
        <v>Viper 80</v>
      </c>
      <c r="C297" s="11">
        <f t="shared" si="34"/>
        <v>280</v>
      </c>
      <c r="D297" s="11">
        <f t="shared" si="35"/>
        <v>80</v>
      </c>
      <c r="E297" s="11">
        <f t="shared" si="36"/>
        <v>190</v>
      </c>
      <c r="F297" s="38" t="str">
        <f t="shared" si="37"/>
        <v>2018</v>
      </c>
      <c r="G297" s="11" t="str" cm="1">
        <f t="array" ref="G297">gssBoardClass(A297,B297,C297,D297,E297,F297)</f>
        <v>Special / Longboard</v>
      </c>
      <c r="H297" s="39" t="str">
        <f t="shared" si="38"/>
        <v>2018-Fa-Vip-190-80-280</v>
      </c>
      <c r="I297" s="42" t="str">
        <f t="shared" si="39"/>
        <v>2018</v>
      </c>
      <c r="J297" s="46">
        <v>2018</v>
      </c>
      <c r="K297" t="s">
        <v>1</v>
      </c>
      <c r="L297" t="s">
        <v>264</v>
      </c>
      <c r="M297">
        <v>190</v>
      </c>
      <c r="N297">
        <v>80</v>
      </c>
      <c r="O297">
        <v>280</v>
      </c>
      <c r="P297" t="s">
        <v>153</v>
      </c>
      <c r="Q297" t="s">
        <v>153</v>
      </c>
      <c r="R297" t="s">
        <v>153</v>
      </c>
      <c r="S297" t="s">
        <v>153</v>
      </c>
    </row>
    <row r="298" spans="1:19" x14ac:dyDescent="0.3">
      <c r="A298" s="11" t="str">
        <f t="shared" si="32"/>
        <v>Fanatic</v>
      </c>
      <c r="B298" s="11" t="str">
        <f t="shared" si="33"/>
        <v>Viper 85</v>
      </c>
      <c r="C298" s="11">
        <f t="shared" si="34"/>
        <v>285</v>
      </c>
      <c r="D298" s="11">
        <f t="shared" si="35"/>
        <v>85</v>
      </c>
      <c r="E298" s="11">
        <f t="shared" si="36"/>
        <v>220</v>
      </c>
      <c r="F298" s="38" t="str">
        <f t="shared" si="37"/>
        <v>2018</v>
      </c>
      <c r="G298" s="11" t="str" cm="1">
        <f t="array" ref="G298">gssBoardClass(A298,B298,C298,D298,E298,F298)</f>
        <v>Special / Longboard</v>
      </c>
      <c r="H298" s="39" t="str">
        <f t="shared" si="38"/>
        <v>2018-Fa-Vip-220-85-285</v>
      </c>
      <c r="I298" s="42" t="str">
        <f t="shared" si="39"/>
        <v>2018</v>
      </c>
      <c r="J298" s="46">
        <v>2018</v>
      </c>
      <c r="K298" t="s">
        <v>1</v>
      </c>
      <c r="L298" t="s">
        <v>265</v>
      </c>
      <c r="M298">
        <v>220</v>
      </c>
      <c r="N298">
        <v>85</v>
      </c>
      <c r="O298">
        <v>285</v>
      </c>
      <c r="P298" t="s">
        <v>153</v>
      </c>
      <c r="Q298" t="s">
        <v>153</v>
      </c>
      <c r="R298" t="s">
        <v>153</v>
      </c>
      <c r="S298" t="s">
        <v>153</v>
      </c>
    </row>
    <row r="299" spans="1:19" x14ac:dyDescent="0.3">
      <c r="A299" s="11" t="str">
        <f t="shared" si="32"/>
        <v>Fanatic</v>
      </c>
      <c r="B299" s="11" t="str">
        <f t="shared" si="33"/>
        <v>Viper 91</v>
      </c>
      <c r="C299" s="11">
        <f t="shared" si="34"/>
        <v>290</v>
      </c>
      <c r="D299" s="11">
        <f t="shared" si="35"/>
        <v>91</v>
      </c>
      <c r="E299" s="11">
        <f t="shared" si="36"/>
        <v>240</v>
      </c>
      <c r="F299" s="38" t="str">
        <f t="shared" si="37"/>
        <v>2018</v>
      </c>
      <c r="G299" s="11" t="str" cm="1">
        <f t="array" ref="G299">gssBoardClass(A299,B299,C299,D299,E299,F299)</f>
        <v>Special / Longboard</v>
      </c>
      <c r="H299" s="39" t="str">
        <f t="shared" si="38"/>
        <v>2018-Fa-Vip-240-91-290</v>
      </c>
      <c r="I299" s="42" t="str">
        <f t="shared" si="39"/>
        <v>2018</v>
      </c>
      <c r="J299" s="46">
        <v>2018</v>
      </c>
      <c r="K299" t="s">
        <v>1</v>
      </c>
      <c r="L299" t="s">
        <v>266</v>
      </c>
      <c r="M299">
        <v>240</v>
      </c>
      <c r="N299">
        <v>91</v>
      </c>
      <c r="O299">
        <v>290</v>
      </c>
      <c r="P299" t="s">
        <v>153</v>
      </c>
      <c r="Q299" t="s">
        <v>153</v>
      </c>
      <c r="R299" t="s">
        <v>153</v>
      </c>
      <c r="S299" t="s">
        <v>153</v>
      </c>
    </row>
    <row r="300" spans="1:19" x14ac:dyDescent="0.3">
      <c r="A300" s="11" t="str">
        <f t="shared" si="32"/>
        <v>Fanatic</v>
      </c>
      <c r="B300" s="11" t="str">
        <f t="shared" si="33"/>
        <v>Viper Air Windsurf 355</v>
      </c>
      <c r="C300" s="11">
        <f t="shared" si="34"/>
        <v>335</v>
      </c>
      <c r="D300" s="11">
        <f t="shared" si="35"/>
        <v>85</v>
      </c>
      <c r="E300" s="11">
        <f t="shared" si="36"/>
        <v>355</v>
      </c>
      <c r="F300" s="38" t="str">
        <f t="shared" si="37"/>
        <v>2018</v>
      </c>
      <c r="G300" s="11" t="str" cm="1">
        <f t="array" ref="G300">gssBoardClass(A300,B300,C300,D300,E300,F300)</f>
        <v>Special / Longboard</v>
      </c>
      <c r="H300" s="39" t="str">
        <f t="shared" si="38"/>
        <v>2018-Fa-Vip-355-85-335</v>
      </c>
      <c r="I300" s="42" t="str">
        <f t="shared" si="39"/>
        <v>2018</v>
      </c>
      <c r="J300" s="46">
        <v>2018</v>
      </c>
      <c r="K300" t="s">
        <v>1</v>
      </c>
      <c r="L300" t="s">
        <v>267</v>
      </c>
      <c r="M300">
        <v>355</v>
      </c>
      <c r="N300">
        <v>85.1</v>
      </c>
      <c r="O300">
        <v>335.3</v>
      </c>
      <c r="P300" t="s">
        <v>268</v>
      </c>
      <c r="Q300" t="s">
        <v>269</v>
      </c>
      <c r="R300" t="s">
        <v>270</v>
      </c>
      <c r="S300" t="s">
        <v>271</v>
      </c>
    </row>
    <row r="301" spans="1:19" x14ac:dyDescent="0.3">
      <c r="A301" s="11" t="str">
        <f t="shared" si="32"/>
        <v>Fanatic</v>
      </c>
      <c r="B301" s="11" t="str">
        <f t="shared" si="33"/>
        <v>Viper Air Windsurf 355 Pure</v>
      </c>
      <c r="C301" s="11">
        <f t="shared" si="34"/>
        <v>335</v>
      </c>
      <c r="D301" s="11">
        <f t="shared" si="35"/>
        <v>85</v>
      </c>
      <c r="E301" s="11">
        <f t="shared" si="36"/>
        <v>355</v>
      </c>
      <c r="F301" s="38" t="str">
        <f t="shared" si="37"/>
        <v>2018</v>
      </c>
      <c r="G301" s="11" t="str" cm="1">
        <f t="array" ref="G301">gssBoardClass(A301,B301,C301,D301,E301,F301)</f>
        <v>Special / Longboard</v>
      </c>
      <c r="H301" s="39" t="str">
        <f t="shared" si="38"/>
        <v>2018-Fa-Vip-355-85-335</v>
      </c>
      <c r="I301" s="42" t="str">
        <f t="shared" si="39"/>
        <v>2018</v>
      </c>
      <c r="J301" s="46">
        <v>2018</v>
      </c>
      <c r="K301" t="s">
        <v>1</v>
      </c>
      <c r="L301" t="s">
        <v>272</v>
      </c>
      <c r="M301">
        <v>355</v>
      </c>
      <c r="N301">
        <v>85.1</v>
      </c>
      <c r="O301">
        <v>335.3</v>
      </c>
      <c r="P301" t="s">
        <v>273</v>
      </c>
      <c r="Q301" t="s">
        <v>269</v>
      </c>
      <c r="R301" t="s">
        <v>270</v>
      </c>
      <c r="S301" t="s">
        <v>271</v>
      </c>
    </row>
    <row r="302" spans="1:19" x14ac:dyDescent="0.3">
      <c r="A302" s="11" t="str">
        <f t="shared" si="32"/>
        <v>Fanatic</v>
      </c>
      <c r="B302" s="11" t="str">
        <f t="shared" si="33"/>
        <v>Blast Ltd</v>
      </c>
      <c r="C302" s="11">
        <f t="shared" si="34"/>
        <v>231</v>
      </c>
      <c r="D302" s="11">
        <f t="shared" si="35"/>
        <v>62</v>
      </c>
      <c r="E302" s="11">
        <f t="shared" si="36"/>
        <v>100</v>
      </c>
      <c r="F302" s="38" t="str">
        <f t="shared" si="37"/>
        <v>2020</v>
      </c>
      <c r="G302" s="11" t="str" cm="1">
        <f t="array" ref="G302">gssBoardClass(A302,B302,C302,D302,E302,F302)</f>
        <v>Speed/Slalom Small</v>
      </c>
      <c r="H302" s="39" t="str">
        <f t="shared" si="38"/>
        <v>2020-Fa-Bla-100-62-231</v>
      </c>
      <c r="I302" s="42" t="str">
        <f t="shared" si="39"/>
        <v>2020</v>
      </c>
      <c r="J302" s="46">
        <v>2020</v>
      </c>
      <c r="K302" t="s">
        <v>1</v>
      </c>
      <c r="L302" t="s">
        <v>667</v>
      </c>
      <c r="M302">
        <v>100</v>
      </c>
      <c r="N302">
        <v>62</v>
      </c>
      <c r="O302">
        <v>231</v>
      </c>
      <c r="P302" t="s">
        <v>709</v>
      </c>
      <c r="Q302" t="s">
        <v>283</v>
      </c>
      <c r="R302" t="s">
        <v>190</v>
      </c>
      <c r="S302" t="s">
        <v>233</v>
      </c>
    </row>
    <row r="303" spans="1:19" x14ac:dyDescent="0.3">
      <c r="A303" s="11" t="str">
        <f t="shared" si="32"/>
        <v>Fanatic</v>
      </c>
      <c r="B303" s="11" t="str">
        <f t="shared" si="33"/>
        <v>Blast Hrs</v>
      </c>
      <c r="C303" s="11">
        <f t="shared" si="34"/>
        <v>231</v>
      </c>
      <c r="D303" s="11">
        <f t="shared" si="35"/>
        <v>62</v>
      </c>
      <c r="E303" s="11">
        <f t="shared" si="36"/>
        <v>100</v>
      </c>
      <c r="F303" s="38" t="str">
        <f t="shared" si="37"/>
        <v>2020</v>
      </c>
      <c r="G303" s="11" t="str" cm="1">
        <f t="array" ref="G303">gssBoardClass(A303,B303,C303,D303,E303,F303)</f>
        <v>Speed/Slalom Small</v>
      </c>
      <c r="H303" s="39" t="str">
        <f t="shared" si="38"/>
        <v>2020-Fa-Bla-100-62-231</v>
      </c>
      <c r="I303" s="42" t="str">
        <f t="shared" si="39"/>
        <v>2020</v>
      </c>
      <c r="J303" s="46">
        <v>2020</v>
      </c>
      <c r="K303" t="s">
        <v>1</v>
      </c>
      <c r="L303" t="s">
        <v>670</v>
      </c>
      <c r="M303">
        <v>100</v>
      </c>
      <c r="N303">
        <v>62</v>
      </c>
      <c r="O303">
        <v>231</v>
      </c>
      <c r="P303" t="s">
        <v>592</v>
      </c>
      <c r="Q303" t="s">
        <v>283</v>
      </c>
      <c r="R303" t="s">
        <v>668</v>
      </c>
      <c r="S303" t="s">
        <v>233</v>
      </c>
    </row>
    <row r="304" spans="1:19" x14ac:dyDescent="0.3">
      <c r="A304" s="11" t="str">
        <f t="shared" si="32"/>
        <v>Fanatic</v>
      </c>
      <c r="B304" s="11" t="str">
        <f t="shared" si="33"/>
        <v>Blast Ltd</v>
      </c>
      <c r="C304" s="11">
        <f t="shared" si="34"/>
        <v>232</v>
      </c>
      <c r="D304" s="11">
        <f t="shared" si="35"/>
        <v>66</v>
      </c>
      <c r="E304" s="11">
        <f t="shared" si="36"/>
        <v>115</v>
      </c>
      <c r="F304" s="38" t="str">
        <f t="shared" si="37"/>
        <v>2020</v>
      </c>
      <c r="G304" s="11" t="str" cm="1">
        <f t="array" ref="G304">gssBoardClass(A304,B304,C304,D304,E304,F304)</f>
        <v>Slalom Medium</v>
      </c>
      <c r="H304" s="39" t="str">
        <f t="shared" si="38"/>
        <v>2020-Fa-Bla-115-66-232</v>
      </c>
      <c r="I304" s="42" t="str">
        <f t="shared" si="39"/>
        <v>2020</v>
      </c>
      <c r="J304" s="46">
        <v>2020</v>
      </c>
      <c r="K304" t="s">
        <v>1</v>
      </c>
      <c r="L304" t="s">
        <v>667</v>
      </c>
      <c r="M304">
        <v>115</v>
      </c>
      <c r="N304">
        <v>66</v>
      </c>
      <c r="O304">
        <v>232</v>
      </c>
      <c r="P304" t="s">
        <v>709</v>
      </c>
      <c r="Q304" t="s">
        <v>283</v>
      </c>
      <c r="R304" t="s">
        <v>195</v>
      </c>
      <c r="S304" t="s">
        <v>235</v>
      </c>
    </row>
    <row r="305" spans="1:19" x14ac:dyDescent="0.3">
      <c r="A305" s="11" t="str">
        <f t="shared" si="32"/>
        <v>Fanatic</v>
      </c>
      <c r="B305" s="11" t="str">
        <f t="shared" si="33"/>
        <v>Blast Hrs</v>
      </c>
      <c r="C305" s="11">
        <f t="shared" si="34"/>
        <v>232</v>
      </c>
      <c r="D305" s="11">
        <f t="shared" si="35"/>
        <v>66</v>
      </c>
      <c r="E305" s="11">
        <f t="shared" si="36"/>
        <v>115</v>
      </c>
      <c r="F305" s="38" t="str">
        <f t="shared" si="37"/>
        <v>2020</v>
      </c>
      <c r="G305" s="11" t="str" cm="1">
        <f t="array" ref="G305">gssBoardClass(A305,B305,C305,D305,E305,F305)</f>
        <v>Slalom Medium</v>
      </c>
      <c r="H305" s="39" t="str">
        <f t="shared" si="38"/>
        <v>2020-Fa-Bla-115-66-232</v>
      </c>
      <c r="I305" s="42" t="str">
        <f t="shared" si="39"/>
        <v>2020</v>
      </c>
      <c r="J305" s="46">
        <v>2020</v>
      </c>
      <c r="K305" t="s">
        <v>1</v>
      </c>
      <c r="L305" t="s">
        <v>670</v>
      </c>
      <c r="M305">
        <v>115</v>
      </c>
      <c r="N305">
        <v>66</v>
      </c>
      <c r="O305">
        <v>232</v>
      </c>
      <c r="P305" t="s">
        <v>592</v>
      </c>
      <c r="Q305" t="s">
        <v>283</v>
      </c>
      <c r="R305" t="s">
        <v>669</v>
      </c>
      <c r="S305" t="s">
        <v>235</v>
      </c>
    </row>
    <row r="306" spans="1:19" x14ac:dyDescent="0.3">
      <c r="A306" s="11" t="str">
        <f t="shared" si="32"/>
        <v>Fanatic</v>
      </c>
      <c r="B306" s="11" t="str">
        <f t="shared" si="33"/>
        <v>Blast Ltd</v>
      </c>
      <c r="C306" s="11">
        <f t="shared" si="34"/>
        <v>233</v>
      </c>
      <c r="D306" s="11">
        <f t="shared" si="35"/>
        <v>70</v>
      </c>
      <c r="E306" s="11">
        <f t="shared" si="36"/>
        <v>130</v>
      </c>
      <c r="F306" s="38" t="str">
        <f t="shared" si="37"/>
        <v>2020</v>
      </c>
      <c r="G306" s="11" t="str" cm="1">
        <f t="array" ref="G306">gssBoardClass(A306,B306,C306,D306,E306,F306)</f>
        <v>Slalom Medium</v>
      </c>
      <c r="H306" s="39" t="str">
        <f t="shared" si="38"/>
        <v>2020-Fa-Bla-130-70-233</v>
      </c>
      <c r="I306" s="42" t="str">
        <f t="shared" si="39"/>
        <v>2020</v>
      </c>
      <c r="J306" s="46">
        <v>2020</v>
      </c>
      <c r="K306" t="s">
        <v>1</v>
      </c>
      <c r="L306" t="s">
        <v>667</v>
      </c>
      <c r="M306">
        <v>130</v>
      </c>
      <c r="N306">
        <v>70</v>
      </c>
      <c r="O306">
        <v>233</v>
      </c>
      <c r="P306" t="s">
        <v>709</v>
      </c>
      <c r="Q306" t="s">
        <v>153</v>
      </c>
      <c r="R306" t="s">
        <v>201</v>
      </c>
      <c r="S306" t="s">
        <v>199</v>
      </c>
    </row>
    <row r="307" spans="1:19" x14ac:dyDescent="0.3">
      <c r="A307" s="11" t="str">
        <f t="shared" si="32"/>
        <v>Fanatic</v>
      </c>
      <c r="B307" s="11" t="str">
        <f t="shared" si="33"/>
        <v>Blast Hrs</v>
      </c>
      <c r="C307" s="11">
        <f t="shared" si="34"/>
        <v>233</v>
      </c>
      <c r="D307" s="11">
        <f t="shared" si="35"/>
        <v>70</v>
      </c>
      <c r="E307" s="11">
        <f t="shared" si="36"/>
        <v>130</v>
      </c>
      <c r="F307" s="38" t="str">
        <f t="shared" si="37"/>
        <v>2020</v>
      </c>
      <c r="G307" s="11" t="str" cm="1">
        <f t="array" ref="G307">gssBoardClass(A307,B307,C307,D307,E307,F307)</f>
        <v>Slalom Medium</v>
      </c>
      <c r="H307" s="39" t="str">
        <f t="shared" si="38"/>
        <v>2020-Fa-Bla-130-70-233</v>
      </c>
      <c r="I307" s="42" t="str">
        <f t="shared" si="39"/>
        <v>2020</v>
      </c>
      <c r="J307" s="46">
        <v>2020</v>
      </c>
      <c r="K307" t="s">
        <v>1</v>
      </c>
      <c r="L307" t="s">
        <v>670</v>
      </c>
      <c r="M307">
        <v>130</v>
      </c>
      <c r="N307">
        <v>70</v>
      </c>
      <c r="O307">
        <v>233</v>
      </c>
      <c r="P307" t="s">
        <v>592</v>
      </c>
      <c r="Q307" t="s">
        <v>283</v>
      </c>
      <c r="R307" t="s">
        <v>671</v>
      </c>
      <c r="S307" t="s">
        <v>199</v>
      </c>
    </row>
    <row r="308" spans="1:19" x14ac:dyDescent="0.3">
      <c r="A308" s="11" t="str">
        <f t="shared" si="32"/>
        <v>Fanatic</v>
      </c>
      <c r="B308" s="11" t="str">
        <f t="shared" si="33"/>
        <v>Blast Ltd</v>
      </c>
      <c r="C308" s="11">
        <f t="shared" si="34"/>
        <v>235</v>
      </c>
      <c r="D308" s="11">
        <f t="shared" si="35"/>
        <v>77</v>
      </c>
      <c r="E308" s="11">
        <f t="shared" si="36"/>
        <v>145</v>
      </c>
      <c r="F308" s="38" t="str">
        <f t="shared" si="37"/>
        <v>2020</v>
      </c>
      <c r="G308" s="11" t="str" cm="1">
        <f t="array" ref="G308">gssBoardClass(A308,B308,C308,D308,E308,F308)</f>
        <v>Slalom Large</v>
      </c>
      <c r="H308" s="39" t="str">
        <f t="shared" si="38"/>
        <v>2020-Fa-Bla-145-77-235</v>
      </c>
      <c r="I308" s="42" t="str">
        <f t="shared" si="39"/>
        <v>2020</v>
      </c>
      <c r="J308" s="46">
        <v>2020</v>
      </c>
      <c r="K308" t="s">
        <v>1</v>
      </c>
      <c r="L308" t="s">
        <v>667</v>
      </c>
      <c r="M308">
        <v>145</v>
      </c>
      <c r="N308">
        <v>77</v>
      </c>
      <c r="O308">
        <v>235</v>
      </c>
      <c r="P308" t="s">
        <v>709</v>
      </c>
      <c r="Q308" t="s">
        <v>153</v>
      </c>
      <c r="R308" t="s">
        <v>209</v>
      </c>
      <c r="S308" t="s">
        <v>238</v>
      </c>
    </row>
    <row r="309" spans="1:19" x14ac:dyDescent="0.3">
      <c r="A309" s="11" t="str">
        <f t="shared" si="32"/>
        <v>Fanatic</v>
      </c>
      <c r="B309" s="11" t="str">
        <f t="shared" si="33"/>
        <v>Blast Hrs</v>
      </c>
      <c r="C309" s="11">
        <f t="shared" si="34"/>
        <v>235</v>
      </c>
      <c r="D309" s="11">
        <f t="shared" si="35"/>
        <v>77</v>
      </c>
      <c r="E309" s="11">
        <f t="shared" si="36"/>
        <v>145</v>
      </c>
      <c r="F309" s="38" t="str">
        <f t="shared" si="37"/>
        <v>2020</v>
      </c>
      <c r="G309" s="11" t="str" cm="1">
        <f t="array" ref="G309">gssBoardClass(A309,B309,C309,D309,E309,F309)</f>
        <v>Slalom Large</v>
      </c>
      <c r="H309" s="39" t="str">
        <f t="shared" si="38"/>
        <v>2020-Fa-Bla-145-77-235</v>
      </c>
      <c r="I309" s="42" t="str">
        <f t="shared" si="39"/>
        <v>2020</v>
      </c>
      <c r="J309" s="46">
        <v>2020</v>
      </c>
      <c r="K309" t="s">
        <v>1</v>
      </c>
      <c r="L309" t="s">
        <v>670</v>
      </c>
      <c r="M309">
        <v>145</v>
      </c>
      <c r="N309">
        <v>77</v>
      </c>
      <c r="O309">
        <v>235</v>
      </c>
      <c r="P309" t="s">
        <v>592</v>
      </c>
      <c r="Q309" t="s">
        <v>283</v>
      </c>
      <c r="R309" t="s">
        <v>672</v>
      </c>
      <c r="S309" t="s">
        <v>238</v>
      </c>
    </row>
    <row r="310" spans="1:19" x14ac:dyDescent="0.3">
      <c r="A310" s="11" t="str">
        <f t="shared" si="32"/>
        <v>Fanatic</v>
      </c>
      <c r="B310" s="11" t="str">
        <f t="shared" si="33"/>
        <v>Falcon Slalom Te</v>
      </c>
      <c r="C310" s="11">
        <f t="shared" si="34"/>
        <v>235</v>
      </c>
      <c r="D310" s="11">
        <f t="shared" si="35"/>
        <v>68</v>
      </c>
      <c r="E310" s="11">
        <f t="shared" si="36"/>
        <v>106</v>
      </c>
      <c r="F310" s="38" t="str">
        <f t="shared" si="37"/>
        <v>2020</v>
      </c>
      <c r="G310" s="11" t="str" cm="1">
        <f t="array" ref="G310">gssBoardClass(A310,B310,C310,D310,E310,F310)</f>
        <v>Slalom Medium</v>
      </c>
      <c r="H310" s="39" t="str">
        <f t="shared" si="38"/>
        <v>2020-Fa-Fal-106-68-235</v>
      </c>
      <c r="I310" s="42" t="str">
        <f t="shared" si="39"/>
        <v>2020</v>
      </c>
      <c r="J310" s="46">
        <v>2020</v>
      </c>
      <c r="K310" t="s">
        <v>1</v>
      </c>
      <c r="L310" t="s">
        <v>691</v>
      </c>
      <c r="M310">
        <v>106</v>
      </c>
      <c r="N310">
        <v>68</v>
      </c>
      <c r="O310">
        <v>235</v>
      </c>
      <c r="P310" t="s">
        <v>692</v>
      </c>
      <c r="Q310" t="s">
        <v>250</v>
      </c>
      <c r="R310" t="s">
        <v>246</v>
      </c>
      <c r="S310" t="s">
        <v>235</v>
      </c>
    </row>
    <row r="311" spans="1:19" x14ac:dyDescent="0.3">
      <c r="A311" s="11" t="str">
        <f t="shared" si="32"/>
        <v>Fanatic</v>
      </c>
      <c r="B311" s="11" t="str">
        <f t="shared" si="33"/>
        <v>Falcon Slalom Te</v>
      </c>
      <c r="C311" s="11">
        <f t="shared" si="34"/>
        <v>230</v>
      </c>
      <c r="D311" s="11">
        <f t="shared" si="35"/>
        <v>71</v>
      </c>
      <c r="E311" s="11">
        <f t="shared" si="36"/>
        <v>115</v>
      </c>
      <c r="F311" s="38" t="str">
        <f t="shared" si="37"/>
        <v>2020</v>
      </c>
      <c r="G311" s="11" t="str" cm="1">
        <f t="array" ref="G311">gssBoardClass(A311,B311,C311,D311,E311,F311)</f>
        <v>Slalom Medium</v>
      </c>
      <c r="H311" s="39" t="str">
        <f t="shared" si="38"/>
        <v>2020-Fa-Fal-115-71-230</v>
      </c>
      <c r="I311" s="42" t="str">
        <f t="shared" si="39"/>
        <v>2020</v>
      </c>
      <c r="J311" s="46">
        <v>2020</v>
      </c>
      <c r="K311" t="s">
        <v>1</v>
      </c>
      <c r="L311" t="s">
        <v>691</v>
      </c>
      <c r="M311">
        <v>115</v>
      </c>
      <c r="N311">
        <v>71.5</v>
      </c>
      <c r="O311">
        <v>230</v>
      </c>
      <c r="P311" t="s">
        <v>692</v>
      </c>
      <c r="Q311" t="s">
        <v>250</v>
      </c>
      <c r="R311" t="s">
        <v>246</v>
      </c>
      <c r="S311" t="s">
        <v>251</v>
      </c>
    </row>
    <row r="312" spans="1:19" x14ac:dyDescent="0.3">
      <c r="A312" s="11" t="str">
        <f t="shared" si="32"/>
        <v>Fanatic</v>
      </c>
      <c r="B312" s="11" t="str">
        <f t="shared" si="33"/>
        <v>Falcon Slalom Te</v>
      </c>
      <c r="C312" s="11">
        <f t="shared" si="34"/>
        <v>230</v>
      </c>
      <c r="D312" s="11">
        <f t="shared" si="35"/>
        <v>75</v>
      </c>
      <c r="E312" s="11">
        <f t="shared" si="36"/>
        <v>121</v>
      </c>
      <c r="F312" s="38" t="str">
        <f t="shared" si="37"/>
        <v>2020</v>
      </c>
      <c r="G312" s="11" t="str" cm="1">
        <f t="array" ref="G312">gssBoardClass(A312,B312,C312,D312,E312,F312)</f>
        <v>Slalom Large</v>
      </c>
      <c r="H312" s="39" t="str">
        <f t="shared" si="38"/>
        <v>2020-Fa-Fal-121-75-230</v>
      </c>
      <c r="I312" s="42" t="str">
        <f t="shared" si="39"/>
        <v>2020</v>
      </c>
      <c r="J312" s="46">
        <v>2020</v>
      </c>
      <c r="K312" t="s">
        <v>1</v>
      </c>
      <c r="L312" t="s">
        <v>691</v>
      </c>
      <c r="M312">
        <v>121</v>
      </c>
      <c r="N312">
        <v>75</v>
      </c>
      <c r="O312">
        <v>230</v>
      </c>
      <c r="P312" t="s">
        <v>692</v>
      </c>
      <c r="Q312" t="s">
        <v>250</v>
      </c>
      <c r="R312" t="s">
        <v>246</v>
      </c>
      <c r="S312" t="s">
        <v>252</v>
      </c>
    </row>
    <row r="313" spans="1:19" x14ac:dyDescent="0.3">
      <c r="A313" s="11" t="str">
        <f t="shared" si="32"/>
        <v>Fanatic</v>
      </c>
      <c r="B313" s="11" t="str">
        <f t="shared" si="33"/>
        <v>Falcon Slalom Te</v>
      </c>
      <c r="C313" s="11">
        <f t="shared" si="34"/>
        <v>228</v>
      </c>
      <c r="D313" s="11">
        <f t="shared" si="35"/>
        <v>80</v>
      </c>
      <c r="E313" s="11">
        <f t="shared" si="36"/>
        <v>130</v>
      </c>
      <c r="F313" s="38" t="str">
        <f t="shared" si="37"/>
        <v>2020</v>
      </c>
      <c r="G313" s="11" t="str" cm="1">
        <f t="array" ref="G313">gssBoardClass(A313,B313,C313,D313,E313,F313)</f>
        <v>Slalom Large</v>
      </c>
      <c r="H313" s="39" t="str">
        <f t="shared" si="38"/>
        <v>2020-Fa-Fal-130-80-228</v>
      </c>
      <c r="I313" s="42" t="str">
        <f t="shared" si="39"/>
        <v>2020</v>
      </c>
      <c r="J313" s="46">
        <v>2020</v>
      </c>
      <c r="K313" t="s">
        <v>1</v>
      </c>
      <c r="L313" t="s">
        <v>691</v>
      </c>
      <c r="M313">
        <v>130</v>
      </c>
      <c r="N313">
        <v>80</v>
      </c>
      <c r="O313">
        <v>228</v>
      </c>
      <c r="P313" t="s">
        <v>692</v>
      </c>
      <c r="Q313" t="s">
        <v>283</v>
      </c>
      <c r="R313" t="s">
        <v>246</v>
      </c>
      <c r="S313" t="s">
        <v>202</v>
      </c>
    </row>
    <row r="314" spans="1:19" x14ac:dyDescent="0.3">
      <c r="A314" s="11" t="str">
        <f t="shared" si="32"/>
        <v>Fanatic</v>
      </c>
      <c r="B314" s="11" t="str">
        <f t="shared" si="33"/>
        <v>Falcon Slalom Te</v>
      </c>
      <c r="C314" s="11">
        <f t="shared" si="34"/>
        <v>228</v>
      </c>
      <c r="D314" s="11">
        <f t="shared" si="35"/>
        <v>85</v>
      </c>
      <c r="E314" s="11">
        <f t="shared" si="36"/>
        <v>140</v>
      </c>
      <c r="F314" s="38" t="str">
        <f t="shared" si="37"/>
        <v>2020</v>
      </c>
      <c r="G314" s="11" t="str" cm="1">
        <f t="array" ref="G314">gssBoardClass(A314,B314,C314,D314,E314,F314)</f>
        <v>Slalom Large</v>
      </c>
      <c r="H314" s="39" t="str">
        <f t="shared" si="38"/>
        <v>2020-Fa-Fal-140-85-228</v>
      </c>
      <c r="I314" s="42" t="str">
        <f t="shared" si="39"/>
        <v>2020</v>
      </c>
      <c r="J314" s="46">
        <v>2020</v>
      </c>
      <c r="K314" t="s">
        <v>1</v>
      </c>
      <c r="L314" t="s">
        <v>691</v>
      </c>
      <c r="M314">
        <v>140</v>
      </c>
      <c r="N314">
        <v>85</v>
      </c>
      <c r="O314">
        <v>228</v>
      </c>
      <c r="P314" t="s">
        <v>692</v>
      </c>
      <c r="Q314" t="s">
        <v>283</v>
      </c>
      <c r="R314" t="s">
        <v>246</v>
      </c>
      <c r="S314" t="s">
        <v>205</v>
      </c>
    </row>
    <row r="315" spans="1:19" x14ac:dyDescent="0.3">
      <c r="A315" s="11" t="str">
        <f t="shared" si="32"/>
        <v>Fanatic</v>
      </c>
      <c r="B315" s="11" t="str">
        <f t="shared" si="33"/>
        <v>Falcon Lightwind</v>
      </c>
      <c r="C315" s="11">
        <f t="shared" si="34"/>
        <v>230</v>
      </c>
      <c r="D315" s="11">
        <f t="shared" si="35"/>
        <v>90</v>
      </c>
      <c r="E315" s="11">
        <f t="shared" si="36"/>
        <v>159</v>
      </c>
      <c r="F315" s="38" t="str">
        <f t="shared" si="37"/>
        <v>2020</v>
      </c>
      <c r="G315" s="11" t="str" cm="1">
        <f t="array" ref="G315">gssBoardClass(A315,B315,C315,D315,E315,F315)</f>
        <v>Slalom Xtra Large</v>
      </c>
      <c r="H315" s="39" t="str">
        <f t="shared" si="38"/>
        <v>2020-Fa-Fal-159-90-230</v>
      </c>
      <c r="I315" s="42" t="str">
        <f t="shared" si="39"/>
        <v>2020</v>
      </c>
      <c r="J315" s="46">
        <v>2020</v>
      </c>
      <c r="K315" t="s">
        <v>1</v>
      </c>
      <c r="L315" t="s">
        <v>40</v>
      </c>
      <c r="M315">
        <v>159</v>
      </c>
      <c r="N315">
        <v>90</v>
      </c>
      <c r="O315">
        <v>230</v>
      </c>
      <c r="P315" t="s">
        <v>640</v>
      </c>
      <c r="Q315" t="s">
        <v>283</v>
      </c>
      <c r="R315" t="s">
        <v>693</v>
      </c>
      <c r="S315" t="s">
        <v>227</v>
      </c>
    </row>
    <row r="316" spans="1:19" x14ac:dyDescent="0.3">
      <c r="A316" s="11" t="str">
        <f t="shared" si="32"/>
        <v>Fanatic</v>
      </c>
      <c r="B316" s="11" t="str">
        <f t="shared" si="33"/>
        <v>Falcon Foil</v>
      </c>
      <c r="C316" s="11">
        <f t="shared" si="34"/>
        <v>230</v>
      </c>
      <c r="D316" s="11">
        <f t="shared" si="35"/>
        <v>91</v>
      </c>
      <c r="E316" s="11">
        <f t="shared" si="36"/>
        <v>180</v>
      </c>
      <c r="F316" s="38" t="str">
        <f t="shared" si="37"/>
        <v>2020</v>
      </c>
      <c r="G316" s="11" t="str" cm="1">
        <f t="array" ref="G316">gssBoardClass(A316,B316,C316,D316,E316,F316)</f>
        <v>Foilboard</v>
      </c>
      <c r="H316" s="39" t="str">
        <f t="shared" si="38"/>
        <v>2020-Fa-Fal-180-91-230</v>
      </c>
      <c r="I316" s="42" t="str">
        <f t="shared" si="39"/>
        <v>2020</v>
      </c>
      <c r="J316" s="46">
        <v>2020</v>
      </c>
      <c r="K316" t="s">
        <v>1</v>
      </c>
      <c r="L316" t="s">
        <v>698</v>
      </c>
      <c r="M316">
        <v>180</v>
      </c>
      <c r="N316">
        <v>91</v>
      </c>
      <c r="O316">
        <v>230</v>
      </c>
      <c r="P316" t="s">
        <v>690</v>
      </c>
      <c r="Q316" t="s">
        <v>283</v>
      </c>
      <c r="R316" t="s">
        <v>246</v>
      </c>
      <c r="S316" t="s">
        <v>227</v>
      </c>
    </row>
    <row r="317" spans="1:19" x14ac:dyDescent="0.3">
      <c r="A317" s="11" t="str">
        <f t="shared" si="32"/>
        <v>Fanatic</v>
      </c>
      <c r="B317" s="11" t="str">
        <f t="shared" si="33"/>
        <v>Falcon Speed Te</v>
      </c>
      <c r="C317" s="11">
        <f t="shared" si="34"/>
        <v>230</v>
      </c>
      <c r="D317" s="11">
        <f t="shared" si="35"/>
        <v>44</v>
      </c>
      <c r="E317" s="11">
        <f t="shared" si="36"/>
        <v>54</v>
      </c>
      <c r="F317" s="38" t="str">
        <f t="shared" si="37"/>
        <v>2020</v>
      </c>
      <c r="G317" s="11" t="str" cm="1">
        <f t="array" ref="G317">gssBoardClass(A317,B317,C317,D317,E317,F317)</f>
        <v>Speedboard</v>
      </c>
      <c r="H317" s="39" t="str">
        <f t="shared" si="38"/>
        <v>2020-Fa-Fal-54-44-230</v>
      </c>
      <c r="I317" s="42" t="str">
        <f t="shared" si="39"/>
        <v>2020</v>
      </c>
      <c r="J317" s="46">
        <v>2020</v>
      </c>
      <c r="K317" t="s">
        <v>1</v>
      </c>
      <c r="L317" t="s">
        <v>694</v>
      </c>
      <c r="M317">
        <v>54</v>
      </c>
      <c r="N317">
        <v>44</v>
      </c>
      <c r="O317">
        <v>230</v>
      </c>
      <c r="P317" t="s">
        <v>690</v>
      </c>
      <c r="Q317" t="s">
        <v>245</v>
      </c>
      <c r="R317" t="s">
        <v>246</v>
      </c>
      <c r="S317" t="s">
        <v>139</v>
      </c>
    </row>
    <row r="318" spans="1:19" x14ac:dyDescent="0.3">
      <c r="A318" s="11" t="str">
        <f t="shared" si="32"/>
        <v>Fanatic</v>
      </c>
      <c r="B318" s="11" t="str">
        <f t="shared" si="33"/>
        <v>Falcon Speed Te</v>
      </c>
      <c r="C318" s="11">
        <f t="shared" si="34"/>
        <v>230</v>
      </c>
      <c r="D318" s="11">
        <f t="shared" si="35"/>
        <v>52</v>
      </c>
      <c r="E318" s="11">
        <f t="shared" si="36"/>
        <v>70</v>
      </c>
      <c r="F318" s="38" t="str">
        <f t="shared" si="37"/>
        <v>2020</v>
      </c>
      <c r="G318" s="11" t="str" cm="1">
        <f t="array" ref="G318">gssBoardClass(A318,B318,C318,D318,E318,F318)</f>
        <v>Speed/Slalom Xtra Small</v>
      </c>
      <c r="H318" s="39" t="str">
        <f t="shared" si="38"/>
        <v>2020-Fa-Fal-70-52-230</v>
      </c>
      <c r="I318" s="42" t="str">
        <f t="shared" si="39"/>
        <v>2020</v>
      </c>
      <c r="J318" s="46">
        <v>2020</v>
      </c>
      <c r="K318" t="s">
        <v>1</v>
      </c>
      <c r="L318" t="s">
        <v>694</v>
      </c>
      <c r="M318">
        <v>70</v>
      </c>
      <c r="N318">
        <v>52.5</v>
      </c>
      <c r="O318">
        <v>230</v>
      </c>
      <c r="P318" t="s">
        <v>690</v>
      </c>
      <c r="Q318" t="s">
        <v>245</v>
      </c>
      <c r="R318" t="s">
        <v>246</v>
      </c>
      <c r="S318" t="s">
        <v>257</v>
      </c>
    </row>
    <row r="319" spans="1:19" x14ac:dyDescent="0.3">
      <c r="A319" s="11" t="str">
        <f t="shared" si="32"/>
        <v>Fanatic</v>
      </c>
      <c r="B319" s="11" t="str">
        <f t="shared" si="33"/>
        <v>Falcon Slalom Te</v>
      </c>
      <c r="C319" s="11">
        <f t="shared" si="34"/>
        <v>233</v>
      </c>
      <c r="D319" s="11">
        <f t="shared" si="35"/>
        <v>56</v>
      </c>
      <c r="E319" s="11">
        <f t="shared" si="36"/>
        <v>80</v>
      </c>
      <c r="F319" s="38" t="str">
        <f t="shared" si="37"/>
        <v>2020</v>
      </c>
      <c r="G319" s="11" t="str" cm="1">
        <f t="array" ref="G319">gssBoardClass(A319,B319,C319,D319,E319,F319)</f>
        <v>Speed/Slalom Xtra Small</v>
      </c>
      <c r="H319" s="39" t="str">
        <f t="shared" si="38"/>
        <v>2020-Fa-Fal-80-56-233</v>
      </c>
      <c r="I319" s="42" t="str">
        <f t="shared" si="39"/>
        <v>2020</v>
      </c>
      <c r="J319" s="46">
        <v>2020</v>
      </c>
      <c r="K319" t="s">
        <v>1</v>
      </c>
      <c r="L319" t="s">
        <v>691</v>
      </c>
      <c r="M319">
        <v>80</v>
      </c>
      <c r="N319">
        <v>56</v>
      </c>
      <c r="O319">
        <v>233</v>
      </c>
      <c r="P319" t="s">
        <v>690</v>
      </c>
      <c r="Q319" t="s">
        <v>245</v>
      </c>
      <c r="R319" t="s">
        <v>246</v>
      </c>
      <c r="S319" t="s">
        <v>166</v>
      </c>
    </row>
    <row r="320" spans="1:19" x14ac:dyDescent="0.3">
      <c r="A320" s="11" t="str">
        <f t="shared" si="32"/>
        <v>Fanatic</v>
      </c>
      <c r="B320" s="11" t="str">
        <f t="shared" si="33"/>
        <v>Falcon Slalom Te</v>
      </c>
      <c r="C320" s="11">
        <f t="shared" si="34"/>
        <v>233</v>
      </c>
      <c r="D320" s="11">
        <f t="shared" si="35"/>
        <v>60</v>
      </c>
      <c r="E320" s="11">
        <f t="shared" si="36"/>
        <v>90</v>
      </c>
      <c r="F320" s="38" t="str">
        <f t="shared" si="37"/>
        <v>2020</v>
      </c>
      <c r="G320" s="11" t="str" cm="1">
        <f t="array" ref="G320">gssBoardClass(A320,B320,C320,D320,E320,F320)</f>
        <v>Speed/Slalom Xtra Small</v>
      </c>
      <c r="H320" s="39" t="str">
        <f t="shared" si="38"/>
        <v>2020-Fa-Fal-90-60-233</v>
      </c>
      <c r="I320" s="42" t="str">
        <f t="shared" si="39"/>
        <v>2020</v>
      </c>
      <c r="J320" s="46">
        <v>2020</v>
      </c>
      <c r="K320" t="s">
        <v>1</v>
      </c>
      <c r="L320" t="s">
        <v>691</v>
      </c>
      <c r="M320">
        <v>90</v>
      </c>
      <c r="N320">
        <v>60</v>
      </c>
      <c r="O320">
        <v>233</v>
      </c>
      <c r="P320" t="s">
        <v>690</v>
      </c>
      <c r="Q320" t="s">
        <v>245</v>
      </c>
      <c r="R320" t="s">
        <v>246</v>
      </c>
      <c r="S320" t="s">
        <v>233</v>
      </c>
    </row>
    <row r="321" spans="1:19" x14ac:dyDescent="0.3">
      <c r="A321" s="11" t="str">
        <f t="shared" si="32"/>
        <v>Fanatic</v>
      </c>
      <c r="B321" s="11" t="str">
        <f t="shared" si="33"/>
        <v>Falcon Slalom Te</v>
      </c>
      <c r="C321" s="11">
        <f t="shared" si="34"/>
        <v>233</v>
      </c>
      <c r="D321" s="11">
        <f t="shared" si="35"/>
        <v>62</v>
      </c>
      <c r="E321" s="11">
        <f t="shared" si="36"/>
        <v>97</v>
      </c>
      <c r="F321" s="38" t="str">
        <f t="shared" si="37"/>
        <v>2020</v>
      </c>
      <c r="G321" s="11" t="str" cm="1">
        <f t="array" ref="G321">gssBoardClass(A321,B321,C321,D321,E321,F321)</f>
        <v>Speed/Slalom Small</v>
      </c>
      <c r="H321" s="39" t="str">
        <f t="shared" si="38"/>
        <v>2020-Fa-Fal-97-62-233</v>
      </c>
      <c r="I321" s="42" t="str">
        <f t="shared" si="39"/>
        <v>2020</v>
      </c>
      <c r="J321" s="46">
        <v>2020</v>
      </c>
      <c r="K321" t="s">
        <v>1</v>
      </c>
      <c r="L321" t="s">
        <v>691</v>
      </c>
      <c r="M321">
        <v>97</v>
      </c>
      <c r="N321">
        <v>62</v>
      </c>
      <c r="O321">
        <v>233</v>
      </c>
      <c r="P321" t="s">
        <v>690</v>
      </c>
      <c r="Q321" t="s">
        <v>245</v>
      </c>
      <c r="R321" t="s">
        <v>246</v>
      </c>
      <c r="S321" t="s">
        <v>247</v>
      </c>
    </row>
    <row r="322" spans="1:19" x14ac:dyDescent="0.3">
      <c r="A322" s="11" t="str">
        <f t="shared" ref="A322:A385" si="40">PROPER(K322)</f>
        <v>Fanatic</v>
      </c>
      <c r="B322" s="11" t="str">
        <f t="shared" ref="B322:B385" si="41">TRIM(PROPER(LEFT(L322,IFERROR(FIND(" ",L322),99))&amp;MID(L322,IFERROR(FIND(" ",L322),99),99)))</f>
        <v>Freewave Txtr</v>
      </c>
      <c r="C322" s="11">
        <f t="shared" ref="C322:C385" si="42">TRUNC(O322)</f>
        <v>231</v>
      </c>
      <c r="D322" s="11">
        <f t="shared" ref="D322:D385" si="43">TRUNC(N322)</f>
        <v>63</v>
      </c>
      <c r="E322" s="11">
        <f t="shared" ref="E322:E385" si="44">M322</f>
        <v>105</v>
      </c>
      <c r="F322" s="38" t="str">
        <f t="shared" ref="F322:F385" si="45">I322</f>
        <v>2020</v>
      </c>
      <c r="G322" s="11" t="str" cm="1">
        <f t="array" ref="G322">gssBoardClass(A322,B322,C322,D322,E322,F322)</f>
        <v>Wave / Freestyle</v>
      </c>
      <c r="H322" s="39" t="str">
        <f t="shared" ref="H322:H385" si="46">_xlfn.CONCAT(I322,"-",LEFT(K322,2),"-",LEFT(L322,3),"-",M322,"-",TRUNC(N322),"-",TRUNC(O322))</f>
        <v>2020-Fa-Fre-105-63-231</v>
      </c>
      <c r="I322" s="42" t="str">
        <f t="shared" ref="I322:I385" si="47">LEFT(J322,4)</f>
        <v>2020</v>
      </c>
      <c r="J322" s="46">
        <v>2020</v>
      </c>
      <c r="K322" t="s">
        <v>1</v>
      </c>
      <c r="L322" t="s">
        <v>650</v>
      </c>
      <c r="M322">
        <v>105</v>
      </c>
      <c r="N322">
        <v>63</v>
      </c>
      <c r="O322">
        <v>231</v>
      </c>
      <c r="P322" t="s">
        <v>652</v>
      </c>
      <c r="Q322" t="s">
        <v>651</v>
      </c>
      <c r="R322" t="s">
        <v>653</v>
      </c>
      <c r="S322" t="s">
        <v>163</v>
      </c>
    </row>
    <row r="323" spans="1:19" x14ac:dyDescent="0.3">
      <c r="A323" s="11" t="str">
        <f t="shared" si="40"/>
        <v>Fanatic</v>
      </c>
      <c r="B323" s="11" t="str">
        <f t="shared" si="41"/>
        <v>Freewave Te</v>
      </c>
      <c r="C323" s="11">
        <f t="shared" si="42"/>
        <v>231</v>
      </c>
      <c r="D323" s="11">
        <f t="shared" si="43"/>
        <v>63</v>
      </c>
      <c r="E323" s="11">
        <f t="shared" si="44"/>
        <v>105</v>
      </c>
      <c r="F323" s="38" t="str">
        <f t="shared" si="45"/>
        <v>2020</v>
      </c>
      <c r="G323" s="11" t="str" cm="1">
        <f t="array" ref="G323">gssBoardClass(A323,B323,C323,D323,E323,F323)</f>
        <v>Wave / Freestyle</v>
      </c>
      <c r="H323" s="39" t="str">
        <f t="shared" si="46"/>
        <v>2020-Fa-Fre-105-63-231</v>
      </c>
      <c r="I323" s="42" t="str">
        <f t="shared" si="47"/>
        <v>2020</v>
      </c>
      <c r="J323" s="46">
        <v>2020</v>
      </c>
      <c r="K323" t="s">
        <v>1</v>
      </c>
      <c r="L323" t="s">
        <v>655</v>
      </c>
      <c r="M323">
        <v>105</v>
      </c>
      <c r="N323">
        <v>63</v>
      </c>
      <c r="O323">
        <v>231</v>
      </c>
      <c r="P323" t="s">
        <v>644</v>
      </c>
      <c r="Q323" t="s">
        <v>651</v>
      </c>
      <c r="R323" t="s">
        <v>653</v>
      </c>
      <c r="S323" t="s">
        <v>163</v>
      </c>
    </row>
    <row r="324" spans="1:19" x14ac:dyDescent="0.3">
      <c r="A324" s="11" t="str">
        <f t="shared" si="40"/>
        <v>Fanatic</v>
      </c>
      <c r="B324" s="11" t="str">
        <f t="shared" si="41"/>
        <v>Freewave</v>
      </c>
      <c r="C324" s="11">
        <f t="shared" si="42"/>
        <v>231</v>
      </c>
      <c r="D324" s="11">
        <f t="shared" si="43"/>
        <v>63</v>
      </c>
      <c r="E324" s="11">
        <f t="shared" si="44"/>
        <v>105</v>
      </c>
      <c r="F324" s="38" t="str">
        <f t="shared" si="45"/>
        <v>2020</v>
      </c>
      <c r="G324" s="11" t="str" cm="1">
        <f t="array" ref="G324">gssBoardClass(A324,B324,C324,D324,E324,F324)</f>
        <v>Wave / Freestyle</v>
      </c>
      <c r="H324" s="39" t="str">
        <f t="shared" si="46"/>
        <v>2020-Fa-Fre-105-63-231</v>
      </c>
      <c r="I324" s="42" t="str">
        <f t="shared" si="47"/>
        <v>2020</v>
      </c>
      <c r="J324" s="46">
        <v>2020</v>
      </c>
      <c r="K324" t="s">
        <v>1</v>
      </c>
      <c r="L324" t="s">
        <v>72</v>
      </c>
      <c r="M324">
        <v>105</v>
      </c>
      <c r="N324">
        <v>63</v>
      </c>
      <c r="O324">
        <v>231</v>
      </c>
      <c r="P324" t="s">
        <v>709</v>
      </c>
      <c r="Q324" t="s">
        <v>651</v>
      </c>
      <c r="R324" t="s">
        <v>661</v>
      </c>
      <c r="S324" t="s">
        <v>163</v>
      </c>
    </row>
    <row r="325" spans="1:19" x14ac:dyDescent="0.3">
      <c r="A325" s="11" t="str">
        <f t="shared" si="40"/>
        <v>Fanatic</v>
      </c>
      <c r="B325" s="11" t="str">
        <f t="shared" si="41"/>
        <v>Freewave Txtr</v>
      </c>
      <c r="C325" s="11">
        <f t="shared" si="42"/>
        <v>232</v>
      </c>
      <c r="D325" s="11">
        <f t="shared" si="43"/>
        <v>65</v>
      </c>
      <c r="E325" s="11">
        <f t="shared" si="44"/>
        <v>115</v>
      </c>
      <c r="F325" s="38" t="str">
        <f t="shared" si="45"/>
        <v>2020</v>
      </c>
      <c r="G325" s="11" t="str" cm="1">
        <f t="array" ref="G325">gssBoardClass(A325,B325,C325,D325,E325,F325)</f>
        <v>Wave / Freestyle</v>
      </c>
      <c r="H325" s="39" t="str">
        <f t="shared" si="46"/>
        <v>2020-Fa-Fre-115-65-232</v>
      </c>
      <c r="I325" s="42" t="str">
        <f t="shared" si="47"/>
        <v>2020</v>
      </c>
      <c r="J325" s="46">
        <v>2020</v>
      </c>
      <c r="K325" t="s">
        <v>1</v>
      </c>
      <c r="L325" t="s">
        <v>650</v>
      </c>
      <c r="M325">
        <v>115</v>
      </c>
      <c r="N325">
        <v>65</v>
      </c>
      <c r="O325">
        <v>232</v>
      </c>
      <c r="P325" t="s">
        <v>153</v>
      </c>
      <c r="Q325" t="s">
        <v>651</v>
      </c>
      <c r="R325" t="s">
        <v>654</v>
      </c>
      <c r="S325" t="s">
        <v>166</v>
      </c>
    </row>
    <row r="326" spans="1:19" x14ac:dyDescent="0.3">
      <c r="A326" s="11" t="str">
        <f t="shared" si="40"/>
        <v>Fanatic</v>
      </c>
      <c r="B326" s="11" t="str">
        <f t="shared" si="41"/>
        <v>Freewave Te</v>
      </c>
      <c r="C326" s="11">
        <f t="shared" si="42"/>
        <v>232</v>
      </c>
      <c r="D326" s="11">
        <f t="shared" si="43"/>
        <v>65</v>
      </c>
      <c r="E326" s="11">
        <f t="shared" si="44"/>
        <v>115</v>
      </c>
      <c r="F326" s="38" t="str">
        <f t="shared" si="45"/>
        <v>2020</v>
      </c>
      <c r="G326" s="11" t="str" cm="1">
        <f t="array" ref="G326">gssBoardClass(A326,B326,C326,D326,E326,F326)</f>
        <v>Wave / Freestyle</v>
      </c>
      <c r="H326" s="39" t="str">
        <f t="shared" si="46"/>
        <v>2020-Fa-Fre-115-65-232</v>
      </c>
      <c r="I326" s="42" t="str">
        <f t="shared" si="47"/>
        <v>2020</v>
      </c>
      <c r="J326" s="46">
        <v>2020</v>
      </c>
      <c r="K326" t="s">
        <v>1</v>
      </c>
      <c r="L326" t="s">
        <v>655</v>
      </c>
      <c r="M326">
        <v>115</v>
      </c>
      <c r="N326">
        <v>65</v>
      </c>
      <c r="O326">
        <v>232</v>
      </c>
      <c r="P326" t="s">
        <v>644</v>
      </c>
      <c r="Q326" t="s">
        <v>651</v>
      </c>
      <c r="R326" t="s">
        <v>654</v>
      </c>
      <c r="S326" t="s">
        <v>166</v>
      </c>
    </row>
    <row r="327" spans="1:19" x14ac:dyDescent="0.3">
      <c r="A327" s="11" t="str">
        <f t="shared" si="40"/>
        <v>Fanatic</v>
      </c>
      <c r="B327" s="11" t="str">
        <f t="shared" si="41"/>
        <v>Freewave Te</v>
      </c>
      <c r="C327" s="11">
        <f t="shared" si="42"/>
        <v>228</v>
      </c>
      <c r="D327" s="11">
        <f t="shared" si="43"/>
        <v>56</v>
      </c>
      <c r="E327" s="11">
        <f t="shared" si="44"/>
        <v>75</v>
      </c>
      <c r="F327" s="38" t="str">
        <f t="shared" si="45"/>
        <v>2020</v>
      </c>
      <c r="G327" s="11" t="str" cm="1">
        <f t="array" ref="G327">gssBoardClass(A327,B327,C327,D327,E327,F327)</f>
        <v>Wave / Freestyle</v>
      </c>
      <c r="H327" s="39" t="str">
        <f t="shared" si="46"/>
        <v>2020-Fa-Fre-75-56-228</v>
      </c>
      <c r="I327" s="42" t="str">
        <f t="shared" si="47"/>
        <v>2020</v>
      </c>
      <c r="J327" s="46">
        <v>2020</v>
      </c>
      <c r="K327" t="s">
        <v>1</v>
      </c>
      <c r="L327" t="s">
        <v>655</v>
      </c>
      <c r="M327">
        <v>75</v>
      </c>
      <c r="N327">
        <v>56</v>
      </c>
      <c r="O327">
        <v>228</v>
      </c>
      <c r="P327" t="s">
        <v>644</v>
      </c>
      <c r="Q327" t="s">
        <v>651</v>
      </c>
      <c r="R327" t="s">
        <v>157</v>
      </c>
      <c r="S327" t="s">
        <v>135</v>
      </c>
    </row>
    <row r="328" spans="1:19" x14ac:dyDescent="0.3">
      <c r="A328" s="11" t="str">
        <f t="shared" si="40"/>
        <v>Fanatic</v>
      </c>
      <c r="B328" s="11" t="str">
        <f t="shared" si="41"/>
        <v>Freewave</v>
      </c>
      <c r="C328" s="11">
        <f t="shared" si="42"/>
        <v>228</v>
      </c>
      <c r="D328" s="11">
        <f t="shared" si="43"/>
        <v>56</v>
      </c>
      <c r="E328" s="11">
        <f t="shared" si="44"/>
        <v>75</v>
      </c>
      <c r="F328" s="38" t="str">
        <f t="shared" si="45"/>
        <v>2020</v>
      </c>
      <c r="G328" s="11" t="str" cm="1">
        <f t="array" ref="G328">gssBoardClass(A328,B328,C328,D328,E328,F328)</f>
        <v>Wave / Freestyle</v>
      </c>
      <c r="H328" s="39" t="str">
        <f t="shared" si="46"/>
        <v>2020-Fa-Fre-75-56-228</v>
      </c>
      <c r="I328" s="42" t="str">
        <f t="shared" si="47"/>
        <v>2020</v>
      </c>
      <c r="J328" s="46">
        <v>2020</v>
      </c>
      <c r="K328" t="s">
        <v>1</v>
      </c>
      <c r="L328" t="s">
        <v>72</v>
      </c>
      <c r="M328">
        <v>75</v>
      </c>
      <c r="N328">
        <v>56</v>
      </c>
      <c r="O328">
        <v>228</v>
      </c>
      <c r="P328" t="s">
        <v>709</v>
      </c>
      <c r="Q328" t="s">
        <v>651</v>
      </c>
      <c r="R328" t="s">
        <v>656</v>
      </c>
      <c r="S328" t="s">
        <v>135</v>
      </c>
    </row>
    <row r="329" spans="1:19" x14ac:dyDescent="0.3">
      <c r="A329" s="11" t="str">
        <f t="shared" si="40"/>
        <v>Fanatic</v>
      </c>
      <c r="B329" s="11" t="str">
        <f t="shared" si="41"/>
        <v>Freewave Txtr</v>
      </c>
      <c r="C329" s="11">
        <f t="shared" si="42"/>
        <v>229</v>
      </c>
      <c r="D329" s="11">
        <f t="shared" si="43"/>
        <v>58</v>
      </c>
      <c r="E329" s="11">
        <f t="shared" si="44"/>
        <v>85</v>
      </c>
      <c r="F329" s="38" t="str">
        <f t="shared" si="45"/>
        <v>2020</v>
      </c>
      <c r="G329" s="11" t="str" cm="1">
        <f t="array" ref="G329">gssBoardClass(A329,B329,C329,D329,E329,F329)</f>
        <v>Wave / Freestyle</v>
      </c>
      <c r="H329" s="39" t="str">
        <f t="shared" si="46"/>
        <v>2020-Fa-Fre-85-58-229</v>
      </c>
      <c r="I329" s="42" t="str">
        <f t="shared" si="47"/>
        <v>2020</v>
      </c>
      <c r="J329" s="46">
        <v>2020</v>
      </c>
      <c r="K329" t="s">
        <v>1</v>
      </c>
      <c r="L329" t="s">
        <v>650</v>
      </c>
      <c r="M329">
        <v>85</v>
      </c>
      <c r="N329">
        <v>58.5</v>
      </c>
      <c r="O329">
        <v>229</v>
      </c>
      <c r="P329" t="s">
        <v>649</v>
      </c>
      <c r="Q329" t="s">
        <v>651</v>
      </c>
      <c r="R329" t="s">
        <v>160</v>
      </c>
      <c r="S329" t="s">
        <v>158</v>
      </c>
    </row>
    <row r="330" spans="1:19" x14ac:dyDescent="0.3">
      <c r="A330" s="11" t="str">
        <f t="shared" si="40"/>
        <v>Fanatic</v>
      </c>
      <c r="B330" s="11" t="str">
        <f t="shared" si="41"/>
        <v>Freewave Te</v>
      </c>
      <c r="C330" s="11">
        <f t="shared" si="42"/>
        <v>229</v>
      </c>
      <c r="D330" s="11">
        <f t="shared" si="43"/>
        <v>58</v>
      </c>
      <c r="E330" s="11">
        <f t="shared" si="44"/>
        <v>85</v>
      </c>
      <c r="F330" s="38" t="str">
        <f t="shared" si="45"/>
        <v>2020</v>
      </c>
      <c r="G330" s="11" t="str" cm="1">
        <f t="array" ref="G330">gssBoardClass(A330,B330,C330,D330,E330,F330)</f>
        <v>Wave / Freestyle</v>
      </c>
      <c r="H330" s="39" t="str">
        <f t="shared" si="46"/>
        <v>2020-Fa-Fre-85-58-229</v>
      </c>
      <c r="I330" s="42" t="str">
        <f t="shared" si="47"/>
        <v>2020</v>
      </c>
      <c r="J330" s="46">
        <v>2020</v>
      </c>
      <c r="K330" t="s">
        <v>1</v>
      </c>
      <c r="L330" t="s">
        <v>655</v>
      </c>
      <c r="M330">
        <v>85</v>
      </c>
      <c r="N330">
        <v>58.5</v>
      </c>
      <c r="O330">
        <v>229</v>
      </c>
      <c r="P330" t="s">
        <v>644</v>
      </c>
      <c r="Q330" t="s">
        <v>651</v>
      </c>
      <c r="R330" t="s">
        <v>160</v>
      </c>
      <c r="S330" t="s">
        <v>158</v>
      </c>
    </row>
    <row r="331" spans="1:19" x14ac:dyDescent="0.3">
      <c r="A331" s="11" t="str">
        <f t="shared" si="40"/>
        <v>Fanatic</v>
      </c>
      <c r="B331" s="11" t="str">
        <f t="shared" si="41"/>
        <v>Freewave</v>
      </c>
      <c r="C331" s="11">
        <f t="shared" si="42"/>
        <v>229</v>
      </c>
      <c r="D331" s="11">
        <f t="shared" si="43"/>
        <v>58</v>
      </c>
      <c r="E331" s="11">
        <f t="shared" si="44"/>
        <v>85</v>
      </c>
      <c r="F331" s="38" t="str">
        <f t="shared" si="45"/>
        <v>2020</v>
      </c>
      <c r="G331" s="11" t="str" cm="1">
        <f t="array" ref="G331">gssBoardClass(A331,B331,C331,D331,E331,F331)</f>
        <v>Wave / Freestyle</v>
      </c>
      <c r="H331" s="39" t="str">
        <f t="shared" si="46"/>
        <v>2020-Fa-Fre-85-58-229</v>
      </c>
      <c r="I331" s="42" t="str">
        <f t="shared" si="47"/>
        <v>2020</v>
      </c>
      <c r="J331" s="46">
        <v>2020</v>
      </c>
      <c r="K331" t="s">
        <v>1</v>
      </c>
      <c r="L331" t="s">
        <v>72</v>
      </c>
      <c r="M331">
        <v>85</v>
      </c>
      <c r="N331">
        <v>58.5</v>
      </c>
      <c r="O331">
        <v>229</v>
      </c>
      <c r="P331" t="s">
        <v>709</v>
      </c>
      <c r="Q331" t="s">
        <v>651</v>
      </c>
      <c r="R331" t="s">
        <v>658</v>
      </c>
      <c r="S331" t="s">
        <v>158</v>
      </c>
    </row>
    <row r="332" spans="1:19" x14ac:dyDescent="0.3">
      <c r="A332" s="11" t="str">
        <f t="shared" si="40"/>
        <v>Fanatic</v>
      </c>
      <c r="B332" s="11" t="str">
        <f t="shared" si="41"/>
        <v>Freewave Txtr</v>
      </c>
      <c r="C332" s="11">
        <f t="shared" si="42"/>
        <v>230</v>
      </c>
      <c r="D332" s="11">
        <f t="shared" si="43"/>
        <v>61</v>
      </c>
      <c r="E332" s="11">
        <f t="shared" si="44"/>
        <v>95</v>
      </c>
      <c r="F332" s="38" t="str">
        <f t="shared" si="45"/>
        <v>2020</v>
      </c>
      <c r="G332" s="11" t="str" cm="1">
        <f t="array" ref="G332">gssBoardClass(A332,B332,C332,D332,E332,F332)</f>
        <v>Wave / Freestyle</v>
      </c>
      <c r="H332" s="39" t="str">
        <f t="shared" si="46"/>
        <v>2020-Fa-Fre-95-61-230</v>
      </c>
      <c r="I332" s="42" t="str">
        <f t="shared" si="47"/>
        <v>2020</v>
      </c>
      <c r="J332" s="46">
        <v>2020</v>
      </c>
      <c r="K332" t="s">
        <v>1</v>
      </c>
      <c r="L332" t="s">
        <v>650</v>
      </c>
      <c r="M332">
        <v>95</v>
      </c>
      <c r="N332">
        <v>61</v>
      </c>
      <c r="O332">
        <v>230</v>
      </c>
      <c r="P332" t="s">
        <v>649</v>
      </c>
      <c r="Q332" t="s">
        <v>651</v>
      </c>
      <c r="R332" t="s">
        <v>162</v>
      </c>
      <c r="S332" t="s">
        <v>138</v>
      </c>
    </row>
    <row r="333" spans="1:19" x14ac:dyDescent="0.3">
      <c r="A333" s="11" t="str">
        <f t="shared" si="40"/>
        <v>Fanatic</v>
      </c>
      <c r="B333" s="11" t="str">
        <f t="shared" si="41"/>
        <v>Freewave Te</v>
      </c>
      <c r="C333" s="11">
        <f t="shared" si="42"/>
        <v>230</v>
      </c>
      <c r="D333" s="11">
        <f t="shared" si="43"/>
        <v>61</v>
      </c>
      <c r="E333" s="11">
        <f t="shared" si="44"/>
        <v>95</v>
      </c>
      <c r="F333" s="38" t="str">
        <f t="shared" si="45"/>
        <v>2020</v>
      </c>
      <c r="G333" s="11" t="str" cm="1">
        <f t="array" ref="G333">gssBoardClass(A333,B333,C333,D333,E333,F333)</f>
        <v>Wave / Freestyle</v>
      </c>
      <c r="H333" s="39" t="str">
        <f t="shared" si="46"/>
        <v>2020-Fa-Fre-95-61-230</v>
      </c>
      <c r="I333" s="42" t="str">
        <f t="shared" si="47"/>
        <v>2020</v>
      </c>
      <c r="J333" s="46">
        <v>2020</v>
      </c>
      <c r="K333" t="s">
        <v>1</v>
      </c>
      <c r="L333" t="s">
        <v>655</v>
      </c>
      <c r="M333">
        <v>95</v>
      </c>
      <c r="N333">
        <v>61</v>
      </c>
      <c r="O333">
        <v>230</v>
      </c>
      <c r="P333" t="s">
        <v>644</v>
      </c>
      <c r="Q333" t="s">
        <v>651</v>
      </c>
      <c r="R333" t="s">
        <v>162</v>
      </c>
      <c r="S333" t="s">
        <v>138</v>
      </c>
    </row>
    <row r="334" spans="1:19" x14ac:dyDescent="0.3">
      <c r="A334" s="11" t="str">
        <f t="shared" si="40"/>
        <v>Fanatic</v>
      </c>
      <c r="B334" s="11" t="str">
        <f t="shared" si="41"/>
        <v>Freewave</v>
      </c>
      <c r="C334" s="11">
        <f t="shared" si="42"/>
        <v>230</v>
      </c>
      <c r="D334" s="11">
        <f t="shared" si="43"/>
        <v>61</v>
      </c>
      <c r="E334" s="11">
        <f t="shared" si="44"/>
        <v>95</v>
      </c>
      <c r="F334" s="38" t="str">
        <f t="shared" si="45"/>
        <v>2020</v>
      </c>
      <c r="G334" s="11" t="str" cm="1">
        <f t="array" ref="G334">gssBoardClass(A334,B334,C334,D334,E334,F334)</f>
        <v>Wave / Freestyle</v>
      </c>
      <c r="H334" s="39" t="str">
        <f t="shared" si="46"/>
        <v>2020-Fa-Fre-95-61-230</v>
      </c>
      <c r="I334" s="42" t="str">
        <f t="shared" si="47"/>
        <v>2020</v>
      </c>
      <c r="J334" s="46">
        <v>2020</v>
      </c>
      <c r="K334" t="s">
        <v>1</v>
      </c>
      <c r="L334" t="s">
        <v>72</v>
      </c>
      <c r="M334">
        <v>95</v>
      </c>
      <c r="N334">
        <v>61</v>
      </c>
      <c r="O334">
        <v>230</v>
      </c>
      <c r="P334" t="s">
        <v>709</v>
      </c>
      <c r="Q334" t="s">
        <v>651</v>
      </c>
      <c r="R334" t="s">
        <v>660</v>
      </c>
      <c r="S334" t="s">
        <v>138</v>
      </c>
    </row>
    <row r="335" spans="1:19" x14ac:dyDescent="0.3">
      <c r="A335" s="11" t="str">
        <f t="shared" si="40"/>
        <v>Fanatic</v>
      </c>
      <c r="B335" s="11" t="str">
        <f t="shared" si="41"/>
        <v>Gecko Ltd</v>
      </c>
      <c r="C335" s="11">
        <f t="shared" si="42"/>
        <v>239</v>
      </c>
      <c r="D335" s="11">
        <f t="shared" si="43"/>
        <v>66</v>
      </c>
      <c r="E335" s="11">
        <f t="shared" si="44"/>
        <v>100</v>
      </c>
      <c r="F335" s="38" t="str">
        <f t="shared" si="45"/>
        <v>2020</v>
      </c>
      <c r="G335" s="11" t="str" cm="1">
        <f t="array" ref="G335">gssBoardClass(A335,B335,C335,D335,E335,F335)</f>
        <v>Slalom Medium</v>
      </c>
      <c r="H335" s="39" t="str">
        <f t="shared" si="46"/>
        <v>2020-Fa-Gec-100-66-239</v>
      </c>
      <c r="I335" s="42" t="str">
        <f t="shared" si="47"/>
        <v>2020</v>
      </c>
      <c r="J335" s="46">
        <v>2020</v>
      </c>
      <c r="K335" t="s">
        <v>1</v>
      </c>
      <c r="L335" t="s">
        <v>673</v>
      </c>
      <c r="M335">
        <v>100</v>
      </c>
      <c r="N335">
        <v>66</v>
      </c>
      <c r="O335">
        <v>239</v>
      </c>
      <c r="P335" t="s">
        <v>709</v>
      </c>
      <c r="Q335" t="s">
        <v>179</v>
      </c>
      <c r="R335" t="s">
        <v>192</v>
      </c>
      <c r="S335" t="s">
        <v>193</v>
      </c>
    </row>
    <row r="336" spans="1:19" x14ac:dyDescent="0.3">
      <c r="A336" s="11" t="str">
        <f t="shared" si="40"/>
        <v>Fanatic</v>
      </c>
      <c r="B336" s="11" t="str">
        <f t="shared" si="41"/>
        <v>Gecko Hrs</v>
      </c>
      <c r="C336" s="11">
        <f t="shared" si="42"/>
        <v>239</v>
      </c>
      <c r="D336" s="11">
        <f t="shared" si="43"/>
        <v>66</v>
      </c>
      <c r="E336" s="11">
        <f t="shared" si="44"/>
        <v>100</v>
      </c>
      <c r="F336" s="38" t="str">
        <f t="shared" si="45"/>
        <v>2020</v>
      </c>
      <c r="G336" s="11" t="str" cm="1">
        <f t="array" ref="G336">gssBoardClass(A336,B336,C336,D336,E336,F336)</f>
        <v>Slalom Medium</v>
      </c>
      <c r="H336" s="39" t="str">
        <f t="shared" si="46"/>
        <v>2020-Fa-Gec-100-66-239</v>
      </c>
      <c r="I336" s="42" t="str">
        <f t="shared" si="47"/>
        <v>2020</v>
      </c>
      <c r="J336" s="46">
        <v>2020</v>
      </c>
      <c r="K336" t="s">
        <v>1</v>
      </c>
      <c r="L336" t="s">
        <v>677</v>
      </c>
      <c r="M336">
        <v>100</v>
      </c>
      <c r="N336">
        <v>66</v>
      </c>
      <c r="O336">
        <v>239</v>
      </c>
      <c r="P336" t="s">
        <v>592</v>
      </c>
      <c r="Q336" t="s">
        <v>179</v>
      </c>
      <c r="R336" t="s">
        <v>675</v>
      </c>
      <c r="S336" t="s">
        <v>193</v>
      </c>
    </row>
    <row r="337" spans="1:19" x14ac:dyDescent="0.3">
      <c r="A337" s="11" t="str">
        <f t="shared" si="40"/>
        <v>Fanatic</v>
      </c>
      <c r="B337" s="11" t="str">
        <f t="shared" si="41"/>
        <v>Gecko Ltd</v>
      </c>
      <c r="C337" s="11">
        <f t="shared" si="42"/>
        <v>239</v>
      </c>
      <c r="D337" s="11">
        <f t="shared" si="43"/>
        <v>72</v>
      </c>
      <c r="E337" s="11">
        <f t="shared" si="44"/>
        <v>110</v>
      </c>
      <c r="F337" s="38" t="str">
        <f t="shared" si="45"/>
        <v>2020</v>
      </c>
      <c r="G337" s="11" t="str" cm="1">
        <f t="array" ref="G337">gssBoardClass(A337,B337,C337,D337,E337,F337)</f>
        <v>Slalom Medium</v>
      </c>
      <c r="H337" s="39" t="str">
        <f t="shared" si="46"/>
        <v>2020-Fa-Gec-110-72-239</v>
      </c>
      <c r="I337" s="42" t="str">
        <f t="shared" si="47"/>
        <v>2020</v>
      </c>
      <c r="J337" s="46">
        <v>2020</v>
      </c>
      <c r="K337" t="s">
        <v>1</v>
      </c>
      <c r="L337" t="s">
        <v>673</v>
      </c>
      <c r="M337">
        <v>110</v>
      </c>
      <c r="N337">
        <v>72</v>
      </c>
      <c r="O337">
        <v>239</v>
      </c>
      <c r="P337" t="s">
        <v>709</v>
      </c>
      <c r="Q337" t="s">
        <v>179</v>
      </c>
      <c r="R337" t="s">
        <v>195</v>
      </c>
      <c r="S337" t="s">
        <v>196</v>
      </c>
    </row>
    <row r="338" spans="1:19" x14ac:dyDescent="0.3">
      <c r="A338" s="11" t="str">
        <f t="shared" si="40"/>
        <v>Fanatic</v>
      </c>
      <c r="B338" s="11" t="str">
        <f t="shared" si="41"/>
        <v>Gecko Eco</v>
      </c>
      <c r="C338" s="11">
        <f t="shared" si="42"/>
        <v>239</v>
      </c>
      <c r="D338" s="11">
        <f t="shared" si="43"/>
        <v>72</v>
      </c>
      <c r="E338" s="11">
        <f t="shared" si="44"/>
        <v>110</v>
      </c>
      <c r="F338" s="38" t="str">
        <f t="shared" si="45"/>
        <v>2020</v>
      </c>
      <c r="G338" s="11" t="str" cm="1">
        <f t="array" ref="G338">gssBoardClass(A338,B338,C338,D338,E338,F338)</f>
        <v>Slalom Medium</v>
      </c>
      <c r="H338" s="39" t="str">
        <f t="shared" si="46"/>
        <v>2020-Fa-Gec-110-72-239</v>
      </c>
      <c r="I338" s="42" t="str">
        <f t="shared" si="47"/>
        <v>2020</v>
      </c>
      <c r="J338" s="46">
        <v>2020</v>
      </c>
      <c r="K338" t="s">
        <v>1</v>
      </c>
      <c r="L338" t="s">
        <v>674</v>
      </c>
      <c r="M338">
        <v>110</v>
      </c>
      <c r="N338">
        <v>72</v>
      </c>
      <c r="O338">
        <v>239</v>
      </c>
      <c r="P338" t="s">
        <v>708</v>
      </c>
      <c r="Q338" t="s">
        <v>179</v>
      </c>
      <c r="R338" t="s">
        <v>195</v>
      </c>
      <c r="S338" t="s">
        <v>196</v>
      </c>
    </row>
    <row r="339" spans="1:19" x14ac:dyDescent="0.3">
      <c r="A339" s="11" t="str">
        <f t="shared" si="40"/>
        <v>Fanatic</v>
      </c>
      <c r="B339" s="11" t="str">
        <f t="shared" si="41"/>
        <v>Gecko Hrs</v>
      </c>
      <c r="C339" s="11">
        <f t="shared" si="42"/>
        <v>239</v>
      </c>
      <c r="D339" s="11">
        <f t="shared" si="43"/>
        <v>72</v>
      </c>
      <c r="E339" s="11">
        <f t="shared" si="44"/>
        <v>110</v>
      </c>
      <c r="F339" s="38" t="str">
        <f t="shared" si="45"/>
        <v>2020</v>
      </c>
      <c r="G339" s="11" t="str" cm="1">
        <f t="array" ref="G339">gssBoardClass(A339,B339,C339,D339,E339,F339)</f>
        <v>Slalom Medium</v>
      </c>
      <c r="H339" s="39" t="str">
        <f t="shared" si="46"/>
        <v>2020-Fa-Gec-110-72-239</v>
      </c>
      <c r="I339" s="42" t="str">
        <f t="shared" si="47"/>
        <v>2020</v>
      </c>
      <c r="J339" s="46">
        <v>2020</v>
      </c>
      <c r="K339" t="s">
        <v>1</v>
      </c>
      <c r="L339" t="s">
        <v>677</v>
      </c>
      <c r="M339">
        <v>110</v>
      </c>
      <c r="N339">
        <v>72</v>
      </c>
      <c r="O339">
        <v>239</v>
      </c>
      <c r="P339" t="s">
        <v>592</v>
      </c>
      <c r="Q339" t="s">
        <v>179</v>
      </c>
      <c r="R339" t="s">
        <v>669</v>
      </c>
      <c r="S339" t="s">
        <v>196</v>
      </c>
    </row>
    <row r="340" spans="1:19" x14ac:dyDescent="0.3">
      <c r="A340" s="11" t="str">
        <f t="shared" si="40"/>
        <v>Fanatic</v>
      </c>
      <c r="B340" s="11" t="str">
        <f t="shared" si="41"/>
        <v>Gecko Ltd</v>
      </c>
      <c r="C340" s="11">
        <f t="shared" si="42"/>
        <v>242</v>
      </c>
      <c r="D340" s="11">
        <f t="shared" si="43"/>
        <v>77</v>
      </c>
      <c r="E340" s="11">
        <f t="shared" si="44"/>
        <v>122</v>
      </c>
      <c r="F340" s="38" t="str">
        <f t="shared" si="45"/>
        <v>2020</v>
      </c>
      <c r="G340" s="11" t="str" cm="1">
        <f t="array" ref="G340">gssBoardClass(A340,B340,C340,D340,E340,F340)</f>
        <v>Slalom Large</v>
      </c>
      <c r="H340" s="39" t="str">
        <f t="shared" si="46"/>
        <v>2020-Fa-Gec-122-77-242</v>
      </c>
      <c r="I340" s="42" t="str">
        <f t="shared" si="47"/>
        <v>2020</v>
      </c>
      <c r="J340" s="46">
        <v>2020</v>
      </c>
      <c r="K340" t="s">
        <v>1</v>
      </c>
      <c r="L340" t="s">
        <v>673</v>
      </c>
      <c r="M340">
        <v>122</v>
      </c>
      <c r="N340">
        <v>77</v>
      </c>
      <c r="O340">
        <v>242</v>
      </c>
      <c r="P340" t="s">
        <v>709</v>
      </c>
      <c r="Q340" t="s">
        <v>179</v>
      </c>
      <c r="R340" t="s">
        <v>198</v>
      </c>
      <c r="S340" t="s">
        <v>199</v>
      </c>
    </row>
    <row r="341" spans="1:19" x14ac:dyDescent="0.3">
      <c r="A341" s="11" t="str">
        <f t="shared" si="40"/>
        <v>Fanatic</v>
      </c>
      <c r="B341" s="11" t="str">
        <f t="shared" si="41"/>
        <v>Gecko Eco</v>
      </c>
      <c r="C341" s="11">
        <f t="shared" si="42"/>
        <v>242</v>
      </c>
      <c r="D341" s="11">
        <f t="shared" si="43"/>
        <v>77</v>
      </c>
      <c r="E341" s="11">
        <f t="shared" si="44"/>
        <v>122</v>
      </c>
      <c r="F341" s="38" t="str">
        <f t="shared" si="45"/>
        <v>2020</v>
      </c>
      <c r="G341" s="11" t="str" cm="1">
        <f t="array" ref="G341">gssBoardClass(A341,B341,C341,D341,E341,F341)</f>
        <v>Slalom Large</v>
      </c>
      <c r="H341" s="39" t="str">
        <f t="shared" si="46"/>
        <v>2020-Fa-Gec-122-77-242</v>
      </c>
      <c r="I341" s="42" t="str">
        <f t="shared" si="47"/>
        <v>2020</v>
      </c>
      <c r="J341" s="46">
        <v>2020</v>
      </c>
      <c r="K341" t="s">
        <v>1</v>
      </c>
      <c r="L341" t="s">
        <v>674</v>
      </c>
      <c r="M341">
        <v>122</v>
      </c>
      <c r="N341">
        <v>77</v>
      </c>
      <c r="O341">
        <v>242</v>
      </c>
      <c r="P341" t="s">
        <v>708</v>
      </c>
      <c r="Q341" t="s">
        <v>179</v>
      </c>
      <c r="R341" t="s">
        <v>198</v>
      </c>
      <c r="S341" t="s">
        <v>199</v>
      </c>
    </row>
    <row r="342" spans="1:19" x14ac:dyDescent="0.3">
      <c r="A342" s="11" t="str">
        <f t="shared" si="40"/>
        <v>Fanatic</v>
      </c>
      <c r="B342" s="11" t="str">
        <f t="shared" si="41"/>
        <v>Gecko Hrs</v>
      </c>
      <c r="C342" s="11">
        <f t="shared" si="42"/>
        <v>242</v>
      </c>
      <c r="D342" s="11">
        <f t="shared" si="43"/>
        <v>77</v>
      </c>
      <c r="E342" s="11">
        <f t="shared" si="44"/>
        <v>122</v>
      </c>
      <c r="F342" s="38" t="str">
        <f t="shared" si="45"/>
        <v>2020</v>
      </c>
      <c r="G342" s="11" t="str" cm="1">
        <f t="array" ref="G342">gssBoardClass(A342,B342,C342,D342,E342,F342)</f>
        <v>Slalom Large</v>
      </c>
      <c r="H342" s="39" t="str">
        <f t="shared" si="46"/>
        <v>2020-Fa-Gec-122-77-242</v>
      </c>
      <c r="I342" s="42" t="str">
        <f t="shared" si="47"/>
        <v>2020</v>
      </c>
      <c r="J342" s="46">
        <v>2020</v>
      </c>
      <c r="K342" t="s">
        <v>1</v>
      </c>
      <c r="L342" t="s">
        <v>677</v>
      </c>
      <c r="M342">
        <v>122</v>
      </c>
      <c r="N342">
        <v>77</v>
      </c>
      <c r="O342">
        <v>242</v>
      </c>
      <c r="P342" t="s">
        <v>592</v>
      </c>
      <c r="Q342" t="s">
        <v>179</v>
      </c>
      <c r="R342" t="s">
        <v>676</v>
      </c>
      <c r="S342" t="s">
        <v>199</v>
      </c>
    </row>
    <row r="343" spans="1:19" x14ac:dyDescent="0.3">
      <c r="A343" s="11" t="str">
        <f t="shared" si="40"/>
        <v>Fanatic</v>
      </c>
      <c r="B343" s="11" t="str">
        <f t="shared" si="41"/>
        <v>Gecko Ltd</v>
      </c>
      <c r="C343" s="11">
        <f t="shared" si="42"/>
        <v>246</v>
      </c>
      <c r="D343" s="11">
        <f t="shared" si="43"/>
        <v>79</v>
      </c>
      <c r="E343" s="11">
        <f t="shared" si="44"/>
        <v>135</v>
      </c>
      <c r="F343" s="38" t="str">
        <f t="shared" si="45"/>
        <v>2020</v>
      </c>
      <c r="G343" s="11" t="str" cm="1">
        <f t="array" ref="G343">gssBoardClass(A343,B343,C343,D343,E343,F343)</f>
        <v>Slalom Large</v>
      </c>
      <c r="H343" s="39" t="str">
        <f t="shared" si="46"/>
        <v>2020-Fa-Gec-135-79-246</v>
      </c>
      <c r="I343" s="42" t="str">
        <f t="shared" si="47"/>
        <v>2020</v>
      </c>
      <c r="J343" s="46">
        <v>2020</v>
      </c>
      <c r="K343" t="s">
        <v>1</v>
      </c>
      <c r="L343" t="s">
        <v>673</v>
      </c>
      <c r="M343">
        <v>135</v>
      </c>
      <c r="N343">
        <v>79</v>
      </c>
      <c r="O343">
        <v>246</v>
      </c>
      <c r="P343" t="s">
        <v>709</v>
      </c>
      <c r="Q343" t="s">
        <v>179</v>
      </c>
      <c r="R343" t="s">
        <v>201</v>
      </c>
      <c r="S343" t="s">
        <v>202</v>
      </c>
    </row>
    <row r="344" spans="1:19" x14ac:dyDescent="0.3">
      <c r="A344" s="11" t="str">
        <f t="shared" si="40"/>
        <v>Fanatic</v>
      </c>
      <c r="B344" s="11" t="str">
        <f t="shared" si="41"/>
        <v>Gecko Eco</v>
      </c>
      <c r="C344" s="11">
        <f t="shared" si="42"/>
        <v>246</v>
      </c>
      <c r="D344" s="11">
        <f t="shared" si="43"/>
        <v>79</v>
      </c>
      <c r="E344" s="11">
        <f t="shared" si="44"/>
        <v>135</v>
      </c>
      <c r="F344" s="38" t="str">
        <f t="shared" si="45"/>
        <v>2020</v>
      </c>
      <c r="G344" s="11" t="str" cm="1">
        <f t="array" ref="G344">gssBoardClass(A344,B344,C344,D344,E344,F344)</f>
        <v>Slalom Large</v>
      </c>
      <c r="H344" s="39" t="str">
        <f t="shared" si="46"/>
        <v>2020-Fa-Gec-135-79-246</v>
      </c>
      <c r="I344" s="42" t="str">
        <f t="shared" si="47"/>
        <v>2020</v>
      </c>
      <c r="J344" s="46">
        <v>2020</v>
      </c>
      <c r="K344" t="s">
        <v>1</v>
      </c>
      <c r="L344" t="s">
        <v>674</v>
      </c>
      <c r="M344">
        <v>135</v>
      </c>
      <c r="N344">
        <v>79</v>
      </c>
      <c r="O344">
        <v>246</v>
      </c>
      <c r="P344" t="s">
        <v>708</v>
      </c>
      <c r="Q344" t="s">
        <v>179</v>
      </c>
      <c r="R344" t="s">
        <v>201</v>
      </c>
      <c r="S344" t="s">
        <v>202</v>
      </c>
    </row>
    <row r="345" spans="1:19" x14ac:dyDescent="0.3">
      <c r="A345" s="11" t="str">
        <f t="shared" si="40"/>
        <v>Fanatic</v>
      </c>
      <c r="B345" s="11" t="str">
        <f t="shared" si="41"/>
        <v>Gecko Hrs</v>
      </c>
      <c r="C345" s="11">
        <f t="shared" si="42"/>
        <v>246</v>
      </c>
      <c r="D345" s="11">
        <f t="shared" si="43"/>
        <v>79</v>
      </c>
      <c r="E345" s="11">
        <f t="shared" si="44"/>
        <v>135</v>
      </c>
      <c r="F345" s="38" t="str">
        <f t="shared" si="45"/>
        <v>2020</v>
      </c>
      <c r="G345" s="11" t="str" cm="1">
        <f t="array" ref="G345">gssBoardClass(A345,B345,C345,D345,E345,F345)</f>
        <v>Slalom Large</v>
      </c>
      <c r="H345" s="39" t="str">
        <f t="shared" si="46"/>
        <v>2020-Fa-Gec-135-79-246</v>
      </c>
      <c r="I345" s="42" t="str">
        <f t="shared" si="47"/>
        <v>2020</v>
      </c>
      <c r="J345" s="46">
        <v>2020</v>
      </c>
      <c r="K345" t="s">
        <v>1</v>
      </c>
      <c r="L345" t="s">
        <v>677</v>
      </c>
      <c r="M345">
        <v>135</v>
      </c>
      <c r="N345">
        <v>79</v>
      </c>
      <c r="O345">
        <v>246</v>
      </c>
      <c r="P345" t="s">
        <v>592</v>
      </c>
      <c r="Q345" t="s">
        <v>179</v>
      </c>
      <c r="R345" t="s">
        <v>671</v>
      </c>
      <c r="S345" t="s">
        <v>202</v>
      </c>
    </row>
    <row r="346" spans="1:19" x14ac:dyDescent="0.3">
      <c r="A346" s="11" t="str">
        <f t="shared" si="40"/>
        <v>Fanatic</v>
      </c>
      <c r="B346" s="11" t="str">
        <f t="shared" si="41"/>
        <v>Gecko Ltd Foil</v>
      </c>
      <c r="C346" s="11">
        <f t="shared" si="42"/>
        <v>246</v>
      </c>
      <c r="D346" s="11">
        <f t="shared" si="43"/>
        <v>79</v>
      </c>
      <c r="E346" s="11">
        <f t="shared" si="44"/>
        <v>135</v>
      </c>
      <c r="F346" s="38" t="str">
        <f t="shared" si="45"/>
        <v>2020</v>
      </c>
      <c r="G346" s="11" t="str" cm="1">
        <f t="array" ref="G346">gssBoardClass(A346,B346,C346,D346,E346,F346)</f>
        <v>Foilboard</v>
      </c>
      <c r="H346" s="39" t="str">
        <f t="shared" si="46"/>
        <v>2020-Fa-Gec-135-79-246</v>
      </c>
      <c r="I346" s="42" t="str">
        <f t="shared" si="47"/>
        <v>2020</v>
      </c>
      <c r="J346" s="46">
        <v>2020</v>
      </c>
      <c r="K346" t="s">
        <v>1</v>
      </c>
      <c r="L346" t="s">
        <v>682</v>
      </c>
      <c r="M346">
        <v>135</v>
      </c>
      <c r="N346">
        <v>79</v>
      </c>
      <c r="O346">
        <v>246</v>
      </c>
      <c r="P346" t="s">
        <v>640</v>
      </c>
      <c r="Q346" t="s">
        <v>283</v>
      </c>
      <c r="R346" t="s">
        <v>209</v>
      </c>
      <c r="S346" t="s">
        <v>202</v>
      </c>
    </row>
    <row r="347" spans="1:19" x14ac:dyDescent="0.3">
      <c r="A347" s="11" t="str">
        <f t="shared" si="40"/>
        <v>Fanatic</v>
      </c>
      <c r="B347" s="11" t="str">
        <f t="shared" si="41"/>
        <v>Gecko Hrs Foil</v>
      </c>
      <c r="C347" s="11">
        <f t="shared" si="42"/>
        <v>246</v>
      </c>
      <c r="D347" s="11">
        <f t="shared" si="43"/>
        <v>79</v>
      </c>
      <c r="E347" s="11">
        <f t="shared" si="44"/>
        <v>135</v>
      </c>
      <c r="F347" s="38" t="str">
        <f t="shared" si="45"/>
        <v>2020</v>
      </c>
      <c r="G347" s="11" t="str" cm="1">
        <f t="array" ref="G347">gssBoardClass(A347,B347,C347,D347,E347,F347)</f>
        <v>Foilboard</v>
      </c>
      <c r="H347" s="39" t="str">
        <f t="shared" si="46"/>
        <v>2020-Fa-Gec-135-79-246</v>
      </c>
      <c r="I347" s="42" t="str">
        <f t="shared" si="47"/>
        <v>2020</v>
      </c>
      <c r="J347" s="46">
        <v>2020</v>
      </c>
      <c r="K347" t="s">
        <v>1</v>
      </c>
      <c r="L347" t="s">
        <v>683</v>
      </c>
      <c r="M347">
        <v>135</v>
      </c>
      <c r="N347">
        <v>79</v>
      </c>
      <c r="O347">
        <v>246</v>
      </c>
      <c r="P347" t="s">
        <v>592</v>
      </c>
      <c r="Q347" t="s">
        <v>283</v>
      </c>
      <c r="R347" t="s">
        <v>672</v>
      </c>
      <c r="S347" t="s">
        <v>202</v>
      </c>
    </row>
    <row r="348" spans="1:19" x14ac:dyDescent="0.3">
      <c r="A348" s="11" t="str">
        <f t="shared" si="40"/>
        <v>Fanatic</v>
      </c>
      <c r="B348" s="11" t="str">
        <f t="shared" si="41"/>
        <v>Gecko Ltd</v>
      </c>
      <c r="C348" s="11">
        <f t="shared" si="42"/>
        <v>250</v>
      </c>
      <c r="D348" s="11">
        <f t="shared" si="43"/>
        <v>83</v>
      </c>
      <c r="E348" s="11">
        <f t="shared" si="44"/>
        <v>148</v>
      </c>
      <c r="F348" s="38" t="str">
        <f t="shared" si="45"/>
        <v>2020</v>
      </c>
      <c r="G348" s="11" t="str" cm="1">
        <f t="array" ref="G348">gssBoardClass(A348,B348,C348,D348,E348,F348)</f>
        <v>Slalom Large</v>
      </c>
      <c r="H348" s="39" t="str">
        <f t="shared" si="46"/>
        <v>2020-Fa-Gec-148-83-250</v>
      </c>
      <c r="I348" s="42" t="str">
        <f t="shared" si="47"/>
        <v>2020</v>
      </c>
      <c r="J348" s="46">
        <v>2020</v>
      </c>
      <c r="K348" t="s">
        <v>1</v>
      </c>
      <c r="L348" t="s">
        <v>673</v>
      </c>
      <c r="M348">
        <v>148</v>
      </c>
      <c r="N348">
        <v>83</v>
      </c>
      <c r="O348">
        <v>250</v>
      </c>
      <c r="P348" t="s">
        <v>709</v>
      </c>
      <c r="Q348" t="s">
        <v>179</v>
      </c>
      <c r="R348" t="s">
        <v>204</v>
      </c>
      <c r="S348" t="s">
        <v>205</v>
      </c>
    </row>
    <row r="349" spans="1:19" x14ac:dyDescent="0.3">
      <c r="A349" s="11" t="str">
        <f t="shared" si="40"/>
        <v>Fanatic</v>
      </c>
      <c r="B349" s="11" t="str">
        <f t="shared" si="41"/>
        <v>Gecko Hrs</v>
      </c>
      <c r="C349" s="11">
        <f t="shared" si="42"/>
        <v>250</v>
      </c>
      <c r="D349" s="11">
        <f t="shared" si="43"/>
        <v>83</v>
      </c>
      <c r="E349" s="11">
        <f t="shared" si="44"/>
        <v>148</v>
      </c>
      <c r="F349" s="38" t="str">
        <f t="shared" si="45"/>
        <v>2020</v>
      </c>
      <c r="G349" s="11" t="str" cm="1">
        <f t="array" ref="G349">gssBoardClass(A349,B349,C349,D349,E349,F349)</f>
        <v>Slalom Large</v>
      </c>
      <c r="H349" s="39" t="str">
        <f t="shared" si="46"/>
        <v>2020-Fa-Gec-148-83-250</v>
      </c>
      <c r="I349" s="42" t="str">
        <f t="shared" si="47"/>
        <v>2020</v>
      </c>
      <c r="J349" s="46">
        <v>2020</v>
      </c>
      <c r="K349" t="s">
        <v>1</v>
      </c>
      <c r="L349" t="s">
        <v>677</v>
      </c>
      <c r="M349">
        <v>148</v>
      </c>
      <c r="N349">
        <v>83</v>
      </c>
      <c r="O349">
        <v>250</v>
      </c>
      <c r="P349" t="s">
        <v>592</v>
      </c>
      <c r="Q349" t="s">
        <v>179</v>
      </c>
      <c r="R349" t="s">
        <v>678</v>
      </c>
      <c r="S349" t="s">
        <v>205</v>
      </c>
    </row>
    <row r="350" spans="1:19" x14ac:dyDescent="0.3">
      <c r="A350" s="11" t="str">
        <f t="shared" si="40"/>
        <v>Fanatic</v>
      </c>
      <c r="B350" s="11" t="str">
        <f t="shared" si="41"/>
        <v>Gecko Hrs</v>
      </c>
      <c r="C350" s="11">
        <f t="shared" si="42"/>
        <v>252</v>
      </c>
      <c r="D350" s="11">
        <f t="shared" si="43"/>
        <v>85</v>
      </c>
      <c r="E350" s="11">
        <f t="shared" si="44"/>
        <v>156</v>
      </c>
      <c r="F350" s="38" t="str">
        <f t="shared" si="45"/>
        <v>2020</v>
      </c>
      <c r="G350" s="11" t="str" cm="1">
        <f t="array" ref="G350">gssBoardClass(A350,B350,C350,D350,E350,F350)</f>
        <v>Slalom Large</v>
      </c>
      <c r="H350" s="39" t="str">
        <f t="shared" si="46"/>
        <v>2020-Fa-Gec-156-85-252</v>
      </c>
      <c r="I350" s="42" t="str">
        <f t="shared" si="47"/>
        <v>2020</v>
      </c>
      <c r="J350" s="46">
        <v>2020</v>
      </c>
      <c r="K350" t="s">
        <v>1</v>
      </c>
      <c r="L350" t="s">
        <v>677</v>
      </c>
      <c r="M350">
        <v>156</v>
      </c>
      <c r="N350">
        <v>85</v>
      </c>
      <c r="O350">
        <v>252</v>
      </c>
      <c r="P350" t="s">
        <v>592</v>
      </c>
      <c r="Q350" t="s">
        <v>179</v>
      </c>
      <c r="R350" t="s">
        <v>679</v>
      </c>
      <c r="S350" t="s">
        <v>227</v>
      </c>
    </row>
    <row r="351" spans="1:19" x14ac:dyDescent="0.3">
      <c r="A351" s="11" t="str">
        <f t="shared" si="40"/>
        <v>Fanatic</v>
      </c>
      <c r="B351" s="11" t="str">
        <f t="shared" si="41"/>
        <v>Gecko Hrs</v>
      </c>
      <c r="C351" s="11">
        <f t="shared" si="42"/>
        <v>252</v>
      </c>
      <c r="D351" s="11">
        <f t="shared" si="43"/>
        <v>85</v>
      </c>
      <c r="E351" s="11">
        <f t="shared" si="44"/>
        <v>156</v>
      </c>
      <c r="F351" s="38" t="str">
        <f t="shared" si="45"/>
        <v>2020</v>
      </c>
      <c r="G351" s="11" t="str" cm="1">
        <f t="array" ref="G351">gssBoardClass(A351,B351,C351,D351,E351,F351)</f>
        <v>Slalom Large</v>
      </c>
      <c r="H351" s="39" t="str">
        <f t="shared" si="46"/>
        <v>2020-Fa-Gec-156-85-252</v>
      </c>
      <c r="I351" s="42" t="str">
        <f t="shared" si="47"/>
        <v>2020</v>
      </c>
      <c r="J351" s="46">
        <v>2020</v>
      </c>
      <c r="K351" t="s">
        <v>1</v>
      </c>
      <c r="L351" t="s">
        <v>677</v>
      </c>
      <c r="M351">
        <v>156</v>
      </c>
      <c r="N351">
        <v>85</v>
      </c>
      <c r="O351">
        <v>252</v>
      </c>
      <c r="P351" t="s">
        <v>680</v>
      </c>
      <c r="Q351" t="s">
        <v>179</v>
      </c>
      <c r="R351" t="s">
        <v>681</v>
      </c>
      <c r="S351" t="s">
        <v>227</v>
      </c>
    </row>
    <row r="352" spans="1:19" x14ac:dyDescent="0.3">
      <c r="A352" s="11" t="str">
        <f t="shared" si="40"/>
        <v>Fanatic</v>
      </c>
      <c r="B352" s="11" t="str">
        <f t="shared" si="41"/>
        <v>Grip Te</v>
      </c>
      <c r="C352" s="11">
        <f t="shared" si="42"/>
        <v>228</v>
      </c>
      <c r="D352" s="11">
        <f t="shared" si="43"/>
        <v>61</v>
      </c>
      <c r="E352" s="11">
        <f t="shared" si="44"/>
        <v>102</v>
      </c>
      <c r="F352" s="38" t="str">
        <f t="shared" si="45"/>
        <v>2020</v>
      </c>
      <c r="G352" s="11" t="str" cm="1">
        <f t="array" ref="G352">gssBoardClass(A352,B352,C352,D352,E352,F352)</f>
        <v>Wave / Freestyle</v>
      </c>
      <c r="H352" s="39" t="str">
        <f t="shared" si="46"/>
        <v>2020-Fa-Gri-102-61-228</v>
      </c>
      <c r="I352" s="42" t="str">
        <f t="shared" si="47"/>
        <v>2020</v>
      </c>
      <c r="J352" s="46">
        <v>2020</v>
      </c>
      <c r="K352" t="s">
        <v>1</v>
      </c>
      <c r="L352" t="s">
        <v>643</v>
      </c>
      <c r="M352">
        <v>102</v>
      </c>
      <c r="N352">
        <v>61</v>
      </c>
      <c r="O352">
        <v>228</v>
      </c>
      <c r="P352" t="s">
        <v>644</v>
      </c>
      <c r="Q352" t="s">
        <v>145</v>
      </c>
      <c r="R352" t="s">
        <v>160</v>
      </c>
      <c r="S352" t="s">
        <v>139</v>
      </c>
    </row>
    <row r="353" spans="1:19" x14ac:dyDescent="0.3">
      <c r="A353" s="11" t="str">
        <f t="shared" si="40"/>
        <v>Fanatic</v>
      </c>
      <c r="B353" s="11" t="str">
        <f t="shared" si="41"/>
        <v>Grip Xs</v>
      </c>
      <c r="C353" s="11">
        <f t="shared" si="42"/>
        <v>218</v>
      </c>
      <c r="D353" s="11">
        <f t="shared" si="43"/>
        <v>52</v>
      </c>
      <c r="E353" s="11">
        <f t="shared" si="44"/>
        <v>60</v>
      </c>
      <c r="F353" s="38" t="str">
        <f t="shared" si="45"/>
        <v>2020</v>
      </c>
      <c r="G353" s="11" t="str" cm="1">
        <f t="array" ref="G353">gssBoardClass(A353,B353,C353,D353,E353,F353)</f>
        <v>Wave / Freestyle</v>
      </c>
      <c r="H353" s="39" t="str">
        <f t="shared" si="46"/>
        <v>2020-Fa-Gri-60-52-218</v>
      </c>
      <c r="I353" s="42" t="str">
        <f t="shared" si="47"/>
        <v>2020</v>
      </c>
      <c r="J353" s="46">
        <v>2020</v>
      </c>
      <c r="K353" t="s">
        <v>1</v>
      </c>
      <c r="L353" t="s">
        <v>639</v>
      </c>
      <c r="M353">
        <v>60</v>
      </c>
      <c r="N353">
        <v>52</v>
      </c>
      <c r="O353">
        <v>218</v>
      </c>
      <c r="P353" t="s">
        <v>640</v>
      </c>
      <c r="Q353" t="s">
        <v>141</v>
      </c>
      <c r="R353" t="s">
        <v>641</v>
      </c>
      <c r="S353" t="s">
        <v>642</v>
      </c>
    </row>
    <row r="354" spans="1:19" x14ac:dyDescent="0.3">
      <c r="A354" s="11" t="str">
        <f t="shared" si="40"/>
        <v>Fanatic</v>
      </c>
      <c r="B354" s="11" t="str">
        <f t="shared" si="41"/>
        <v>Grip Te</v>
      </c>
      <c r="C354" s="11">
        <f t="shared" si="42"/>
        <v>220</v>
      </c>
      <c r="D354" s="11">
        <f t="shared" si="43"/>
        <v>54</v>
      </c>
      <c r="E354" s="11">
        <f t="shared" si="44"/>
        <v>68</v>
      </c>
      <c r="F354" s="38" t="str">
        <f t="shared" si="45"/>
        <v>2020</v>
      </c>
      <c r="G354" s="11" t="str" cm="1">
        <f t="array" ref="G354">gssBoardClass(A354,B354,C354,D354,E354,F354)</f>
        <v>Wave / Freestyle</v>
      </c>
      <c r="H354" s="39" t="str">
        <f t="shared" si="46"/>
        <v>2020-Fa-Gri-68-54-220</v>
      </c>
      <c r="I354" s="42" t="str">
        <f t="shared" si="47"/>
        <v>2020</v>
      </c>
      <c r="J354" s="46">
        <v>2020</v>
      </c>
      <c r="K354" t="s">
        <v>1</v>
      </c>
      <c r="L354" t="s">
        <v>643</v>
      </c>
      <c r="M354">
        <v>68</v>
      </c>
      <c r="N354">
        <v>54</v>
      </c>
      <c r="O354">
        <v>220</v>
      </c>
      <c r="P354" t="s">
        <v>644</v>
      </c>
      <c r="Q354" t="s">
        <v>141</v>
      </c>
      <c r="R354" t="s">
        <v>641</v>
      </c>
      <c r="S354" t="s">
        <v>143</v>
      </c>
    </row>
    <row r="355" spans="1:19" x14ac:dyDescent="0.3">
      <c r="A355" s="11" t="str">
        <f t="shared" si="40"/>
        <v>Fanatic</v>
      </c>
      <c r="B355" s="11" t="str">
        <f t="shared" si="41"/>
        <v>Grip Te</v>
      </c>
      <c r="C355" s="11">
        <f t="shared" si="42"/>
        <v>222</v>
      </c>
      <c r="D355" s="11">
        <f t="shared" si="43"/>
        <v>56</v>
      </c>
      <c r="E355" s="11">
        <f t="shared" si="44"/>
        <v>75</v>
      </c>
      <c r="F355" s="38" t="str">
        <f t="shared" si="45"/>
        <v>2020</v>
      </c>
      <c r="G355" s="11" t="str" cm="1">
        <f t="array" ref="G355">gssBoardClass(A355,B355,C355,D355,E355,F355)</f>
        <v>Wave / Freestyle</v>
      </c>
      <c r="H355" s="39" t="str">
        <f t="shared" si="46"/>
        <v>2020-Fa-Gri-75-56-222</v>
      </c>
      <c r="I355" s="42" t="str">
        <f t="shared" si="47"/>
        <v>2020</v>
      </c>
      <c r="J355" s="46">
        <v>2020</v>
      </c>
      <c r="K355" t="s">
        <v>1</v>
      </c>
      <c r="L355" t="s">
        <v>643</v>
      </c>
      <c r="M355">
        <v>75</v>
      </c>
      <c r="N355">
        <v>56</v>
      </c>
      <c r="O355">
        <v>222</v>
      </c>
      <c r="P355" t="s">
        <v>644</v>
      </c>
      <c r="Q355" t="s">
        <v>145</v>
      </c>
      <c r="R355" t="s">
        <v>153</v>
      </c>
      <c r="S355" t="s">
        <v>133</v>
      </c>
    </row>
    <row r="356" spans="1:19" x14ac:dyDescent="0.3">
      <c r="A356" s="11" t="str">
        <f t="shared" si="40"/>
        <v>Fanatic</v>
      </c>
      <c r="B356" s="11" t="str">
        <f t="shared" si="41"/>
        <v>Grip Te</v>
      </c>
      <c r="C356" s="11">
        <f t="shared" si="42"/>
        <v>224</v>
      </c>
      <c r="D356" s="11">
        <f t="shared" si="43"/>
        <v>58</v>
      </c>
      <c r="E356" s="11">
        <f t="shared" si="44"/>
        <v>82</v>
      </c>
      <c r="F356" s="38" t="str">
        <f t="shared" si="45"/>
        <v>2020</v>
      </c>
      <c r="G356" s="11" t="str" cm="1">
        <f t="array" ref="G356">gssBoardClass(A356,B356,C356,D356,E356,F356)</f>
        <v>Wave / Freestyle</v>
      </c>
      <c r="H356" s="39" t="str">
        <f t="shared" si="46"/>
        <v>2020-Fa-Gri-82-58-224</v>
      </c>
      <c r="I356" s="42" t="str">
        <f t="shared" si="47"/>
        <v>2020</v>
      </c>
      <c r="J356" s="46">
        <v>2020</v>
      </c>
      <c r="K356" t="s">
        <v>1</v>
      </c>
      <c r="L356" t="s">
        <v>643</v>
      </c>
      <c r="M356">
        <v>82</v>
      </c>
      <c r="N356">
        <v>58</v>
      </c>
      <c r="O356">
        <v>224</v>
      </c>
      <c r="P356" t="s">
        <v>644</v>
      </c>
      <c r="Q356" t="s">
        <v>145</v>
      </c>
      <c r="R356" t="s">
        <v>146</v>
      </c>
      <c r="S356" t="s">
        <v>135</v>
      </c>
    </row>
    <row r="357" spans="1:19" x14ac:dyDescent="0.3">
      <c r="A357" s="11" t="str">
        <f t="shared" si="40"/>
        <v>Fanatic</v>
      </c>
      <c r="B357" s="11" t="str">
        <f t="shared" si="41"/>
        <v>Grip Te</v>
      </c>
      <c r="C357" s="11">
        <f t="shared" si="42"/>
        <v>225</v>
      </c>
      <c r="D357" s="11">
        <f t="shared" si="43"/>
        <v>58</v>
      </c>
      <c r="E357" s="11">
        <f t="shared" si="44"/>
        <v>86</v>
      </c>
      <c r="F357" s="38" t="str">
        <f t="shared" si="45"/>
        <v>2020</v>
      </c>
      <c r="G357" s="11" t="str" cm="1">
        <f t="array" ref="G357">gssBoardClass(A357,B357,C357,D357,E357,F357)</f>
        <v>Wave / Freestyle</v>
      </c>
      <c r="H357" s="39" t="str">
        <f t="shared" si="46"/>
        <v>2020-Fa-Gri-86-58-225</v>
      </c>
      <c r="I357" s="42" t="str">
        <f t="shared" si="47"/>
        <v>2020</v>
      </c>
      <c r="J357" s="46">
        <v>2020</v>
      </c>
      <c r="K357" t="s">
        <v>1</v>
      </c>
      <c r="L357" t="s">
        <v>643</v>
      </c>
      <c r="M357">
        <v>86</v>
      </c>
      <c r="N357">
        <v>58.5</v>
      </c>
      <c r="O357">
        <v>225</v>
      </c>
      <c r="P357" t="s">
        <v>644</v>
      </c>
      <c r="Q357" t="s">
        <v>145</v>
      </c>
      <c r="R357" t="s">
        <v>153</v>
      </c>
      <c r="S357" t="s">
        <v>158</v>
      </c>
    </row>
    <row r="358" spans="1:19" x14ac:dyDescent="0.3">
      <c r="A358" s="11" t="str">
        <f t="shared" si="40"/>
        <v>Fanatic</v>
      </c>
      <c r="B358" s="11" t="str">
        <f t="shared" si="41"/>
        <v>Grip Te</v>
      </c>
      <c r="C358" s="11">
        <f t="shared" si="42"/>
        <v>226</v>
      </c>
      <c r="D358" s="11">
        <f t="shared" si="43"/>
        <v>59</v>
      </c>
      <c r="E358" s="11">
        <f t="shared" si="44"/>
        <v>92</v>
      </c>
      <c r="F358" s="38" t="str">
        <f t="shared" si="45"/>
        <v>2020</v>
      </c>
      <c r="G358" s="11" t="str" cm="1">
        <f t="array" ref="G358">gssBoardClass(A358,B358,C358,D358,E358,F358)</f>
        <v>Wave / Freestyle</v>
      </c>
      <c r="H358" s="39" t="str">
        <f t="shared" si="46"/>
        <v>2020-Fa-Gri-92-59-226</v>
      </c>
      <c r="I358" s="42" t="str">
        <f t="shared" si="47"/>
        <v>2020</v>
      </c>
      <c r="J358" s="46">
        <v>2020</v>
      </c>
      <c r="K358" t="s">
        <v>1</v>
      </c>
      <c r="L358" t="s">
        <v>643</v>
      </c>
      <c r="M358">
        <v>92</v>
      </c>
      <c r="N358">
        <v>59.5</v>
      </c>
      <c r="O358">
        <v>226</v>
      </c>
      <c r="P358" t="s">
        <v>644</v>
      </c>
      <c r="Q358" t="s">
        <v>145</v>
      </c>
      <c r="R358" t="s">
        <v>149</v>
      </c>
      <c r="S358" t="s">
        <v>138</v>
      </c>
    </row>
    <row r="359" spans="1:19" x14ac:dyDescent="0.3">
      <c r="A359" s="11" t="str">
        <f t="shared" si="40"/>
        <v>Fanatic</v>
      </c>
      <c r="B359" s="11" t="str">
        <f t="shared" si="41"/>
        <v>Jag Ltd</v>
      </c>
      <c r="C359" s="11">
        <f t="shared" si="42"/>
        <v>235</v>
      </c>
      <c r="D359" s="11">
        <f t="shared" si="43"/>
        <v>69</v>
      </c>
      <c r="E359" s="11">
        <f t="shared" si="44"/>
        <v>108</v>
      </c>
      <c r="F359" s="38" t="str">
        <f t="shared" si="45"/>
        <v>2020</v>
      </c>
      <c r="G359" s="11" t="str" cm="1">
        <f t="array" ref="G359">gssBoardClass(A359,B359,C359,D359,E359,F359)</f>
        <v>Slalom Medium</v>
      </c>
      <c r="H359" s="39" t="str">
        <f t="shared" si="46"/>
        <v>2020-Fa-Jag-108-69-235</v>
      </c>
      <c r="I359" s="42" t="str">
        <f t="shared" si="47"/>
        <v>2020</v>
      </c>
      <c r="J359" s="46">
        <v>2020</v>
      </c>
      <c r="K359" t="s">
        <v>1</v>
      </c>
      <c r="L359" t="s">
        <v>687</v>
      </c>
      <c r="M359">
        <v>108</v>
      </c>
      <c r="N359">
        <v>69</v>
      </c>
      <c r="O359">
        <v>235</v>
      </c>
      <c r="P359" t="s">
        <v>709</v>
      </c>
      <c r="Q359" t="s">
        <v>283</v>
      </c>
      <c r="R359" t="s">
        <v>686</v>
      </c>
      <c r="S359" t="s">
        <v>196</v>
      </c>
    </row>
    <row r="360" spans="1:19" x14ac:dyDescent="0.3">
      <c r="A360" s="11" t="str">
        <f t="shared" si="40"/>
        <v>Fanatic</v>
      </c>
      <c r="B360" s="11" t="str">
        <f t="shared" si="41"/>
        <v>Jag Ltd</v>
      </c>
      <c r="C360" s="11">
        <f t="shared" si="42"/>
        <v>235</v>
      </c>
      <c r="D360" s="11">
        <f t="shared" si="43"/>
        <v>75</v>
      </c>
      <c r="E360" s="11">
        <f t="shared" si="44"/>
        <v>125</v>
      </c>
      <c r="F360" s="38" t="str">
        <f t="shared" si="45"/>
        <v>2020</v>
      </c>
      <c r="G360" s="11" t="str" cm="1">
        <f t="array" ref="G360">gssBoardClass(A360,B360,C360,D360,E360,F360)</f>
        <v>Slalom Large</v>
      </c>
      <c r="H360" s="39" t="str">
        <f t="shared" si="46"/>
        <v>2020-Fa-Jag-125-75-235</v>
      </c>
      <c r="I360" s="42" t="str">
        <f t="shared" si="47"/>
        <v>2020</v>
      </c>
      <c r="J360" s="46">
        <v>2020</v>
      </c>
      <c r="K360" t="s">
        <v>1</v>
      </c>
      <c r="L360" t="s">
        <v>687</v>
      </c>
      <c r="M360">
        <v>125</v>
      </c>
      <c r="N360">
        <v>75</v>
      </c>
      <c r="O360">
        <v>235</v>
      </c>
      <c r="P360" t="s">
        <v>709</v>
      </c>
      <c r="Q360" t="s">
        <v>283</v>
      </c>
      <c r="R360" t="s">
        <v>688</v>
      </c>
      <c r="S360" t="s">
        <v>252</v>
      </c>
    </row>
    <row r="361" spans="1:19" x14ac:dyDescent="0.3">
      <c r="A361" s="11" t="str">
        <f t="shared" si="40"/>
        <v>Fanatic</v>
      </c>
      <c r="B361" s="11" t="str">
        <f t="shared" si="41"/>
        <v>Jag Ltd</v>
      </c>
      <c r="C361" s="11">
        <f t="shared" si="42"/>
        <v>235</v>
      </c>
      <c r="D361" s="11">
        <f t="shared" si="43"/>
        <v>82</v>
      </c>
      <c r="E361" s="11">
        <f t="shared" si="44"/>
        <v>135</v>
      </c>
      <c r="F361" s="38" t="str">
        <f t="shared" si="45"/>
        <v>2020</v>
      </c>
      <c r="G361" s="11" t="str" cm="1">
        <f t="array" ref="G361">gssBoardClass(A361,B361,C361,D361,E361,F361)</f>
        <v>Slalom Large</v>
      </c>
      <c r="H361" s="39" t="str">
        <f t="shared" si="46"/>
        <v>2020-Fa-Jag-135-82-235</v>
      </c>
      <c r="I361" s="42" t="str">
        <f t="shared" si="47"/>
        <v>2020</v>
      </c>
      <c r="J361" s="46">
        <v>2020</v>
      </c>
      <c r="K361" t="s">
        <v>1</v>
      </c>
      <c r="L361" t="s">
        <v>687</v>
      </c>
      <c r="M361">
        <v>135</v>
      </c>
      <c r="N361">
        <v>82</v>
      </c>
      <c r="O361">
        <v>235</v>
      </c>
      <c r="P361" t="s">
        <v>709</v>
      </c>
      <c r="Q361" t="s">
        <v>283</v>
      </c>
      <c r="R361" t="s">
        <v>689</v>
      </c>
      <c r="S361" t="s">
        <v>205</v>
      </c>
    </row>
    <row r="362" spans="1:19" x14ac:dyDescent="0.3">
      <c r="A362" s="11" t="str">
        <f t="shared" si="40"/>
        <v>Fanatic</v>
      </c>
      <c r="B362" s="11" t="str">
        <f t="shared" si="41"/>
        <v>Jag Ltd</v>
      </c>
      <c r="C362" s="11">
        <f t="shared" si="42"/>
        <v>235</v>
      </c>
      <c r="D362" s="11">
        <f t="shared" si="43"/>
        <v>61</v>
      </c>
      <c r="E362" s="11">
        <f t="shared" si="44"/>
        <v>94</v>
      </c>
      <c r="F362" s="38" t="str">
        <f t="shared" si="45"/>
        <v>2020</v>
      </c>
      <c r="G362" s="11" t="str" cm="1">
        <f t="array" ref="G362">gssBoardClass(A362,B362,C362,D362,E362,F362)</f>
        <v>Speed/Slalom Small</v>
      </c>
      <c r="H362" s="39" t="str">
        <f t="shared" si="46"/>
        <v>2020-Fa-Jag-94-61-235</v>
      </c>
      <c r="I362" s="42" t="str">
        <f t="shared" si="47"/>
        <v>2020</v>
      </c>
      <c r="J362" s="46">
        <v>2020</v>
      </c>
      <c r="K362" t="s">
        <v>1</v>
      </c>
      <c r="L362" t="s">
        <v>687</v>
      </c>
      <c r="M362">
        <v>94</v>
      </c>
      <c r="N362">
        <v>61</v>
      </c>
      <c r="O362">
        <v>235</v>
      </c>
      <c r="P362" t="s">
        <v>709</v>
      </c>
      <c r="Q362" t="s">
        <v>684</v>
      </c>
      <c r="R362" t="s">
        <v>685</v>
      </c>
      <c r="S362" t="s">
        <v>247</v>
      </c>
    </row>
    <row r="363" spans="1:19" x14ac:dyDescent="0.3">
      <c r="A363" s="11" t="str">
        <f t="shared" si="40"/>
        <v>Fanatic</v>
      </c>
      <c r="B363" s="11" t="str">
        <f t="shared" si="41"/>
        <v>Ripper</v>
      </c>
      <c r="C363" s="11">
        <f t="shared" si="42"/>
        <v>239</v>
      </c>
      <c r="D363" s="11">
        <f t="shared" si="43"/>
        <v>73</v>
      </c>
      <c r="E363" s="11">
        <f t="shared" si="44"/>
        <v>112</v>
      </c>
      <c r="F363" s="38" t="str">
        <f t="shared" si="45"/>
        <v>2020</v>
      </c>
      <c r="G363" s="11" t="str" cm="1">
        <f t="array" ref="G363">gssBoardClass(A363,B363,C363,D363,E363,F363)</f>
        <v>Slalom Medium</v>
      </c>
      <c r="H363" s="39" t="str">
        <f t="shared" si="46"/>
        <v>2020-Fa-Rip-112-73-239</v>
      </c>
      <c r="I363" s="42" t="str">
        <f t="shared" si="47"/>
        <v>2020</v>
      </c>
      <c r="J363" s="46">
        <v>2020</v>
      </c>
      <c r="K363" t="s">
        <v>1</v>
      </c>
      <c r="L363" t="s">
        <v>700</v>
      </c>
      <c r="M363">
        <v>112</v>
      </c>
      <c r="N363">
        <v>73</v>
      </c>
      <c r="O363">
        <v>239</v>
      </c>
      <c r="P363" t="s">
        <v>699</v>
      </c>
      <c r="Q363" t="s">
        <v>179</v>
      </c>
      <c r="R363" t="s">
        <v>701</v>
      </c>
      <c r="S363" t="s">
        <v>193</v>
      </c>
    </row>
    <row r="364" spans="1:19" x14ac:dyDescent="0.3">
      <c r="A364" s="11" t="str">
        <f t="shared" si="40"/>
        <v>Fanatic</v>
      </c>
      <c r="B364" s="11" t="str">
        <f t="shared" si="41"/>
        <v>Ripper Air Ws</v>
      </c>
      <c r="C364" s="11">
        <f t="shared" si="42"/>
        <v>274</v>
      </c>
      <c r="D364" s="11">
        <f t="shared" si="43"/>
        <v>73</v>
      </c>
      <c r="E364" s="11">
        <f t="shared" si="44"/>
        <v>187</v>
      </c>
      <c r="F364" s="38" t="str">
        <f t="shared" si="45"/>
        <v>2020</v>
      </c>
      <c r="G364" s="11" t="str" cm="1">
        <f t="array" ref="G364">gssBoardClass(A364,B364,C364,D364,E364,F364)</f>
        <v>Slalom Medium</v>
      </c>
      <c r="H364" s="39" t="str">
        <f t="shared" si="46"/>
        <v>2020-Fa-Rip-187-73-274</v>
      </c>
      <c r="I364" s="42" t="str">
        <f t="shared" si="47"/>
        <v>2020</v>
      </c>
      <c r="J364" s="46">
        <v>2020</v>
      </c>
      <c r="K364" t="s">
        <v>1</v>
      </c>
      <c r="L364" t="s">
        <v>707</v>
      </c>
      <c r="M364">
        <v>187</v>
      </c>
      <c r="N364">
        <v>73.7</v>
      </c>
      <c r="O364">
        <v>274.3</v>
      </c>
      <c r="P364" t="s">
        <v>706</v>
      </c>
      <c r="Q364" t="s">
        <v>269</v>
      </c>
      <c r="R364" t="s">
        <v>703</v>
      </c>
      <c r="S364" t="s">
        <v>704</v>
      </c>
    </row>
    <row r="365" spans="1:19" x14ac:dyDescent="0.3">
      <c r="A365" s="11" t="str">
        <f t="shared" si="40"/>
        <v>Fanatic</v>
      </c>
      <c r="B365" s="11" t="str">
        <f t="shared" si="41"/>
        <v>Skate Te</v>
      </c>
      <c r="C365" s="11">
        <f t="shared" si="42"/>
        <v>226</v>
      </c>
      <c r="D365" s="11">
        <f t="shared" si="43"/>
        <v>66</v>
      </c>
      <c r="E365" s="11">
        <f t="shared" si="44"/>
        <v>108</v>
      </c>
      <c r="F365" s="38" t="str">
        <f t="shared" si="45"/>
        <v>2020</v>
      </c>
      <c r="G365" s="11" t="str" cm="1">
        <f t="array" ref="G365">gssBoardClass(A365,B365,C365,D365,E365,F365)</f>
        <v>Wave / Freestyle</v>
      </c>
      <c r="H365" s="39" t="str">
        <f t="shared" si="46"/>
        <v>2020-Fa-Ska-108-66-226</v>
      </c>
      <c r="I365" s="42" t="str">
        <f t="shared" si="47"/>
        <v>2020</v>
      </c>
      <c r="J365" s="46">
        <v>2020</v>
      </c>
      <c r="K365" t="s">
        <v>1</v>
      </c>
      <c r="L365" t="s">
        <v>664</v>
      </c>
      <c r="M365">
        <v>108</v>
      </c>
      <c r="N365">
        <v>66.5</v>
      </c>
      <c r="O365">
        <v>226</v>
      </c>
      <c r="P365" t="s">
        <v>644</v>
      </c>
      <c r="Q365" t="s">
        <v>179</v>
      </c>
      <c r="R365" t="s">
        <v>666</v>
      </c>
      <c r="S365" t="s">
        <v>188</v>
      </c>
    </row>
    <row r="366" spans="1:19" x14ac:dyDescent="0.3">
      <c r="A366" s="11" t="str">
        <f t="shared" si="40"/>
        <v>Fanatic</v>
      </c>
      <c r="B366" s="11" t="str">
        <f t="shared" si="41"/>
        <v>Skate Te</v>
      </c>
      <c r="C366" s="11">
        <f t="shared" si="42"/>
        <v>225</v>
      </c>
      <c r="D366" s="11">
        <f t="shared" si="43"/>
        <v>60</v>
      </c>
      <c r="E366" s="11">
        <f t="shared" si="44"/>
        <v>85</v>
      </c>
      <c r="F366" s="38" t="str">
        <f t="shared" si="45"/>
        <v>2020</v>
      </c>
      <c r="G366" s="11" t="str" cm="1">
        <f t="array" ref="G366">gssBoardClass(A366,B366,C366,D366,E366,F366)</f>
        <v>Wave / Freestyle</v>
      </c>
      <c r="H366" s="39" t="str">
        <f t="shared" si="46"/>
        <v>2020-Fa-Ska-85-60-225</v>
      </c>
      <c r="I366" s="42" t="str">
        <f t="shared" si="47"/>
        <v>2020</v>
      </c>
      <c r="J366" s="46">
        <v>2020</v>
      </c>
      <c r="K366" t="s">
        <v>1</v>
      </c>
      <c r="L366" t="s">
        <v>664</v>
      </c>
      <c r="M366">
        <v>85</v>
      </c>
      <c r="N366">
        <v>60</v>
      </c>
      <c r="O366">
        <v>225</v>
      </c>
      <c r="P366" t="s">
        <v>644</v>
      </c>
      <c r="Q366" t="s">
        <v>179</v>
      </c>
      <c r="R366" t="s">
        <v>662</v>
      </c>
      <c r="S366" t="s">
        <v>133</v>
      </c>
    </row>
    <row r="367" spans="1:19" x14ac:dyDescent="0.3">
      <c r="A367" s="11" t="str">
        <f t="shared" si="40"/>
        <v>Fanatic</v>
      </c>
      <c r="B367" s="11" t="str">
        <f t="shared" si="41"/>
        <v>Skate Te</v>
      </c>
      <c r="C367" s="11">
        <f t="shared" si="42"/>
        <v>220</v>
      </c>
      <c r="D367" s="11">
        <f t="shared" si="43"/>
        <v>62</v>
      </c>
      <c r="E367" s="11">
        <f t="shared" si="44"/>
        <v>92</v>
      </c>
      <c r="F367" s="38" t="str">
        <f t="shared" si="45"/>
        <v>2020</v>
      </c>
      <c r="G367" s="11" t="str" cm="1">
        <f t="array" ref="G367">gssBoardClass(A367,B367,C367,D367,E367,F367)</f>
        <v>Wave / Freestyle</v>
      </c>
      <c r="H367" s="39" t="str">
        <f t="shared" si="46"/>
        <v>2020-Fa-Ska-92-62-220</v>
      </c>
      <c r="I367" s="42" t="str">
        <f t="shared" si="47"/>
        <v>2020</v>
      </c>
      <c r="J367" s="46">
        <v>2020</v>
      </c>
      <c r="K367" t="s">
        <v>1</v>
      </c>
      <c r="L367" t="s">
        <v>664</v>
      </c>
      <c r="M367">
        <v>92</v>
      </c>
      <c r="N367">
        <v>62</v>
      </c>
      <c r="O367">
        <v>220</v>
      </c>
      <c r="P367" t="s">
        <v>644</v>
      </c>
      <c r="Q367" t="s">
        <v>179</v>
      </c>
      <c r="R367" t="s">
        <v>663</v>
      </c>
      <c r="S367" t="s">
        <v>183</v>
      </c>
    </row>
    <row r="368" spans="1:19" x14ac:dyDescent="0.3">
      <c r="A368" s="11" t="str">
        <f t="shared" si="40"/>
        <v>Fanatic</v>
      </c>
      <c r="B368" s="11" t="str">
        <f t="shared" si="41"/>
        <v>Skate Te</v>
      </c>
      <c r="C368" s="11">
        <f t="shared" si="42"/>
        <v>225</v>
      </c>
      <c r="D368" s="11">
        <f t="shared" si="43"/>
        <v>65</v>
      </c>
      <c r="E368" s="11">
        <f t="shared" si="44"/>
        <v>99</v>
      </c>
      <c r="F368" s="38" t="str">
        <f t="shared" si="45"/>
        <v>2020</v>
      </c>
      <c r="G368" s="11" t="str" cm="1">
        <f t="array" ref="G368">gssBoardClass(A368,B368,C368,D368,E368,F368)</f>
        <v>Wave / Freestyle</v>
      </c>
      <c r="H368" s="39" t="str">
        <f t="shared" si="46"/>
        <v>2020-Fa-Ska-99-65-225</v>
      </c>
      <c r="I368" s="42" t="str">
        <f t="shared" si="47"/>
        <v>2020</v>
      </c>
      <c r="J368" s="46">
        <v>2020</v>
      </c>
      <c r="K368" t="s">
        <v>1</v>
      </c>
      <c r="L368" t="s">
        <v>664</v>
      </c>
      <c r="M368">
        <v>99</v>
      </c>
      <c r="N368">
        <v>65</v>
      </c>
      <c r="O368">
        <v>225</v>
      </c>
      <c r="P368" t="s">
        <v>644</v>
      </c>
      <c r="Q368" t="s">
        <v>179</v>
      </c>
      <c r="R368" t="s">
        <v>665</v>
      </c>
      <c r="S368" t="s">
        <v>138</v>
      </c>
    </row>
    <row r="369" spans="1:19" x14ac:dyDescent="0.3">
      <c r="A369" s="11" t="str">
        <f t="shared" si="40"/>
        <v>Fanatic</v>
      </c>
      <c r="B369" s="11" t="str">
        <f t="shared" si="41"/>
        <v>Stingray Ltd</v>
      </c>
      <c r="C369" s="11">
        <f t="shared" si="42"/>
        <v>215</v>
      </c>
      <c r="D369" s="11">
        <f t="shared" si="43"/>
        <v>65</v>
      </c>
      <c r="E369" s="11">
        <f t="shared" si="44"/>
        <v>110</v>
      </c>
      <c r="F369" s="38" t="str">
        <f t="shared" si="45"/>
        <v>2020</v>
      </c>
      <c r="G369" s="11" t="str" cm="1">
        <f t="array" ref="G369">gssBoardClass(A369,B369,C369,D369,E369,F369)</f>
        <v>Speed/Slalom Small</v>
      </c>
      <c r="H369" s="39" t="str">
        <f t="shared" si="46"/>
        <v>2020-Fa-Sti-110-65-215</v>
      </c>
      <c r="I369" s="42" t="str">
        <f t="shared" si="47"/>
        <v>2020</v>
      </c>
      <c r="J369" s="46">
        <v>2020</v>
      </c>
      <c r="K369" t="s">
        <v>1</v>
      </c>
      <c r="L369" t="s">
        <v>695</v>
      </c>
      <c r="M369">
        <v>110</v>
      </c>
      <c r="N369">
        <v>65</v>
      </c>
      <c r="O369">
        <v>215</v>
      </c>
      <c r="P369" t="s">
        <v>657</v>
      </c>
      <c r="Q369" t="s">
        <v>696</v>
      </c>
      <c r="R369" t="s">
        <v>246</v>
      </c>
      <c r="S369" t="s">
        <v>193</v>
      </c>
    </row>
    <row r="370" spans="1:19" x14ac:dyDescent="0.3">
      <c r="A370" s="11" t="str">
        <f t="shared" si="40"/>
        <v>Fanatic</v>
      </c>
      <c r="B370" s="11" t="str">
        <f t="shared" si="41"/>
        <v>Stingray Ltd</v>
      </c>
      <c r="C370" s="11">
        <f t="shared" si="42"/>
        <v>228</v>
      </c>
      <c r="D370" s="11">
        <f t="shared" si="43"/>
        <v>75</v>
      </c>
      <c r="E370" s="11">
        <f t="shared" si="44"/>
        <v>125</v>
      </c>
      <c r="F370" s="38" t="str">
        <f t="shared" si="45"/>
        <v>2020</v>
      </c>
      <c r="G370" s="11" t="str" cm="1">
        <f t="array" ref="G370">gssBoardClass(A370,B370,C370,D370,E370,F370)</f>
        <v>Slalom Large</v>
      </c>
      <c r="H370" s="39" t="str">
        <f t="shared" si="46"/>
        <v>2020-Fa-Sti-125-75-228</v>
      </c>
      <c r="I370" s="42" t="str">
        <f t="shared" si="47"/>
        <v>2020</v>
      </c>
      <c r="J370" s="46">
        <v>2020</v>
      </c>
      <c r="K370" t="s">
        <v>1</v>
      </c>
      <c r="L370" t="s">
        <v>695</v>
      </c>
      <c r="M370">
        <v>125</v>
      </c>
      <c r="N370">
        <v>75</v>
      </c>
      <c r="O370">
        <v>228</v>
      </c>
      <c r="P370" t="s">
        <v>659</v>
      </c>
      <c r="Q370" t="s">
        <v>696</v>
      </c>
      <c r="R370" t="s">
        <v>246</v>
      </c>
      <c r="S370" t="s">
        <v>199</v>
      </c>
    </row>
    <row r="371" spans="1:19" x14ac:dyDescent="0.3">
      <c r="A371" s="11" t="str">
        <f t="shared" si="40"/>
        <v>Fanatic</v>
      </c>
      <c r="B371" s="11" t="str">
        <f t="shared" si="41"/>
        <v>Stingray Hrs</v>
      </c>
      <c r="C371" s="11">
        <f t="shared" si="42"/>
        <v>228</v>
      </c>
      <c r="D371" s="11">
        <f t="shared" si="43"/>
        <v>75</v>
      </c>
      <c r="E371" s="11">
        <f t="shared" si="44"/>
        <v>125</v>
      </c>
      <c r="F371" s="38" t="str">
        <f t="shared" si="45"/>
        <v>2020</v>
      </c>
      <c r="G371" s="11" t="str" cm="1">
        <f t="array" ref="G371">gssBoardClass(A371,B371,C371,D371,E371,F371)</f>
        <v>Slalom Large</v>
      </c>
      <c r="H371" s="39" t="str">
        <f t="shared" si="46"/>
        <v>2020-Fa-Sti-125-75-228</v>
      </c>
      <c r="I371" s="42" t="str">
        <f t="shared" si="47"/>
        <v>2020</v>
      </c>
      <c r="J371" s="46">
        <v>2020</v>
      </c>
      <c r="K371" t="s">
        <v>1</v>
      </c>
      <c r="L371" t="s">
        <v>697</v>
      </c>
      <c r="M371">
        <v>125</v>
      </c>
      <c r="N371">
        <v>75</v>
      </c>
      <c r="O371">
        <v>228</v>
      </c>
      <c r="P371" t="s">
        <v>592</v>
      </c>
      <c r="Q371" t="s">
        <v>696</v>
      </c>
      <c r="R371" t="s">
        <v>246</v>
      </c>
      <c r="S371" t="s">
        <v>199</v>
      </c>
    </row>
    <row r="372" spans="1:19" x14ac:dyDescent="0.3">
      <c r="A372" s="11" t="str">
        <f t="shared" si="40"/>
        <v>Fanatic</v>
      </c>
      <c r="B372" s="11" t="str">
        <f t="shared" si="41"/>
        <v>Stingray Ltd</v>
      </c>
      <c r="C372" s="11">
        <f t="shared" si="42"/>
        <v>228</v>
      </c>
      <c r="D372" s="11">
        <f t="shared" si="43"/>
        <v>85</v>
      </c>
      <c r="E372" s="11">
        <f t="shared" si="44"/>
        <v>140</v>
      </c>
      <c r="F372" s="38" t="str">
        <f t="shared" si="45"/>
        <v>2020</v>
      </c>
      <c r="G372" s="11" t="str" cm="1">
        <f t="array" ref="G372">gssBoardClass(A372,B372,C372,D372,E372,F372)</f>
        <v>Slalom Large</v>
      </c>
      <c r="H372" s="39" t="str">
        <f t="shared" si="46"/>
        <v>2020-Fa-Sti-140-85-228</v>
      </c>
      <c r="I372" s="42" t="str">
        <f t="shared" si="47"/>
        <v>2020</v>
      </c>
      <c r="J372" s="46">
        <v>2020</v>
      </c>
      <c r="K372" t="s">
        <v>1</v>
      </c>
      <c r="L372" t="s">
        <v>695</v>
      </c>
      <c r="M372">
        <v>140</v>
      </c>
      <c r="N372">
        <v>85</v>
      </c>
      <c r="O372">
        <v>228</v>
      </c>
      <c r="P372" t="s">
        <v>659</v>
      </c>
      <c r="Q372" t="s">
        <v>696</v>
      </c>
      <c r="R372" t="s">
        <v>246</v>
      </c>
      <c r="S372" t="s">
        <v>238</v>
      </c>
    </row>
    <row r="373" spans="1:19" x14ac:dyDescent="0.3">
      <c r="A373" s="11" t="str">
        <f t="shared" si="40"/>
        <v>Fanatic</v>
      </c>
      <c r="B373" s="11" t="str">
        <f t="shared" si="41"/>
        <v>Stingray Hrs</v>
      </c>
      <c r="C373" s="11">
        <f t="shared" si="42"/>
        <v>228</v>
      </c>
      <c r="D373" s="11">
        <f t="shared" si="43"/>
        <v>85</v>
      </c>
      <c r="E373" s="11">
        <f t="shared" si="44"/>
        <v>140</v>
      </c>
      <c r="F373" s="38" t="str">
        <f t="shared" si="45"/>
        <v>2020</v>
      </c>
      <c r="G373" s="11" t="str" cm="1">
        <f t="array" ref="G373">gssBoardClass(A373,B373,C373,D373,E373,F373)</f>
        <v>Slalom Large</v>
      </c>
      <c r="H373" s="39" t="str">
        <f t="shared" si="46"/>
        <v>2020-Fa-Sti-140-85-228</v>
      </c>
      <c r="I373" s="42" t="str">
        <f t="shared" si="47"/>
        <v>2020</v>
      </c>
      <c r="J373" s="46">
        <v>2020</v>
      </c>
      <c r="K373" t="s">
        <v>1</v>
      </c>
      <c r="L373" t="s">
        <v>697</v>
      </c>
      <c r="M373">
        <v>140</v>
      </c>
      <c r="N373">
        <v>85</v>
      </c>
      <c r="O373">
        <v>228</v>
      </c>
      <c r="P373" t="s">
        <v>592</v>
      </c>
      <c r="Q373" t="s">
        <v>696</v>
      </c>
      <c r="R373" t="s">
        <v>246</v>
      </c>
      <c r="S373" t="s">
        <v>238</v>
      </c>
    </row>
    <row r="374" spans="1:19" x14ac:dyDescent="0.3">
      <c r="A374" s="11" t="str">
        <f t="shared" si="40"/>
        <v>Fanatic</v>
      </c>
      <c r="B374" s="11" t="str">
        <f t="shared" si="41"/>
        <v>Stubby Te</v>
      </c>
      <c r="C374" s="11">
        <f t="shared" si="42"/>
        <v>212</v>
      </c>
      <c r="D374" s="11">
        <f t="shared" si="43"/>
        <v>55</v>
      </c>
      <c r="E374" s="11">
        <f t="shared" si="44"/>
        <v>76</v>
      </c>
      <c r="F374" s="38" t="str">
        <f t="shared" si="45"/>
        <v>2020</v>
      </c>
      <c r="G374" s="11" t="str" cm="1">
        <f t="array" ref="G374">gssBoardClass(A374,B374,C374,D374,E374,F374)</f>
        <v>Wave / Freestyle</v>
      </c>
      <c r="H374" s="39" t="str">
        <f t="shared" si="46"/>
        <v>2020-Fa-Stu-76-55-212</v>
      </c>
      <c r="I374" s="42" t="str">
        <f t="shared" si="47"/>
        <v>2020</v>
      </c>
      <c r="J374" s="46">
        <v>2020</v>
      </c>
      <c r="K374" t="s">
        <v>1</v>
      </c>
      <c r="L374" t="s">
        <v>646</v>
      </c>
      <c r="M374">
        <v>76</v>
      </c>
      <c r="N374">
        <v>55</v>
      </c>
      <c r="O374">
        <v>212</v>
      </c>
      <c r="P374" t="s">
        <v>644</v>
      </c>
      <c r="Q374" t="s">
        <v>647</v>
      </c>
      <c r="R374" t="s">
        <v>645</v>
      </c>
      <c r="S374" t="s">
        <v>133</v>
      </c>
    </row>
    <row r="375" spans="1:19" x14ac:dyDescent="0.3">
      <c r="A375" s="11" t="str">
        <f t="shared" si="40"/>
        <v>Fanatic</v>
      </c>
      <c r="B375" s="11" t="str">
        <f t="shared" si="41"/>
        <v>Stubby Te</v>
      </c>
      <c r="C375" s="11">
        <f t="shared" si="42"/>
        <v>214</v>
      </c>
      <c r="D375" s="11">
        <f t="shared" si="43"/>
        <v>56</v>
      </c>
      <c r="E375" s="11">
        <f t="shared" si="44"/>
        <v>82</v>
      </c>
      <c r="F375" s="38" t="str">
        <f t="shared" si="45"/>
        <v>2020</v>
      </c>
      <c r="G375" s="11" t="str" cm="1">
        <f t="array" ref="G375">gssBoardClass(A375,B375,C375,D375,E375,F375)</f>
        <v>Wave / Freestyle</v>
      </c>
      <c r="H375" s="39" t="str">
        <f t="shared" si="46"/>
        <v>2020-Fa-Stu-82-56-214</v>
      </c>
      <c r="I375" s="42" t="str">
        <f t="shared" si="47"/>
        <v>2020</v>
      </c>
      <c r="J375" s="46">
        <v>2020</v>
      </c>
      <c r="K375" t="s">
        <v>1</v>
      </c>
      <c r="L375" t="s">
        <v>646</v>
      </c>
      <c r="M375">
        <v>82</v>
      </c>
      <c r="N375">
        <v>56</v>
      </c>
      <c r="O375">
        <v>214</v>
      </c>
      <c r="P375" t="s">
        <v>644</v>
      </c>
      <c r="Q375" t="s">
        <v>647</v>
      </c>
      <c r="R375" t="s">
        <v>645</v>
      </c>
      <c r="S375" t="s">
        <v>135</v>
      </c>
    </row>
    <row r="376" spans="1:19" x14ac:dyDescent="0.3">
      <c r="A376" s="11" t="str">
        <f t="shared" si="40"/>
        <v>Fanatic</v>
      </c>
      <c r="B376" s="11" t="str">
        <f t="shared" si="41"/>
        <v>Stubby Te</v>
      </c>
      <c r="C376" s="11">
        <f t="shared" si="42"/>
        <v>215</v>
      </c>
      <c r="D376" s="11">
        <f t="shared" si="43"/>
        <v>57</v>
      </c>
      <c r="E376" s="11">
        <f t="shared" si="44"/>
        <v>89</v>
      </c>
      <c r="F376" s="38" t="str">
        <f t="shared" si="45"/>
        <v>2020</v>
      </c>
      <c r="G376" s="11" t="str" cm="1">
        <f t="array" ref="G376">gssBoardClass(A376,B376,C376,D376,E376,F376)</f>
        <v>Wave / Freestyle</v>
      </c>
      <c r="H376" s="39" t="str">
        <f t="shared" si="46"/>
        <v>2020-Fa-Stu-89-57-215</v>
      </c>
      <c r="I376" s="42" t="str">
        <f t="shared" si="47"/>
        <v>2020</v>
      </c>
      <c r="J376" s="46">
        <v>2020</v>
      </c>
      <c r="K376" t="s">
        <v>1</v>
      </c>
      <c r="L376" t="s">
        <v>646</v>
      </c>
      <c r="M376">
        <v>89</v>
      </c>
      <c r="N376">
        <v>57.5</v>
      </c>
      <c r="O376">
        <v>215</v>
      </c>
      <c r="P376" t="s">
        <v>644</v>
      </c>
      <c r="Q376" t="s">
        <v>647</v>
      </c>
      <c r="R376" t="s">
        <v>648</v>
      </c>
      <c r="S376" t="s">
        <v>138</v>
      </c>
    </row>
    <row r="377" spans="1:19" x14ac:dyDescent="0.3">
      <c r="A377" s="11" t="str">
        <f t="shared" si="40"/>
        <v>Fanatic</v>
      </c>
      <c r="B377" s="11" t="str">
        <f t="shared" si="41"/>
        <v>Stubby Te</v>
      </c>
      <c r="C377" s="11">
        <f t="shared" si="42"/>
        <v>218</v>
      </c>
      <c r="D377" s="11">
        <f t="shared" si="43"/>
        <v>60</v>
      </c>
      <c r="E377" s="11">
        <f t="shared" si="44"/>
        <v>99</v>
      </c>
      <c r="F377" s="38" t="str">
        <f t="shared" si="45"/>
        <v>2020</v>
      </c>
      <c r="G377" s="11" t="str" cm="1">
        <f t="array" ref="G377">gssBoardClass(A377,B377,C377,D377,E377,F377)</f>
        <v>Wave / Freestyle</v>
      </c>
      <c r="H377" s="39" t="str">
        <f t="shared" si="46"/>
        <v>2020-Fa-Stu-99-60-218</v>
      </c>
      <c r="I377" s="42" t="str">
        <f t="shared" si="47"/>
        <v>2020</v>
      </c>
      <c r="J377" s="46">
        <v>2020</v>
      </c>
      <c r="K377" t="s">
        <v>1</v>
      </c>
      <c r="L377" t="s">
        <v>646</v>
      </c>
      <c r="M377">
        <v>99</v>
      </c>
      <c r="N377">
        <v>60</v>
      </c>
      <c r="O377">
        <v>218</v>
      </c>
      <c r="P377" t="s">
        <v>644</v>
      </c>
      <c r="Q377" t="s">
        <v>647</v>
      </c>
      <c r="R377" t="s">
        <v>648</v>
      </c>
      <c r="S377" t="s">
        <v>139</v>
      </c>
    </row>
    <row r="378" spans="1:19" x14ac:dyDescent="0.3">
      <c r="A378" s="11" t="str">
        <f t="shared" si="40"/>
        <v>Fanatic</v>
      </c>
      <c r="B378" s="11" t="str">
        <f t="shared" si="41"/>
        <v>Tandem Air Premium</v>
      </c>
      <c r="C378" s="11">
        <f t="shared" si="42"/>
        <v>487</v>
      </c>
      <c r="D378" s="11">
        <f t="shared" si="43"/>
        <v>86</v>
      </c>
      <c r="E378" s="11">
        <f t="shared" si="44"/>
        <v>505</v>
      </c>
      <c r="F378" s="38" t="str">
        <f t="shared" si="45"/>
        <v>2020</v>
      </c>
      <c r="G378" s="11" t="str" cm="1">
        <f t="array" ref="G378">gssBoardClass(A378,B378,C378,D378,E378,F378)</f>
        <v>Special / Longboard</v>
      </c>
      <c r="H378" s="39" t="str">
        <f t="shared" si="46"/>
        <v>2020-Fa-Tan-505-86-487</v>
      </c>
      <c r="I378" s="42" t="str">
        <f t="shared" si="47"/>
        <v>2020</v>
      </c>
      <c r="J378" s="46">
        <v>2020</v>
      </c>
      <c r="K378" t="s">
        <v>1</v>
      </c>
      <c r="L378" t="s">
        <v>277</v>
      </c>
      <c r="M378">
        <v>505</v>
      </c>
      <c r="N378">
        <v>86.4</v>
      </c>
      <c r="O378">
        <v>487.6</v>
      </c>
      <c r="P378" t="s">
        <v>426</v>
      </c>
      <c r="Q378" t="s">
        <v>269</v>
      </c>
      <c r="R378" t="s">
        <v>703</v>
      </c>
      <c r="S378" t="s">
        <v>704</v>
      </c>
    </row>
    <row r="379" spans="1:19" x14ac:dyDescent="0.3">
      <c r="A379" s="11" t="str">
        <f t="shared" si="40"/>
        <v>Fanatic</v>
      </c>
      <c r="B379" s="11" t="str">
        <f t="shared" si="41"/>
        <v>Viper</v>
      </c>
      <c r="C379" s="11">
        <f t="shared" si="42"/>
        <v>275</v>
      </c>
      <c r="D379" s="11">
        <f t="shared" si="43"/>
        <v>75</v>
      </c>
      <c r="E379" s="11">
        <f t="shared" si="44"/>
        <v>160</v>
      </c>
      <c r="F379" s="38" t="str">
        <f t="shared" si="45"/>
        <v>2020</v>
      </c>
      <c r="G379" s="11" t="str" cm="1">
        <f t="array" ref="G379">gssBoardClass(A379,B379,C379,D379,E379,F379)</f>
        <v>Slalom Large</v>
      </c>
      <c r="H379" s="39" t="str">
        <f t="shared" si="46"/>
        <v>2020-Fa-Vip-160-75-275</v>
      </c>
      <c r="I379" s="42" t="str">
        <f t="shared" si="47"/>
        <v>2020</v>
      </c>
      <c r="J379" s="46">
        <v>2020</v>
      </c>
      <c r="K379" t="s">
        <v>1</v>
      </c>
      <c r="L379" t="s">
        <v>113</v>
      </c>
      <c r="M379">
        <v>160</v>
      </c>
      <c r="N379">
        <v>75</v>
      </c>
      <c r="O379">
        <v>275</v>
      </c>
      <c r="P379" t="s">
        <v>699</v>
      </c>
      <c r="Q379" t="s">
        <v>179</v>
      </c>
      <c r="R379" t="s">
        <v>681</v>
      </c>
      <c r="S379" t="s">
        <v>205</v>
      </c>
    </row>
    <row r="380" spans="1:19" x14ac:dyDescent="0.3">
      <c r="A380" s="11" t="str">
        <f t="shared" si="40"/>
        <v>Fanatic</v>
      </c>
      <c r="B380" s="11" t="str">
        <f t="shared" si="41"/>
        <v>Viper</v>
      </c>
      <c r="C380" s="11">
        <f t="shared" si="42"/>
        <v>280</v>
      </c>
      <c r="D380" s="11">
        <f t="shared" si="43"/>
        <v>80</v>
      </c>
      <c r="E380" s="11">
        <f t="shared" si="44"/>
        <v>190</v>
      </c>
      <c r="F380" s="38" t="str">
        <f t="shared" si="45"/>
        <v>2020</v>
      </c>
      <c r="G380" s="11" t="str" cm="1">
        <f t="array" ref="G380">gssBoardClass(A380,B380,C380,D380,E380,F380)</f>
        <v>Special / Longboard</v>
      </c>
      <c r="H380" s="39" t="str">
        <f t="shared" si="46"/>
        <v>2020-Fa-Vip-190-80-280</v>
      </c>
      <c r="I380" s="42" t="str">
        <f t="shared" si="47"/>
        <v>2020</v>
      </c>
      <c r="J380" s="46">
        <v>2020</v>
      </c>
      <c r="K380" t="s">
        <v>1</v>
      </c>
      <c r="L380" t="s">
        <v>113</v>
      </c>
      <c r="M380">
        <v>190</v>
      </c>
      <c r="N380">
        <v>80</v>
      </c>
      <c r="O380">
        <v>280</v>
      </c>
      <c r="P380" t="s">
        <v>699</v>
      </c>
      <c r="Q380" t="s">
        <v>179</v>
      </c>
      <c r="R380" t="s">
        <v>681</v>
      </c>
      <c r="S380" t="s">
        <v>205</v>
      </c>
    </row>
    <row r="381" spans="1:19" x14ac:dyDescent="0.3">
      <c r="A381" s="11" t="str">
        <f t="shared" si="40"/>
        <v>Fanatic</v>
      </c>
      <c r="B381" s="11" t="str">
        <f t="shared" si="41"/>
        <v>Viper</v>
      </c>
      <c r="C381" s="11">
        <f t="shared" si="42"/>
        <v>285</v>
      </c>
      <c r="D381" s="11">
        <f t="shared" si="43"/>
        <v>85</v>
      </c>
      <c r="E381" s="11">
        <f t="shared" si="44"/>
        <v>220</v>
      </c>
      <c r="F381" s="38" t="str">
        <f t="shared" si="45"/>
        <v>2020</v>
      </c>
      <c r="G381" s="11" t="str" cm="1">
        <f t="array" ref="G381">gssBoardClass(A381,B381,C381,D381,E381,F381)</f>
        <v>Special / Longboard</v>
      </c>
      <c r="H381" s="39" t="str">
        <f t="shared" si="46"/>
        <v>2020-Fa-Vip-220-85-285</v>
      </c>
      <c r="I381" s="42" t="str">
        <f t="shared" si="47"/>
        <v>2020</v>
      </c>
      <c r="J381" s="46">
        <v>2020</v>
      </c>
      <c r="K381" t="s">
        <v>1</v>
      </c>
      <c r="L381" t="s">
        <v>113</v>
      </c>
      <c r="M381">
        <v>220</v>
      </c>
      <c r="N381">
        <v>85</v>
      </c>
      <c r="O381">
        <v>285</v>
      </c>
      <c r="P381" t="s">
        <v>699</v>
      </c>
      <c r="Q381" t="s">
        <v>179</v>
      </c>
      <c r="R381" t="s">
        <v>681</v>
      </c>
      <c r="S381" t="s">
        <v>205</v>
      </c>
    </row>
    <row r="382" spans="1:19" x14ac:dyDescent="0.3">
      <c r="A382" s="11" t="str">
        <f t="shared" si="40"/>
        <v>Fanatic</v>
      </c>
      <c r="B382" s="11" t="str">
        <f t="shared" si="41"/>
        <v>Viper</v>
      </c>
      <c r="C382" s="11">
        <f t="shared" si="42"/>
        <v>290</v>
      </c>
      <c r="D382" s="11">
        <f t="shared" si="43"/>
        <v>91</v>
      </c>
      <c r="E382" s="11">
        <f t="shared" si="44"/>
        <v>240</v>
      </c>
      <c r="F382" s="38" t="str">
        <f t="shared" si="45"/>
        <v>2020</v>
      </c>
      <c r="G382" s="11" t="str" cm="1">
        <f t="array" ref="G382">gssBoardClass(A382,B382,C382,D382,E382,F382)</f>
        <v>Special / Longboard</v>
      </c>
      <c r="H382" s="39" t="str">
        <f t="shared" si="46"/>
        <v>2020-Fa-Vip-240-91-290</v>
      </c>
      <c r="I382" s="42" t="str">
        <f t="shared" si="47"/>
        <v>2020</v>
      </c>
      <c r="J382" s="46">
        <v>2020</v>
      </c>
      <c r="K382" t="s">
        <v>1</v>
      </c>
      <c r="L382" t="s">
        <v>113</v>
      </c>
      <c r="M382">
        <v>240</v>
      </c>
      <c r="N382">
        <v>91</v>
      </c>
      <c r="O382">
        <v>290</v>
      </c>
      <c r="P382" t="s">
        <v>699</v>
      </c>
      <c r="Q382" t="s">
        <v>179</v>
      </c>
      <c r="R382" t="s">
        <v>681</v>
      </c>
      <c r="S382" t="s">
        <v>205</v>
      </c>
    </row>
    <row r="383" spans="1:19" x14ac:dyDescent="0.3">
      <c r="A383" s="11" t="str">
        <f t="shared" si="40"/>
        <v>Fanatic</v>
      </c>
      <c r="B383" s="11" t="str">
        <f t="shared" si="41"/>
        <v>Viper Air Premium</v>
      </c>
      <c r="C383" s="11">
        <f t="shared" si="42"/>
        <v>335</v>
      </c>
      <c r="D383" s="11">
        <f t="shared" si="43"/>
        <v>85</v>
      </c>
      <c r="E383" s="11">
        <f t="shared" si="44"/>
        <v>355</v>
      </c>
      <c r="F383" s="38" t="str">
        <f t="shared" si="45"/>
        <v>2020</v>
      </c>
      <c r="G383" s="11" t="str" cm="1">
        <f t="array" ref="G383">gssBoardClass(A383,B383,C383,D383,E383,F383)</f>
        <v>Special / Longboard</v>
      </c>
      <c r="H383" s="39" t="str">
        <f t="shared" si="46"/>
        <v>2020-Fa-Vip-355-85-335</v>
      </c>
      <c r="I383" s="42" t="str">
        <f t="shared" si="47"/>
        <v>2020</v>
      </c>
      <c r="J383" s="46">
        <v>2020</v>
      </c>
      <c r="K383" t="s">
        <v>1</v>
      </c>
      <c r="L383" t="s">
        <v>702</v>
      </c>
      <c r="M383">
        <v>355</v>
      </c>
      <c r="N383">
        <v>85.1</v>
      </c>
      <c r="O383">
        <v>335.3</v>
      </c>
      <c r="P383" t="s">
        <v>426</v>
      </c>
      <c r="Q383" t="s">
        <v>269</v>
      </c>
      <c r="R383" t="s">
        <v>703</v>
      </c>
      <c r="S383" t="s">
        <v>704</v>
      </c>
    </row>
    <row r="384" spans="1:19" x14ac:dyDescent="0.3">
      <c r="A384" s="11" t="str">
        <f t="shared" si="40"/>
        <v>Fanatic</v>
      </c>
      <c r="B384" s="11" t="str">
        <f t="shared" si="41"/>
        <v>Viper Air Pure</v>
      </c>
      <c r="C384" s="11">
        <f t="shared" si="42"/>
        <v>335</v>
      </c>
      <c r="D384" s="11">
        <f t="shared" si="43"/>
        <v>85</v>
      </c>
      <c r="E384" s="11">
        <f t="shared" si="44"/>
        <v>355</v>
      </c>
      <c r="F384" s="38" t="str">
        <f t="shared" si="45"/>
        <v>2020</v>
      </c>
      <c r="G384" s="11" t="str" cm="1">
        <f t="array" ref="G384">gssBoardClass(A384,B384,C384,D384,E384,F384)</f>
        <v>Special / Longboard</v>
      </c>
      <c r="H384" s="39" t="str">
        <f t="shared" si="46"/>
        <v>2020-Fa-Vip-355-85-335</v>
      </c>
      <c r="I384" s="42" t="str">
        <f t="shared" si="47"/>
        <v>2020</v>
      </c>
      <c r="J384" s="46">
        <v>2020</v>
      </c>
      <c r="K384" t="s">
        <v>1</v>
      </c>
      <c r="L384" t="s">
        <v>705</v>
      </c>
      <c r="M384">
        <v>355</v>
      </c>
      <c r="N384">
        <v>85.1</v>
      </c>
      <c r="O384">
        <v>335.3</v>
      </c>
      <c r="P384" t="s">
        <v>706</v>
      </c>
      <c r="Q384" t="s">
        <v>269</v>
      </c>
      <c r="R384" t="s">
        <v>703</v>
      </c>
      <c r="S384" t="s">
        <v>704</v>
      </c>
    </row>
    <row r="385" spans="1:17" x14ac:dyDescent="0.3">
      <c r="A385" s="11" t="str">
        <f t="shared" si="40"/>
        <v>Fmx</v>
      </c>
      <c r="B385" s="11" t="str">
        <f t="shared" si="41"/>
        <v>Invictus 74</v>
      </c>
      <c r="C385" s="11">
        <f t="shared" si="42"/>
        <v>225</v>
      </c>
      <c r="D385" s="11">
        <f t="shared" si="43"/>
        <v>52</v>
      </c>
      <c r="E385" s="11">
        <f t="shared" si="44"/>
        <v>74</v>
      </c>
      <c r="F385" s="38" t="str">
        <f t="shared" si="45"/>
        <v>2020</v>
      </c>
      <c r="G385" s="11" t="str" cm="1">
        <f t="array" ref="G385">gssBoardClass(A385,B385,C385,D385,E385,F385)</f>
        <v>Speed/Slalom Xtra Small</v>
      </c>
      <c r="H385" s="39" t="str">
        <f t="shared" si="46"/>
        <v>2020-FM-Inv-74-52-225</v>
      </c>
      <c r="I385" s="42" t="str">
        <f t="shared" si="47"/>
        <v>2020</v>
      </c>
      <c r="J385" s="46">
        <v>2020</v>
      </c>
      <c r="K385" t="s">
        <v>710</v>
      </c>
      <c r="L385" t="s">
        <v>711</v>
      </c>
      <c r="M385">
        <v>74</v>
      </c>
      <c r="N385">
        <v>52</v>
      </c>
      <c r="O385">
        <v>225</v>
      </c>
      <c r="Q385" t="s">
        <v>684</v>
      </c>
    </row>
    <row r="386" spans="1:17" x14ac:dyDescent="0.3">
      <c r="A386" s="11" t="str">
        <f t="shared" ref="A386:A449" si="48">PROPER(K386)</f>
        <v>Fanatic</v>
      </c>
      <c r="B386" s="11" t="str">
        <f t="shared" ref="B386:B449" si="49">TRIM(PROPER(LEFT(L386,IFERROR(FIND(" ",L386),99))&amp;MID(L386,IFERROR(FIND(" ",L386),99),99)))</f>
        <v>Blast Ltd/Hrs 100</v>
      </c>
      <c r="C386" s="11">
        <f t="shared" ref="C386:C449" si="50">TRUNC(O386)</f>
        <v>231</v>
      </c>
      <c r="D386" s="11">
        <f t="shared" ref="D386:D449" si="51">TRUNC(N386)</f>
        <v>62</v>
      </c>
      <c r="E386" s="11">
        <f t="shared" ref="E386:E449" si="52">M386</f>
        <v>100</v>
      </c>
      <c r="F386" s="38" t="str">
        <f t="shared" ref="F386:F449" si="53">I386</f>
        <v>2023</v>
      </c>
      <c r="G386" s="11" t="str" cm="1">
        <f t="array" ref="G386">gssBoardClass(A386,B386,C386,D386,E386,F386)</f>
        <v>Speed/Slalom Small</v>
      </c>
      <c r="H386" s="39" t="str">
        <f t="shared" ref="H386:H449" si="54">_xlfn.CONCAT(I386,"-",LEFT(K386,2),"-",LEFT(L386,3),"-",M386,"-",TRUNC(N386),"-",TRUNC(O386))</f>
        <v>2023-Fa-Bla-100-62-231</v>
      </c>
      <c r="I386" s="42" t="str">
        <f t="shared" ref="I386:I449" si="55">LEFT(J386,4)</f>
        <v>2023</v>
      </c>
      <c r="J386" s="46">
        <v>2023</v>
      </c>
      <c r="K386" t="s">
        <v>1</v>
      </c>
      <c r="L386" t="s">
        <v>303</v>
      </c>
      <c r="M386">
        <v>100</v>
      </c>
      <c r="N386">
        <v>62</v>
      </c>
      <c r="O386">
        <v>231</v>
      </c>
      <c r="Q386" t="s">
        <v>283</v>
      </c>
    </row>
    <row r="387" spans="1:17" x14ac:dyDescent="0.3">
      <c r="A387" s="11" t="str">
        <f t="shared" si="48"/>
        <v>Fanatic</v>
      </c>
      <c r="B387" s="11" t="str">
        <f t="shared" si="49"/>
        <v>Blast Ltd/Hrs 117</v>
      </c>
      <c r="C387" s="11">
        <f t="shared" si="50"/>
        <v>232</v>
      </c>
      <c r="D387" s="11">
        <f t="shared" si="51"/>
        <v>66</v>
      </c>
      <c r="E387" s="11">
        <f t="shared" si="52"/>
        <v>117</v>
      </c>
      <c r="F387" s="38" t="str">
        <f t="shared" si="53"/>
        <v>2023</v>
      </c>
      <c r="G387" s="11" t="str" cm="1">
        <f t="array" ref="G387">gssBoardClass(A387,B387,C387,D387,E387,F387)</f>
        <v>Slalom Medium</v>
      </c>
      <c r="H387" s="39" t="str">
        <f t="shared" si="54"/>
        <v>2023-Fa-Bla-117-66-232</v>
      </c>
      <c r="I387" s="42" t="str">
        <f t="shared" si="55"/>
        <v>2023</v>
      </c>
      <c r="J387" s="46">
        <v>2023</v>
      </c>
      <c r="K387" t="s">
        <v>1</v>
      </c>
      <c r="L387" t="s">
        <v>304</v>
      </c>
      <c r="M387">
        <v>117</v>
      </c>
      <c r="N387">
        <v>66</v>
      </c>
      <c r="O387">
        <v>232</v>
      </c>
      <c r="Q387" t="s">
        <v>283</v>
      </c>
    </row>
    <row r="388" spans="1:17" x14ac:dyDescent="0.3">
      <c r="A388" s="11" t="str">
        <f t="shared" si="48"/>
        <v>Fanatic</v>
      </c>
      <c r="B388" s="11" t="str">
        <f t="shared" si="49"/>
        <v>Blast Ltd/Hrs 132</v>
      </c>
      <c r="C388" s="11">
        <f t="shared" si="50"/>
        <v>234</v>
      </c>
      <c r="D388" s="11">
        <f t="shared" si="51"/>
        <v>70</v>
      </c>
      <c r="E388" s="11">
        <f t="shared" si="52"/>
        <v>132</v>
      </c>
      <c r="F388" s="38" t="str">
        <f t="shared" si="53"/>
        <v>2023</v>
      </c>
      <c r="G388" s="11" t="str" cm="1">
        <f t="array" ref="G388">gssBoardClass(A388,B388,C388,D388,E388,F388)</f>
        <v>Slalom Medium</v>
      </c>
      <c r="H388" s="39" t="str">
        <f t="shared" si="54"/>
        <v>2023-Fa-Bla-132-70-234</v>
      </c>
      <c r="I388" s="42" t="str">
        <f t="shared" si="55"/>
        <v>2023</v>
      </c>
      <c r="J388" s="46">
        <v>2023</v>
      </c>
      <c r="K388" t="s">
        <v>1</v>
      </c>
      <c r="L388" t="s">
        <v>305</v>
      </c>
      <c r="M388">
        <v>132</v>
      </c>
      <c r="N388">
        <v>70</v>
      </c>
      <c r="O388">
        <v>234</v>
      </c>
      <c r="Q388" t="s">
        <v>283</v>
      </c>
    </row>
    <row r="389" spans="1:17" x14ac:dyDescent="0.3">
      <c r="A389" s="11" t="str">
        <f t="shared" si="48"/>
        <v>Fanatic</v>
      </c>
      <c r="B389" s="11" t="str">
        <f t="shared" si="49"/>
        <v>Blast Ltd/Hrs 147</v>
      </c>
      <c r="C389" s="11">
        <f t="shared" si="50"/>
        <v>236</v>
      </c>
      <c r="D389" s="11">
        <f t="shared" si="51"/>
        <v>77</v>
      </c>
      <c r="E389" s="11">
        <f t="shared" si="52"/>
        <v>147</v>
      </c>
      <c r="F389" s="38" t="str">
        <f t="shared" si="53"/>
        <v>2023</v>
      </c>
      <c r="G389" s="11" t="str" cm="1">
        <f t="array" ref="G389">gssBoardClass(A389,B389,C389,D389,E389,F389)</f>
        <v>Slalom Large</v>
      </c>
      <c r="H389" s="39" t="str">
        <f t="shared" si="54"/>
        <v>2023-Fa-Bla-147-77-236</v>
      </c>
      <c r="I389" s="42" t="str">
        <f t="shared" si="55"/>
        <v>2023</v>
      </c>
      <c r="J389" s="46">
        <v>2023</v>
      </c>
      <c r="K389" t="s">
        <v>1</v>
      </c>
      <c r="L389" t="s">
        <v>306</v>
      </c>
      <c r="M389">
        <v>147</v>
      </c>
      <c r="N389">
        <v>77</v>
      </c>
      <c r="O389">
        <v>236</v>
      </c>
      <c r="Q389" t="s">
        <v>283</v>
      </c>
    </row>
    <row r="390" spans="1:17" x14ac:dyDescent="0.3">
      <c r="A390" s="11" t="str">
        <f t="shared" si="48"/>
        <v>Fanatic</v>
      </c>
      <c r="B390" s="11" t="str">
        <f t="shared" si="49"/>
        <v>Eagle Ltd/Hrs 130</v>
      </c>
      <c r="C390" s="11">
        <f t="shared" si="50"/>
        <v>248</v>
      </c>
      <c r="D390" s="11">
        <f t="shared" si="51"/>
        <v>70</v>
      </c>
      <c r="E390" s="11">
        <f t="shared" si="52"/>
        <v>130</v>
      </c>
      <c r="F390" s="38" t="str">
        <f t="shared" si="53"/>
        <v>2023</v>
      </c>
      <c r="G390" s="11" t="str" cm="1">
        <f t="array" ref="G390">gssBoardClass(A390,B390,C390,D390,E390,F390)</f>
        <v>Slalom Medium</v>
      </c>
      <c r="H390" s="39" t="str">
        <f t="shared" si="54"/>
        <v>2023-Fa-Eag-130-70-248</v>
      </c>
      <c r="I390" s="42" t="str">
        <f t="shared" si="55"/>
        <v>2023</v>
      </c>
      <c r="J390" s="46">
        <v>2023</v>
      </c>
      <c r="K390" t="s">
        <v>1</v>
      </c>
      <c r="L390" t="s">
        <v>313</v>
      </c>
      <c r="M390">
        <v>130</v>
      </c>
      <c r="N390">
        <v>70</v>
      </c>
      <c r="O390">
        <v>248</v>
      </c>
      <c r="Q390" t="s">
        <v>179</v>
      </c>
    </row>
    <row r="391" spans="1:17" x14ac:dyDescent="0.3">
      <c r="A391" s="11" t="str">
        <f t="shared" si="48"/>
        <v>Fanatic</v>
      </c>
      <c r="B391" s="11" t="str">
        <f t="shared" si="49"/>
        <v>Eagle Ltd/Hrs 150</v>
      </c>
      <c r="C391" s="11">
        <f t="shared" si="50"/>
        <v>250</v>
      </c>
      <c r="D391" s="11">
        <f t="shared" si="51"/>
        <v>75</v>
      </c>
      <c r="E391" s="11">
        <f t="shared" si="52"/>
        <v>150</v>
      </c>
      <c r="F391" s="38" t="str">
        <f t="shared" si="53"/>
        <v>2023</v>
      </c>
      <c r="G391" s="11" t="str" cm="1">
        <f t="array" ref="G391">gssBoardClass(A391,B391,C391,D391,E391,F391)</f>
        <v>Slalom Large</v>
      </c>
      <c r="H391" s="39" t="str">
        <f t="shared" si="54"/>
        <v>2023-Fa-Eag-150-75-250</v>
      </c>
      <c r="I391" s="42" t="str">
        <f t="shared" si="55"/>
        <v>2023</v>
      </c>
      <c r="J391" s="46">
        <v>2023</v>
      </c>
      <c r="K391" t="s">
        <v>1</v>
      </c>
      <c r="L391" t="s">
        <v>314</v>
      </c>
      <c r="M391">
        <v>150</v>
      </c>
      <c r="N391">
        <v>75</v>
      </c>
      <c r="O391">
        <v>250</v>
      </c>
      <c r="Q391" t="s">
        <v>179</v>
      </c>
    </row>
    <row r="392" spans="1:17" x14ac:dyDescent="0.3">
      <c r="A392" s="11" t="str">
        <f t="shared" si="48"/>
        <v>Fanatic</v>
      </c>
      <c r="B392" s="11" t="str">
        <f t="shared" si="49"/>
        <v>Falcon Te 107</v>
      </c>
      <c r="C392" s="11">
        <f t="shared" si="50"/>
        <v>230</v>
      </c>
      <c r="D392" s="11">
        <f t="shared" si="51"/>
        <v>69</v>
      </c>
      <c r="E392" s="11">
        <f t="shared" si="52"/>
        <v>107</v>
      </c>
      <c r="F392" s="38" t="str">
        <f t="shared" si="53"/>
        <v>2023</v>
      </c>
      <c r="G392" s="11" t="str" cm="1">
        <f t="array" ref="G392">gssBoardClass(A392,B392,C392,D392,E392,F392)</f>
        <v>Slalom Medium</v>
      </c>
      <c r="H392" s="39" t="str">
        <f t="shared" si="54"/>
        <v>2023-Fa-Fal-107-69-230</v>
      </c>
      <c r="I392" s="42" t="str">
        <f t="shared" si="55"/>
        <v>2023</v>
      </c>
      <c r="J392" s="46">
        <v>2023</v>
      </c>
      <c r="K392" t="s">
        <v>1</v>
      </c>
      <c r="L392" t="s">
        <v>323</v>
      </c>
      <c r="M392">
        <v>107</v>
      </c>
      <c r="N392">
        <v>69</v>
      </c>
      <c r="O392">
        <v>230</v>
      </c>
      <c r="Q392" t="s">
        <v>283</v>
      </c>
    </row>
    <row r="393" spans="1:17" x14ac:dyDescent="0.3">
      <c r="A393" s="11" t="str">
        <f t="shared" si="48"/>
        <v>Fanatic</v>
      </c>
      <c r="B393" s="11" t="str">
        <f t="shared" si="49"/>
        <v>Falcon Te 116</v>
      </c>
      <c r="C393" s="11">
        <f t="shared" si="50"/>
        <v>230</v>
      </c>
      <c r="D393" s="11">
        <f t="shared" si="51"/>
        <v>71</v>
      </c>
      <c r="E393" s="11">
        <f t="shared" si="52"/>
        <v>116</v>
      </c>
      <c r="F393" s="38" t="str">
        <f t="shared" si="53"/>
        <v>2023</v>
      </c>
      <c r="G393" s="11" t="str" cm="1">
        <f t="array" ref="G393">gssBoardClass(A393,B393,C393,D393,E393,F393)</f>
        <v>Slalom Medium</v>
      </c>
      <c r="H393" s="39" t="str">
        <f t="shared" si="54"/>
        <v>2023-Fa-Fal-116-71-230</v>
      </c>
      <c r="I393" s="42" t="str">
        <f t="shared" si="55"/>
        <v>2023</v>
      </c>
      <c r="J393" s="46">
        <v>2023</v>
      </c>
      <c r="K393" t="s">
        <v>1</v>
      </c>
      <c r="L393" t="s">
        <v>324</v>
      </c>
      <c r="M393">
        <v>116</v>
      </c>
      <c r="N393">
        <v>71</v>
      </c>
      <c r="O393">
        <v>230</v>
      </c>
      <c r="Q393" t="s">
        <v>283</v>
      </c>
    </row>
    <row r="394" spans="1:17" x14ac:dyDescent="0.3">
      <c r="A394" s="11" t="str">
        <f t="shared" si="48"/>
        <v>Fanatic</v>
      </c>
      <c r="B394" s="11" t="str">
        <f t="shared" si="49"/>
        <v>Falcon Te 121</v>
      </c>
      <c r="C394" s="11">
        <f t="shared" si="50"/>
        <v>230</v>
      </c>
      <c r="D394" s="11">
        <f t="shared" si="51"/>
        <v>77</v>
      </c>
      <c r="E394" s="11">
        <f t="shared" si="52"/>
        <v>121</v>
      </c>
      <c r="F394" s="38" t="str">
        <f t="shared" si="53"/>
        <v>2023</v>
      </c>
      <c r="G394" s="11" t="str" cm="1">
        <f t="array" ref="G394">gssBoardClass(A394,B394,C394,D394,E394,F394)</f>
        <v>Slalom Large</v>
      </c>
      <c r="H394" s="39" t="str">
        <f t="shared" si="54"/>
        <v>2023-Fa-Fal-121-77-230</v>
      </c>
      <c r="I394" s="42" t="str">
        <f t="shared" si="55"/>
        <v>2023</v>
      </c>
      <c r="J394" s="46">
        <v>2023</v>
      </c>
      <c r="K394" t="s">
        <v>1</v>
      </c>
      <c r="L394" t="s">
        <v>57</v>
      </c>
      <c r="M394">
        <v>121</v>
      </c>
      <c r="N394">
        <v>77</v>
      </c>
      <c r="O394">
        <v>230</v>
      </c>
      <c r="Q394" t="s">
        <v>283</v>
      </c>
    </row>
    <row r="395" spans="1:17" x14ac:dyDescent="0.3">
      <c r="A395" s="11" t="str">
        <f t="shared" si="48"/>
        <v>Fanatic</v>
      </c>
      <c r="B395" s="11" t="str">
        <f t="shared" si="49"/>
        <v>Falcon Te 130</v>
      </c>
      <c r="C395" s="11">
        <f t="shared" si="50"/>
        <v>228</v>
      </c>
      <c r="D395" s="11">
        <f t="shared" si="51"/>
        <v>80</v>
      </c>
      <c r="E395" s="11">
        <f t="shared" si="52"/>
        <v>130</v>
      </c>
      <c r="F395" s="38" t="str">
        <f t="shared" si="53"/>
        <v>2023</v>
      </c>
      <c r="G395" s="11" t="str" cm="1">
        <f t="array" ref="G395">gssBoardClass(A395,B395,C395,D395,E395,F395)</f>
        <v>Slalom Large</v>
      </c>
      <c r="H395" s="39" t="str">
        <f t="shared" si="54"/>
        <v>2023-Fa-Fal-130-80-228</v>
      </c>
      <c r="I395" s="42" t="str">
        <f t="shared" si="55"/>
        <v>2023</v>
      </c>
      <c r="J395" s="46">
        <v>2023</v>
      </c>
      <c r="K395" t="s">
        <v>1</v>
      </c>
      <c r="L395" t="s">
        <v>325</v>
      </c>
      <c r="M395">
        <v>130</v>
      </c>
      <c r="N395">
        <v>80</v>
      </c>
      <c r="O395">
        <v>228</v>
      </c>
      <c r="Q395" t="s">
        <v>283</v>
      </c>
    </row>
    <row r="396" spans="1:17" x14ac:dyDescent="0.3">
      <c r="A396" s="11" t="str">
        <f t="shared" si="48"/>
        <v>Fanatic</v>
      </c>
      <c r="B396" s="11" t="str">
        <f t="shared" si="49"/>
        <v>Falcon Foil 140</v>
      </c>
      <c r="C396" s="11">
        <f t="shared" si="50"/>
        <v>215</v>
      </c>
      <c r="D396" s="11">
        <f t="shared" si="51"/>
        <v>80</v>
      </c>
      <c r="E396" s="11">
        <f t="shared" si="52"/>
        <v>140</v>
      </c>
      <c r="F396" s="38" t="str">
        <f t="shared" si="53"/>
        <v>2023</v>
      </c>
      <c r="G396" s="11" t="str" cm="1">
        <f t="array" ref="G396">gssBoardClass(A396,B396,C396,D396,E396,F396)</f>
        <v>Foilboard</v>
      </c>
      <c r="H396" s="39" t="str">
        <f t="shared" si="54"/>
        <v>2023-Fa-Fal-140-80-215</v>
      </c>
      <c r="I396" s="42" t="str">
        <f t="shared" si="55"/>
        <v>2023</v>
      </c>
      <c r="J396" s="46">
        <v>2023</v>
      </c>
      <c r="K396" t="s">
        <v>1</v>
      </c>
      <c r="L396" t="s">
        <v>329</v>
      </c>
      <c r="M396">
        <v>140</v>
      </c>
      <c r="N396">
        <v>80</v>
      </c>
      <c r="O396">
        <v>215</v>
      </c>
      <c r="Q396" t="s">
        <v>283</v>
      </c>
    </row>
    <row r="397" spans="1:17" x14ac:dyDescent="0.3">
      <c r="A397" s="11" t="str">
        <f t="shared" si="48"/>
        <v>Fanatic</v>
      </c>
      <c r="B397" s="11" t="str">
        <f t="shared" si="49"/>
        <v>Falcon Te 140</v>
      </c>
      <c r="C397" s="11">
        <f t="shared" si="50"/>
        <v>228</v>
      </c>
      <c r="D397" s="11">
        <f t="shared" si="51"/>
        <v>85</v>
      </c>
      <c r="E397" s="11">
        <f t="shared" si="52"/>
        <v>140</v>
      </c>
      <c r="F397" s="38" t="str">
        <f t="shared" si="53"/>
        <v>2023</v>
      </c>
      <c r="G397" s="11" t="str" cm="1">
        <f t="array" ref="G397">gssBoardClass(A397,B397,C397,D397,E397,F397)</f>
        <v>Slalom Large</v>
      </c>
      <c r="H397" s="39" t="str">
        <f t="shared" si="54"/>
        <v>2023-Fa-Fal-140-85-228</v>
      </c>
      <c r="I397" s="42" t="str">
        <f t="shared" si="55"/>
        <v>2023</v>
      </c>
      <c r="J397" s="46">
        <v>2023</v>
      </c>
      <c r="K397" t="s">
        <v>1</v>
      </c>
      <c r="L397" t="s">
        <v>326</v>
      </c>
      <c r="M397">
        <v>140</v>
      </c>
      <c r="N397">
        <v>85</v>
      </c>
      <c r="O397">
        <v>228</v>
      </c>
      <c r="Q397" t="s">
        <v>283</v>
      </c>
    </row>
    <row r="398" spans="1:17" x14ac:dyDescent="0.3">
      <c r="A398" s="11" t="str">
        <f t="shared" si="48"/>
        <v>Fanatic</v>
      </c>
      <c r="B398" s="11" t="str">
        <f t="shared" si="49"/>
        <v>Falcon Foil 170</v>
      </c>
      <c r="C398" s="11">
        <f t="shared" si="50"/>
        <v>220</v>
      </c>
      <c r="D398" s="11">
        <f t="shared" si="51"/>
        <v>85</v>
      </c>
      <c r="E398" s="11">
        <f t="shared" si="52"/>
        <v>170</v>
      </c>
      <c r="F398" s="38" t="str">
        <f t="shared" si="53"/>
        <v>2023</v>
      </c>
      <c r="G398" s="11" t="str" cm="1">
        <f t="array" ref="G398">gssBoardClass(A398,B398,C398,D398,E398,F398)</f>
        <v>Foilboard</v>
      </c>
      <c r="H398" s="39" t="str">
        <f t="shared" si="54"/>
        <v>2023-Fa-Fal-170-85-220</v>
      </c>
      <c r="I398" s="42" t="str">
        <f t="shared" si="55"/>
        <v>2023</v>
      </c>
      <c r="J398" s="46">
        <v>2023</v>
      </c>
      <c r="K398" t="s">
        <v>1</v>
      </c>
      <c r="L398" t="s">
        <v>330</v>
      </c>
      <c r="M398">
        <v>170</v>
      </c>
      <c r="N398">
        <v>85</v>
      </c>
      <c r="O398">
        <v>220</v>
      </c>
      <c r="Q398" t="s">
        <v>283</v>
      </c>
    </row>
    <row r="399" spans="1:17" x14ac:dyDescent="0.3">
      <c r="A399" s="11" t="str">
        <f t="shared" si="48"/>
        <v>Fanatic</v>
      </c>
      <c r="B399" s="11" t="str">
        <f t="shared" si="49"/>
        <v>Falcon Foil 180</v>
      </c>
      <c r="C399" s="11">
        <f t="shared" si="50"/>
        <v>220</v>
      </c>
      <c r="D399" s="11">
        <f t="shared" si="51"/>
        <v>91</v>
      </c>
      <c r="E399" s="11">
        <f t="shared" si="52"/>
        <v>180</v>
      </c>
      <c r="F399" s="38" t="str">
        <f t="shared" si="53"/>
        <v>2023</v>
      </c>
      <c r="G399" s="11" t="str" cm="1">
        <f t="array" ref="G399">gssBoardClass(A399,B399,C399,D399,E399,F399)</f>
        <v>Foilboard</v>
      </c>
      <c r="H399" s="39" t="str">
        <f t="shared" si="54"/>
        <v>2023-Fa-Fal-180-91-220</v>
      </c>
      <c r="I399" s="42" t="str">
        <f t="shared" si="55"/>
        <v>2023</v>
      </c>
      <c r="J399" s="46">
        <v>2023</v>
      </c>
      <c r="K399" t="s">
        <v>1</v>
      </c>
      <c r="L399" t="s">
        <v>331</v>
      </c>
      <c r="M399">
        <v>180</v>
      </c>
      <c r="N399">
        <v>91</v>
      </c>
      <c r="O399">
        <v>220</v>
      </c>
      <c r="Q399" t="s">
        <v>283</v>
      </c>
    </row>
    <row r="400" spans="1:17" x14ac:dyDescent="0.3">
      <c r="A400" s="11" t="str">
        <f t="shared" si="48"/>
        <v>Fanatic</v>
      </c>
      <c r="B400" s="11" t="str">
        <f t="shared" si="49"/>
        <v>Falcon Te 80</v>
      </c>
      <c r="C400" s="11">
        <f t="shared" si="50"/>
        <v>235</v>
      </c>
      <c r="D400" s="11">
        <f t="shared" si="51"/>
        <v>58</v>
      </c>
      <c r="E400" s="11">
        <f t="shared" si="52"/>
        <v>80</v>
      </c>
      <c r="F400" s="38" t="str">
        <f t="shared" si="53"/>
        <v>2023</v>
      </c>
      <c r="G400" s="11" t="str" cm="1">
        <f t="array" ref="G400">gssBoardClass(A400,B400,C400,D400,E400,F400)</f>
        <v>Speed/Slalom Xtra Small</v>
      </c>
      <c r="H400" s="39" t="str">
        <f t="shared" si="54"/>
        <v>2023-Fa-Fal-80-58-235</v>
      </c>
      <c r="I400" s="42" t="str">
        <f t="shared" si="55"/>
        <v>2023</v>
      </c>
      <c r="J400" s="46">
        <v>2023</v>
      </c>
      <c r="K400" t="s">
        <v>1</v>
      </c>
      <c r="L400" t="s">
        <v>320</v>
      </c>
      <c r="M400">
        <v>80</v>
      </c>
      <c r="N400">
        <v>58</v>
      </c>
      <c r="O400">
        <v>235</v>
      </c>
      <c r="Q400" t="s">
        <v>232</v>
      </c>
    </row>
    <row r="401" spans="1:17" x14ac:dyDescent="0.3">
      <c r="A401" s="11" t="str">
        <f t="shared" si="48"/>
        <v>Fanatic</v>
      </c>
      <c r="B401" s="11" t="str">
        <f t="shared" si="49"/>
        <v>Falcon Te 90</v>
      </c>
      <c r="C401" s="11">
        <f t="shared" si="50"/>
        <v>235</v>
      </c>
      <c r="D401" s="11">
        <f t="shared" si="51"/>
        <v>62</v>
      </c>
      <c r="E401" s="11">
        <f t="shared" si="52"/>
        <v>90</v>
      </c>
      <c r="F401" s="38" t="str">
        <f t="shared" si="53"/>
        <v>2023</v>
      </c>
      <c r="G401" s="11" t="str" cm="1">
        <f t="array" ref="G401">gssBoardClass(A401,B401,C401,D401,E401,F401)</f>
        <v>Speed/Slalom Small</v>
      </c>
      <c r="H401" s="39" t="str">
        <f t="shared" si="54"/>
        <v>2023-Fa-Fal-90-62-235</v>
      </c>
      <c r="I401" s="42" t="str">
        <f t="shared" si="55"/>
        <v>2023</v>
      </c>
      <c r="J401" s="46">
        <v>2023</v>
      </c>
      <c r="K401" t="s">
        <v>1</v>
      </c>
      <c r="L401" t="s">
        <v>321</v>
      </c>
      <c r="M401">
        <v>90</v>
      </c>
      <c r="N401">
        <v>62</v>
      </c>
      <c r="O401">
        <v>235</v>
      </c>
      <c r="Q401" t="s">
        <v>232</v>
      </c>
    </row>
    <row r="402" spans="1:17" x14ac:dyDescent="0.3">
      <c r="A402" s="11" t="str">
        <f t="shared" si="48"/>
        <v>Fanatic</v>
      </c>
      <c r="B402" s="11" t="str">
        <f t="shared" si="49"/>
        <v>Falcon Te 97</v>
      </c>
      <c r="C402" s="11">
        <f t="shared" si="50"/>
        <v>235</v>
      </c>
      <c r="D402" s="11">
        <f t="shared" si="51"/>
        <v>63</v>
      </c>
      <c r="E402" s="11">
        <f t="shared" si="52"/>
        <v>97</v>
      </c>
      <c r="F402" s="38" t="str">
        <f t="shared" si="53"/>
        <v>2023</v>
      </c>
      <c r="G402" s="11" t="str" cm="1">
        <f t="array" ref="G402">gssBoardClass(A402,B402,C402,D402,E402,F402)</f>
        <v>Speed/Slalom Small</v>
      </c>
      <c r="H402" s="39" t="str">
        <f t="shared" si="54"/>
        <v>2023-Fa-Fal-97-63-235</v>
      </c>
      <c r="I402" s="42" t="str">
        <f t="shared" si="55"/>
        <v>2023</v>
      </c>
      <c r="J402" s="46">
        <v>2023</v>
      </c>
      <c r="K402" t="s">
        <v>1</v>
      </c>
      <c r="L402" t="s">
        <v>322</v>
      </c>
      <c r="M402">
        <v>97</v>
      </c>
      <c r="N402">
        <v>63</v>
      </c>
      <c r="O402">
        <v>235</v>
      </c>
      <c r="Q402" t="s">
        <v>232</v>
      </c>
    </row>
    <row r="403" spans="1:17" x14ac:dyDescent="0.3">
      <c r="A403" s="11" t="str">
        <f t="shared" si="48"/>
        <v>Fanatic</v>
      </c>
      <c r="B403" s="11" t="str">
        <f t="shared" si="49"/>
        <v>Freewave Te/Ltd 105</v>
      </c>
      <c r="C403" s="11">
        <f t="shared" si="50"/>
        <v>231</v>
      </c>
      <c r="D403" s="11">
        <f t="shared" si="51"/>
        <v>63</v>
      </c>
      <c r="E403" s="11">
        <f t="shared" si="52"/>
        <v>105</v>
      </c>
      <c r="F403" s="38" t="str">
        <f t="shared" si="53"/>
        <v>2023</v>
      </c>
      <c r="G403" s="11" t="str" cm="1">
        <f t="array" ref="G403">gssBoardClass(A403,B403,C403,D403,E403,F403)</f>
        <v>Wave / Freestyle</v>
      </c>
      <c r="H403" s="39" t="str">
        <f t="shared" si="54"/>
        <v>2023-Fa-Fre-105-63-231</v>
      </c>
      <c r="I403" s="42" t="str">
        <f t="shared" si="55"/>
        <v>2023</v>
      </c>
      <c r="J403" s="46">
        <v>2023</v>
      </c>
      <c r="K403" t="s">
        <v>1</v>
      </c>
      <c r="L403" t="s">
        <v>300</v>
      </c>
      <c r="M403">
        <v>105</v>
      </c>
      <c r="N403">
        <v>63</v>
      </c>
      <c r="O403">
        <v>231</v>
      </c>
      <c r="Q403" t="s">
        <v>282</v>
      </c>
    </row>
    <row r="404" spans="1:17" x14ac:dyDescent="0.3">
      <c r="A404" s="11" t="str">
        <f t="shared" si="48"/>
        <v>Fanatic</v>
      </c>
      <c r="B404" s="11" t="str">
        <f t="shared" si="49"/>
        <v>Freewave Te/Ltd 115</v>
      </c>
      <c r="C404" s="11">
        <f t="shared" si="50"/>
        <v>232</v>
      </c>
      <c r="D404" s="11">
        <f t="shared" si="51"/>
        <v>65</v>
      </c>
      <c r="E404" s="11">
        <f t="shared" si="52"/>
        <v>115</v>
      </c>
      <c r="F404" s="38" t="str">
        <f t="shared" si="53"/>
        <v>2023</v>
      </c>
      <c r="G404" s="11" t="str" cm="1">
        <f t="array" ref="G404">gssBoardClass(A404,B404,C404,D404,E404,F404)</f>
        <v>Wave / Freestyle</v>
      </c>
      <c r="H404" s="39" t="str">
        <f t="shared" si="54"/>
        <v>2023-Fa-Fre-115-65-232</v>
      </c>
      <c r="I404" s="42" t="str">
        <f t="shared" si="55"/>
        <v>2023</v>
      </c>
      <c r="J404" s="46">
        <v>2023</v>
      </c>
      <c r="K404" t="s">
        <v>1</v>
      </c>
      <c r="L404" t="s">
        <v>301</v>
      </c>
      <c r="M404">
        <v>115</v>
      </c>
      <c r="N404">
        <v>65.5</v>
      </c>
      <c r="O404">
        <v>232</v>
      </c>
      <c r="Q404" t="s">
        <v>282</v>
      </c>
    </row>
    <row r="405" spans="1:17" x14ac:dyDescent="0.3">
      <c r="A405" s="11" t="str">
        <f t="shared" si="48"/>
        <v>Fanatic</v>
      </c>
      <c r="B405" s="11" t="str">
        <f t="shared" si="49"/>
        <v>Freewave Te/Ltd 125</v>
      </c>
      <c r="C405" s="11">
        <f t="shared" si="50"/>
        <v>234</v>
      </c>
      <c r="D405" s="11">
        <f t="shared" si="51"/>
        <v>68</v>
      </c>
      <c r="E405" s="11">
        <f t="shared" si="52"/>
        <v>125</v>
      </c>
      <c r="F405" s="38" t="str">
        <f t="shared" si="53"/>
        <v>2023</v>
      </c>
      <c r="G405" s="11" t="str" cm="1">
        <f t="array" ref="G405">gssBoardClass(A405,B405,C405,D405,E405,F405)</f>
        <v>Wave / Freestyle</v>
      </c>
      <c r="H405" s="39" t="str">
        <f t="shared" si="54"/>
        <v>2023-Fa-Fre-125-68-234</v>
      </c>
      <c r="I405" s="42" t="str">
        <f t="shared" si="55"/>
        <v>2023</v>
      </c>
      <c r="J405" s="46">
        <v>2023</v>
      </c>
      <c r="K405" t="s">
        <v>1</v>
      </c>
      <c r="L405" t="s">
        <v>302</v>
      </c>
      <c r="M405">
        <v>125</v>
      </c>
      <c r="N405">
        <v>68</v>
      </c>
      <c r="O405">
        <v>234</v>
      </c>
      <c r="Q405" t="s">
        <v>282</v>
      </c>
    </row>
    <row r="406" spans="1:17" x14ac:dyDescent="0.3">
      <c r="A406" s="11" t="str">
        <f t="shared" si="48"/>
        <v>Fanatic</v>
      </c>
      <c r="B406" s="11" t="str">
        <f t="shared" si="49"/>
        <v>Freewave Te/Ltd 75</v>
      </c>
      <c r="C406" s="11">
        <f t="shared" si="50"/>
        <v>228</v>
      </c>
      <c r="D406" s="11">
        <f t="shared" si="51"/>
        <v>56</v>
      </c>
      <c r="E406" s="11">
        <f t="shared" si="52"/>
        <v>75</v>
      </c>
      <c r="F406" s="38" t="str">
        <f t="shared" si="53"/>
        <v>2023</v>
      </c>
      <c r="G406" s="11" t="str" cm="1">
        <f t="array" ref="G406">gssBoardClass(A406,B406,C406,D406,E406,F406)</f>
        <v>Wave / Freestyle</v>
      </c>
      <c r="H406" s="39" t="str">
        <f t="shared" si="54"/>
        <v>2023-Fa-Fre-75-56-228</v>
      </c>
      <c r="I406" s="42" t="str">
        <f t="shared" si="55"/>
        <v>2023</v>
      </c>
      <c r="J406" s="46">
        <v>2023</v>
      </c>
      <c r="K406" t="s">
        <v>1</v>
      </c>
      <c r="L406" t="s">
        <v>297</v>
      </c>
      <c r="M406">
        <v>75</v>
      </c>
      <c r="N406">
        <v>56</v>
      </c>
      <c r="O406">
        <v>228</v>
      </c>
      <c r="Q406" t="s">
        <v>282</v>
      </c>
    </row>
    <row r="407" spans="1:17" x14ac:dyDescent="0.3">
      <c r="A407" s="11" t="str">
        <f t="shared" si="48"/>
        <v>Fanatic</v>
      </c>
      <c r="B407" s="11" t="str">
        <f t="shared" si="49"/>
        <v>Freewave Te/Ltd 85</v>
      </c>
      <c r="C407" s="11">
        <f t="shared" si="50"/>
        <v>229</v>
      </c>
      <c r="D407" s="11">
        <f t="shared" si="51"/>
        <v>58</v>
      </c>
      <c r="E407" s="11">
        <f t="shared" si="52"/>
        <v>85</v>
      </c>
      <c r="F407" s="38" t="str">
        <f t="shared" si="53"/>
        <v>2023</v>
      </c>
      <c r="G407" s="11" t="str" cm="1">
        <f t="array" ref="G407">gssBoardClass(A407,B407,C407,D407,E407,F407)</f>
        <v>Wave / Freestyle</v>
      </c>
      <c r="H407" s="39" t="str">
        <f t="shared" si="54"/>
        <v>2023-Fa-Fre-85-58-229</v>
      </c>
      <c r="I407" s="42" t="str">
        <f t="shared" si="55"/>
        <v>2023</v>
      </c>
      <c r="J407" s="46">
        <v>2023</v>
      </c>
      <c r="K407" t="s">
        <v>1</v>
      </c>
      <c r="L407" t="s">
        <v>298</v>
      </c>
      <c r="M407">
        <v>85</v>
      </c>
      <c r="N407">
        <v>58.5</v>
      </c>
      <c r="O407">
        <v>229</v>
      </c>
      <c r="Q407" t="s">
        <v>282</v>
      </c>
    </row>
    <row r="408" spans="1:17" x14ac:dyDescent="0.3">
      <c r="A408" s="11" t="str">
        <f t="shared" si="48"/>
        <v>Fanatic</v>
      </c>
      <c r="B408" s="11" t="str">
        <f t="shared" si="49"/>
        <v>Freewave Te/Ltd 95</v>
      </c>
      <c r="C408" s="11">
        <f t="shared" si="50"/>
        <v>230</v>
      </c>
      <c r="D408" s="11">
        <f t="shared" si="51"/>
        <v>61</v>
      </c>
      <c r="E408" s="11">
        <f t="shared" si="52"/>
        <v>95</v>
      </c>
      <c r="F408" s="38" t="str">
        <f t="shared" si="53"/>
        <v>2023</v>
      </c>
      <c r="G408" s="11" t="str" cm="1">
        <f t="array" ref="G408">gssBoardClass(A408,B408,C408,D408,E408,F408)</f>
        <v>Wave / Freestyle</v>
      </c>
      <c r="H408" s="39" t="str">
        <f t="shared" si="54"/>
        <v>2023-Fa-Fre-95-61-230</v>
      </c>
      <c r="I408" s="42" t="str">
        <f t="shared" si="55"/>
        <v>2023</v>
      </c>
      <c r="J408" s="46">
        <v>2023</v>
      </c>
      <c r="K408" t="s">
        <v>1</v>
      </c>
      <c r="L408" t="s">
        <v>299</v>
      </c>
      <c r="M408">
        <v>95</v>
      </c>
      <c r="N408">
        <v>61</v>
      </c>
      <c r="O408">
        <v>230</v>
      </c>
      <c r="Q408" t="s">
        <v>282</v>
      </c>
    </row>
    <row r="409" spans="1:17" x14ac:dyDescent="0.3">
      <c r="A409" s="11" t="str">
        <f t="shared" si="48"/>
        <v>Fanatic</v>
      </c>
      <c r="B409" s="11" t="str">
        <f t="shared" si="49"/>
        <v>Gecko Ltd/Hrs 100</v>
      </c>
      <c r="C409" s="11">
        <f t="shared" si="50"/>
        <v>239</v>
      </c>
      <c r="D409" s="11">
        <f t="shared" si="51"/>
        <v>66</v>
      </c>
      <c r="E409" s="11">
        <f t="shared" si="52"/>
        <v>100</v>
      </c>
      <c r="F409" s="38" t="str">
        <f t="shared" si="53"/>
        <v>2023</v>
      </c>
      <c r="G409" s="11" t="str" cm="1">
        <f t="array" ref="G409">gssBoardClass(A409,B409,C409,D409,E409,F409)</f>
        <v>Slalom Medium</v>
      </c>
      <c r="H409" s="39" t="str">
        <f t="shared" si="54"/>
        <v>2023-Fa-Gec-100-66-239</v>
      </c>
      <c r="I409" s="42" t="str">
        <f t="shared" si="55"/>
        <v>2023</v>
      </c>
      <c r="J409" s="46">
        <v>2023</v>
      </c>
      <c r="K409" t="s">
        <v>1</v>
      </c>
      <c r="L409" t="s">
        <v>307</v>
      </c>
      <c r="M409">
        <v>100</v>
      </c>
      <c r="N409">
        <v>66</v>
      </c>
      <c r="O409">
        <v>239</v>
      </c>
      <c r="Q409" t="s">
        <v>179</v>
      </c>
    </row>
    <row r="410" spans="1:17" x14ac:dyDescent="0.3">
      <c r="A410" s="11" t="str">
        <f t="shared" si="48"/>
        <v>Fanatic</v>
      </c>
      <c r="B410" s="11" t="str">
        <f t="shared" si="49"/>
        <v>Gecko Ltd/Hrs 110</v>
      </c>
      <c r="C410" s="11">
        <f t="shared" si="50"/>
        <v>239</v>
      </c>
      <c r="D410" s="11">
        <f t="shared" si="51"/>
        <v>69</v>
      </c>
      <c r="E410" s="11">
        <f t="shared" si="52"/>
        <v>110</v>
      </c>
      <c r="F410" s="38" t="str">
        <f t="shared" si="53"/>
        <v>2023</v>
      </c>
      <c r="G410" s="11" t="str" cm="1">
        <f t="array" ref="G410">gssBoardClass(A410,B410,C410,D410,E410,F410)</f>
        <v>Slalom Medium</v>
      </c>
      <c r="H410" s="39" t="str">
        <f t="shared" si="54"/>
        <v>2023-Fa-Gec-110-69-239</v>
      </c>
      <c r="I410" s="42" t="str">
        <f t="shared" si="55"/>
        <v>2023</v>
      </c>
      <c r="J410" s="46">
        <v>2023</v>
      </c>
      <c r="K410" t="s">
        <v>1</v>
      </c>
      <c r="L410" t="s">
        <v>308</v>
      </c>
      <c r="M410">
        <v>110</v>
      </c>
      <c r="N410">
        <v>69</v>
      </c>
      <c r="O410">
        <v>239</v>
      </c>
      <c r="Q410" t="s">
        <v>179</v>
      </c>
    </row>
    <row r="411" spans="1:17" x14ac:dyDescent="0.3">
      <c r="A411" s="11" t="str">
        <f t="shared" si="48"/>
        <v>Fanatic</v>
      </c>
      <c r="B411" s="11" t="str">
        <f t="shared" si="49"/>
        <v>Gecko Ltd/Hrs 122</v>
      </c>
      <c r="C411" s="11">
        <f t="shared" si="50"/>
        <v>242</v>
      </c>
      <c r="D411" s="11">
        <f t="shared" si="51"/>
        <v>76</v>
      </c>
      <c r="E411" s="11">
        <f t="shared" si="52"/>
        <v>122</v>
      </c>
      <c r="F411" s="38" t="str">
        <f t="shared" si="53"/>
        <v>2023</v>
      </c>
      <c r="G411" s="11" t="str" cm="1">
        <f t="array" ref="G411">gssBoardClass(A411,B411,C411,D411,E411,F411)</f>
        <v>Slalom Large</v>
      </c>
      <c r="H411" s="39" t="str">
        <f t="shared" si="54"/>
        <v>2023-Fa-Gec-122-76-242</v>
      </c>
      <c r="I411" s="42" t="str">
        <f t="shared" si="55"/>
        <v>2023</v>
      </c>
      <c r="J411" s="46">
        <v>2023</v>
      </c>
      <c r="K411" t="s">
        <v>1</v>
      </c>
      <c r="L411" t="s">
        <v>309</v>
      </c>
      <c r="M411">
        <v>122</v>
      </c>
      <c r="N411">
        <v>76</v>
      </c>
      <c r="O411">
        <v>242</v>
      </c>
      <c r="Q411" t="s">
        <v>179</v>
      </c>
    </row>
    <row r="412" spans="1:17" x14ac:dyDescent="0.3">
      <c r="A412" s="11" t="str">
        <f t="shared" si="48"/>
        <v>Fanatic</v>
      </c>
      <c r="B412" s="11" t="str">
        <f t="shared" si="49"/>
        <v>Gecko Ltd/Hrs 135</v>
      </c>
      <c r="C412" s="11">
        <f t="shared" si="50"/>
        <v>246</v>
      </c>
      <c r="D412" s="11">
        <f t="shared" si="51"/>
        <v>79</v>
      </c>
      <c r="E412" s="11">
        <f t="shared" si="52"/>
        <v>135</v>
      </c>
      <c r="F412" s="38" t="str">
        <f t="shared" si="53"/>
        <v>2023</v>
      </c>
      <c r="G412" s="11" t="str" cm="1">
        <f t="array" ref="G412">gssBoardClass(A412,B412,C412,D412,E412,F412)</f>
        <v>Slalom Large</v>
      </c>
      <c r="H412" s="39" t="str">
        <f t="shared" si="54"/>
        <v>2023-Fa-Gec-135-79-246</v>
      </c>
      <c r="I412" s="42" t="str">
        <f t="shared" si="55"/>
        <v>2023</v>
      </c>
      <c r="J412" s="46">
        <v>2023</v>
      </c>
      <c r="K412" t="s">
        <v>1</v>
      </c>
      <c r="L412" t="s">
        <v>310</v>
      </c>
      <c r="M412">
        <v>135</v>
      </c>
      <c r="N412">
        <v>79</v>
      </c>
      <c r="O412">
        <v>246</v>
      </c>
      <c r="Q412" t="s">
        <v>179</v>
      </c>
    </row>
    <row r="413" spans="1:17" x14ac:dyDescent="0.3">
      <c r="A413" s="11" t="str">
        <f t="shared" si="48"/>
        <v>Fanatic</v>
      </c>
      <c r="B413" s="11" t="str">
        <f t="shared" si="49"/>
        <v>Gecko Ltd/Hrs 148</v>
      </c>
      <c r="C413" s="11">
        <f t="shared" si="50"/>
        <v>250</v>
      </c>
      <c r="D413" s="11">
        <f t="shared" si="51"/>
        <v>83</v>
      </c>
      <c r="E413" s="11">
        <f t="shared" si="52"/>
        <v>148</v>
      </c>
      <c r="F413" s="38" t="str">
        <f t="shared" si="53"/>
        <v>2023</v>
      </c>
      <c r="G413" s="11" t="str" cm="1">
        <f t="array" ref="G413">gssBoardClass(A413,B413,C413,D413,E413,F413)</f>
        <v>Slalom Large</v>
      </c>
      <c r="H413" s="39" t="str">
        <f t="shared" si="54"/>
        <v>2023-Fa-Gec-148-83-250</v>
      </c>
      <c r="I413" s="42" t="str">
        <f t="shared" si="55"/>
        <v>2023</v>
      </c>
      <c r="J413" s="46">
        <v>2023</v>
      </c>
      <c r="K413" t="s">
        <v>1</v>
      </c>
      <c r="L413" t="s">
        <v>311</v>
      </c>
      <c r="M413">
        <v>148</v>
      </c>
      <c r="N413">
        <v>83</v>
      </c>
      <c r="O413">
        <v>250</v>
      </c>
      <c r="Q413" t="s">
        <v>179</v>
      </c>
    </row>
    <row r="414" spans="1:17" x14ac:dyDescent="0.3">
      <c r="A414" s="11" t="str">
        <f t="shared" si="48"/>
        <v>Fanatic</v>
      </c>
      <c r="B414" s="11" t="str">
        <f t="shared" si="49"/>
        <v>Gecko Ltd/Hrs 156</v>
      </c>
      <c r="C414" s="11">
        <f t="shared" si="50"/>
        <v>252</v>
      </c>
      <c r="D414" s="11">
        <f t="shared" si="51"/>
        <v>85</v>
      </c>
      <c r="E414" s="11">
        <f t="shared" si="52"/>
        <v>156</v>
      </c>
      <c r="F414" s="38" t="str">
        <f t="shared" si="53"/>
        <v>2023</v>
      </c>
      <c r="G414" s="11" t="str" cm="1">
        <f t="array" ref="G414">gssBoardClass(A414,B414,C414,D414,E414,F414)</f>
        <v>Slalom Large</v>
      </c>
      <c r="H414" s="39" t="str">
        <f t="shared" si="54"/>
        <v>2023-Fa-Gec-156-85-252</v>
      </c>
      <c r="I414" s="42" t="str">
        <f t="shared" si="55"/>
        <v>2023</v>
      </c>
      <c r="J414" s="46">
        <v>2023</v>
      </c>
      <c r="K414" t="s">
        <v>1</v>
      </c>
      <c r="L414" t="s">
        <v>312</v>
      </c>
      <c r="M414">
        <v>156</v>
      </c>
      <c r="N414">
        <v>85</v>
      </c>
      <c r="O414">
        <v>252</v>
      </c>
      <c r="Q414" t="s">
        <v>179</v>
      </c>
    </row>
    <row r="415" spans="1:17" x14ac:dyDescent="0.3">
      <c r="A415" s="11" t="str">
        <f t="shared" si="48"/>
        <v>Fanatic</v>
      </c>
      <c r="B415" s="11" t="str">
        <f t="shared" si="49"/>
        <v>Grip Te 107</v>
      </c>
      <c r="C415" s="11">
        <f t="shared" si="50"/>
        <v>230</v>
      </c>
      <c r="D415" s="11">
        <f t="shared" si="51"/>
        <v>64</v>
      </c>
      <c r="E415" s="11">
        <f t="shared" si="52"/>
        <v>107</v>
      </c>
      <c r="F415" s="38" t="str">
        <f t="shared" si="53"/>
        <v>2023</v>
      </c>
      <c r="G415" s="11" t="str" cm="1">
        <f t="array" ref="G415">gssBoardClass(A415,B415,C415,D415,E415,F415)</f>
        <v>Wave / Freestyle</v>
      </c>
      <c r="H415" s="39" t="str">
        <f t="shared" si="54"/>
        <v>2023-Fa-Gri-107-64-230</v>
      </c>
      <c r="I415" s="42" t="str">
        <f t="shared" si="55"/>
        <v>2023</v>
      </c>
      <c r="J415" s="46">
        <v>2023</v>
      </c>
      <c r="K415" t="s">
        <v>1</v>
      </c>
      <c r="L415" t="s">
        <v>289</v>
      </c>
      <c r="M415">
        <v>107</v>
      </c>
      <c r="N415">
        <v>64</v>
      </c>
      <c r="O415">
        <v>230</v>
      </c>
      <c r="Q415" t="s">
        <v>280</v>
      </c>
    </row>
    <row r="416" spans="1:17" x14ac:dyDescent="0.3">
      <c r="A416" s="11" t="str">
        <f t="shared" si="48"/>
        <v>Fanatic</v>
      </c>
      <c r="B416" s="11" t="str">
        <f t="shared" si="49"/>
        <v>Grip Te 69</v>
      </c>
      <c r="C416" s="11">
        <f t="shared" si="50"/>
        <v>220</v>
      </c>
      <c r="D416" s="11">
        <f t="shared" si="51"/>
        <v>54</v>
      </c>
      <c r="E416" s="11">
        <f t="shared" si="52"/>
        <v>69</v>
      </c>
      <c r="F416" s="38" t="str">
        <f t="shared" si="53"/>
        <v>2023</v>
      </c>
      <c r="G416" s="11" t="str" cm="1">
        <f t="array" ref="G416">gssBoardClass(A416,B416,C416,D416,E416,F416)</f>
        <v>Wave / Freestyle</v>
      </c>
      <c r="H416" s="39" t="str">
        <f t="shared" si="54"/>
        <v>2023-Fa-Gri-69-54-220</v>
      </c>
      <c r="I416" s="42" t="str">
        <f t="shared" si="55"/>
        <v>2023</v>
      </c>
      <c r="J416" s="46">
        <v>2023</v>
      </c>
      <c r="K416" t="s">
        <v>1</v>
      </c>
      <c r="L416" t="s">
        <v>285</v>
      </c>
      <c r="M416">
        <v>69</v>
      </c>
      <c r="N416">
        <v>54</v>
      </c>
      <c r="O416">
        <v>220</v>
      </c>
      <c r="Q416" t="s">
        <v>280</v>
      </c>
    </row>
    <row r="417" spans="1:17" x14ac:dyDescent="0.3">
      <c r="A417" s="11" t="str">
        <f t="shared" si="48"/>
        <v>Fanatic</v>
      </c>
      <c r="B417" s="11" t="str">
        <f t="shared" si="49"/>
        <v>Grip Te 76</v>
      </c>
      <c r="C417" s="11">
        <f t="shared" si="50"/>
        <v>223</v>
      </c>
      <c r="D417" s="11">
        <f t="shared" si="51"/>
        <v>56</v>
      </c>
      <c r="E417" s="11">
        <f t="shared" si="52"/>
        <v>76</v>
      </c>
      <c r="F417" s="38" t="str">
        <f t="shared" si="53"/>
        <v>2023</v>
      </c>
      <c r="G417" s="11" t="str" cm="1">
        <f t="array" ref="G417">gssBoardClass(A417,B417,C417,D417,E417,F417)</f>
        <v>Wave / Freestyle</v>
      </c>
      <c r="H417" s="39" t="str">
        <f t="shared" si="54"/>
        <v>2023-Fa-Gri-76-56-223</v>
      </c>
      <c r="I417" s="42" t="str">
        <f t="shared" si="55"/>
        <v>2023</v>
      </c>
      <c r="J417" s="46">
        <v>2023</v>
      </c>
      <c r="K417" t="s">
        <v>1</v>
      </c>
      <c r="L417" t="s">
        <v>144</v>
      </c>
      <c r="M417">
        <v>76</v>
      </c>
      <c r="N417">
        <v>56</v>
      </c>
      <c r="O417">
        <v>223</v>
      </c>
      <c r="Q417" t="s">
        <v>280</v>
      </c>
    </row>
    <row r="418" spans="1:17" x14ac:dyDescent="0.3">
      <c r="A418" s="11" t="str">
        <f t="shared" si="48"/>
        <v>Fanatic</v>
      </c>
      <c r="B418" s="11" t="str">
        <f t="shared" si="49"/>
        <v>Grip Te 81</v>
      </c>
      <c r="C418" s="11">
        <f t="shared" si="50"/>
        <v>224</v>
      </c>
      <c r="D418" s="11">
        <f t="shared" si="51"/>
        <v>57</v>
      </c>
      <c r="E418" s="11">
        <f t="shared" si="52"/>
        <v>81</v>
      </c>
      <c r="F418" s="38" t="str">
        <f t="shared" si="53"/>
        <v>2023</v>
      </c>
      <c r="G418" s="11" t="str" cm="1">
        <f t="array" ref="G418">gssBoardClass(A418,B418,C418,D418,E418,F418)</f>
        <v>Wave / Freestyle</v>
      </c>
      <c r="H418" s="39" t="str">
        <f t="shared" si="54"/>
        <v>2023-Fa-Gri-81-57-224</v>
      </c>
      <c r="I418" s="42" t="str">
        <f t="shared" si="55"/>
        <v>2023</v>
      </c>
      <c r="J418" s="46">
        <v>2023</v>
      </c>
      <c r="K418" t="s">
        <v>1</v>
      </c>
      <c r="L418" t="s">
        <v>286</v>
      </c>
      <c r="M418">
        <v>81</v>
      </c>
      <c r="N418">
        <v>57.5</v>
      </c>
      <c r="O418">
        <v>224</v>
      </c>
      <c r="Q418" t="s">
        <v>280</v>
      </c>
    </row>
    <row r="419" spans="1:17" x14ac:dyDescent="0.3">
      <c r="A419" s="11" t="str">
        <f t="shared" si="48"/>
        <v>Fanatic</v>
      </c>
      <c r="B419" s="11" t="str">
        <f t="shared" si="49"/>
        <v>Grip Te 87</v>
      </c>
      <c r="C419" s="11">
        <f t="shared" si="50"/>
        <v>225</v>
      </c>
      <c r="D419" s="11">
        <f t="shared" si="51"/>
        <v>59</v>
      </c>
      <c r="E419" s="11">
        <f t="shared" si="52"/>
        <v>87</v>
      </c>
      <c r="F419" s="38" t="str">
        <f t="shared" si="53"/>
        <v>2023</v>
      </c>
      <c r="G419" s="11" t="str" cm="1">
        <f t="array" ref="G419">gssBoardClass(A419,B419,C419,D419,E419,F419)</f>
        <v>Wave / Freestyle</v>
      </c>
      <c r="H419" s="39" t="str">
        <f t="shared" si="54"/>
        <v>2023-Fa-Gri-87-59-225</v>
      </c>
      <c r="I419" s="42" t="str">
        <f t="shared" si="55"/>
        <v>2023</v>
      </c>
      <c r="J419" s="46">
        <v>2023</v>
      </c>
      <c r="K419" t="s">
        <v>1</v>
      </c>
      <c r="L419" t="s">
        <v>287</v>
      </c>
      <c r="M419">
        <v>87</v>
      </c>
      <c r="N419">
        <v>59</v>
      </c>
      <c r="O419">
        <v>225</v>
      </c>
      <c r="Q419" t="s">
        <v>280</v>
      </c>
    </row>
    <row r="420" spans="1:17" x14ac:dyDescent="0.3">
      <c r="A420" s="11" t="str">
        <f t="shared" si="48"/>
        <v>Fanatic</v>
      </c>
      <c r="B420" s="11" t="str">
        <f t="shared" si="49"/>
        <v>Grip Te 93</v>
      </c>
      <c r="C420" s="11">
        <f t="shared" si="50"/>
        <v>226</v>
      </c>
      <c r="D420" s="11">
        <f t="shared" si="51"/>
        <v>60</v>
      </c>
      <c r="E420" s="11">
        <f t="shared" si="52"/>
        <v>93</v>
      </c>
      <c r="F420" s="38" t="str">
        <f t="shared" si="53"/>
        <v>2023</v>
      </c>
      <c r="G420" s="11" t="str" cm="1">
        <f t="array" ref="G420">gssBoardClass(A420,B420,C420,D420,E420,F420)</f>
        <v>Wave / Freestyle</v>
      </c>
      <c r="H420" s="39" t="str">
        <f t="shared" si="54"/>
        <v>2023-Fa-Gri-93-60-226</v>
      </c>
      <c r="I420" s="42" t="str">
        <f t="shared" si="55"/>
        <v>2023</v>
      </c>
      <c r="J420" s="46">
        <v>2023</v>
      </c>
      <c r="K420" t="s">
        <v>1</v>
      </c>
      <c r="L420" t="s">
        <v>288</v>
      </c>
      <c r="M420">
        <v>93</v>
      </c>
      <c r="N420">
        <v>60</v>
      </c>
      <c r="O420">
        <v>226</v>
      </c>
      <c r="Q420" t="s">
        <v>280</v>
      </c>
    </row>
    <row r="421" spans="1:17" x14ac:dyDescent="0.3">
      <c r="A421" s="11" t="str">
        <f t="shared" si="48"/>
        <v>Fanatic</v>
      </c>
      <c r="B421" s="11" t="str">
        <f t="shared" si="49"/>
        <v>Grip Te 99</v>
      </c>
      <c r="C421" s="11">
        <f t="shared" si="50"/>
        <v>227</v>
      </c>
      <c r="D421" s="11">
        <f t="shared" si="51"/>
        <v>62</v>
      </c>
      <c r="E421" s="11">
        <f t="shared" si="52"/>
        <v>99</v>
      </c>
      <c r="F421" s="38" t="str">
        <f t="shared" si="53"/>
        <v>2023</v>
      </c>
      <c r="G421" s="11" t="str" cm="1">
        <f t="array" ref="G421">gssBoardClass(A421,B421,C421,D421,E421,F421)</f>
        <v>Wave / Freestyle</v>
      </c>
      <c r="H421" s="39" t="str">
        <f t="shared" si="54"/>
        <v>2023-Fa-Gri-99-62-227</v>
      </c>
      <c r="I421" s="42" t="str">
        <f t="shared" si="55"/>
        <v>2023</v>
      </c>
      <c r="J421" s="46">
        <v>2023</v>
      </c>
      <c r="K421" t="s">
        <v>1</v>
      </c>
      <c r="L421" t="s">
        <v>150</v>
      </c>
      <c r="M421">
        <v>99</v>
      </c>
      <c r="N421">
        <v>62</v>
      </c>
      <c r="O421">
        <v>227</v>
      </c>
      <c r="Q421" t="s">
        <v>280</v>
      </c>
    </row>
    <row r="422" spans="1:17" x14ac:dyDescent="0.3">
      <c r="A422" s="11" t="str">
        <f t="shared" si="48"/>
        <v>Fanatic</v>
      </c>
      <c r="B422" s="11" t="str">
        <f t="shared" si="49"/>
        <v>Jag Ltd 110</v>
      </c>
      <c r="C422" s="11">
        <f t="shared" si="50"/>
        <v>230</v>
      </c>
      <c r="D422" s="11">
        <f t="shared" si="51"/>
        <v>70</v>
      </c>
      <c r="E422" s="11">
        <f t="shared" si="52"/>
        <v>110</v>
      </c>
      <c r="F422" s="38" t="str">
        <f t="shared" si="53"/>
        <v>2023</v>
      </c>
      <c r="G422" s="11" t="str" cm="1">
        <f t="array" ref="G422">gssBoardClass(A422,B422,C422,D422,E422,F422)</f>
        <v>Slalom Medium</v>
      </c>
      <c r="H422" s="39" t="str">
        <f t="shared" si="54"/>
        <v>2023-Fa-Jag-110-70-230</v>
      </c>
      <c r="I422" s="42" t="str">
        <f t="shared" si="55"/>
        <v>2023</v>
      </c>
      <c r="J422" s="46">
        <v>2023</v>
      </c>
      <c r="K422" t="s">
        <v>1</v>
      </c>
      <c r="L422" t="s">
        <v>316</v>
      </c>
      <c r="M422">
        <v>110</v>
      </c>
      <c r="N422">
        <v>70</v>
      </c>
      <c r="O422">
        <v>230</v>
      </c>
      <c r="Q422" t="s">
        <v>283</v>
      </c>
    </row>
    <row r="423" spans="1:17" x14ac:dyDescent="0.3">
      <c r="A423" s="11" t="str">
        <f t="shared" si="48"/>
        <v>Fanatic</v>
      </c>
      <c r="B423" s="11" t="str">
        <f t="shared" si="49"/>
        <v>Jag Ltd 128</v>
      </c>
      <c r="C423" s="11">
        <f t="shared" si="50"/>
        <v>232</v>
      </c>
      <c r="D423" s="11">
        <f t="shared" si="51"/>
        <v>80</v>
      </c>
      <c r="E423" s="11">
        <f t="shared" si="52"/>
        <v>128</v>
      </c>
      <c r="F423" s="38" t="str">
        <f t="shared" si="53"/>
        <v>2023</v>
      </c>
      <c r="G423" s="11" t="str" cm="1">
        <f t="array" ref="G423">gssBoardClass(A423,B423,C423,D423,E423,F423)</f>
        <v>Slalom Large</v>
      </c>
      <c r="H423" s="39" t="str">
        <f t="shared" si="54"/>
        <v>2023-Fa-Jag-128-80-232</v>
      </c>
      <c r="I423" s="42" t="str">
        <f t="shared" si="55"/>
        <v>2023</v>
      </c>
      <c r="J423" s="46">
        <v>2023</v>
      </c>
      <c r="K423" t="s">
        <v>1</v>
      </c>
      <c r="L423" t="s">
        <v>317</v>
      </c>
      <c r="M423">
        <v>128</v>
      </c>
      <c r="N423">
        <v>80</v>
      </c>
      <c r="O423">
        <v>232</v>
      </c>
      <c r="Q423" t="s">
        <v>283</v>
      </c>
    </row>
    <row r="424" spans="1:17" x14ac:dyDescent="0.3">
      <c r="A424" s="11" t="str">
        <f t="shared" si="48"/>
        <v>Fanatic</v>
      </c>
      <c r="B424" s="11" t="str">
        <f t="shared" si="49"/>
        <v>Jag Ltd 138</v>
      </c>
      <c r="C424" s="11">
        <f t="shared" si="50"/>
        <v>232</v>
      </c>
      <c r="D424" s="11">
        <f t="shared" si="51"/>
        <v>85</v>
      </c>
      <c r="E424" s="11">
        <f t="shared" si="52"/>
        <v>138</v>
      </c>
      <c r="F424" s="38" t="str">
        <f t="shared" si="53"/>
        <v>2023</v>
      </c>
      <c r="G424" s="11" t="str" cm="1">
        <f t="array" ref="G424">gssBoardClass(A424,B424,C424,D424,E424,F424)</f>
        <v>Slalom Large</v>
      </c>
      <c r="H424" s="39" t="str">
        <f t="shared" si="54"/>
        <v>2023-Fa-Jag-138-85-232</v>
      </c>
      <c r="I424" s="42" t="str">
        <f t="shared" si="55"/>
        <v>2023</v>
      </c>
      <c r="J424" s="46">
        <v>2023</v>
      </c>
      <c r="K424" t="s">
        <v>1</v>
      </c>
      <c r="L424" t="s">
        <v>318</v>
      </c>
      <c r="M424">
        <v>138</v>
      </c>
      <c r="N424">
        <v>85</v>
      </c>
      <c r="O424">
        <v>232</v>
      </c>
      <c r="Q424" t="s">
        <v>283</v>
      </c>
    </row>
    <row r="425" spans="1:17" x14ac:dyDescent="0.3">
      <c r="A425" s="11" t="str">
        <f t="shared" si="48"/>
        <v>Fanatic</v>
      </c>
      <c r="B425" s="11" t="str">
        <f t="shared" si="49"/>
        <v>Jag Ltd 158</v>
      </c>
      <c r="C425" s="11">
        <f t="shared" si="50"/>
        <v>235</v>
      </c>
      <c r="D425" s="11">
        <f t="shared" si="51"/>
        <v>90</v>
      </c>
      <c r="E425" s="11">
        <f t="shared" si="52"/>
        <v>158</v>
      </c>
      <c r="F425" s="38" t="str">
        <f t="shared" si="53"/>
        <v>2023</v>
      </c>
      <c r="G425" s="11" t="str" cm="1">
        <f t="array" ref="G425">gssBoardClass(A425,B425,C425,D425,E425,F425)</f>
        <v>Slalom Xtra Large</v>
      </c>
      <c r="H425" s="39" t="str">
        <f t="shared" si="54"/>
        <v>2023-Fa-Jag-158-90-235</v>
      </c>
      <c r="I425" s="42" t="str">
        <f t="shared" si="55"/>
        <v>2023</v>
      </c>
      <c r="J425" s="46">
        <v>2023</v>
      </c>
      <c r="K425" t="s">
        <v>1</v>
      </c>
      <c r="L425" t="s">
        <v>319</v>
      </c>
      <c r="M425">
        <v>158</v>
      </c>
      <c r="N425">
        <v>90</v>
      </c>
      <c r="O425">
        <v>235</v>
      </c>
      <c r="Q425" t="s">
        <v>283</v>
      </c>
    </row>
    <row r="426" spans="1:17" x14ac:dyDescent="0.3">
      <c r="A426" s="11" t="str">
        <f t="shared" si="48"/>
        <v>Fanatic</v>
      </c>
      <c r="B426" s="11" t="str">
        <f t="shared" si="49"/>
        <v>Jag Ltd 94</v>
      </c>
      <c r="C426" s="11">
        <f t="shared" si="50"/>
        <v>230</v>
      </c>
      <c r="D426" s="11">
        <f t="shared" si="51"/>
        <v>61</v>
      </c>
      <c r="E426" s="11">
        <f t="shared" si="52"/>
        <v>94</v>
      </c>
      <c r="F426" s="38" t="str">
        <f t="shared" si="53"/>
        <v>2023</v>
      </c>
      <c r="G426" s="11" t="str" cm="1">
        <f t="array" ref="G426">gssBoardClass(A426,B426,C426,D426,E426,F426)</f>
        <v>Speed/Slalom Small</v>
      </c>
      <c r="H426" s="39" t="str">
        <f t="shared" si="54"/>
        <v>2023-Fa-Jag-94-61-230</v>
      </c>
      <c r="I426" s="42" t="str">
        <f t="shared" si="55"/>
        <v>2023</v>
      </c>
      <c r="J426" s="46">
        <v>2023</v>
      </c>
      <c r="K426" t="s">
        <v>1</v>
      </c>
      <c r="L426" t="s">
        <v>315</v>
      </c>
      <c r="M426">
        <v>94</v>
      </c>
      <c r="N426">
        <v>61</v>
      </c>
      <c r="O426">
        <v>230</v>
      </c>
      <c r="Q426" t="s">
        <v>232</v>
      </c>
    </row>
    <row r="427" spans="1:17" x14ac:dyDescent="0.3">
      <c r="A427" s="11" t="str">
        <f t="shared" si="48"/>
        <v>Fanatic</v>
      </c>
      <c r="B427" s="11" t="str">
        <f t="shared" si="49"/>
        <v>Mamba Te 104</v>
      </c>
      <c r="C427" s="11">
        <f t="shared" si="50"/>
        <v>224</v>
      </c>
      <c r="D427" s="11">
        <f t="shared" si="51"/>
        <v>62</v>
      </c>
      <c r="E427" s="11">
        <f t="shared" si="52"/>
        <v>104</v>
      </c>
      <c r="F427" s="38" t="str">
        <f t="shared" si="53"/>
        <v>2023</v>
      </c>
      <c r="G427" s="11" t="str" cm="1">
        <f t="array" ref="G427">gssBoardClass(A427,B427,C427,D427,E427,F427)</f>
        <v>Wave / Freestyle</v>
      </c>
      <c r="H427" s="39" t="str">
        <f t="shared" si="54"/>
        <v>2023-Fa-Mam-104-62-224</v>
      </c>
      <c r="I427" s="42" t="str">
        <f t="shared" si="55"/>
        <v>2023</v>
      </c>
      <c r="J427" s="46">
        <v>2023</v>
      </c>
      <c r="K427" t="s">
        <v>1</v>
      </c>
      <c r="L427" t="s">
        <v>293</v>
      </c>
      <c r="M427">
        <v>104</v>
      </c>
      <c r="N427">
        <v>62</v>
      </c>
      <c r="O427">
        <v>224</v>
      </c>
      <c r="Q427" t="s">
        <v>281</v>
      </c>
    </row>
    <row r="428" spans="1:17" x14ac:dyDescent="0.3">
      <c r="A428" s="11" t="str">
        <f t="shared" si="48"/>
        <v>Fanatic</v>
      </c>
      <c r="B428" s="11" t="str">
        <f t="shared" si="49"/>
        <v>Mamba Te 78</v>
      </c>
      <c r="C428" s="11">
        <f t="shared" si="50"/>
        <v>218</v>
      </c>
      <c r="D428" s="11">
        <f t="shared" si="51"/>
        <v>56</v>
      </c>
      <c r="E428" s="11">
        <f t="shared" si="52"/>
        <v>78</v>
      </c>
      <c r="F428" s="38" t="str">
        <f t="shared" si="53"/>
        <v>2023</v>
      </c>
      <c r="G428" s="11" t="str" cm="1">
        <f t="array" ref="G428">gssBoardClass(A428,B428,C428,D428,E428,F428)</f>
        <v>Wave / Freestyle</v>
      </c>
      <c r="H428" s="39" t="str">
        <f t="shared" si="54"/>
        <v>2023-Fa-Mam-78-56-218</v>
      </c>
      <c r="I428" s="42" t="str">
        <f t="shared" si="55"/>
        <v>2023</v>
      </c>
      <c r="J428" s="46">
        <v>2023</v>
      </c>
      <c r="K428" t="s">
        <v>1</v>
      </c>
      <c r="L428" t="s">
        <v>290</v>
      </c>
      <c r="M428">
        <v>78</v>
      </c>
      <c r="N428">
        <v>56</v>
      </c>
      <c r="O428">
        <v>218</v>
      </c>
      <c r="Q428" t="s">
        <v>281</v>
      </c>
    </row>
    <row r="429" spans="1:17" x14ac:dyDescent="0.3">
      <c r="A429" s="11" t="str">
        <f t="shared" si="48"/>
        <v>Fanatic</v>
      </c>
      <c r="B429" s="11" t="str">
        <f t="shared" si="49"/>
        <v>Mamba Te 84</v>
      </c>
      <c r="C429" s="11">
        <f t="shared" si="50"/>
        <v>220</v>
      </c>
      <c r="D429" s="11">
        <f t="shared" si="51"/>
        <v>57</v>
      </c>
      <c r="E429" s="11">
        <f t="shared" si="52"/>
        <v>84</v>
      </c>
      <c r="F429" s="38" t="str">
        <f t="shared" si="53"/>
        <v>2023</v>
      </c>
      <c r="G429" s="11" t="str" cm="1">
        <f t="array" ref="G429">gssBoardClass(A429,B429,C429,D429,E429,F429)</f>
        <v>Wave / Freestyle</v>
      </c>
      <c r="H429" s="39" t="str">
        <f t="shared" si="54"/>
        <v>2023-Fa-Mam-84-57-220</v>
      </c>
      <c r="I429" s="42" t="str">
        <f t="shared" si="55"/>
        <v>2023</v>
      </c>
      <c r="J429" s="46">
        <v>2023</v>
      </c>
      <c r="K429" t="s">
        <v>1</v>
      </c>
      <c r="L429" t="s">
        <v>291</v>
      </c>
      <c r="M429">
        <v>84</v>
      </c>
      <c r="N429">
        <v>57.5</v>
      </c>
      <c r="O429">
        <v>220</v>
      </c>
      <c r="Q429" t="s">
        <v>281</v>
      </c>
    </row>
    <row r="430" spans="1:17" x14ac:dyDescent="0.3">
      <c r="A430" s="11" t="str">
        <f t="shared" si="48"/>
        <v>Fanatic</v>
      </c>
      <c r="B430" s="11" t="str">
        <f t="shared" si="49"/>
        <v>Mamba Te 94</v>
      </c>
      <c r="C430" s="11">
        <f t="shared" si="50"/>
        <v>222</v>
      </c>
      <c r="D430" s="11">
        <f t="shared" si="51"/>
        <v>60</v>
      </c>
      <c r="E430" s="11">
        <f t="shared" si="52"/>
        <v>94</v>
      </c>
      <c r="F430" s="38" t="str">
        <f t="shared" si="53"/>
        <v>2023</v>
      </c>
      <c r="G430" s="11" t="str" cm="1">
        <f t="array" ref="G430">gssBoardClass(A430,B430,C430,D430,E430,F430)</f>
        <v>Wave / Freestyle</v>
      </c>
      <c r="H430" s="39" t="str">
        <f t="shared" si="54"/>
        <v>2023-Fa-Mam-94-60-222</v>
      </c>
      <c r="I430" s="42" t="str">
        <f t="shared" si="55"/>
        <v>2023</v>
      </c>
      <c r="J430" s="46">
        <v>2023</v>
      </c>
      <c r="K430" t="s">
        <v>1</v>
      </c>
      <c r="L430" t="s">
        <v>292</v>
      </c>
      <c r="M430">
        <v>94</v>
      </c>
      <c r="N430">
        <v>60</v>
      </c>
      <c r="O430">
        <v>222</v>
      </c>
      <c r="Q430" t="s">
        <v>281</v>
      </c>
    </row>
    <row r="431" spans="1:17" x14ac:dyDescent="0.3">
      <c r="A431" s="11" t="str">
        <f t="shared" si="48"/>
        <v>Fanatic</v>
      </c>
      <c r="B431" s="11" t="str">
        <f t="shared" si="49"/>
        <v>Skate Te 108</v>
      </c>
      <c r="C431" s="11">
        <f t="shared" si="50"/>
        <v>226</v>
      </c>
      <c r="D431" s="11">
        <f t="shared" si="51"/>
        <v>67</v>
      </c>
      <c r="E431" s="11">
        <f t="shared" si="52"/>
        <v>108</v>
      </c>
      <c r="F431" s="38" t="str">
        <f t="shared" si="53"/>
        <v>2023</v>
      </c>
      <c r="G431" s="11" t="str" cm="1">
        <f t="array" ref="G431">gssBoardClass(A431,B431,C431,D431,E431,F431)</f>
        <v>Wave / Freestyle</v>
      </c>
      <c r="H431" s="39" t="str">
        <f t="shared" si="54"/>
        <v>2023-Fa-Ska-108-67-226</v>
      </c>
      <c r="I431" s="42" t="str">
        <f t="shared" si="55"/>
        <v>2023</v>
      </c>
      <c r="J431" s="46">
        <v>2023</v>
      </c>
      <c r="K431" t="s">
        <v>1</v>
      </c>
      <c r="L431" t="s">
        <v>186</v>
      </c>
      <c r="M431">
        <v>108</v>
      </c>
      <c r="N431">
        <v>67</v>
      </c>
      <c r="O431">
        <v>226</v>
      </c>
      <c r="Q431" t="s">
        <v>179</v>
      </c>
    </row>
    <row r="432" spans="1:17" x14ac:dyDescent="0.3">
      <c r="A432" s="11" t="str">
        <f t="shared" si="48"/>
        <v>Fanatic</v>
      </c>
      <c r="B432" s="11" t="str">
        <f t="shared" si="49"/>
        <v>Skate Te 85</v>
      </c>
      <c r="C432" s="11">
        <f t="shared" si="50"/>
        <v>220</v>
      </c>
      <c r="D432" s="11">
        <f t="shared" si="51"/>
        <v>60</v>
      </c>
      <c r="E432" s="11">
        <f t="shared" si="52"/>
        <v>85</v>
      </c>
      <c r="F432" s="38" t="str">
        <f t="shared" si="53"/>
        <v>2023</v>
      </c>
      <c r="G432" s="11" t="str" cm="1">
        <f t="array" ref="G432">gssBoardClass(A432,B432,C432,D432,E432,F432)</f>
        <v>Wave / Freestyle</v>
      </c>
      <c r="H432" s="39" t="str">
        <f t="shared" si="54"/>
        <v>2023-Fa-Ska-85-60-220</v>
      </c>
      <c r="I432" s="42" t="str">
        <f t="shared" si="55"/>
        <v>2023</v>
      </c>
      <c r="J432" s="46">
        <v>2023</v>
      </c>
      <c r="K432" t="s">
        <v>1</v>
      </c>
      <c r="L432" t="s">
        <v>294</v>
      </c>
      <c r="M432">
        <v>85</v>
      </c>
      <c r="N432">
        <v>60</v>
      </c>
      <c r="O432">
        <v>220</v>
      </c>
      <c r="Q432" t="s">
        <v>179</v>
      </c>
    </row>
    <row r="433" spans="1:20" x14ac:dyDescent="0.3">
      <c r="A433" s="11" t="str">
        <f t="shared" si="48"/>
        <v>Fanatic</v>
      </c>
      <c r="B433" s="11" t="str">
        <f t="shared" si="49"/>
        <v>Skate Te 91</v>
      </c>
      <c r="C433" s="11">
        <f t="shared" si="50"/>
        <v>216</v>
      </c>
      <c r="D433" s="11">
        <f t="shared" si="51"/>
        <v>62</v>
      </c>
      <c r="E433" s="11">
        <f t="shared" si="52"/>
        <v>91</v>
      </c>
      <c r="F433" s="38" t="str">
        <f t="shared" si="53"/>
        <v>2023</v>
      </c>
      <c r="G433" s="11" t="str" cm="1">
        <f t="array" ref="G433">gssBoardClass(A433,B433,C433,D433,E433,F433)</f>
        <v>Wave / Freestyle</v>
      </c>
      <c r="H433" s="39" t="str">
        <f t="shared" si="54"/>
        <v>2023-Fa-Ska-91-62-216</v>
      </c>
      <c r="I433" s="42" t="str">
        <f t="shared" si="55"/>
        <v>2023</v>
      </c>
      <c r="J433" s="46">
        <v>2023</v>
      </c>
      <c r="K433" t="s">
        <v>1</v>
      </c>
      <c r="L433" t="s">
        <v>295</v>
      </c>
      <c r="M433">
        <v>91</v>
      </c>
      <c r="N433">
        <v>62</v>
      </c>
      <c r="O433">
        <v>216</v>
      </c>
      <c r="Q433" t="s">
        <v>179</v>
      </c>
    </row>
    <row r="434" spans="1:20" x14ac:dyDescent="0.3">
      <c r="A434" s="11" t="str">
        <f t="shared" si="48"/>
        <v>Fanatic</v>
      </c>
      <c r="B434" s="11" t="str">
        <f t="shared" si="49"/>
        <v>Skate Te 99</v>
      </c>
      <c r="C434" s="11">
        <f t="shared" si="50"/>
        <v>225</v>
      </c>
      <c r="D434" s="11">
        <f t="shared" si="51"/>
        <v>65</v>
      </c>
      <c r="E434" s="11">
        <f t="shared" si="52"/>
        <v>99</v>
      </c>
      <c r="F434" s="38" t="str">
        <f t="shared" si="53"/>
        <v>2023</v>
      </c>
      <c r="G434" s="11" t="str" cm="1">
        <f t="array" ref="G434">gssBoardClass(A434,B434,C434,D434,E434,F434)</f>
        <v>Wave / Freestyle</v>
      </c>
      <c r="H434" s="39" t="str">
        <f t="shared" si="54"/>
        <v>2023-Fa-Ska-99-65-225</v>
      </c>
      <c r="I434" s="42" t="str">
        <f t="shared" si="55"/>
        <v>2023</v>
      </c>
      <c r="J434" s="46">
        <v>2023</v>
      </c>
      <c r="K434" t="s">
        <v>1</v>
      </c>
      <c r="L434" t="s">
        <v>296</v>
      </c>
      <c r="M434">
        <v>99</v>
      </c>
      <c r="N434">
        <v>65</v>
      </c>
      <c r="O434">
        <v>225</v>
      </c>
      <c r="Q434" t="s">
        <v>179</v>
      </c>
    </row>
    <row r="435" spans="1:20" x14ac:dyDescent="0.3">
      <c r="A435" s="11" t="str">
        <f t="shared" si="48"/>
        <v>Fanatic</v>
      </c>
      <c r="B435" s="11" t="str">
        <f t="shared" si="49"/>
        <v>Stingray Ltd 115</v>
      </c>
      <c r="C435" s="11">
        <f t="shared" si="50"/>
        <v>204</v>
      </c>
      <c r="D435" s="11">
        <f t="shared" si="51"/>
        <v>70</v>
      </c>
      <c r="E435" s="11">
        <f t="shared" si="52"/>
        <v>115</v>
      </c>
      <c r="F435" s="38" t="str">
        <f t="shared" si="53"/>
        <v>2023</v>
      </c>
      <c r="G435" s="11" t="str" cm="1">
        <f t="array" ref="G435">gssBoardClass(A435,B435,C435,D435,E435,F435)</f>
        <v>Slalom Medium</v>
      </c>
      <c r="H435" s="39" t="str">
        <f t="shared" si="54"/>
        <v>2023-Fa-Sti-115-70-204</v>
      </c>
      <c r="I435" s="42" t="str">
        <f t="shared" si="55"/>
        <v>2023</v>
      </c>
      <c r="J435" s="46">
        <v>2023</v>
      </c>
      <c r="K435" t="s">
        <v>1</v>
      </c>
      <c r="L435" t="s">
        <v>327</v>
      </c>
      <c r="M435">
        <v>115</v>
      </c>
      <c r="N435">
        <v>70</v>
      </c>
      <c r="O435">
        <v>204</v>
      </c>
      <c r="Q435" t="s">
        <v>284</v>
      </c>
    </row>
    <row r="436" spans="1:20" x14ac:dyDescent="0.3">
      <c r="A436" s="11" t="str">
        <f t="shared" si="48"/>
        <v>Fanatic</v>
      </c>
      <c r="B436" s="11" t="str">
        <f t="shared" si="49"/>
        <v>Stingray Ltd 130</v>
      </c>
      <c r="C436" s="11">
        <f t="shared" si="50"/>
        <v>211</v>
      </c>
      <c r="D436" s="11">
        <f t="shared" si="51"/>
        <v>75</v>
      </c>
      <c r="E436" s="11">
        <f t="shared" si="52"/>
        <v>130</v>
      </c>
      <c r="F436" s="38" t="str">
        <f t="shared" si="53"/>
        <v>2023</v>
      </c>
      <c r="G436" s="11" t="str" cm="1">
        <f t="array" ref="G436">gssBoardClass(A436,B436,C436,D436,E436,F436)</f>
        <v>Slalom Large</v>
      </c>
      <c r="H436" s="39" t="str">
        <f t="shared" si="54"/>
        <v>2023-Fa-Sti-130-75-211</v>
      </c>
      <c r="I436" s="42" t="str">
        <f t="shared" si="55"/>
        <v>2023</v>
      </c>
      <c r="J436" s="46">
        <v>2023</v>
      </c>
      <c r="K436" t="s">
        <v>1</v>
      </c>
      <c r="L436" t="s">
        <v>328</v>
      </c>
      <c r="M436">
        <v>130</v>
      </c>
      <c r="N436">
        <v>75</v>
      </c>
      <c r="O436">
        <v>211</v>
      </c>
      <c r="Q436" t="s">
        <v>284</v>
      </c>
    </row>
    <row r="437" spans="1:20" x14ac:dyDescent="0.3">
      <c r="A437" s="11" t="str">
        <f t="shared" si="48"/>
        <v>Starboard</v>
      </c>
      <c r="B437" s="11" t="str">
        <f t="shared" si="49"/>
        <v>Isonic 67</v>
      </c>
      <c r="C437" s="11">
        <f t="shared" si="50"/>
        <v>228</v>
      </c>
      <c r="D437" s="11">
        <f t="shared" si="51"/>
        <v>67</v>
      </c>
      <c r="E437" s="11">
        <f t="shared" si="52"/>
        <v>113</v>
      </c>
      <c r="F437" s="38" t="str">
        <f t="shared" si="53"/>
        <v>2023</v>
      </c>
      <c r="G437" s="11" t="str" cm="1">
        <f t="array" ref="G437">gssBoardClass(A437,B437,C437,D437,E437,F437)</f>
        <v>Slalom Medium</v>
      </c>
      <c r="H437" s="39" t="str">
        <f t="shared" si="54"/>
        <v>2023-St-iSo-113-67-228</v>
      </c>
      <c r="I437" s="42" t="str">
        <f t="shared" si="55"/>
        <v>2023</v>
      </c>
      <c r="J437" s="18">
        <v>2023</v>
      </c>
      <c r="K437" t="s">
        <v>2305</v>
      </c>
      <c r="L437" t="s">
        <v>1907</v>
      </c>
      <c r="M437">
        <v>113</v>
      </c>
      <c r="N437">
        <v>67</v>
      </c>
      <c r="O437">
        <v>228</v>
      </c>
      <c r="P437" t="s">
        <v>2346</v>
      </c>
      <c r="R437" t="s">
        <v>2337</v>
      </c>
      <c r="S437" t="s">
        <v>2342</v>
      </c>
      <c r="T437">
        <v>6.06</v>
      </c>
    </row>
    <row r="438" spans="1:20" x14ac:dyDescent="0.3">
      <c r="A438" s="11" t="str">
        <f t="shared" si="48"/>
        <v>Starboard</v>
      </c>
      <c r="B438" s="11" t="str">
        <f t="shared" si="49"/>
        <v>Isonic 67</v>
      </c>
      <c r="C438" s="11">
        <f t="shared" si="50"/>
        <v>228</v>
      </c>
      <c r="D438" s="11">
        <f t="shared" si="51"/>
        <v>67</v>
      </c>
      <c r="E438" s="11">
        <f t="shared" si="52"/>
        <v>113</v>
      </c>
      <c r="F438" s="38" t="str">
        <f t="shared" si="53"/>
        <v>2023</v>
      </c>
      <c r="G438" s="11" t="str" cm="1">
        <f t="array" ref="G438">gssBoardClass(A438,B438,C438,D438,E438,F438)</f>
        <v>Slalom Medium</v>
      </c>
      <c r="H438" s="39" t="str">
        <f t="shared" si="54"/>
        <v>2023-St-iSo-113-67-228</v>
      </c>
      <c r="I438" s="42" t="str">
        <f t="shared" si="55"/>
        <v>2023</v>
      </c>
      <c r="J438" s="18">
        <v>2023</v>
      </c>
      <c r="K438" t="s">
        <v>2305</v>
      </c>
      <c r="L438" t="s">
        <v>1907</v>
      </c>
      <c r="M438">
        <v>113</v>
      </c>
      <c r="N438">
        <v>67</v>
      </c>
      <c r="O438">
        <v>228</v>
      </c>
      <c r="P438" t="s">
        <v>2351</v>
      </c>
      <c r="R438" t="s">
        <v>2337</v>
      </c>
      <c r="S438" t="s">
        <v>2342</v>
      </c>
      <c r="T438">
        <v>7.71</v>
      </c>
    </row>
    <row r="439" spans="1:20" x14ac:dyDescent="0.3">
      <c r="A439" s="11" t="str">
        <f t="shared" si="48"/>
        <v>Starboard</v>
      </c>
      <c r="B439" s="11" t="str">
        <f t="shared" si="49"/>
        <v>Isonic 73</v>
      </c>
      <c r="C439" s="11">
        <f t="shared" si="50"/>
        <v>228</v>
      </c>
      <c r="D439" s="11">
        <f t="shared" si="51"/>
        <v>73</v>
      </c>
      <c r="E439" s="11">
        <f t="shared" si="52"/>
        <v>124</v>
      </c>
      <c r="F439" s="38" t="str">
        <f t="shared" si="53"/>
        <v>2023</v>
      </c>
      <c r="G439" s="11" t="str" cm="1">
        <f t="array" ref="G439">gssBoardClass(A439,B439,C439,D439,E439,F439)</f>
        <v>Slalom Medium</v>
      </c>
      <c r="H439" s="39" t="str">
        <f t="shared" si="54"/>
        <v>2023-St-iSo-124-73-228</v>
      </c>
      <c r="I439" s="42" t="str">
        <f t="shared" si="55"/>
        <v>2023</v>
      </c>
      <c r="J439" s="18">
        <v>2023</v>
      </c>
      <c r="K439" t="s">
        <v>2305</v>
      </c>
      <c r="L439" t="s">
        <v>1908</v>
      </c>
      <c r="M439">
        <v>124</v>
      </c>
      <c r="N439">
        <v>73</v>
      </c>
      <c r="O439">
        <v>228</v>
      </c>
      <c r="P439" t="s">
        <v>2346</v>
      </c>
      <c r="R439" t="s">
        <v>2337</v>
      </c>
      <c r="S439" t="s">
        <v>2349</v>
      </c>
      <c r="T439">
        <v>6.52</v>
      </c>
    </row>
    <row r="440" spans="1:20" x14ac:dyDescent="0.3">
      <c r="A440" s="11" t="str">
        <f t="shared" si="48"/>
        <v>Starboard</v>
      </c>
      <c r="B440" s="11" t="str">
        <f t="shared" si="49"/>
        <v>Isonic 73</v>
      </c>
      <c r="C440" s="11">
        <f t="shared" si="50"/>
        <v>228</v>
      </c>
      <c r="D440" s="11">
        <f t="shared" si="51"/>
        <v>73</v>
      </c>
      <c r="E440" s="11">
        <f t="shared" si="52"/>
        <v>124</v>
      </c>
      <c r="F440" s="38" t="str">
        <f t="shared" si="53"/>
        <v>2023</v>
      </c>
      <c r="G440" s="11" t="str" cm="1">
        <f t="array" ref="G440">gssBoardClass(A440,B440,C440,D440,E440,F440)</f>
        <v>Slalom Medium</v>
      </c>
      <c r="H440" s="39" t="str">
        <f t="shared" si="54"/>
        <v>2023-St-iSo-124-73-228</v>
      </c>
      <c r="I440" s="42" t="str">
        <f t="shared" si="55"/>
        <v>2023</v>
      </c>
      <c r="J440" s="18">
        <v>2023</v>
      </c>
      <c r="K440" t="s">
        <v>2305</v>
      </c>
      <c r="L440" t="s">
        <v>1908</v>
      </c>
      <c r="M440">
        <v>124</v>
      </c>
      <c r="N440">
        <v>73</v>
      </c>
      <c r="O440">
        <v>228</v>
      </c>
      <c r="P440" t="s">
        <v>2351</v>
      </c>
      <c r="R440" t="s">
        <v>2337</v>
      </c>
      <c r="S440" t="s">
        <v>2349</v>
      </c>
      <c r="T440">
        <v>7.13</v>
      </c>
    </row>
    <row r="441" spans="1:20" x14ac:dyDescent="0.3">
      <c r="A441" s="11" t="str">
        <f t="shared" si="48"/>
        <v>Starboard</v>
      </c>
      <c r="B441" s="11" t="str">
        <f t="shared" si="49"/>
        <v>Isonic 77</v>
      </c>
      <c r="C441" s="11">
        <f t="shared" si="50"/>
        <v>228</v>
      </c>
      <c r="D441" s="11">
        <f t="shared" si="51"/>
        <v>77</v>
      </c>
      <c r="E441" s="11">
        <f t="shared" si="52"/>
        <v>129</v>
      </c>
      <c r="F441" s="38" t="str">
        <f t="shared" si="53"/>
        <v>2023</v>
      </c>
      <c r="G441" s="11" t="str" cm="1">
        <f t="array" ref="G441">gssBoardClass(A441,B441,C441,D441,E441,F441)</f>
        <v>Slalom Large</v>
      </c>
      <c r="H441" s="39" t="str">
        <f t="shared" si="54"/>
        <v>2023-St-iSo-129-77-228</v>
      </c>
      <c r="I441" s="42" t="str">
        <f t="shared" si="55"/>
        <v>2023</v>
      </c>
      <c r="J441" s="18">
        <v>2023</v>
      </c>
      <c r="K441" t="s">
        <v>2305</v>
      </c>
      <c r="L441" t="s">
        <v>1909</v>
      </c>
      <c r="M441">
        <v>129</v>
      </c>
      <c r="N441">
        <v>77</v>
      </c>
      <c r="O441">
        <v>228</v>
      </c>
      <c r="P441" t="s">
        <v>2346</v>
      </c>
      <c r="R441" t="s">
        <v>2337</v>
      </c>
      <c r="S441" t="s">
        <v>2344</v>
      </c>
      <c r="T441">
        <v>6.63</v>
      </c>
    </row>
    <row r="442" spans="1:20" x14ac:dyDescent="0.3">
      <c r="A442" s="11" t="str">
        <f t="shared" si="48"/>
        <v>Starboard</v>
      </c>
      <c r="B442" s="11" t="str">
        <f t="shared" si="49"/>
        <v>Isonic 77</v>
      </c>
      <c r="C442" s="11">
        <f t="shared" si="50"/>
        <v>228</v>
      </c>
      <c r="D442" s="11">
        <f t="shared" si="51"/>
        <v>77</v>
      </c>
      <c r="E442" s="11">
        <f t="shared" si="52"/>
        <v>129</v>
      </c>
      <c r="F442" s="38" t="str">
        <f t="shared" si="53"/>
        <v>2023</v>
      </c>
      <c r="G442" s="11" t="str" cm="1">
        <f t="array" ref="G442">gssBoardClass(A442,B442,C442,D442,E442,F442)</f>
        <v>Slalom Large</v>
      </c>
      <c r="H442" s="39" t="str">
        <f t="shared" si="54"/>
        <v>2023-St-iSo-129-77-228</v>
      </c>
      <c r="I442" s="42" t="str">
        <f t="shared" si="55"/>
        <v>2023</v>
      </c>
      <c r="J442" s="18">
        <v>2023</v>
      </c>
      <c r="K442" t="s">
        <v>2305</v>
      </c>
      <c r="L442" t="s">
        <v>1909</v>
      </c>
      <c r="M442">
        <v>129</v>
      </c>
      <c r="N442">
        <v>77</v>
      </c>
      <c r="O442">
        <v>228</v>
      </c>
      <c r="P442" t="s">
        <v>2351</v>
      </c>
      <c r="R442" t="s">
        <v>2337</v>
      </c>
      <c r="S442" t="s">
        <v>2344</v>
      </c>
      <c r="T442">
        <v>7.47</v>
      </c>
    </row>
    <row r="443" spans="1:20" x14ac:dyDescent="0.3">
      <c r="A443" s="11" t="str">
        <f t="shared" si="48"/>
        <v>Starboard</v>
      </c>
      <c r="B443" s="11" t="str">
        <f t="shared" si="49"/>
        <v>Isonic 83</v>
      </c>
      <c r="C443" s="11">
        <f t="shared" si="50"/>
        <v>228</v>
      </c>
      <c r="D443" s="11">
        <f t="shared" si="51"/>
        <v>83</v>
      </c>
      <c r="E443" s="11">
        <f t="shared" si="52"/>
        <v>134</v>
      </c>
      <c r="F443" s="38" t="str">
        <f t="shared" si="53"/>
        <v>2023</v>
      </c>
      <c r="G443" s="11" t="str" cm="1">
        <f t="array" ref="G443">gssBoardClass(A443,B443,C443,D443,E443,F443)</f>
        <v>Slalom Large</v>
      </c>
      <c r="H443" s="39" t="str">
        <f t="shared" si="54"/>
        <v>2023-St-iSo-134-83-228</v>
      </c>
      <c r="I443" s="42" t="str">
        <f t="shared" si="55"/>
        <v>2023</v>
      </c>
      <c r="J443" s="18">
        <v>2023</v>
      </c>
      <c r="K443" t="s">
        <v>2305</v>
      </c>
      <c r="L443" t="s">
        <v>1910</v>
      </c>
      <c r="M443">
        <v>134</v>
      </c>
      <c r="N443">
        <v>83</v>
      </c>
      <c r="O443">
        <v>228</v>
      </c>
      <c r="P443" t="s">
        <v>2346</v>
      </c>
      <c r="R443" t="s">
        <v>2337</v>
      </c>
      <c r="S443" t="s">
        <v>2350</v>
      </c>
      <c r="T443">
        <v>6.9</v>
      </c>
    </row>
    <row r="444" spans="1:20" x14ac:dyDescent="0.3">
      <c r="A444" s="11" t="str">
        <f t="shared" si="48"/>
        <v>Starboard</v>
      </c>
      <c r="B444" s="11" t="str">
        <f t="shared" si="49"/>
        <v>Isonic 83</v>
      </c>
      <c r="C444" s="11">
        <f t="shared" si="50"/>
        <v>228</v>
      </c>
      <c r="D444" s="11">
        <f t="shared" si="51"/>
        <v>83</v>
      </c>
      <c r="E444" s="11">
        <f t="shared" si="52"/>
        <v>134</v>
      </c>
      <c r="F444" s="38" t="str">
        <f t="shared" si="53"/>
        <v>2023</v>
      </c>
      <c r="G444" s="11" t="str" cm="1">
        <f t="array" ref="G444">gssBoardClass(A444,B444,C444,D444,E444,F444)</f>
        <v>Slalom Large</v>
      </c>
      <c r="H444" s="39" t="str">
        <f t="shared" si="54"/>
        <v>2023-St-iSo-134-83-228</v>
      </c>
      <c r="I444" s="42" t="str">
        <f t="shared" si="55"/>
        <v>2023</v>
      </c>
      <c r="J444" s="18">
        <v>2023</v>
      </c>
      <c r="K444" t="s">
        <v>2305</v>
      </c>
      <c r="L444" t="s">
        <v>1910</v>
      </c>
      <c r="M444">
        <v>134</v>
      </c>
      <c r="N444">
        <v>83</v>
      </c>
      <c r="O444">
        <v>228</v>
      </c>
      <c r="P444" t="s">
        <v>2351</v>
      </c>
      <c r="R444" t="s">
        <v>2337</v>
      </c>
      <c r="S444" t="s">
        <v>2350</v>
      </c>
      <c r="T444">
        <v>7.79</v>
      </c>
    </row>
    <row r="445" spans="1:20" x14ac:dyDescent="0.3">
      <c r="A445" s="11" t="str">
        <f t="shared" si="48"/>
        <v>Starboard</v>
      </c>
      <c r="B445" s="11" t="str">
        <f t="shared" si="49"/>
        <v>Isonic 85</v>
      </c>
      <c r="C445" s="11">
        <f t="shared" si="50"/>
        <v>228</v>
      </c>
      <c r="D445" s="11">
        <f t="shared" si="51"/>
        <v>85</v>
      </c>
      <c r="E445" s="11">
        <f t="shared" si="52"/>
        <v>140</v>
      </c>
      <c r="F445" s="38" t="str">
        <f t="shared" si="53"/>
        <v>2023</v>
      </c>
      <c r="G445" s="11" t="str" cm="1">
        <f t="array" ref="G445">gssBoardClass(A445,B445,C445,D445,E445,F445)</f>
        <v>Slalom Large</v>
      </c>
      <c r="H445" s="39" t="str">
        <f t="shared" si="54"/>
        <v>2023-St-iSo-140-85-228</v>
      </c>
      <c r="I445" s="42" t="str">
        <f t="shared" si="55"/>
        <v>2023</v>
      </c>
      <c r="J445" s="18">
        <v>2023</v>
      </c>
      <c r="K445" t="s">
        <v>2305</v>
      </c>
      <c r="L445" t="s">
        <v>1911</v>
      </c>
      <c r="M445">
        <v>140</v>
      </c>
      <c r="N445">
        <v>85</v>
      </c>
      <c r="O445">
        <v>228</v>
      </c>
      <c r="P445" t="s">
        <v>2346</v>
      </c>
      <c r="R445" t="s">
        <v>2337</v>
      </c>
      <c r="S445" t="s">
        <v>2345</v>
      </c>
      <c r="T445">
        <v>7.2</v>
      </c>
    </row>
    <row r="446" spans="1:20" x14ac:dyDescent="0.3">
      <c r="A446" s="11" t="str">
        <f t="shared" si="48"/>
        <v>Starboard</v>
      </c>
      <c r="B446" s="11" t="str">
        <f t="shared" si="49"/>
        <v>Isonic 85</v>
      </c>
      <c r="C446" s="11">
        <f t="shared" si="50"/>
        <v>228</v>
      </c>
      <c r="D446" s="11">
        <f t="shared" si="51"/>
        <v>85</v>
      </c>
      <c r="E446" s="11">
        <f t="shared" si="52"/>
        <v>140</v>
      </c>
      <c r="F446" s="38" t="str">
        <f t="shared" si="53"/>
        <v>2023</v>
      </c>
      <c r="G446" s="11" t="str" cm="1">
        <f t="array" ref="G446">gssBoardClass(A446,B446,C446,D446,E446,F446)</f>
        <v>Slalom Large</v>
      </c>
      <c r="H446" s="39" t="str">
        <f t="shared" si="54"/>
        <v>2023-St-iSo-140-85-228</v>
      </c>
      <c r="I446" s="42" t="str">
        <f t="shared" si="55"/>
        <v>2023</v>
      </c>
      <c r="J446" s="18">
        <v>2023</v>
      </c>
      <c r="K446" t="s">
        <v>2305</v>
      </c>
      <c r="L446" t="s">
        <v>1911</v>
      </c>
      <c r="M446">
        <v>140</v>
      </c>
      <c r="N446">
        <v>85</v>
      </c>
      <c r="O446">
        <v>228</v>
      </c>
      <c r="P446" t="s">
        <v>2351</v>
      </c>
      <c r="R446" t="s">
        <v>2337</v>
      </c>
      <c r="S446" t="s">
        <v>2345</v>
      </c>
      <c r="T446">
        <v>8.1999999999999993</v>
      </c>
    </row>
    <row r="447" spans="1:20" x14ac:dyDescent="0.3">
      <c r="A447" s="11" t="str">
        <f t="shared" si="48"/>
        <v>Starboard</v>
      </c>
      <c r="B447" s="11" t="str">
        <f t="shared" si="49"/>
        <v>Isonic 55</v>
      </c>
      <c r="C447" s="11">
        <f t="shared" si="50"/>
        <v>225</v>
      </c>
      <c r="D447" s="11">
        <f t="shared" si="51"/>
        <v>55</v>
      </c>
      <c r="E447" s="11">
        <f t="shared" si="52"/>
        <v>76</v>
      </c>
      <c r="F447" s="38" t="str">
        <f t="shared" si="53"/>
        <v>2023</v>
      </c>
      <c r="G447" s="11" t="str" cm="1">
        <f t="array" ref="G447">gssBoardClass(A447,B447,C447,D447,E447,F447)</f>
        <v>Speed/Slalom Xtra Small</v>
      </c>
      <c r="H447" s="39" t="str">
        <f t="shared" si="54"/>
        <v>2023-St-iSo-76-55-225</v>
      </c>
      <c r="I447" s="42" t="str">
        <f t="shared" si="55"/>
        <v>2023</v>
      </c>
      <c r="J447" s="18">
        <v>2023</v>
      </c>
      <c r="K447" t="s">
        <v>2305</v>
      </c>
      <c r="L447" t="s">
        <v>2352</v>
      </c>
      <c r="M447">
        <v>76</v>
      </c>
      <c r="N447">
        <v>55</v>
      </c>
      <c r="O447">
        <v>225</v>
      </c>
      <c r="P447" t="s">
        <v>2346</v>
      </c>
      <c r="R447" t="s">
        <v>2337</v>
      </c>
      <c r="S447" t="s">
        <v>2348</v>
      </c>
      <c r="T447">
        <v>5</v>
      </c>
    </row>
    <row r="448" spans="1:20" x14ac:dyDescent="0.3">
      <c r="A448" s="11" t="str">
        <f t="shared" si="48"/>
        <v>Starboard</v>
      </c>
      <c r="B448" s="11" t="str">
        <f t="shared" si="49"/>
        <v>Isonic 55</v>
      </c>
      <c r="C448" s="11">
        <f t="shared" si="50"/>
        <v>225</v>
      </c>
      <c r="D448" s="11">
        <f t="shared" si="51"/>
        <v>55</v>
      </c>
      <c r="E448" s="11">
        <f t="shared" si="52"/>
        <v>76</v>
      </c>
      <c r="F448" s="38" t="str">
        <f t="shared" si="53"/>
        <v>2023</v>
      </c>
      <c r="G448" s="11" t="str" cm="1">
        <f t="array" ref="G448">gssBoardClass(A448,B448,C448,D448,E448,F448)</f>
        <v>Speed/Slalom Xtra Small</v>
      </c>
      <c r="H448" s="39" t="str">
        <f t="shared" si="54"/>
        <v>2023-St-iSo-76-55-225</v>
      </c>
      <c r="I448" s="42" t="str">
        <f t="shared" si="55"/>
        <v>2023</v>
      </c>
      <c r="J448" s="18">
        <v>2023</v>
      </c>
      <c r="K448" t="s">
        <v>2305</v>
      </c>
      <c r="L448" t="s">
        <v>2352</v>
      </c>
      <c r="M448">
        <v>76</v>
      </c>
      <c r="N448">
        <v>55</v>
      </c>
      <c r="O448">
        <v>225</v>
      </c>
      <c r="P448" t="s">
        <v>2351</v>
      </c>
      <c r="R448" t="s">
        <v>2337</v>
      </c>
      <c r="S448" t="s">
        <v>2348</v>
      </c>
      <c r="T448">
        <v>5.5</v>
      </c>
    </row>
    <row r="449" spans="1:20" x14ac:dyDescent="0.3">
      <c r="A449" s="11" t="str">
        <f t="shared" si="48"/>
        <v>Starboard</v>
      </c>
      <c r="B449" s="11" t="str">
        <f t="shared" si="49"/>
        <v>Isonic 60</v>
      </c>
      <c r="C449" s="11">
        <f t="shared" si="50"/>
        <v>225</v>
      </c>
      <c r="D449" s="11">
        <f t="shared" si="51"/>
        <v>60</v>
      </c>
      <c r="E449" s="11">
        <f t="shared" si="52"/>
        <v>87</v>
      </c>
      <c r="F449" s="38" t="str">
        <f t="shared" si="53"/>
        <v>2023</v>
      </c>
      <c r="G449" s="11" t="str" cm="1">
        <f t="array" ref="G449">gssBoardClass(A449,B449,C449,D449,E449,F449)</f>
        <v>Speed/Slalom Xtra Small</v>
      </c>
      <c r="H449" s="39" t="str">
        <f t="shared" si="54"/>
        <v>2023-St-iSo-87-60-225</v>
      </c>
      <c r="I449" s="42" t="str">
        <f t="shared" si="55"/>
        <v>2023</v>
      </c>
      <c r="J449" s="18">
        <v>2023</v>
      </c>
      <c r="K449" t="s">
        <v>2305</v>
      </c>
      <c r="L449" t="s">
        <v>1905</v>
      </c>
      <c r="M449">
        <v>87</v>
      </c>
      <c r="N449">
        <v>60</v>
      </c>
      <c r="O449">
        <v>225</v>
      </c>
      <c r="P449" t="s">
        <v>2346</v>
      </c>
      <c r="R449" t="s">
        <v>2337</v>
      </c>
      <c r="S449" t="s">
        <v>2340</v>
      </c>
      <c r="T449">
        <v>5.5</v>
      </c>
    </row>
    <row r="450" spans="1:20" x14ac:dyDescent="0.3">
      <c r="A450" s="11" t="str">
        <f t="shared" ref="A450:A513" si="56">PROPER(K450)</f>
        <v>Starboard</v>
      </c>
      <c r="B450" s="11" t="str">
        <f t="shared" ref="B450:B513" si="57">TRIM(PROPER(LEFT(L450,IFERROR(FIND(" ",L450),99))&amp;MID(L450,IFERROR(FIND(" ",L450),99),99)))</f>
        <v>Isonic 60</v>
      </c>
      <c r="C450" s="11">
        <f t="shared" ref="C450:C513" si="58">TRUNC(O450)</f>
        <v>225</v>
      </c>
      <c r="D450" s="11">
        <f t="shared" ref="D450:D513" si="59">TRUNC(N450)</f>
        <v>60</v>
      </c>
      <c r="E450" s="11">
        <f t="shared" ref="E450:E513" si="60">M450</f>
        <v>87</v>
      </c>
      <c r="F450" s="38" t="str">
        <f t="shared" ref="F450:F513" si="61">I450</f>
        <v>2023</v>
      </c>
      <c r="G450" s="11" t="str" cm="1">
        <f t="array" ref="G450">gssBoardClass(A450,B450,C450,D450,E450,F450)</f>
        <v>Speed/Slalom Xtra Small</v>
      </c>
      <c r="H450" s="39" t="str">
        <f t="shared" ref="H450:H513" si="62">_xlfn.CONCAT(I450,"-",LEFT(K450,2),"-",LEFT(L450,3),"-",M450,"-",TRUNC(N450),"-",TRUNC(O450))</f>
        <v>2023-St-iSo-87-60-225</v>
      </c>
      <c r="I450" s="42" t="str">
        <f t="shared" ref="I450:I513" si="63">LEFT(J450,4)</f>
        <v>2023</v>
      </c>
      <c r="J450" s="18">
        <v>2023</v>
      </c>
      <c r="K450" t="s">
        <v>2305</v>
      </c>
      <c r="L450" t="s">
        <v>1905</v>
      </c>
      <c r="M450">
        <v>87</v>
      </c>
      <c r="N450">
        <v>60</v>
      </c>
      <c r="O450">
        <v>225</v>
      </c>
      <c r="P450" t="s">
        <v>2351</v>
      </c>
      <c r="R450" t="s">
        <v>2337</v>
      </c>
      <c r="S450" t="s">
        <v>2340</v>
      </c>
      <c r="T450">
        <v>6.1</v>
      </c>
    </row>
    <row r="451" spans="1:20" x14ac:dyDescent="0.3">
      <c r="A451" s="11" t="str">
        <f t="shared" si="56"/>
        <v>Starboard</v>
      </c>
      <c r="B451" s="11" t="str">
        <f t="shared" si="57"/>
        <v>Isonic 63</v>
      </c>
      <c r="C451" s="11">
        <f t="shared" si="58"/>
        <v>225</v>
      </c>
      <c r="D451" s="11">
        <f t="shared" si="59"/>
        <v>63</v>
      </c>
      <c r="E451" s="11">
        <f t="shared" si="60"/>
        <v>97</v>
      </c>
      <c r="F451" s="38" t="str">
        <f t="shared" si="61"/>
        <v>2023</v>
      </c>
      <c r="G451" s="11" t="str" cm="1">
        <f t="array" ref="G451">gssBoardClass(A451,B451,C451,D451,E451,F451)</f>
        <v>Speed/Slalom Small</v>
      </c>
      <c r="H451" s="39" t="str">
        <f t="shared" si="62"/>
        <v>2023-St-iSo-97-63-225</v>
      </c>
      <c r="I451" s="42" t="str">
        <f t="shared" si="63"/>
        <v>2023</v>
      </c>
      <c r="J451" s="18">
        <v>2023</v>
      </c>
      <c r="K451" t="s">
        <v>2305</v>
      </c>
      <c r="L451" t="s">
        <v>1906</v>
      </c>
      <c r="M451">
        <v>97</v>
      </c>
      <c r="N451">
        <v>63</v>
      </c>
      <c r="O451">
        <v>225</v>
      </c>
      <c r="P451" t="s">
        <v>2346</v>
      </c>
      <c r="R451" t="s">
        <v>2337</v>
      </c>
      <c r="S451" t="s">
        <v>2341</v>
      </c>
      <c r="T451">
        <v>5.89</v>
      </c>
    </row>
    <row r="452" spans="1:20" x14ac:dyDescent="0.3">
      <c r="A452" s="11" t="str">
        <f t="shared" si="56"/>
        <v>Starboard</v>
      </c>
      <c r="B452" s="11" t="str">
        <f t="shared" si="57"/>
        <v>Isonic 63</v>
      </c>
      <c r="C452" s="11">
        <f t="shared" si="58"/>
        <v>225</v>
      </c>
      <c r="D452" s="11">
        <f t="shared" si="59"/>
        <v>63</v>
      </c>
      <c r="E452" s="11">
        <f t="shared" si="60"/>
        <v>97</v>
      </c>
      <c r="F452" s="38" t="str">
        <f t="shared" si="61"/>
        <v>2023</v>
      </c>
      <c r="G452" s="11" t="str" cm="1">
        <f t="array" ref="G452">gssBoardClass(A452,B452,C452,D452,E452,F452)</f>
        <v>Speed/Slalom Small</v>
      </c>
      <c r="H452" s="39" t="str">
        <f t="shared" si="62"/>
        <v>2023-St-iSo-97-63-225</v>
      </c>
      <c r="I452" s="42" t="str">
        <f t="shared" si="63"/>
        <v>2023</v>
      </c>
      <c r="J452" s="18">
        <v>2023</v>
      </c>
      <c r="K452" t="s">
        <v>2305</v>
      </c>
      <c r="L452" t="s">
        <v>1906</v>
      </c>
      <c r="M452">
        <v>97</v>
      </c>
      <c r="N452">
        <v>63</v>
      </c>
      <c r="O452">
        <v>225</v>
      </c>
      <c r="P452" t="s">
        <v>2351</v>
      </c>
      <c r="R452" t="s">
        <v>2337</v>
      </c>
      <c r="S452" t="s">
        <v>2341</v>
      </c>
      <c r="T452">
        <v>6.22</v>
      </c>
    </row>
    <row r="453" spans="1:20" x14ac:dyDescent="0.3">
      <c r="A453" s="11" t="str">
        <f t="shared" si="56"/>
        <v>Starboard</v>
      </c>
      <c r="B453" s="11" t="str">
        <f t="shared" si="57"/>
        <v>Luderitz 44</v>
      </c>
      <c r="C453" s="11">
        <f t="shared" si="58"/>
        <v>225</v>
      </c>
      <c r="D453" s="11">
        <f t="shared" si="59"/>
        <v>44</v>
      </c>
      <c r="E453" s="11">
        <f t="shared" si="60"/>
        <v>53</v>
      </c>
      <c r="F453" s="38" t="str">
        <f t="shared" si="61"/>
        <v>2023</v>
      </c>
      <c r="G453" s="11" t="str" cm="1">
        <f t="array" ref="G453">gssBoardClass(A453,B453,C453,D453,E453,F453)</f>
        <v>Speedboard</v>
      </c>
      <c r="H453" s="39" t="str">
        <f t="shared" si="62"/>
        <v>2023-St-Lud-53-44-225</v>
      </c>
      <c r="I453" s="42" t="str">
        <f t="shared" si="63"/>
        <v>2023</v>
      </c>
      <c r="J453" s="18">
        <v>2023</v>
      </c>
      <c r="K453" t="s">
        <v>2305</v>
      </c>
      <c r="L453" t="s">
        <v>2353</v>
      </c>
      <c r="M453">
        <v>53</v>
      </c>
      <c r="N453">
        <v>44</v>
      </c>
      <c r="O453">
        <v>225</v>
      </c>
      <c r="P453" t="s">
        <v>2346</v>
      </c>
      <c r="R453" t="s">
        <v>2337</v>
      </c>
      <c r="S453" t="s">
        <v>2347</v>
      </c>
      <c r="T453">
        <v>4.2</v>
      </c>
    </row>
    <row r="454" spans="1:20" x14ac:dyDescent="0.3">
      <c r="A454" s="11" t="str">
        <f t="shared" si="56"/>
        <v>Jp</v>
      </c>
      <c r="B454" s="11" t="str">
        <f t="shared" si="57"/>
        <v>Slalom 72</v>
      </c>
      <c r="C454" s="11">
        <f t="shared" si="58"/>
        <v>228</v>
      </c>
      <c r="D454" s="11">
        <f t="shared" si="59"/>
        <v>72</v>
      </c>
      <c r="E454" s="11">
        <f t="shared" si="60"/>
        <v>117</v>
      </c>
      <c r="F454" s="38" t="str">
        <f t="shared" si="61"/>
        <v>2024</v>
      </c>
      <c r="G454" s="11" t="str" cm="1">
        <f t="array" ref="G454">gssBoardClass(A454,B454,C454,D454,E454,F454)</f>
        <v>Slalom Medium</v>
      </c>
      <c r="H454" s="39" t="str">
        <f t="shared" si="62"/>
        <v>2024-JP-Sla-117-72-228</v>
      </c>
      <c r="I454" s="42" t="str">
        <f t="shared" si="63"/>
        <v>2024</v>
      </c>
      <c r="J454" s="46">
        <v>2024</v>
      </c>
      <c r="K454" t="s">
        <v>345</v>
      </c>
      <c r="L454" t="s">
        <v>343</v>
      </c>
      <c r="M454">
        <v>117</v>
      </c>
      <c r="N454">
        <v>72</v>
      </c>
      <c r="O454">
        <v>228</v>
      </c>
      <c r="Q454" t="s">
        <v>336</v>
      </c>
      <c r="S454" t="s">
        <v>337</v>
      </c>
    </row>
    <row r="455" spans="1:20" x14ac:dyDescent="0.3">
      <c r="A455" s="11" t="str">
        <f t="shared" si="56"/>
        <v>Jp</v>
      </c>
      <c r="B455" s="11" t="str">
        <f t="shared" si="57"/>
        <v>Slalom 85</v>
      </c>
      <c r="C455" s="11">
        <f t="shared" si="58"/>
        <v>228</v>
      </c>
      <c r="D455" s="11">
        <f t="shared" si="59"/>
        <v>85</v>
      </c>
      <c r="E455" s="11">
        <f t="shared" si="60"/>
        <v>139</v>
      </c>
      <c r="F455" s="38" t="str">
        <f t="shared" si="61"/>
        <v>2024</v>
      </c>
      <c r="G455" s="11" t="str" cm="1">
        <f t="array" ref="G455">gssBoardClass(A455,B455,C455,D455,E455,F455)</f>
        <v>Slalom Large</v>
      </c>
      <c r="H455" s="39" t="str">
        <f t="shared" si="62"/>
        <v>2024-JP-Sla-139-85-228</v>
      </c>
      <c r="I455" s="42" t="str">
        <f t="shared" si="63"/>
        <v>2024</v>
      </c>
      <c r="J455" s="46">
        <v>2024</v>
      </c>
      <c r="K455" t="s">
        <v>345</v>
      </c>
      <c r="L455" t="s">
        <v>344</v>
      </c>
      <c r="M455">
        <v>139</v>
      </c>
      <c r="N455">
        <v>85</v>
      </c>
      <c r="O455">
        <v>228</v>
      </c>
      <c r="Q455" t="s">
        <v>336</v>
      </c>
      <c r="S455" t="s">
        <v>338</v>
      </c>
    </row>
    <row r="456" spans="1:20" x14ac:dyDescent="0.3">
      <c r="A456" s="11" t="str">
        <f t="shared" si="56"/>
        <v>Jp</v>
      </c>
      <c r="B456" s="11" t="str">
        <f t="shared" si="57"/>
        <v>Slalom 55</v>
      </c>
      <c r="C456" s="11">
        <f t="shared" si="58"/>
        <v>233</v>
      </c>
      <c r="D456" s="11">
        <f t="shared" si="59"/>
        <v>55</v>
      </c>
      <c r="E456" s="11">
        <f t="shared" si="60"/>
        <v>78</v>
      </c>
      <c r="F456" s="38" t="str">
        <f t="shared" si="61"/>
        <v>2024</v>
      </c>
      <c r="G456" s="11" t="str" cm="1">
        <f t="array" ref="G456">gssBoardClass(A456,B456,C456,D456,E456,F456)</f>
        <v>Speed/Slalom Xtra Small</v>
      </c>
      <c r="H456" s="39" t="str">
        <f t="shared" si="62"/>
        <v>2024-JP-Sla-78-55-233</v>
      </c>
      <c r="I456" s="42" t="str">
        <f t="shared" si="63"/>
        <v>2024</v>
      </c>
      <c r="J456" s="46">
        <v>2024</v>
      </c>
      <c r="K456" t="s">
        <v>345</v>
      </c>
      <c r="L456" t="s">
        <v>341</v>
      </c>
      <c r="M456">
        <v>78</v>
      </c>
      <c r="N456">
        <v>55</v>
      </c>
      <c r="O456">
        <v>233</v>
      </c>
      <c r="Q456" t="s">
        <v>333</v>
      </c>
      <c r="S456" t="s">
        <v>334</v>
      </c>
    </row>
    <row r="457" spans="1:20" x14ac:dyDescent="0.3">
      <c r="A457" s="11" t="str">
        <f t="shared" si="56"/>
        <v>Jp</v>
      </c>
      <c r="B457" s="11" t="str">
        <f t="shared" si="57"/>
        <v>Slalom 62.5</v>
      </c>
      <c r="C457" s="11">
        <f t="shared" si="58"/>
        <v>233</v>
      </c>
      <c r="D457" s="11">
        <f t="shared" si="59"/>
        <v>62</v>
      </c>
      <c r="E457" s="11">
        <f t="shared" si="60"/>
        <v>97</v>
      </c>
      <c r="F457" s="38" t="str">
        <f t="shared" si="61"/>
        <v>2024</v>
      </c>
      <c r="G457" s="11" t="str" cm="1">
        <f t="array" ref="G457">gssBoardClass(A457,B457,C457,D457,E457,F457)</f>
        <v>Speed/Slalom Small</v>
      </c>
      <c r="H457" s="39" t="str">
        <f t="shared" si="62"/>
        <v>2024-JP-Sla-97-62-233</v>
      </c>
      <c r="I457" s="42" t="str">
        <f t="shared" si="63"/>
        <v>2024</v>
      </c>
      <c r="J457" s="46">
        <v>2024</v>
      </c>
      <c r="K457" t="s">
        <v>345</v>
      </c>
      <c r="L457" t="s">
        <v>342</v>
      </c>
      <c r="M457">
        <v>97</v>
      </c>
      <c r="N457">
        <v>62.5</v>
      </c>
      <c r="O457">
        <v>233</v>
      </c>
      <c r="Q457" t="s">
        <v>333</v>
      </c>
      <c r="S457" t="s">
        <v>335</v>
      </c>
    </row>
    <row r="458" spans="1:20" x14ac:dyDescent="0.3">
      <c r="A458" s="11" t="str">
        <f t="shared" si="56"/>
        <v>Starboard</v>
      </c>
      <c r="B458" s="11" t="str">
        <f t="shared" si="57"/>
        <v>Isonic 67</v>
      </c>
      <c r="C458" s="11">
        <f t="shared" si="58"/>
        <v>228</v>
      </c>
      <c r="D458" s="11">
        <f t="shared" si="59"/>
        <v>67</v>
      </c>
      <c r="E458" s="11">
        <f t="shared" si="60"/>
        <v>110</v>
      </c>
      <c r="F458" s="38" t="str">
        <f t="shared" si="61"/>
        <v>2024</v>
      </c>
      <c r="G458" s="11" t="str" cm="1">
        <f t="array" ref="G458">gssBoardClass(A458,B458,C458,D458,E458,F458)</f>
        <v>Slalom Medium</v>
      </c>
      <c r="H458" s="39" t="str">
        <f t="shared" si="62"/>
        <v>2024-St-iSo-110-67-228</v>
      </c>
      <c r="I458" s="42" t="str">
        <f t="shared" si="63"/>
        <v>2024</v>
      </c>
      <c r="J458" s="18">
        <v>2024</v>
      </c>
      <c r="K458" t="s">
        <v>2305</v>
      </c>
      <c r="L458" t="s">
        <v>1907</v>
      </c>
      <c r="M458">
        <v>110</v>
      </c>
      <c r="N458">
        <v>67</v>
      </c>
      <c r="O458">
        <v>228</v>
      </c>
      <c r="P458" t="s">
        <v>2346</v>
      </c>
      <c r="Q458" t="s">
        <v>2338</v>
      </c>
      <c r="R458" t="s">
        <v>2337</v>
      </c>
      <c r="S458" t="s">
        <v>2342</v>
      </c>
      <c r="T458">
        <v>6.21</v>
      </c>
    </row>
    <row r="459" spans="1:20" x14ac:dyDescent="0.3">
      <c r="A459" s="11" t="str">
        <f t="shared" si="56"/>
        <v>Starboard</v>
      </c>
      <c r="B459" s="11" t="str">
        <f t="shared" si="57"/>
        <v>Isonic 73</v>
      </c>
      <c r="C459" s="11">
        <f t="shared" si="58"/>
        <v>228</v>
      </c>
      <c r="D459" s="11">
        <f t="shared" si="59"/>
        <v>73</v>
      </c>
      <c r="E459" s="11">
        <f t="shared" si="60"/>
        <v>123</v>
      </c>
      <c r="F459" s="38" t="str">
        <f t="shared" si="61"/>
        <v>2024</v>
      </c>
      <c r="G459" s="11" t="str" cm="1">
        <f t="array" ref="G459">gssBoardClass(A459,B459,C459,D459,E459,F459)</f>
        <v>Slalom Medium</v>
      </c>
      <c r="H459" s="39" t="str">
        <f t="shared" si="62"/>
        <v>2024-St-iSo-123-73-228</v>
      </c>
      <c r="I459" s="42" t="str">
        <f t="shared" si="63"/>
        <v>2024</v>
      </c>
      <c r="J459" s="18">
        <v>2024</v>
      </c>
      <c r="K459" t="s">
        <v>2305</v>
      </c>
      <c r="L459" t="s">
        <v>1908</v>
      </c>
      <c r="M459">
        <v>123</v>
      </c>
      <c r="N459">
        <v>73</v>
      </c>
      <c r="O459">
        <v>228</v>
      </c>
      <c r="P459" t="s">
        <v>2346</v>
      </c>
      <c r="Q459" t="s">
        <v>2339</v>
      </c>
      <c r="R459" t="s">
        <v>2337</v>
      </c>
      <c r="S459" t="s">
        <v>2343</v>
      </c>
      <c r="T459">
        <v>6.52</v>
      </c>
    </row>
    <row r="460" spans="1:20" x14ac:dyDescent="0.3">
      <c r="A460" s="11" t="str">
        <f t="shared" si="56"/>
        <v>Starboard</v>
      </c>
      <c r="B460" s="11" t="str">
        <f t="shared" si="57"/>
        <v>Isonic 77</v>
      </c>
      <c r="C460" s="11">
        <f t="shared" si="58"/>
        <v>228</v>
      </c>
      <c r="D460" s="11">
        <f t="shared" si="59"/>
        <v>77</v>
      </c>
      <c r="E460" s="11">
        <f t="shared" si="60"/>
        <v>129</v>
      </c>
      <c r="F460" s="38" t="str">
        <f t="shared" si="61"/>
        <v>2024</v>
      </c>
      <c r="G460" s="11" t="str" cm="1">
        <f t="array" ref="G460">gssBoardClass(A460,B460,C460,D460,E460,F460)</f>
        <v>Slalom Large</v>
      </c>
      <c r="H460" s="39" t="str">
        <f t="shared" si="62"/>
        <v>2024-St-iSo-129-77-228</v>
      </c>
      <c r="I460" s="42" t="str">
        <f t="shared" si="63"/>
        <v>2024</v>
      </c>
      <c r="J460" s="18">
        <v>2024</v>
      </c>
      <c r="K460" t="s">
        <v>2305</v>
      </c>
      <c r="L460" t="s">
        <v>1909</v>
      </c>
      <c r="M460">
        <v>129</v>
      </c>
      <c r="N460">
        <v>77</v>
      </c>
      <c r="O460">
        <v>228</v>
      </c>
      <c r="P460" t="s">
        <v>2346</v>
      </c>
      <c r="Q460" t="s">
        <v>2339</v>
      </c>
      <c r="R460" t="s">
        <v>2337</v>
      </c>
      <c r="S460" t="s">
        <v>2344</v>
      </c>
      <c r="T460">
        <v>6.81</v>
      </c>
    </row>
    <row r="461" spans="1:20" x14ac:dyDescent="0.3">
      <c r="A461" s="11" t="str">
        <f t="shared" si="56"/>
        <v>Starboard</v>
      </c>
      <c r="B461" s="11" t="str">
        <f t="shared" si="57"/>
        <v>Isonic 85</v>
      </c>
      <c r="C461" s="11">
        <f t="shared" si="58"/>
        <v>228</v>
      </c>
      <c r="D461" s="11">
        <f t="shared" si="59"/>
        <v>85</v>
      </c>
      <c r="E461" s="11">
        <f t="shared" si="60"/>
        <v>140</v>
      </c>
      <c r="F461" s="38" t="str">
        <f t="shared" si="61"/>
        <v>2024</v>
      </c>
      <c r="G461" s="11" t="str" cm="1">
        <f t="array" ref="G461">gssBoardClass(A461,B461,C461,D461,E461,F461)</f>
        <v>Slalom Large</v>
      </c>
      <c r="H461" s="39" t="str">
        <f t="shared" si="62"/>
        <v>2024-St-iSo-140-85-228</v>
      </c>
      <c r="I461" s="42" t="str">
        <f t="shared" si="63"/>
        <v>2024</v>
      </c>
      <c r="J461" s="18">
        <v>2024</v>
      </c>
      <c r="K461" t="s">
        <v>2305</v>
      </c>
      <c r="L461" t="s">
        <v>1911</v>
      </c>
      <c r="M461">
        <v>140</v>
      </c>
      <c r="N461">
        <v>85</v>
      </c>
      <c r="O461">
        <v>228</v>
      </c>
      <c r="P461" t="s">
        <v>2346</v>
      </c>
      <c r="Q461" t="s">
        <v>2322</v>
      </c>
      <c r="R461" t="s">
        <v>2337</v>
      </c>
      <c r="S461" t="s">
        <v>2345</v>
      </c>
      <c r="T461">
        <v>7.2</v>
      </c>
    </row>
    <row r="462" spans="1:20" x14ac:dyDescent="0.3">
      <c r="A462" s="11" t="str">
        <f t="shared" si="56"/>
        <v>Starboard</v>
      </c>
      <c r="B462" s="11" t="str">
        <f t="shared" si="57"/>
        <v>Isonic Speed 40</v>
      </c>
      <c r="C462" s="11">
        <f t="shared" si="58"/>
        <v>227</v>
      </c>
      <c r="D462" s="11">
        <f t="shared" si="59"/>
        <v>40</v>
      </c>
      <c r="E462" s="11">
        <f t="shared" si="60"/>
        <v>55</v>
      </c>
      <c r="F462" s="38" t="str">
        <f t="shared" si="61"/>
        <v>2024</v>
      </c>
      <c r="G462" s="11" t="str" cm="1">
        <f t="array" ref="G462">gssBoardClass(A462,B462,C462,D462,E462,F462)</f>
        <v>Speedboard</v>
      </c>
      <c r="H462" s="39" t="str">
        <f t="shared" si="62"/>
        <v>2024-St-iSo-55-40-227</v>
      </c>
      <c r="I462" s="42" t="str">
        <f t="shared" si="63"/>
        <v>2024</v>
      </c>
      <c r="J462" s="18">
        <v>2024</v>
      </c>
      <c r="K462" t="s">
        <v>2305</v>
      </c>
      <c r="L462" t="s">
        <v>2326</v>
      </c>
      <c r="M462">
        <v>55</v>
      </c>
      <c r="N462">
        <v>40</v>
      </c>
      <c r="O462">
        <v>227</v>
      </c>
      <c r="P462" t="s">
        <v>2306</v>
      </c>
      <c r="Q462" t="s">
        <v>232</v>
      </c>
      <c r="S462" t="s">
        <v>2327</v>
      </c>
      <c r="T462" t="s">
        <v>2328</v>
      </c>
    </row>
    <row r="463" spans="1:20" x14ac:dyDescent="0.3">
      <c r="A463" s="11" t="str">
        <f t="shared" si="56"/>
        <v>Starboard</v>
      </c>
      <c r="B463" s="11" t="str">
        <f t="shared" si="57"/>
        <v>Isonic Speed 45</v>
      </c>
      <c r="C463" s="11">
        <f t="shared" si="58"/>
        <v>227</v>
      </c>
      <c r="D463" s="11">
        <f t="shared" si="59"/>
        <v>45</v>
      </c>
      <c r="E463" s="11">
        <f t="shared" si="60"/>
        <v>65</v>
      </c>
      <c r="F463" s="38" t="str">
        <f t="shared" si="61"/>
        <v>2024</v>
      </c>
      <c r="G463" s="11" t="str" cm="1">
        <f t="array" ref="G463">gssBoardClass(A463,B463,C463,D463,E463,F463)</f>
        <v>Speedboard</v>
      </c>
      <c r="H463" s="39" t="str">
        <f t="shared" si="62"/>
        <v>2024-St-iSo-65-45-227</v>
      </c>
      <c r="I463" s="42" t="str">
        <f t="shared" si="63"/>
        <v>2024</v>
      </c>
      <c r="J463" s="18">
        <v>2024</v>
      </c>
      <c r="K463" t="s">
        <v>2305</v>
      </c>
      <c r="L463" t="s">
        <v>2329</v>
      </c>
      <c r="M463">
        <v>65</v>
      </c>
      <c r="N463">
        <v>45</v>
      </c>
      <c r="O463">
        <v>227</v>
      </c>
      <c r="P463" t="s">
        <v>2306</v>
      </c>
      <c r="Q463" t="s">
        <v>232</v>
      </c>
      <c r="S463" t="s">
        <v>2330</v>
      </c>
      <c r="T463" t="s">
        <v>2331</v>
      </c>
    </row>
    <row r="464" spans="1:20" x14ac:dyDescent="0.3">
      <c r="A464" s="11" t="str">
        <f t="shared" si="56"/>
        <v>Starboard</v>
      </c>
      <c r="B464" s="11" t="str">
        <f t="shared" si="57"/>
        <v>Isonic Speed 52</v>
      </c>
      <c r="C464" s="11">
        <f t="shared" si="58"/>
        <v>227</v>
      </c>
      <c r="D464" s="11">
        <f t="shared" si="59"/>
        <v>52</v>
      </c>
      <c r="E464" s="11">
        <f t="shared" si="60"/>
        <v>74</v>
      </c>
      <c r="F464" s="38" t="str">
        <f t="shared" si="61"/>
        <v>2024</v>
      </c>
      <c r="G464" s="11" t="str" cm="1">
        <f t="array" ref="G464">gssBoardClass(A464,B464,C464,D464,E464,F464)</f>
        <v>Speed/Slalom Xtra Small</v>
      </c>
      <c r="H464" s="39" t="str">
        <f t="shared" si="62"/>
        <v>2024-St-iSo-74-52-227</v>
      </c>
      <c r="I464" s="42" t="str">
        <f t="shared" si="63"/>
        <v>2024</v>
      </c>
      <c r="J464" s="18">
        <v>2024</v>
      </c>
      <c r="K464" t="s">
        <v>2305</v>
      </c>
      <c r="L464" t="s">
        <v>2332</v>
      </c>
      <c r="M464">
        <v>74</v>
      </c>
      <c r="N464">
        <v>52</v>
      </c>
      <c r="O464">
        <v>227</v>
      </c>
      <c r="P464" t="s">
        <v>2306</v>
      </c>
      <c r="Q464" t="s">
        <v>232</v>
      </c>
      <c r="S464" t="s">
        <v>2308</v>
      </c>
      <c r="T464" t="s">
        <v>2333</v>
      </c>
    </row>
    <row r="465" spans="1:20" x14ac:dyDescent="0.3">
      <c r="A465" s="11" t="str">
        <f t="shared" si="56"/>
        <v>Starboard</v>
      </c>
      <c r="B465" s="11" t="str">
        <f t="shared" si="57"/>
        <v>Isonic 60</v>
      </c>
      <c r="C465" s="11">
        <f t="shared" si="58"/>
        <v>225</v>
      </c>
      <c r="D465" s="11">
        <f t="shared" si="59"/>
        <v>60</v>
      </c>
      <c r="E465" s="11">
        <f t="shared" si="60"/>
        <v>87</v>
      </c>
      <c r="F465" s="38" t="str">
        <f t="shared" si="61"/>
        <v>2024</v>
      </c>
      <c r="G465" s="11" t="str" cm="1">
        <f t="array" ref="G465">gssBoardClass(A465,B465,C465,D465,E465,F465)</f>
        <v>Speed/Slalom Xtra Small</v>
      </c>
      <c r="H465" s="39" t="str">
        <f t="shared" si="62"/>
        <v>2024-St-iSo-87-60-225</v>
      </c>
      <c r="I465" s="42" t="str">
        <f t="shared" si="63"/>
        <v>2024</v>
      </c>
      <c r="J465" s="18">
        <v>2024</v>
      </c>
      <c r="K465" t="s">
        <v>2305</v>
      </c>
      <c r="L465" t="s">
        <v>1905</v>
      </c>
      <c r="M465">
        <v>87</v>
      </c>
      <c r="N465">
        <v>60</v>
      </c>
      <c r="O465">
        <v>225</v>
      </c>
      <c r="P465" t="s">
        <v>2346</v>
      </c>
      <c r="Q465" t="s">
        <v>2338</v>
      </c>
      <c r="R465" t="s">
        <v>2337</v>
      </c>
      <c r="S465" t="s">
        <v>2340</v>
      </c>
      <c r="T465">
        <v>5.57</v>
      </c>
    </row>
    <row r="466" spans="1:20" x14ac:dyDescent="0.3">
      <c r="A466" s="11" t="str">
        <f t="shared" si="56"/>
        <v>Starboard</v>
      </c>
      <c r="B466" s="11" t="str">
        <f t="shared" si="57"/>
        <v>Isonic 63</v>
      </c>
      <c r="C466" s="11">
        <f t="shared" si="58"/>
        <v>226</v>
      </c>
      <c r="D466" s="11">
        <f t="shared" si="59"/>
        <v>63</v>
      </c>
      <c r="E466" s="11">
        <f t="shared" si="60"/>
        <v>98</v>
      </c>
      <c r="F466" s="38" t="str">
        <f t="shared" si="61"/>
        <v>2024</v>
      </c>
      <c r="G466" s="11" t="str" cm="1">
        <f t="array" ref="G466">gssBoardClass(A466,B466,C466,D466,E466,F466)</f>
        <v>Speed/Slalom Small</v>
      </c>
      <c r="H466" s="39" t="str">
        <f t="shared" si="62"/>
        <v>2024-St-iSo-98-63-226</v>
      </c>
      <c r="I466" s="42" t="str">
        <f t="shared" si="63"/>
        <v>2024</v>
      </c>
      <c r="J466" s="18">
        <v>2024</v>
      </c>
      <c r="K466" t="s">
        <v>2305</v>
      </c>
      <c r="L466" t="s">
        <v>1906</v>
      </c>
      <c r="M466">
        <v>98</v>
      </c>
      <c r="N466">
        <v>63</v>
      </c>
      <c r="O466">
        <v>226</v>
      </c>
      <c r="P466" t="s">
        <v>2346</v>
      </c>
      <c r="Q466" t="s">
        <v>2338</v>
      </c>
      <c r="R466" t="s">
        <v>2337</v>
      </c>
      <c r="S466" t="s">
        <v>2341</v>
      </c>
      <c r="T466">
        <v>5.97</v>
      </c>
    </row>
    <row r="467" spans="1:20" x14ac:dyDescent="0.3">
      <c r="A467" s="11" t="str">
        <f t="shared" si="56"/>
        <v>Starboard</v>
      </c>
      <c r="B467" s="11" t="str">
        <f t="shared" si="57"/>
        <v>Isonic 67</v>
      </c>
      <c r="C467" s="11">
        <f t="shared" si="58"/>
        <v>228</v>
      </c>
      <c r="D467" s="11">
        <f t="shared" si="59"/>
        <v>67</v>
      </c>
      <c r="E467" s="11">
        <f t="shared" si="60"/>
        <v>110</v>
      </c>
      <c r="F467" s="38" t="str">
        <f t="shared" si="61"/>
        <v>2025</v>
      </c>
      <c r="G467" s="11" t="str" cm="1">
        <f t="array" ref="G467">gssBoardClass(A467,B467,C467,D467,E467,F467)</f>
        <v>Slalom Medium</v>
      </c>
      <c r="H467" s="39" t="str">
        <f t="shared" si="62"/>
        <v>2025-St-iSo-110-67-228</v>
      </c>
      <c r="I467" s="42" t="str">
        <f t="shared" si="63"/>
        <v>2025</v>
      </c>
      <c r="J467" s="18" t="s">
        <v>872</v>
      </c>
      <c r="K467" t="s">
        <v>2305</v>
      </c>
      <c r="L467" t="s">
        <v>1907</v>
      </c>
      <c r="M467">
        <v>110</v>
      </c>
      <c r="N467">
        <v>67</v>
      </c>
      <c r="O467">
        <v>228</v>
      </c>
      <c r="P467" t="s">
        <v>2306</v>
      </c>
      <c r="Q467" t="s">
        <v>2338</v>
      </c>
      <c r="R467" t="s">
        <v>2337</v>
      </c>
      <c r="S467" t="s">
        <v>2342</v>
      </c>
      <c r="T467">
        <v>6.21</v>
      </c>
    </row>
    <row r="468" spans="1:20" x14ac:dyDescent="0.3">
      <c r="A468" s="11" t="str">
        <f t="shared" si="56"/>
        <v>Starboard</v>
      </c>
      <c r="B468" s="11" t="str">
        <f t="shared" si="57"/>
        <v>Isonic 73</v>
      </c>
      <c r="C468" s="11">
        <f t="shared" si="58"/>
        <v>228</v>
      </c>
      <c r="D468" s="11">
        <f t="shared" si="59"/>
        <v>73</v>
      </c>
      <c r="E468" s="11">
        <f t="shared" si="60"/>
        <v>123</v>
      </c>
      <c r="F468" s="38" t="str">
        <f t="shared" si="61"/>
        <v>2025</v>
      </c>
      <c r="G468" s="11" t="str" cm="1">
        <f t="array" ref="G468">gssBoardClass(A468,B468,C468,D468,E468,F468)</f>
        <v>Slalom Medium</v>
      </c>
      <c r="H468" s="39" t="str">
        <f t="shared" si="62"/>
        <v>2025-St-iSo-123-73-228</v>
      </c>
      <c r="I468" s="42" t="str">
        <f t="shared" si="63"/>
        <v>2025</v>
      </c>
      <c r="J468" s="18" t="s">
        <v>872</v>
      </c>
      <c r="K468" t="s">
        <v>2305</v>
      </c>
      <c r="L468" t="s">
        <v>1908</v>
      </c>
      <c r="M468">
        <v>123</v>
      </c>
      <c r="N468">
        <v>73</v>
      </c>
      <c r="O468">
        <v>228</v>
      </c>
      <c r="P468" t="s">
        <v>2306</v>
      </c>
      <c r="Q468" t="s">
        <v>2339</v>
      </c>
      <c r="R468" t="s">
        <v>2337</v>
      </c>
      <c r="S468" t="s">
        <v>2343</v>
      </c>
      <c r="T468">
        <v>6.52</v>
      </c>
    </row>
    <row r="469" spans="1:20" x14ac:dyDescent="0.3">
      <c r="A469" s="11" t="str">
        <f t="shared" si="56"/>
        <v>Starboard</v>
      </c>
      <c r="B469" s="11" t="str">
        <f t="shared" si="57"/>
        <v>Isonic 77</v>
      </c>
      <c r="C469" s="11">
        <f t="shared" si="58"/>
        <v>228</v>
      </c>
      <c r="D469" s="11">
        <f t="shared" si="59"/>
        <v>77</v>
      </c>
      <c r="E469" s="11">
        <f t="shared" si="60"/>
        <v>129</v>
      </c>
      <c r="F469" s="38" t="str">
        <f t="shared" si="61"/>
        <v>2025</v>
      </c>
      <c r="G469" s="11" t="str" cm="1">
        <f t="array" ref="G469">gssBoardClass(A469,B469,C469,D469,E469,F469)</f>
        <v>Slalom Large</v>
      </c>
      <c r="H469" s="39" t="str">
        <f t="shared" si="62"/>
        <v>2025-St-iSo-129-77-228</v>
      </c>
      <c r="I469" s="42" t="str">
        <f t="shared" si="63"/>
        <v>2025</v>
      </c>
      <c r="J469" s="18" t="s">
        <v>872</v>
      </c>
      <c r="K469" t="s">
        <v>2305</v>
      </c>
      <c r="L469" t="s">
        <v>1909</v>
      </c>
      <c r="M469">
        <v>129</v>
      </c>
      <c r="N469">
        <v>77</v>
      </c>
      <c r="O469">
        <v>228</v>
      </c>
      <c r="P469" t="s">
        <v>2306</v>
      </c>
      <c r="Q469" t="s">
        <v>2339</v>
      </c>
      <c r="R469" t="s">
        <v>2337</v>
      </c>
      <c r="S469" t="s">
        <v>2344</v>
      </c>
      <c r="T469">
        <v>6.81</v>
      </c>
    </row>
    <row r="470" spans="1:20" x14ac:dyDescent="0.3">
      <c r="A470" s="11" t="str">
        <f t="shared" si="56"/>
        <v>Starboard</v>
      </c>
      <c r="B470" s="11" t="str">
        <f t="shared" si="57"/>
        <v>Isonic 85</v>
      </c>
      <c r="C470" s="11">
        <f t="shared" si="58"/>
        <v>228</v>
      </c>
      <c r="D470" s="11">
        <f t="shared" si="59"/>
        <v>85</v>
      </c>
      <c r="E470" s="11">
        <f t="shared" si="60"/>
        <v>140</v>
      </c>
      <c r="F470" s="38" t="str">
        <f t="shared" si="61"/>
        <v>2025</v>
      </c>
      <c r="G470" s="11" t="str" cm="1">
        <f t="array" ref="G470">gssBoardClass(A470,B470,C470,D470,E470,F470)</f>
        <v>Slalom Large</v>
      </c>
      <c r="H470" s="39" t="str">
        <f t="shared" si="62"/>
        <v>2025-St-iSo-140-85-228</v>
      </c>
      <c r="I470" s="42" t="str">
        <f t="shared" si="63"/>
        <v>2025</v>
      </c>
      <c r="J470" s="18" t="s">
        <v>872</v>
      </c>
      <c r="K470" t="s">
        <v>2305</v>
      </c>
      <c r="L470" t="s">
        <v>1911</v>
      </c>
      <c r="M470">
        <v>140</v>
      </c>
      <c r="N470">
        <v>85</v>
      </c>
      <c r="O470">
        <v>228</v>
      </c>
      <c r="P470" t="s">
        <v>2306</v>
      </c>
      <c r="Q470" t="s">
        <v>2322</v>
      </c>
      <c r="R470" t="s">
        <v>2337</v>
      </c>
      <c r="S470" t="s">
        <v>2345</v>
      </c>
      <c r="T470">
        <v>7.2</v>
      </c>
    </row>
    <row r="471" spans="1:20" x14ac:dyDescent="0.3">
      <c r="A471" s="11" t="str">
        <f t="shared" si="56"/>
        <v>Starboard</v>
      </c>
      <c r="B471" s="11" t="str">
        <f t="shared" si="57"/>
        <v>Isonic 60</v>
      </c>
      <c r="C471" s="11">
        <f t="shared" si="58"/>
        <v>225</v>
      </c>
      <c r="D471" s="11">
        <f t="shared" si="59"/>
        <v>60</v>
      </c>
      <c r="E471" s="11">
        <f t="shared" si="60"/>
        <v>87</v>
      </c>
      <c r="F471" s="38" t="str">
        <f t="shared" si="61"/>
        <v>2025</v>
      </c>
      <c r="G471" s="11" t="str" cm="1">
        <f t="array" ref="G471">gssBoardClass(A471,B471,C471,D471,E471,F471)</f>
        <v>Speed/Slalom Xtra Small</v>
      </c>
      <c r="H471" s="39" t="str">
        <f t="shared" si="62"/>
        <v>2025-St-iSo-87-60-225</v>
      </c>
      <c r="I471" s="42" t="str">
        <f t="shared" si="63"/>
        <v>2025</v>
      </c>
      <c r="J471" s="18" t="s">
        <v>872</v>
      </c>
      <c r="K471" t="s">
        <v>2305</v>
      </c>
      <c r="L471" t="s">
        <v>1905</v>
      </c>
      <c r="M471">
        <v>87</v>
      </c>
      <c r="N471">
        <v>60</v>
      </c>
      <c r="O471">
        <v>225</v>
      </c>
      <c r="P471" t="s">
        <v>2306</v>
      </c>
      <c r="Q471" t="s">
        <v>2338</v>
      </c>
      <c r="R471" t="s">
        <v>2337</v>
      </c>
      <c r="S471" t="s">
        <v>2340</v>
      </c>
      <c r="T471">
        <v>5.57</v>
      </c>
    </row>
    <row r="472" spans="1:20" x14ac:dyDescent="0.3">
      <c r="A472" s="11" t="str">
        <f t="shared" si="56"/>
        <v>Starboard</v>
      </c>
      <c r="B472" s="11" t="str">
        <f t="shared" si="57"/>
        <v>Isonic 63</v>
      </c>
      <c r="C472" s="11">
        <f t="shared" si="58"/>
        <v>226</v>
      </c>
      <c r="D472" s="11">
        <f t="shared" si="59"/>
        <v>63</v>
      </c>
      <c r="E472" s="11">
        <f t="shared" si="60"/>
        <v>98</v>
      </c>
      <c r="F472" s="38" t="str">
        <f t="shared" si="61"/>
        <v>2025</v>
      </c>
      <c r="G472" s="11" t="str" cm="1">
        <f t="array" ref="G472">gssBoardClass(A472,B472,C472,D472,E472,F472)</f>
        <v>Speed/Slalom Small</v>
      </c>
      <c r="H472" s="39" t="str">
        <f t="shared" si="62"/>
        <v>2025-St-iSo-98-63-226</v>
      </c>
      <c r="I472" s="42" t="str">
        <f t="shared" si="63"/>
        <v>2025</v>
      </c>
      <c r="J472" s="18" t="s">
        <v>872</v>
      </c>
      <c r="K472" t="s">
        <v>2305</v>
      </c>
      <c r="L472" t="s">
        <v>1906</v>
      </c>
      <c r="M472">
        <v>98</v>
      </c>
      <c r="N472">
        <v>63</v>
      </c>
      <c r="O472">
        <v>226</v>
      </c>
      <c r="P472" t="s">
        <v>2306</v>
      </c>
      <c r="Q472" t="s">
        <v>2338</v>
      </c>
      <c r="R472" t="s">
        <v>2337</v>
      </c>
      <c r="S472" t="s">
        <v>2341</v>
      </c>
      <c r="T472">
        <v>5.97</v>
      </c>
    </row>
    <row r="473" spans="1:20" x14ac:dyDescent="0.3">
      <c r="A473" s="11" t="str">
        <f t="shared" si="56"/>
        <v>We One</v>
      </c>
      <c r="B473" s="11" t="str">
        <f t="shared" si="57"/>
        <v>Free Race 107</v>
      </c>
      <c r="C473" s="11">
        <f t="shared" si="58"/>
        <v>229</v>
      </c>
      <c r="D473" s="11">
        <f t="shared" si="59"/>
        <v>66</v>
      </c>
      <c r="E473" s="11">
        <f t="shared" si="60"/>
        <v>107</v>
      </c>
      <c r="F473" s="38" t="str">
        <f t="shared" si="61"/>
        <v>2025</v>
      </c>
      <c r="G473" s="11" t="str" cm="1">
        <f t="array" ref="G473">gssBoardClass(A473,B473,C473,D473,E473,F473)</f>
        <v>Slalom Medium</v>
      </c>
      <c r="H473" s="39" t="str">
        <f t="shared" si="62"/>
        <v>2025-We-Fre-107-66-229</v>
      </c>
      <c r="I473" s="42" t="str">
        <f t="shared" si="63"/>
        <v>2025</v>
      </c>
      <c r="J473" s="18">
        <v>2025</v>
      </c>
      <c r="K473" t="s">
        <v>2257</v>
      </c>
      <c r="L473" t="s">
        <v>2293</v>
      </c>
      <c r="M473">
        <v>107</v>
      </c>
      <c r="N473">
        <v>66</v>
      </c>
      <c r="O473">
        <v>229</v>
      </c>
      <c r="P473" t="s">
        <v>2294</v>
      </c>
      <c r="Q473" t="s">
        <v>232</v>
      </c>
      <c r="S473" t="s">
        <v>2295</v>
      </c>
    </row>
    <row r="474" spans="1:20" x14ac:dyDescent="0.3">
      <c r="A474" s="11" t="str">
        <f t="shared" si="56"/>
        <v>We One</v>
      </c>
      <c r="B474" s="11" t="str">
        <f t="shared" si="57"/>
        <v>Free Race 120</v>
      </c>
      <c r="C474" s="11">
        <f t="shared" si="58"/>
        <v>230</v>
      </c>
      <c r="D474" s="11">
        <f t="shared" si="59"/>
        <v>72</v>
      </c>
      <c r="E474" s="11">
        <f t="shared" si="60"/>
        <v>120</v>
      </c>
      <c r="F474" s="38" t="str">
        <f t="shared" si="61"/>
        <v>2025</v>
      </c>
      <c r="G474" s="11" t="str" cm="1">
        <f t="array" ref="G474">gssBoardClass(A474,B474,C474,D474,E474,F474)</f>
        <v>Slalom Medium</v>
      </c>
      <c r="H474" s="39" t="str">
        <f t="shared" si="62"/>
        <v>2025-We-Fre-120-72-230</v>
      </c>
      <c r="I474" s="42" t="str">
        <f t="shared" si="63"/>
        <v>2025</v>
      </c>
      <c r="J474" s="18">
        <v>2025</v>
      </c>
      <c r="K474" t="s">
        <v>2257</v>
      </c>
      <c r="L474" t="s">
        <v>2296</v>
      </c>
      <c r="M474">
        <v>120</v>
      </c>
      <c r="N474">
        <v>72</v>
      </c>
      <c r="O474">
        <v>230</v>
      </c>
      <c r="P474" t="s">
        <v>2294</v>
      </c>
      <c r="Q474" t="s">
        <v>2297</v>
      </c>
      <c r="S474" t="s">
        <v>2298</v>
      </c>
    </row>
    <row r="475" spans="1:20" x14ac:dyDescent="0.3">
      <c r="A475" s="11" t="str">
        <f t="shared" si="56"/>
        <v>We One</v>
      </c>
      <c r="B475" s="11" t="str">
        <f t="shared" si="57"/>
        <v>Free Race 130</v>
      </c>
      <c r="C475" s="11">
        <f t="shared" si="58"/>
        <v>230</v>
      </c>
      <c r="D475" s="11">
        <f t="shared" si="59"/>
        <v>78</v>
      </c>
      <c r="E475" s="11">
        <f t="shared" si="60"/>
        <v>130</v>
      </c>
      <c r="F475" s="38" t="str">
        <f t="shared" si="61"/>
        <v>2025</v>
      </c>
      <c r="G475" s="11" t="str" cm="1">
        <f t="array" ref="G475">gssBoardClass(A475,B475,C475,D475,E475,F475)</f>
        <v>Slalom Large</v>
      </c>
      <c r="H475" s="39" t="str">
        <f t="shared" si="62"/>
        <v>2025-We-Fre-130-78-230</v>
      </c>
      <c r="I475" s="42" t="str">
        <f t="shared" si="63"/>
        <v>2025</v>
      </c>
      <c r="J475" s="18">
        <v>2025</v>
      </c>
      <c r="K475" t="s">
        <v>2257</v>
      </c>
      <c r="L475" t="s">
        <v>2299</v>
      </c>
      <c r="M475">
        <v>130</v>
      </c>
      <c r="N475">
        <v>78</v>
      </c>
      <c r="O475">
        <v>230</v>
      </c>
      <c r="P475" t="s">
        <v>2294</v>
      </c>
      <c r="Q475" t="s">
        <v>2297</v>
      </c>
      <c r="S475" t="s">
        <v>2300</v>
      </c>
    </row>
    <row r="476" spans="1:20" x14ac:dyDescent="0.3">
      <c r="A476" s="11" t="str">
        <f t="shared" si="56"/>
        <v>We One</v>
      </c>
      <c r="B476" s="11" t="str">
        <f t="shared" si="57"/>
        <v>Free Race 140</v>
      </c>
      <c r="C476" s="11">
        <f t="shared" si="58"/>
        <v>230</v>
      </c>
      <c r="D476" s="11">
        <f t="shared" si="59"/>
        <v>79</v>
      </c>
      <c r="E476" s="11">
        <f t="shared" si="60"/>
        <v>140</v>
      </c>
      <c r="F476" s="38" t="str">
        <f t="shared" si="61"/>
        <v>2025</v>
      </c>
      <c r="G476" s="11" t="str" cm="1">
        <f t="array" ref="G476">gssBoardClass(A476,B476,C476,D476,E476,F476)</f>
        <v>Slalom Large</v>
      </c>
      <c r="H476" s="39" t="str">
        <f t="shared" si="62"/>
        <v>2025-We-Fre-140-79-230</v>
      </c>
      <c r="I476" s="42" t="str">
        <f t="shared" si="63"/>
        <v>2025</v>
      </c>
      <c r="J476" s="18">
        <v>2025</v>
      </c>
      <c r="K476" t="s">
        <v>2257</v>
      </c>
      <c r="L476" t="s">
        <v>2301</v>
      </c>
      <c r="M476">
        <v>140</v>
      </c>
      <c r="N476">
        <v>79</v>
      </c>
      <c r="O476">
        <v>230</v>
      </c>
      <c r="P476" t="s">
        <v>2294</v>
      </c>
      <c r="Q476" t="s">
        <v>2297</v>
      </c>
      <c r="S476" t="s">
        <v>2302</v>
      </c>
    </row>
    <row r="477" spans="1:20" x14ac:dyDescent="0.3">
      <c r="A477" s="11" t="str">
        <f t="shared" si="56"/>
        <v>We One</v>
      </c>
      <c r="B477" s="11" t="str">
        <f t="shared" si="57"/>
        <v>Free Race 150</v>
      </c>
      <c r="C477" s="11">
        <f t="shared" si="58"/>
        <v>235</v>
      </c>
      <c r="D477" s="11">
        <f t="shared" si="59"/>
        <v>84</v>
      </c>
      <c r="E477" s="11">
        <f t="shared" si="60"/>
        <v>150</v>
      </c>
      <c r="F477" s="38" t="str">
        <f t="shared" si="61"/>
        <v>2025</v>
      </c>
      <c r="G477" s="11" t="str" cm="1">
        <f t="array" ref="G477">gssBoardClass(A477,B477,C477,D477,E477,F477)</f>
        <v>Slalom Large</v>
      </c>
      <c r="H477" s="39" t="str">
        <f t="shared" si="62"/>
        <v>2025-We-Fre-150-84-235</v>
      </c>
      <c r="I477" s="42" t="str">
        <f t="shared" si="63"/>
        <v>2025</v>
      </c>
      <c r="J477" s="18">
        <v>2025</v>
      </c>
      <c r="K477" t="s">
        <v>2257</v>
      </c>
      <c r="L477" t="s">
        <v>2303</v>
      </c>
      <c r="M477">
        <v>150</v>
      </c>
      <c r="N477">
        <v>84</v>
      </c>
      <c r="O477">
        <v>235</v>
      </c>
      <c r="P477" t="s">
        <v>2294</v>
      </c>
      <c r="Q477" t="s">
        <v>2297</v>
      </c>
      <c r="S477" t="s">
        <v>2304</v>
      </c>
    </row>
    <row r="478" spans="1:20" x14ac:dyDescent="0.3">
      <c r="A478" s="11" t="str">
        <f t="shared" si="56"/>
        <v>We One</v>
      </c>
      <c r="B478" s="11" t="str">
        <f t="shared" si="57"/>
        <v>Race 69</v>
      </c>
      <c r="C478" s="11">
        <f t="shared" si="58"/>
        <v>229</v>
      </c>
      <c r="D478" s="11">
        <f t="shared" si="59"/>
        <v>69</v>
      </c>
      <c r="E478" s="11">
        <f t="shared" si="60"/>
        <v>111</v>
      </c>
      <c r="F478" s="38" t="str">
        <f t="shared" si="61"/>
        <v>2025</v>
      </c>
      <c r="G478" s="11" t="str" cm="1">
        <f t="array" ref="G478">gssBoardClass(A478,B478,C478,D478,E478,F478)</f>
        <v>Slalom Medium</v>
      </c>
      <c r="H478" s="39" t="str">
        <f t="shared" si="62"/>
        <v>2025-We-Rac-111-69-229</v>
      </c>
      <c r="I478" s="42" t="str">
        <f t="shared" si="63"/>
        <v>2025</v>
      </c>
      <c r="J478" s="46">
        <v>2025</v>
      </c>
      <c r="K478" t="s">
        <v>2257</v>
      </c>
      <c r="L478" t="s">
        <v>2276</v>
      </c>
      <c r="M478">
        <v>111</v>
      </c>
      <c r="N478">
        <v>69</v>
      </c>
      <c r="O478">
        <v>229</v>
      </c>
      <c r="Q478" t="s">
        <v>232</v>
      </c>
    </row>
    <row r="479" spans="1:20" x14ac:dyDescent="0.3">
      <c r="A479" s="11" t="str">
        <f t="shared" si="56"/>
        <v>We One</v>
      </c>
      <c r="B479" s="11" t="str">
        <f t="shared" si="57"/>
        <v>Race 74</v>
      </c>
      <c r="C479" s="11">
        <f t="shared" si="58"/>
        <v>229</v>
      </c>
      <c r="D479" s="11">
        <f t="shared" si="59"/>
        <v>73</v>
      </c>
      <c r="E479" s="11">
        <f t="shared" si="60"/>
        <v>119</v>
      </c>
      <c r="F479" s="38" t="str">
        <f t="shared" si="61"/>
        <v>2025</v>
      </c>
      <c r="G479" s="11" t="str" cm="1">
        <f t="array" ref="G479">gssBoardClass(A479,B479,C479,D479,E479,F479)</f>
        <v>Slalom Medium</v>
      </c>
      <c r="H479" s="39" t="str">
        <f t="shared" si="62"/>
        <v>2025-We-RAC-119-73-229</v>
      </c>
      <c r="I479" s="42" t="str">
        <f t="shared" si="63"/>
        <v>2025</v>
      </c>
      <c r="J479" s="46">
        <v>2025</v>
      </c>
      <c r="K479" t="s">
        <v>2257</v>
      </c>
      <c r="L479" t="s">
        <v>2277</v>
      </c>
      <c r="M479">
        <v>119</v>
      </c>
      <c r="N479">
        <v>73</v>
      </c>
      <c r="O479">
        <v>229</v>
      </c>
      <c r="Q479" t="s">
        <v>232</v>
      </c>
    </row>
    <row r="480" spans="1:20" x14ac:dyDescent="0.3">
      <c r="A480" s="11" t="str">
        <f t="shared" si="56"/>
        <v>We One</v>
      </c>
      <c r="B480" s="11" t="str">
        <f t="shared" si="57"/>
        <v>Race 84</v>
      </c>
      <c r="C480" s="11">
        <f t="shared" si="58"/>
        <v>229</v>
      </c>
      <c r="D480" s="11">
        <f t="shared" si="59"/>
        <v>84</v>
      </c>
      <c r="E480" s="11">
        <f t="shared" si="60"/>
        <v>133</v>
      </c>
      <c r="F480" s="38" t="str">
        <f t="shared" si="61"/>
        <v>2025</v>
      </c>
      <c r="G480" s="11" t="str" cm="1">
        <f t="array" ref="G480">gssBoardClass(A480,B480,C480,D480,E480,F480)</f>
        <v>Slalom Large</v>
      </c>
      <c r="H480" s="39" t="str">
        <f t="shared" si="62"/>
        <v>2025-We-RAC-133-84-229</v>
      </c>
      <c r="I480" s="42" t="str">
        <f t="shared" si="63"/>
        <v>2025</v>
      </c>
      <c r="J480" s="46">
        <v>2025</v>
      </c>
      <c r="K480" t="s">
        <v>2257</v>
      </c>
      <c r="L480" t="s">
        <v>2278</v>
      </c>
      <c r="M480">
        <v>133</v>
      </c>
      <c r="N480">
        <v>84</v>
      </c>
      <c r="O480">
        <v>229</v>
      </c>
      <c r="Q480" t="s">
        <v>260</v>
      </c>
    </row>
    <row r="481" spans="1:20" x14ac:dyDescent="0.3">
      <c r="A481" s="11" t="str">
        <f t="shared" si="56"/>
        <v>We One</v>
      </c>
      <c r="B481" s="11" t="str">
        <f t="shared" si="57"/>
        <v>Race 87</v>
      </c>
      <c r="C481" s="11">
        <f t="shared" si="58"/>
        <v>229</v>
      </c>
      <c r="D481" s="11">
        <f t="shared" si="59"/>
        <v>87</v>
      </c>
      <c r="E481" s="11">
        <f t="shared" si="60"/>
        <v>139</v>
      </c>
      <c r="F481" s="38" t="str">
        <f t="shared" si="61"/>
        <v>2025</v>
      </c>
      <c r="G481" s="11" t="str" cm="1">
        <f t="array" ref="G481">gssBoardClass(A481,B481,C481,D481,E481,F481)</f>
        <v>Slalom Xtra Large</v>
      </c>
      <c r="H481" s="39" t="str">
        <f t="shared" si="62"/>
        <v>2025-We-RAC-139-87-229</v>
      </c>
      <c r="I481" s="42" t="str">
        <f t="shared" si="63"/>
        <v>2025</v>
      </c>
      <c r="J481" s="46">
        <v>2025</v>
      </c>
      <c r="K481" t="s">
        <v>2257</v>
      </c>
      <c r="L481" t="s">
        <v>2279</v>
      </c>
      <c r="M481">
        <v>139</v>
      </c>
      <c r="N481">
        <v>87</v>
      </c>
      <c r="O481">
        <v>229</v>
      </c>
      <c r="Q481" t="s">
        <v>260</v>
      </c>
    </row>
    <row r="482" spans="1:20" x14ac:dyDescent="0.3">
      <c r="A482" s="11" t="str">
        <f t="shared" si="56"/>
        <v>We One</v>
      </c>
      <c r="B482" s="11" t="str">
        <f t="shared" si="57"/>
        <v>Race 58</v>
      </c>
      <c r="C482" s="11">
        <f t="shared" si="58"/>
        <v>230</v>
      </c>
      <c r="D482" s="11">
        <f t="shared" si="59"/>
        <v>58</v>
      </c>
      <c r="E482" s="11">
        <f t="shared" si="60"/>
        <v>94</v>
      </c>
      <c r="F482" s="38" t="str">
        <f t="shared" si="61"/>
        <v>2025</v>
      </c>
      <c r="G482" s="11" t="str" cm="1">
        <f t="array" ref="G482">gssBoardClass(A482,B482,C482,D482,E482,F482)</f>
        <v>Speed/Slalom Xtra Small</v>
      </c>
      <c r="H482" s="39" t="str">
        <f t="shared" si="62"/>
        <v>2025-We-RAC-94-58-230</v>
      </c>
      <c r="I482" s="42" t="str">
        <f t="shared" si="63"/>
        <v>2025</v>
      </c>
      <c r="J482" s="46">
        <v>2025</v>
      </c>
      <c r="K482" t="s">
        <v>2257</v>
      </c>
      <c r="L482" t="s">
        <v>2280</v>
      </c>
      <c r="M482">
        <v>94</v>
      </c>
      <c r="N482">
        <v>58</v>
      </c>
      <c r="O482">
        <v>230</v>
      </c>
      <c r="Q482" t="s">
        <v>232</v>
      </c>
    </row>
    <row r="483" spans="1:20" x14ac:dyDescent="0.3">
      <c r="A483" s="11" t="str">
        <f t="shared" si="56"/>
        <v>We One</v>
      </c>
      <c r="B483" s="11" t="str">
        <f t="shared" si="57"/>
        <v>Race 63</v>
      </c>
      <c r="C483" s="11">
        <f t="shared" si="58"/>
        <v>230</v>
      </c>
      <c r="D483" s="11">
        <f t="shared" si="59"/>
        <v>63</v>
      </c>
      <c r="E483" s="11">
        <f t="shared" si="60"/>
        <v>99</v>
      </c>
      <c r="F483" s="38" t="str">
        <f t="shared" si="61"/>
        <v>2025</v>
      </c>
      <c r="G483" s="11" t="str" cm="1">
        <f t="array" ref="G483">gssBoardClass(A483,B483,C483,D483,E483,F483)</f>
        <v>Speed/Slalom Small</v>
      </c>
      <c r="H483" s="39" t="str">
        <f t="shared" si="62"/>
        <v>2025-We-RAC-99-63-230</v>
      </c>
      <c r="I483" s="42" t="str">
        <f t="shared" si="63"/>
        <v>2025</v>
      </c>
      <c r="J483" s="46">
        <v>2025</v>
      </c>
      <c r="K483" t="s">
        <v>2257</v>
      </c>
      <c r="L483" t="s">
        <v>2281</v>
      </c>
      <c r="M483">
        <v>99</v>
      </c>
      <c r="N483">
        <v>63</v>
      </c>
      <c r="O483">
        <v>230</v>
      </c>
      <c r="Q483" t="s">
        <v>232</v>
      </c>
    </row>
    <row r="484" spans="1:20" x14ac:dyDescent="0.3">
      <c r="A484" s="11" t="str">
        <f t="shared" si="56"/>
        <v>Jp</v>
      </c>
      <c r="B484" s="11" t="str">
        <f t="shared" si="57"/>
        <v>Slalom 66</v>
      </c>
      <c r="C484" s="11">
        <f t="shared" si="58"/>
        <v>230</v>
      </c>
      <c r="D484" s="11">
        <f t="shared" si="59"/>
        <v>66</v>
      </c>
      <c r="E484" s="11">
        <f t="shared" si="60"/>
        <v>105</v>
      </c>
      <c r="F484" s="38" t="str">
        <f t="shared" si="61"/>
        <v>2026</v>
      </c>
      <c r="G484" s="11" t="str" cm="1">
        <f t="array" ref="G484">gssBoardClass(A484,B484,C484,D484,E484,F484)</f>
        <v>Slalom Medium</v>
      </c>
      <c r="H484" s="39" t="str">
        <f t="shared" si="62"/>
        <v>2026-JP-Sla-105-66-230</v>
      </c>
      <c r="I484" s="42" t="str">
        <f t="shared" si="63"/>
        <v>2026</v>
      </c>
      <c r="J484" s="46">
        <v>2026</v>
      </c>
      <c r="K484" t="s">
        <v>345</v>
      </c>
      <c r="L484" t="s">
        <v>352</v>
      </c>
      <c r="M484">
        <v>105</v>
      </c>
      <c r="N484">
        <v>66</v>
      </c>
      <c r="O484">
        <v>230</v>
      </c>
      <c r="P484" t="s">
        <v>346</v>
      </c>
      <c r="Q484" t="s">
        <v>333</v>
      </c>
      <c r="R484" t="s">
        <v>271</v>
      </c>
      <c r="S484" t="s">
        <v>348</v>
      </c>
    </row>
    <row r="485" spans="1:20" x14ac:dyDescent="0.3">
      <c r="A485" s="11" t="str">
        <f t="shared" si="56"/>
        <v>Jp</v>
      </c>
      <c r="B485" s="11" t="str">
        <f t="shared" si="57"/>
        <v>Slalom 72</v>
      </c>
      <c r="C485" s="11">
        <f t="shared" si="58"/>
        <v>228</v>
      </c>
      <c r="D485" s="11">
        <f t="shared" si="59"/>
        <v>72</v>
      </c>
      <c r="E485" s="11">
        <f t="shared" si="60"/>
        <v>117</v>
      </c>
      <c r="F485" s="38" t="str">
        <f t="shared" si="61"/>
        <v>2026</v>
      </c>
      <c r="G485" s="11" t="str" cm="1">
        <f t="array" ref="G485">gssBoardClass(A485,B485,C485,D485,E485,F485)</f>
        <v>Slalom Medium</v>
      </c>
      <c r="H485" s="39" t="str">
        <f t="shared" si="62"/>
        <v>2026-JP-Sla-117-72-228</v>
      </c>
      <c r="I485" s="42" t="str">
        <f t="shared" si="63"/>
        <v>2026</v>
      </c>
      <c r="J485" s="46">
        <v>2026</v>
      </c>
      <c r="K485" t="s">
        <v>345</v>
      </c>
      <c r="L485" t="s">
        <v>343</v>
      </c>
      <c r="M485">
        <v>117</v>
      </c>
      <c r="N485">
        <v>72</v>
      </c>
      <c r="O485">
        <v>228</v>
      </c>
      <c r="P485" t="s">
        <v>346</v>
      </c>
      <c r="Q485" t="s">
        <v>333</v>
      </c>
      <c r="R485" t="s">
        <v>271</v>
      </c>
      <c r="S485" t="s">
        <v>349</v>
      </c>
    </row>
    <row r="486" spans="1:20" x14ac:dyDescent="0.3">
      <c r="A486" s="11" t="str">
        <f t="shared" si="56"/>
        <v>Jp</v>
      </c>
      <c r="B486" s="11" t="str">
        <f t="shared" si="57"/>
        <v>Slalom 76</v>
      </c>
      <c r="C486" s="11">
        <f t="shared" si="58"/>
        <v>228</v>
      </c>
      <c r="D486" s="11">
        <f t="shared" si="59"/>
        <v>76</v>
      </c>
      <c r="E486" s="11">
        <f t="shared" si="60"/>
        <v>125</v>
      </c>
      <c r="F486" s="38" t="str">
        <f t="shared" si="61"/>
        <v>2026</v>
      </c>
      <c r="G486" s="11" t="str" cm="1">
        <f t="array" ref="G486">gssBoardClass(A486,B486,C486,D486,E486,F486)</f>
        <v>Slalom Large</v>
      </c>
      <c r="H486" s="39" t="str">
        <f t="shared" si="62"/>
        <v>2026-JP-Sla-125-76-228</v>
      </c>
      <c r="I486" s="42" t="str">
        <f t="shared" si="63"/>
        <v>2026</v>
      </c>
      <c r="J486" s="46">
        <v>2026</v>
      </c>
      <c r="K486" t="s">
        <v>345</v>
      </c>
      <c r="L486" t="s">
        <v>353</v>
      </c>
      <c r="M486">
        <v>125</v>
      </c>
      <c r="N486">
        <v>76</v>
      </c>
      <c r="O486">
        <v>228</v>
      </c>
      <c r="P486" t="s">
        <v>346</v>
      </c>
      <c r="Q486" t="s">
        <v>333</v>
      </c>
      <c r="R486" t="s">
        <v>271</v>
      </c>
      <c r="S486" t="s">
        <v>350</v>
      </c>
    </row>
    <row r="487" spans="1:20" x14ac:dyDescent="0.3">
      <c r="A487" s="11" t="str">
        <f t="shared" si="56"/>
        <v>Jp</v>
      </c>
      <c r="B487" s="11" t="str">
        <f t="shared" si="57"/>
        <v>Slalom 85</v>
      </c>
      <c r="C487" s="11">
        <f t="shared" si="58"/>
        <v>228</v>
      </c>
      <c r="D487" s="11">
        <f t="shared" si="59"/>
        <v>85</v>
      </c>
      <c r="E487" s="11">
        <f t="shared" si="60"/>
        <v>139</v>
      </c>
      <c r="F487" s="38" t="str">
        <f t="shared" si="61"/>
        <v>2026</v>
      </c>
      <c r="G487" s="11" t="str" cm="1">
        <f t="array" ref="G487">gssBoardClass(A487,B487,C487,D487,E487,F487)</f>
        <v>Slalom Large</v>
      </c>
      <c r="H487" s="39" t="str">
        <f t="shared" si="62"/>
        <v>2026-JP-Sla-139-85-228</v>
      </c>
      <c r="I487" s="42" t="str">
        <f t="shared" si="63"/>
        <v>2026</v>
      </c>
      <c r="J487" s="46">
        <v>2026</v>
      </c>
      <c r="K487" t="s">
        <v>345</v>
      </c>
      <c r="L487" t="s">
        <v>344</v>
      </c>
      <c r="M487">
        <v>139</v>
      </c>
      <c r="N487">
        <v>85</v>
      </c>
      <c r="O487">
        <v>228</v>
      </c>
      <c r="P487" t="s">
        <v>346</v>
      </c>
      <c r="Q487" t="s">
        <v>333</v>
      </c>
      <c r="R487" t="s">
        <v>271</v>
      </c>
      <c r="S487" t="s">
        <v>351</v>
      </c>
    </row>
    <row r="488" spans="1:20" x14ac:dyDescent="0.3">
      <c r="A488" s="11" t="str">
        <f t="shared" si="56"/>
        <v>Jp</v>
      </c>
      <c r="B488" s="11" t="str">
        <f t="shared" si="57"/>
        <v>Slalom 62.5</v>
      </c>
      <c r="C488" s="11">
        <f t="shared" si="58"/>
        <v>230</v>
      </c>
      <c r="D488" s="11">
        <f t="shared" si="59"/>
        <v>62</v>
      </c>
      <c r="E488" s="11">
        <f t="shared" si="60"/>
        <v>97</v>
      </c>
      <c r="F488" s="38" t="str">
        <f t="shared" si="61"/>
        <v>2026</v>
      </c>
      <c r="G488" s="11" t="str" cm="1">
        <f t="array" ref="G488">gssBoardClass(A488,B488,C488,D488,E488,F488)</f>
        <v>Speed/Slalom Small</v>
      </c>
      <c r="H488" s="39" t="str">
        <f t="shared" si="62"/>
        <v>2026-JP-Sla-97-62-230</v>
      </c>
      <c r="I488" s="42" t="str">
        <f t="shared" si="63"/>
        <v>2026</v>
      </c>
      <c r="J488" s="46">
        <v>2026</v>
      </c>
      <c r="K488" t="s">
        <v>345</v>
      </c>
      <c r="L488" t="s">
        <v>342</v>
      </c>
      <c r="M488">
        <v>97</v>
      </c>
      <c r="N488">
        <v>62.5</v>
      </c>
      <c r="O488">
        <v>230</v>
      </c>
      <c r="P488" t="s">
        <v>346</v>
      </c>
      <c r="Q488" t="s">
        <v>333</v>
      </c>
      <c r="R488" t="s">
        <v>271</v>
      </c>
      <c r="S488" t="s">
        <v>347</v>
      </c>
    </row>
    <row r="489" spans="1:20" x14ac:dyDescent="0.3">
      <c r="A489" s="11" t="str">
        <f t="shared" si="56"/>
        <v>Starboard</v>
      </c>
      <c r="B489" s="11" t="str">
        <f t="shared" si="57"/>
        <v>Isonic 67</v>
      </c>
      <c r="C489" s="11">
        <f t="shared" si="58"/>
        <v>228</v>
      </c>
      <c r="D489" s="11">
        <f t="shared" si="59"/>
        <v>67</v>
      </c>
      <c r="E489" s="11">
        <f t="shared" si="60"/>
        <v>111</v>
      </c>
      <c r="F489" s="38" t="str">
        <f t="shared" si="61"/>
        <v>2026</v>
      </c>
      <c r="G489" s="11" t="str" cm="1">
        <f t="array" ref="G489">gssBoardClass(A489,B489,C489,D489,E489,F489)</f>
        <v>Slalom Medium</v>
      </c>
      <c r="H489" s="39" t="str">
        <f t="shared" si="62"/>
        <v>2026-St-iSo-111-67-228</v>
      </c>
      <c r="I489" s="42" t="str">
        <f t="shared" si="63"/>
        <v>2026</v>
      </c>
      <c r="J489" s="18">
        <v>2026</v>
      </c>
      <c r="K489" t="s">
        <v>2305</v>
      </c>
      <c r="L489" t="s">
        <v>1907</v>
      </c>
      <c r="M489">
        <v>111</v>
      </c>
      <c r="N489">
        <v>67</v>
      </c>
      <c r="O489">
        <v>228</v>
      </c>
      <c r="P489" t="s">
        <v>2306</v>
      </c>
      <c r="Q489" t="s">
        <v>232</v>
      </c>
      <c r="R489" t="s">
        <v>2313</v>
      </c>
      <c r="S489" t="s">
        <v>2314</v>
      </c>
      <c r="T489" t="s">
        <v>2315</v>
      </c>
    </row>
    <row r="490" spans="1:20" x14ac:dyDescent="0.3">
      <c r="A490" s="11" t="str">
        <f t="shared" si="56"/>
        <v>Starboard</v>
      </c>
      <c r="B490" s="11" t="str">
        <f t="shared" si="57"/>
        <v>Isonic 73</v>
      </c>
      <c r="C490" s="11">
        <f t="shared" si="58"/>
        <v>228</v>
      </c>
      <c r="D490" s="11">
        <f t="shared" si="59"/>
        <v>73</v>
      </c>
      <c r="E490" s="11">
        <f t="shared" si="60"/>
        <v>123</v>
      </c>
      <c r="F490" s="38" t="str">
        <f t="shared" si="61"/>
        <v>2026</v>
      </c>
      <c r="G490" s="11" t="str" cm="1">
        <f t="array" ref="G490">gssBoardClass(A490,B490,C490,D490,E490,F490)</f>
        <v>Slalom Medium</v>
      </c>
      <c r="H490" s="39" t="str">
        <f t="shared" si="62"/>
        <v>2026-St-iSo-123-73-228</v>
      </c>
      <c r="I490" s="42" t="str">
        <f t="shared" si="63"/>
        <v>2026</v>
      </c>
      <c r="J490" s="18">
        <v>2026</v>
      </c>
      <c r="K490" t="s">
        <v>2305</v>
      </c>
      <c r="L490" t="s">
        <v>1908</v>
      </c>
      <c r="M490">
        <v>123</v>
      </c>
      <c r="N490">
        <v>73</v>
      </c>
      <c r="O490">
        <v>228</v>
      </c>
      <c r="P490" t="s">
        <v>2306</v>
      </c>
      <c r="Q490" t="s">
        <v>260</v>
      </c>
      <c r="R490" t="s">
        <v>2316</v>
      </c>
      <c r="S490" t="s">
        <v>2317</v>
      </c>
      <c r="T490" t="s">
        <v>2318</v>
      </c>
    </row>
    <row r="491" spans="1:20" x14ac:dyDescent="0.3">
      <c r="A491" s="11" t="str">
        <f t="shared" si="56"/>
        <v>Starboard</v>
      </c>
      <c r="B491" s="11" t="str">
        <f t="shared" si="57"/>
        <v>Isonic 77</v>
      </c>
      <c r="C491" s="11">
        <f t="shared" si="58"/>
        <v>229</v>
      </c>
      <c r="D491" s="11">
        <f t="shared" si="59"/>
        <v>77</v>
      </c>
      <c r="E491" s="11">
        <f t="shared" si="60"/>
        <v>129</v>
      </c>
      <c r="F491" s="38" t="str">
        <f t="shared" si="61"/>
        <v>2026</v>
      </c>
      <c r="G491" s="11" t="str" cm="1">
        <f t="array" ref="G491">gssBoardClass(A491,B491,C491,D491,E491,F491)</f>
        <v>Slalom Large</v>
      </c>
      <c r="H491" s="39" t="str">
        <f t="shared" si="62"/>
        <v>2026-St-iSo-129-77-229</v>
      </c>
      <c r="I491" s="42" t="str">
        <f t="shared" si="63"/>
        <v>2026</v>
      </c>
      <c r="J491" s="18">
        <v>2026</v>
      </c>
      <c r="K491" t="s">
        <v>2305</v>
      </c>
      <c r="L491" t="s">
        <v>1909</v>
      </c>
      <c r="M491">
        <v>129</v>
      </c>
      <c r="N491">
        <v>77</v>
      </c>
      <c r="O491">
        <v>229</v>
      </c>
      <c r="P491" t="s">
        <v>2306</v>
      </c>
      <c r="Q491" t="s">
        <v>260</v>
      </c>
      <c r="R491" t="s">
        <v>2319</v>
      </c>
      <c r="S491" t="s">
        <v>2320</v>
      </c>
      <c r="T491" t="s">
        <v>2321</v>
      </c>
    </row>
    <row r="492" spans="1:20" x14ac:dyDescent="0.3">
      <c r="A492" s="11" t="str">
        <f t="shared" si="56"/>
        <v>Starboard</v>
      </c>
      <c r="B492" s="11" t="str">
        <f t="shared" si="57"/>
        <v>Isonic 85</v>
      </c>
      <c r="C492" s="11">
        <f t="shared" si="58"/>
        <v>229</v>
      </c>
      <c r="D492" s="11">
        <f t="shared" si="59"/>
        <v>85</v>
      </c>
      <c r="E492" s="11">
        <f t="shared" si="60"/>
        <v>147</v>
      </c>
      <c r="F492" s="38" t="str">
        <f t="shared" si="61"/>
        <v>2026</v>
      </c>
      <c r="G492" s="11" t="str" cm="1">
        <f t="array" ref="G492">gssBoardClass(A492,B492,C492,D492,E492,F492)</f>
        <v>Slalom Large</v>
      </c>
      <c r="H492" s="39" t="str">
        <f t="shared" si="62"/>
        <v>2026-St-iSo-147-85-229</v>
      </c>
      <c r="I492" s="42" t="str">
        <f t="shared" si="63"/>
        <v>2026</v>
      </c>
      <c r="J492" s="18">
        <v>2026</v>
      </c>
      <c r="K492" t="s">
        <v>2305</v>
      </c>
      <c r="L492" t="s">
        <v>1911</v>
      </c>
      <c r="M492">
        <v>147</v>
      </c>
      <c r="N492">
        <v>85</v>
      </c>
      <c r="O492">
        <v>229</v>
      </c>
      <c r="P492" t="s">
        <v>2306</v>
      </c>
      <c r="Q492" t="s">
        <v>2322</v>
      </c>
      <c r="R492" t="s">
        <v>2323</v>
      </c>
      <c r="S492" t="s">
        <v>2324</v>
      </c>
      <c r="T492" t="s">
        <v>2325</v>
      </c>
    </row>
    <row r="493" spans="1:20" x14ac:dyDescent="0.3">
      <c r="A493" s="11" t="str">
        <f t="shared" si="56"/>
        <v>Starboard</v>
      </c>
      <c r="B493" s="11" t="str">
        <f t="shared" si="57"/>
        <v>Isonic 60</v>
      </c>
      <c r="C493" s="11">
        <f t="shared" si="58"/>
        <v>225</v>
      </c>
      <c r="D493" s="11">
        <f t="shared" si="59"/>
        <v>60</v>
      </c>
      <c r="E493" s="11">
        <f t="shared" si="60"/>
        <v>91</v>
      </c>
      <c r="F493" s="38" t="str">
        <f t="shared" si="61"/>
        <v>2026</v>
      </c>
      <c r="G493" s="11" t="str" cm="1">
        <f t="array" ref="G493">gssBoardClass(A493,B493,C493,D493,E493,F493)</f>
        <v>Speed/Slalom Xtra Small</v>
      </c>
      <c r="H493" s="39" t="str">
        <f t="shared" si="62"/>
        <v>2026-St-iSo-91-60-225</v>
      </c>
      <c r="I493" s="42" t="str">
        <f t="shared" si="63"/>
        <v>2026</v>
      </c>
      <c r="J493" s="18">
        <v>2026</v>
      </c>
      <c r="K493" t="s">
        <v>2305</v>
      </c>
      <c r="L493" t="s">
        <v>1905</v>
      </c>
      <c r="M493">
        <v>91</v>
      </c>
      <c r="N493">
        <v>60</v>
      </c>
      <c r="O493">
        <v>225</v>
      </c>
      <c r="P493" t="s">
        <v>2306</v>
      </c>
      <c r="Q493" t="s">
        <v>232</v>
      </c>
      <c r="R493" t="s">
        <v>2307</v>
      </c>
      <c r="S493" t="s">
        <v>2308</v>
      </c>
      <c r="T493" t="s">
        <v>2309</v>
      </c>
    </row>
    <row r="494" spans="1:20" x14ac:dyDescent="0.3">
      <c r="A494" s="11" t="str">
        <f t="shared" si="56"/>
        <v>Starboard</v>
      </c>
      <c r="B494" s="11" t="str">
        <f t="shared" si="57"/>
        <v>Isonic 63</v>
      </c>
      <c r="C494" s="11">
        <f t="shared" si="58"/>
        <v>226</v>
      </c>
      <c r="D494" s="11">
        <f t="shared" si="59"/>
        <v>63</v>
      </c>
      <c r="E494" s="11">
        <f t="shared" si="60"/>
        <v>98</v>
      </c>
      <c r="F494" s="38" t="str">
        <f t="shared" si="61"/>
        <v>2026</v>
      </c>
      <c r="G494" s="11" t="str" cm="1">
        <f t="array" ref="G494">gssBoardClass(A494,B494,C494,D494,E494,F494)</f>
        <v>Speed/Slalom Small</v>
      </c>
      <c r="H494" s="39" t="str">
        <f t="shared" si="62"/>
        <v>2026-St-iSo-98-63-226</v>
      </c>
      <c r="I494" s="42" t="str">
        <f t="shared" si="63"/>
        <v>2026</v>
      </c>
      <c r="J494" s="18">
        <v>2026</v>
      </c>
      <c r="K494" t="s">
        <v>2305</v>
      </c>
      <c r="L494" t="s">
        <v>1906</v>
      </c>
      <c r="M494">
        <v>98</v>
      </c>
      <c r="N494">
        <v>63</v>
      </c>
      <c r="O494">
        <v>226</v>
      </c>
      <c r="P494" t="s">
        <v>2306</v>
      </c>
      <c r="Q494" t="s">
        <v>232</v>
      </c>
      <c r="R494" t="s">
        <v>2310</v>
      </c>
      <c r="S494" t="s">
        <v>2311</v>
      </c>
      <c r="T494" t="s">
        <v>2312</v>
      </c>
    </row>
    <row r="495" spans="1:20" x14ac:dyDescent="0.3">
      <c r="A495" s="11" t="str">
        <f t="shared" si="56"/>
        <v>Tabou</v>
      </c>
      <c r="B495" s="11" t="str">
        <f t="shared" si="57"/>
        <v>Manta 64</v>
      </c>
      <c r="C495" s="11">
        <f t="shared" si="58"/>
        <v>233</v>
      </c>
      <c r="D495" s="11">
        <f t="shared" si="59"/>
        <v>64</v>
      </c>
      <c r="E495" s="11">
        <f t="shared" si="60"/>
        <v>102</v>
      </c>
      <c r="F495" s="38" t="str">
        <f t="shared" si="61"/>
        <v>2026</v>
      </c>
      <c r="G495" s="11" t="str" cm="1">
        <f t="array" ref="G495">gssBoardClass(A495,B495,C495,D495,E495,F495)</f>
        <v>Speed/Slalom Small</v>
      </c>
      <c r="H495" s="39" t="str">
        <f t="shared" si="62"/>
        <v>2026-Ta-Man-102-64-233</v>
      </c>
      <c r="I495" s="42" t="str">
        <f t="shared" si="63"/>
        <v>2026</v>
      </c>
      <c r="J495" s="46" t="s">
        <v>876</v>
      </c>
      <c r="K495" t="s">
        <v>2244</v>
      </c>
      <c r="L495" t="s">
        <v>2247</v>
      </c>
      <c r="M495">
        <v>102</v>
      </c>
      <c r="N495">
        <v>64</v>
      </c>
      <c r="O495">
        <v>233</v>
      </c>
      <c r="Q495" t="s">
        <v>2242</v>
      </c>
    </row>
    <row r="496" spans="1:20" x14ac:dyDescent="0.3">
      <c r="A496" s="11" t="str">
        <f t="shared" si="56"/>
        <v>Tabou</v>
      </c>
      <c r="B496" s="11" t="str">
        <f t="shared" si="57"/>
        <v>Manta 66</v>
      </c>
      <c r="C496" s="11">
        <f t="shared" si="58"/>
        <v>233</v>
      </c>
      <c r="D496" s="11">
        <f t="shared" si="59"/>
        <v>66</v>
      </c>
      <c r="E496" s="11">
        <f t="shared" si="60"/>
        <v>106</v>
      </c>
      <c r="F496" s="38" t="str">
        <f t="shared" si="61"/>
        <v>2026</v>
      </c>
      <c r="G496" s="11" t="str" cm="1">
        <f t="array" ref="G496">gssBoardClass(A496,B496,C496,D496,E496,F496)</f>
        <v>Slalom Medium</v>
      </c>
      <c r="H496" s="39" t="str">
        <f t="shared" si="62"/>
        <v>2026-Ta-Man-106-66-233</v>
      </c>
      <c r="I496" s="42" t="str">
        <f t="shared" si="63"/>
        <v>2026</v>
      </c>
      <c r="J496" s="46" t="s">
        <v>876</v>
      </c>
      <c r="K496" t="s">
        <v>2244</v>
      </c>
      <c r="L496" t="s">
        <v>1981</v>
      </c>
      <c r="M496">
        <v>106</v>
      </c>
      <c r="N496">
        <v>66</v>
      </c>
      <c r="O496">
        <v>233</v>
      </c>
      <c r="Q496" t="s">
        <v>2242</v>
      </c>
      <c r="T496">
        <v>6.2</v>
      </c>
    </row>
    <row r="497" spans="1:20" x14ac:dyDescent="0.3">
      <c r="A497" s="11" t="str">
        <f t="shared" si="56"/>
        <v>Tabou</v>
      </c>
      <c r="B497" s="11" t="str">
        <f t="shared" si="57"/>
        <v>Manta 71</v>
      </c>
      <c r="C497" s="11">
        <f t="shared" si="58"/>
        <v>233</v>
      </c>
      <c r="D497" s="11">
        <f t="shared" si="59"/>
        <v>71</v>
      </c>
      <c r="E497" s="11">
        <f t="shared" si="60"/>
        <v>116</v>
      </c>
      <c r="F497" s="38" t="str">
        <f t="shared" si="61"/>
        <v>2026</v>
      </c>
      <c r="G497" s="11" t="str" cm="1">
        <f t="array" ref="G497">gssBoardClass(A497,B497,C497,D497,E497,F497)</f>
        <v>Slalom Medium</v>
      </c>
      <c r="H497" s="39" t="str">
        <f t="shared" si="62"/>
        <v>2026-Ta-Man-116-71-233</v>
      </c>
      <c r="I497" s="42" t="str">
        <f t="shared" si="63"/>
        <v>2026</v>
      </c>
      <c r="J497" s="46" t="s">
        <v>876</v>
      </c>
      <c r="K497" t="s">
        <v>2244</v>
      </c>
      <c r="L497" t="s">
        <v>1982</v>
      </c>
      <c r="M497">
        <v>116</v>
      </c>
      <c r="N497">
        <v>71</v>
      </c>
      <c r="O497">
        <v>233</v>
      </c>
      <c r="Q497" t="s">
        <v>2242</v>
      </c>
      <c r="T497">
        <v>6.8</v>
      </c>
    </row>
    <row r="498" spans="1:20" x14ac:dyDescent="0.3">
      <c r="A498" s="11" t="str">
        <f t="shared" si="56"/>
        <v>Tabou</v>
      </c>
      <c r="B498" s="11" t="str">
        <f t="shared" si="57"/>
        <v>Manta 77</v>
      </c>
      <c r="C498" s="11">
        <f t="shared" si="58"/>
        <v>232</v>
      </c>
      <c r="D498" s="11">
        <f t="shared" si="59"/>
        <v>77</v>
      </c>
      <c r="E498" s="11">
        <f t="shared" si="60"/>
        <v>122</v>
      </c>
      <c r="F498" s="38" t="str">
        <f t="shared" si="61"/>
        <v>2026</v>
      </c>
      <c r="G498" s="11" t="str" cm="1">
        <f t="array" ref="G498">gssBoardClass(A498,B498,C498,D498,E498,F498)</f>
        <v>Slalom Large</v>
      </c>
      <c r="H498" s="39" t="str">
        <f t="shared" si="62"/>
        <v>2026-Ta-Man-122-77-232</v>
      </c>
      <c r="I498" s="42" t="str">
        <f t="shared" si="63"/>
        <v>2026</v>
      </c>
      <c r="J498" s="46" t="s">
        <v>876</v>
      </c>
      <c r="K498" t="s">
        <v>2244</v>
      </c>
      <c r="L498" t="s">
        <v>2248</v>
      </c>
      <c r="M498">
        <v>122</v>
      </c>
      <c r="N498">
        <v>77</v>
      </c>
      <c r="O498">
        <v>232</v>
      </c>
      <c r="Q498" t="s">
        <v>2243</v>
      </c>
      <c r="T498">
        <v>7.4</v>
      </c>
    </row>
    <row r="499" spans="1:20" x14ac:dyDescent="0.3">
      <c r="A499" s="11" t="str">
        <f t="shared" si="56"/>
        <v>Tabou</v>
      </c>
      <c r="B499" s="11" t="str">
        <f t="shared" si="57"/>
        <v>Manta 85</v>
      </c>
      <c r="C499" s="11">
        <f t="shared" si="58"/>
        <v>232</v>
      </c>
      <c r="D499" s="11">
        <f t="shared" si="59"/>
        <v>85</v>
      </c>
      <c r="E499" s="11">
        <f t="shared" si="60"/>
        <v>135</v>
      </c>
      <c r="F499" s="38" t="str">
        <f t="shared" si="61"/>
        <v>2026</v>
      </c>
      <c r="G499" s="11" t="str" cm="1">
        <f t="array" ref="G499">gssBoardClass(A499,B499,C499,D499,E499,F499)</f>
        <v>Slalom Large</v>
      </c>
      <c r="H499" s="39" t="str">
        <f t="shared" si="62"/>
        <v>2026-Ta-Man-135-85-232</v>
      </c>
      <c r="I499" s="42" t="str">
        <f t="shared" si="63"/>
        <v>2026</v>
      </c>
      <c r="J499" s="46" t="s">
        <v>876</v>
      </c>
      <c r="K499" t="s">
        <v>2244</v>
      </c>
      <c r="L499" t="s">
        <v>2249</v>
      </c>
      <c r="M499">
        <v>135</v>
      </c>
      <c r="N499">
        <v>85</v>
      </c>
      <c r="O499">
        <v>232</v>
      </c>
      <c r="Q499" t="s">
        <v>2243</v>
      </c>
      <c r="T499">
        <v>7.8</v>
      </c>
    </row>
    <row r="500" spans="1:20" x14ac:dyDescent="0.3">
      <c r="A500" s="11" t="str">
        <f t="shared" si="56"/>
        <v>Tabou</v>
      </c>
      <c r="B500" s="11" t="str">
        <f t="shared" si="57"/>
        <v>Manta 48 Speed Custom</v>
      </c>
      <c r="C500" s="11">
        <f t="shared" si="58"/>
        <v>228</v>
      </c>
      <c r="D500" s="11">
        <f t="shared" si="59"/>
        <v>48</v>
      </c>
      <c r="E500" s="11">
        <f t="shared" si="60"/>
        <v>64</v>
      </c>
      <c r="F500" s="38" t="str">
        <f t="shared" si="61"/>
        <v>2026</v>
      </c>
      <c r="G500" s="11" t="str" cm="1">
        <f t="array" ref="G500">gssBoardClass(A500,B500,C500,D500,E500,F500)</f>
        <v>Speedboard</v>
      </c>
      <c r="H500" s="39" t="str">
        <f t="shared" si="62"/>
        <v>2026-Ta-Man-64-48-228</v>
      </c>
      <c r="I500" s="42" t="str">
        <f t="shared" si="63"/>
        <v>2026</v>
      </c>
      <c r="J500" s="46" t="s">
        <v>876</v>
      </c>
      <c r="K500" t="s">
        <v>2244</v>
      </c>
      <c r="L500" t="s">
        <v>2245</v>
      </c>
      <c r="M500">
        <v>64</v>
      </c>
      <c r="N500">
        <v>48</v>
      </c>
      <c r="O500">
        <v>228</v>
      </c>
      <c r="Q500" t="s">
        <v>2241</v>
      </c>
      <c r="T500">
        <v>4.7</v>
      </c>
    </row>
    <row r="501" spans="1:20" x14ac:dyDescent="0.3">
      <c r="A501" s="11" t="str">
        <f t="shared" si="56"/>
        <v>Tabou</v>
      </c>
      <c r="B501" s="11" t="str">
        <f t="shared" si="57"/>
        <v>Manta 54 Speed Custom</v>
      </c>
      <c r="C501" s="11">
        <f t="shared" si="58"/>
        <v>228</v>
      </c>
      <c r="D501" s="11">
        <f t="shared" si="59"/>
        <v>54</v>
      </c>
      <c r="E501" s="11">
        <f t="shared" si="60"/>
        <v>75</v>
      </c>
      <c r="F501" s="38" t="str">
        <f t="shared" si="61"/>
        <v>2026</v>
      </c>
      <c r="G501" s="11" t="str" cm="1">
        <f t="array" ref="G501">gssBoardClass(A501,B501,C501,D501,E501,F501)</f>
        <v>Speed/Slalom Xtra Small</v>
      </c>
      <c r="H501" s="39" t="str">
        <f t="shared" si="62"/>
        <v>2026-Ta-Man-75-54-228</v>
      </c>
      <c r="I501" s="42" t="str">
        <f t="shared" si="63"/>
        <v>2026</v>
      </c>
      <c r="J501" s="46" t="s">
        <v>876</v>
      </c>
      <c r="K501" t="s">
        <v>2244</v>
      </c>
      <c r="L501" t="s">
        <v>2246</v>
      </c>
      <c r="M501">
        <v>75</v>
      </c>
      <c r="N501">
        <v>54</v>
      </c>
      <c r="O501">
        <v>228</v>
      </c>
      <c r="Q501" t="s">
        <v>2241</v>
      </c>
      <c r="T501">
        <v>5.4</v>
      </c>
    </row>
    <row r="502" spans="1:20" x14ac:dyDescent="0.3">
      <c r="A502" s="11" t="str">
        <f t="shared" si="56"/>
        <v>Tabou</v>
      </c>
      <c r="B502" s="11" t="str">
        <f t="shared" si="57"/>
        <v>Manta 61</v>
      </c>
      <c r="C502" s="11">
        <f t="shared" si="58"/>
        <v>233</v>
      </c>
      <c r="D502" s="11">
        <f t="shared" si="59"/>
        <v>61</v>
      </c>
      <c r="E502" s="11">
        <f t="shared" si="60"/>
        <v>96</v>
      </c>
      <c r="F502" s="38" t="str">
        <f t="shared" si="61"/>
        <v>2026</v>
      </c>
      <c r="G502" s="11" t="str" cm="1">
        <f t="array" ref="G502">gssBoardClass(A502,B502,C502,D502,E502,F502)</f>
        <v>Speed/Slalom Small</v>
      </c>
      <c r="H502" s="39" t="str">
        <f t="shared" si="62"/>
        <v>2026-Ta-Man-96-61-233</v>
      </c>
      <c r="I502" s="42" t="str">
        <f t="shared" si="63"/>
        <v>2026</v>
      </c>
      <c r="J502" s="46" t="s">
        <v>876</v>
      </c>
      <c r="K502" t="s">
        <v>2244</v>
      </c>
      <c r="L502" t="s">
        <v>1980</v>
      </c>
      <c r="M502">
        <v>96</v>
      </c>
      <c r="N502">
        <v>61</v>
      </c>
      <c r="O502">
        <v>233</v>
      </c>
      <c r="Q502" t="s">
        <v>2242</v>
      </c>
      <c r="T502">
        <v>6.1</v>
      </c>
    </row>
    <row r="503" spans="1:20" x14ac:dyDescent="0.3">
      <c r="A503" s="11" t="str">
        <f t="shared" si="56"/>
        <v>We One</v>
      </c>
      <c r="B503" s="11" t="str">
        <f t="shared" si="57"/>
        <v>Free Race 109</v>
      </c>
      <c r="C503" s="11">
        <f t="shared" si="58"/>
        <v>230</v>
      </c>
      <c r="D503" s="11">
        <f t="shared" si="59"/>
        <v>67</v>
      </c>
      <c r="E503" s="11">
        <f t="shared" si="60"/>
        <v>109</v>
      </c>
      <c r="F503" s="38" t="str">
        <f t="shared" si="61"/>
        <v>2026</v>
      </c>
      <c r="G503" s="11" t="str" cm="1">
        <f t="array" ref="G503">gssBoardClass(A503,B503,C503,D503,E503,F503)</f>
        <v>Slalom Medium</v>
      </c>
      <c r="H503" s="39" t="str">
        <f t="shared" si="62"/>
        <v>2026-We-FRE-109-67-230</v>
      </c>
      <c r="I503" s="42" t="str">
        <f t="shared" si="63"/>
        <v>2026</v>
      </c>
      <c r="J503" s="46">
        <v>2026</v>
      </c>
      <c r="K503" t="s">
        <v>2257</v>
      </c>
      <c r="L503" t="s">
        <v>2282</v>
      </c>
      <c r="M503">
        <v>109</v>
      </c>
      <c r="N503">
        <v>67.5</v>
      </c>
      <c r="O503">
        <v>230</v>
      </c>
      <c r="Q503" t="s">
        <v>2264</v>
      </c>
      <c r="S503" t="s">
        <v>2265</v>
      </c>
    </row>
    <row r="504" spans="1:20" x14ac:dyDescent="0.3">
      <c r="A504" s="11" t="str">
        <f t="shared" si="56"/>
        <v>We One</v>
      </c>
      <c r="B504" s="11" t="str">
        <f t="shared" si="57"/>
        <v>Free Race 119</v>
      </c>
      <c r="C504" s="11">
        <f t="shared" si="58"/>
        <v>230</v>
      </c>
      <c r="D504" s="11">
        <f t="shared" si="59"/>
        <v>71</v>
      </c>
      <c r="E504" s="11">
        <f t="shared" si="60"/>
        <v>119</v>
      </c>
      <c r="F504" s="38" t="str">
        <f t="shared" si="61"/>
        <v>2026</v>
      </c>
      <c r="G504" s="11" t="str" cm="1">
        <f t="array" ref="G504">gssBoardClass(A504,B504,C504,D504,E504,F504)</f>
        <v>Slalom Medium</v>
      </c>
      <c r="H504" s="39" t="str">
        <f t="shared" si="62"/>
        <v>2026-We-FRE-119-71-230</v>
      </c>
      <c r="I504" s="42" t="str">
        <f t="shared" si="63"/>
        <v>2026</v>
      </c>
      <c r="J504" s="46">
        <v>2026</v>
      </c>
      <c r="K504" t="s">
        <v>2257</v>
      </c>
      <c r="L504" t="s">
        <v>2283</v>
      </c>
      <c r="M504">
        <v>119</v>
      </c>
      <c r="N504">
        <v>71.5</v>
      </c>
      <c r="O504">
        <v>230</v>
      </c>
      <c r="Q504" t="s">
        <v>2266</v>
      </c>
      <c r="S504" t="s">
        <v>2267</v>
      </c>
    </row>
    <row r="505" spans="1:20" x14ac:dyDescent="0.3">
      <c r="A505" s="11" t="str">
        <f t="shared" si="56"/>
        <v>We One</v>
      </c>
      <c r="B505" s="11" t="str">
        <f t="shared" si="57"/>
        <v>Free Race 129</v>
      </c>
      <c r="C505" s="11">
        <f t="shared" si="58"/>
        <v>230</v>
      </c>
      <c r="D505" s="11">
        <f t="shared" si="59"/>
        <v>77</v>
      </c>
      <c r="E505" s="11">
        <f t="shared" si="60"/>
        <v>129</v>
      </c>
      <c r="F505" s="38" t="str">
        <f t="shared" si="61"/>
        <v>2026</v>
      </c>
      <c r="G505" s="11" t="str" cm="1">
        <f t="array" ref="G505">gssBoardClass(A505,B505,C505,D505,E505,F505)</f>
        <v>Slalom Large</v>
      </c>
      <c r="H505" s="39" t="str">
        <f t="shared" si="62"/>
        <v>2026-We-FRE-129-77-230</v>
      </c>
      <c r="I505" s="42" t="str">
        <f t="shared" si="63"/>
        <v>2026</v>
      </c>
      <c r="J505" s="46">
        <v>2026</v>
      </c>
      <c r="K505" t="s">
        <v>2257</v>
      </c>
      <c r="L505" t="s">
        <v>2284</v>
      </c>
      <c r="M505">
        <v>129</v>
      </c>
      <c r="N505">
        <v>77</v>
      </c>
      <c r="O505">
        <v>230</v>
      </c>
      <c r="Q505" t="s">
        <v>2268</v>
      </c>
      <c r="S505" t="s">
        <v>2269</v>
      </c>
    </row>
    <row r="506" spans="1:20" x14ac:dyDescent="0.3">
      <c r="A506" s="11" t="str">
        <f t="shared" si="56"/>
        <v>We One</v>
      </c>
      <c r="B506" s="11" t="str">
        <f t="shared" si="57"/>
        <v>Free Race 139</v>
      </c>
      <c r="C506" s="11">
        <f t="shared" si="58"/>
        <v>230</v>
      </c>
      <c r="D506" s="11">
        <f t="shared" si="59"/>
        <v>78</v>
      </c>
      <c r="E506" s="11">
        <f t="shared" si="60"/>
        <v>139</v>
      </c>
      <c r="F506" s="38" t="str">
        <f t="shared" si="61"/>
        <v>2026</v>
      </c>
      <c r="G506" s="11" t="str" cm="1">
        <f t="array" ref="G506">gssBoardClass(A506,B506,C506,D506,E506,F506)</f>
        <v>Slalom Large</v>
      </c>
      <c r="H506" s="39" t="str">
        <f t="shared" si="62"/>
        <v>2026-We-FRE-139-78-230</v>
      </c>
      <c r="I506" s="42" t="str">
        <f t="shared" si="63"/>
        <v>2026</v>
      </c>
      <c r="J506" s="46">
        <v>2026</v>
      </c>
      <c r="K506" t="s">
        <v>2257</v>
      </c>
      <c r="L506" t="s">
        <v>2285</v>
      </c>
      <c r="M506">
        <v>139</v>
      </c>
      <c r="N506">
        <v>78.5</v>
      </c>
      <c r="O506">
        <v>230</v>
      </c>
      <c r="Q506" t="s">
        <v>2270</v>
      </c>
      <c r="S506" t="s">
        <v>2271</v>
      </c>
    </row>
    <row r="507" spans="1:20" x14ac:dyDescent="0.3">
      <c r="A507" s="11" t="str">
        <f t="shared" si="56"/>
        <v>We One</v>
      </c>
      <c r="B507" s="11" t="str">
        <f t="shared" si="57"/>
        <v>Free Race 149</v>
      </c>
      <c r="C507" s="11">
        <f t="shared" si="58"/>
        <v>230</v>
      </c>
      <c r="D507" s="11">
        <f t="shared" si="59"/>
        <v>83</v>
      </c>
      <c r="E507" s="11">
        <f t="shared" si="60"/>
        <v>149</v>
      </c>
      <c r="F507" s="38" t="str">
        <f t="shared" si="61"/>
        <v>2026</v>
      </c>
      <c r="G507" s="11" t="str" cm="1">
        <f t="array" ref="G507">gssBoardClass(A507,B507,C507,D507,E507,F507)</f>
        <v>Slalom Large</v>
      </c>
      <c r="H507" s="39" t="str">
        <f t="shared" si="62"/>
        <v>2026-We-FRE-149-83-230</v>
      </c>
      <c r="I507" s="42" t="str">
        <f t="shared" si="63"/>
        <v>2026</v>
      </c>
      <c r="J507" s="46">
        <v>2026</v>
      </c>
      <c r="K507" t="s">
        <v>2257</v>
      </c>
      <c r="L507" t="s">
        <v>2286</v>
      </c>
      <c r="M507">
        <v>149</v>
      </c>
      <c r="N507">
        <v>83.5</v>
      </c>
      <c r="O507">
        <v>230</v>
      </c>
      <c r="Q507" t="s">
        <v>2272</v>
      </c>
      <c r="S507" t="s">
        <v>2273</v>
      </c>
    </row>
    <row r="508" spans="1:20" x14ac:dyDescent="0.3">
      <c r="A508" s="11" t="str">
        <f t="shared" si="56"/>
        <v>We One</v>
      </c>
      <c r="B508" s="11" t="str">
        <f t="shared" si="57"/>
        <v>Race 68</v>
      </c>
      <c r="C508" s="11">
        <f t="shared" si="58"/>
        <v>229</v>
      </c>
      <c r="D508" s="11">
        <f t="shared" si="59"/>
        <v>68</v>
      </c>
      <c r="E508" s="11">
        <f t="shared" si="60"/>
        <v>113</v>
      </c>
      <c r="F508" s="38" t="str">
        <f t="shared" si="61"/>
        <v>2026</v>
      </c>
      <c r="G508" s="11" t="str" cm="1">
        <f t="array" ref="G508">gssBoardClass(A508,B508,C508,D508,E508,F508)</f>
        <v>Slalom Medium</v>
      </c>
      <c r="H508" s="39" t="str">
        <f t="shared" si="62"/>
        <v>2026-We-Rac-113-68-229</v>
      </c>
      <c r="I508" s="42" t="str">
        <f t="shared" si="63"/>
        <v>2026</v>
      </c>
      <c r="J508" s="18">
        <v>2026</v>
      </c>
      <c r="K508" t="s">
        <v>2257</v>
      </c>
      <c r="L508" t="s">
        <v>2289</v>
      </c>
      <c r="M508">
        <v>113</v>
      </c>
      <c r="N508">
        <v>68</v>
      </c>
      <c r="O508">
        <v>229</v>
      </c>
      <c r="Q508" t="s">
        <v>232</v>
      </c>
    </row>
    <row r="509" spans="1:20" x14ac:dyDescent="0.3">
      <c r="A509" s="11" t="str">
        <f t="shared" si="56"/>
        <v>We One</v>
      </c>
      <c r="B509" s="11" t="str">
        <f t="shared" si="57"/>
        <v>Race 73</v>
      </c>
      <c r="C509" s="11">
        <f t="shared" si="58"/>
        <v>229</v>
      </c>
      <c r="D509" s="11">
        <f t="shared" si="59"/>
        <v>73</v>
      </c>
      <c r="E509" s="11">
        <f t="shared" si="60"/>
        <v>120</v>
      </c>
      <c r="F509" s="38" t="str">
        <f t="shared" si="61"/>
        <v>2026</v>
      </c>
      <c r="G509" s="11" t="str" cm="1">
        <f t="array" ref="G509">gssBoardClass(A509,B509,C509,D509,E509,F509)</f>
        <v>Slalom Medium</v>
      </c>
      <c r="H509" s="39" t="str">
        <f t="shared" si="62"/>
        <v>2026-We-Rac-120-73-229</v>
      </c>
      <c r="I509" s="42" t="str">
        <f t="shared" si="63"/>
        <v>2026</v>
      </c>
      <c r="J509" s="18">
        <v>2026</v>
      </c>
      <c r="K509" t="s">
        <v>2257</v>
      </c>
      <c r="L509" t="s">
        <v>2290</v>
      </c>
      <c r="M509">
        <v>120</v>
      </c>
      <c r="N509">
        <v>73</v>
      </c>
      <c r="O509">
        <v>229</v>
      </c>
      <c r="Q509" t="s">
        <v>232</v>
      </c>
    </row>
    <row r="510" spans="1:20" x14ac:dyDescent="0.3">
      <c r="A510" s="11" t="str">
        <f t="shared" si="56"/>
        <v>We One</v>
      </c>
      <c r="B510" s="11" t="str">
        <f t="shared" si="57"/>
        <v>Race 78</v>
      </c>
      <c r="C510" s="11">
        <f t="shared" si="58"/>
        <v>229</v>
      </c>
      <c r="D510" s="11">
        <f t="shared" si="59"/>
        <v>78</v>
      </c>
      <c r="E510" s="11">
        <f t="shared" si="60"/>
        <v>135</v>
      </c>
      <c r="F510" s="38" t="str">
        <f t="shared" si="61"/>
        <v>2026</v>
      </c>
      <c r="G510" s="11" t="str" cm="1">
        <f t="array" ref="G510">gssBoardClass(A510,B510,C510,D510,E510,F510)</f>
        <v>Slalom Large</v>
      </c>
      <c r="H510" s="39" t="str">
        <f t="shared" si="62"/>
        <v>2026-We-Rac-135-78-229</v>
      </c>
      <c r="I510" s="42" t="str">
        <f t="shared" si="63"/>
        <v>2026</v>
      </c>
      <c r="J510" s="18">
        <v>2026</v>
      </c>
      <c r="K510" t="s">
        <v>2257</v>
      </c>
      <c r="L510" t="s">
        <v>2291</v>
      </c>
      <c r="M510">
        <v>135</v>
      </c>
      <c r="N510">
        <v>78</v>
      </c>
      <c r="O510">
        <v>229</v>
      </c>
      <c r="Q510" t="s">
        <v>260</v>
      </c>
    </row>
    <row r="511" spans="1:20" x14ac:dyDescent="0.3">
      <c r="A511" s="11" t="str">
        <f t="shared" si="56"/>
        <v>We One</v>
      </c>
      <c r="B511" s="11" t="str">
        <f t="shared" si="57"/>
        <v>Race 83</v>
      </c>
      <c r="C511" s="11">
        <f t="shared" si="58"/>
        <v>229</v>
      </c>
      <c r="D511" s="11">
        <f t="shared" si="59"/>
        <v>83</v>
      </c>
      <c r="E511" s="11">
        <f t="shared" si="60"/>
        <v>142</v>
      </c>
      <c r="F511" s="38" t="str">
        <f t="shared" si="61"/>
        <v>2026</v>
      </c>
      <c r="G511" s="11" t="str" cm="1">
        <f t="array" ref="G511">gssBoardClass(A511,B511,C511,D511,E511,F511)</f>
        <v>Slalom Large</v>
      </c>
      <c r="H511" s="39" t="str">
        <f t="shared" si="62"/>
        <v>2026-We-Rac-142-83-229</v>
      </c>
      <c r="I511" s="42" t="str">
        <f t="shared" si="63"/>
        <v>2026</v>
      </c>
      <c r="J511" s="18">
        <v>2026</v>
      </c>
      <c r="K511" t="s">
        <v>2257</v>
      </c>
      <c r="L511" t="s">
        <v>2292</v>
      </c>
      <c r="M511">
        <v>142</v>
      </c>
      <c r="N511">
        <v>83</v>
      </c>
      <c r="O511">
        <v>229</v>
      </c>
      <c r="Q511" t="s">
        <v>260</v>
      </c>
    </row>
    <row r="512" spans="1:20" x14ac:dyDescent="0.3">
      <c r="A512" s="11" t="str">
        <f t="shared" si="56"/>
        <v>We One</v>
      </c>
      <c r="B512" s="11" t="str">
        <f t="shared" si="57"/>
        <v>Race 58</v>
      </c>
      <c r="C512" s="11">
        <f t="shared" si="58"/>
        <v>230</v>
      </c>
      <c r="D512" s="11">
        <f t="shared" si="59"/>
        <v>58</v>
      </c>
      <c r="E512" s="11">
        <f t="shared" si="60"/>
        <v>91</v>
      </c>
      <c r="F512" s="38" t="str">
        <f t="shared" si="61"/>
        <v>2026</v>
      </c>
      <c r="G512" s="11" t="str" cm="1">
        <f t="array" ref="G512">gssBoardClass(A512,B512,C512,D512,E512,F512)</f>
        <v>Speed/Slalom Xtra Small</v>
      </c>
      <c r="H512" s="39" t="str">
        <f t="shared" si="62"/>
        <v>2026-We-Rac-91-58-230</v>
      </c>
      <c r="I512" s="42" t="str">
        <f t="shared" si="63"/>
        <v>2026</v>
      </c>
      <c r="J512" s="18">
        <v>2026</v>
      </c>
      <c r="K512" t="s">
        <v>2257</v>
      </c>
      <c r="L512" t="s">
        <v>2287</v>
      </c>
      <c r="M512">
        <v>91</v>
      </c>
      <c r="N512">
        <v>58</v>
      </c>
      <c r="O512">
        <v>230</v>
      </c>
      <c r="Q512" t="s">
        <v>232</v>
      </c>
    </row>
    <row r="513" spans="1:20" x14ac:dyDescent="0.3">
      <c r="A513" s="11" t="str">
        <f t="shared" si="56"/>
        <v>We One</v>
      </c>
      <c r="B513" s="11" t="str">
        <f t="shared" si="57"/>
        <v>Race 63</v>
      </c>
      <c r="C513" s="11">
        <f t="shared" si="58"/>
        <v>230</v>
      </c>
      <c r="D513" s="11">
        <f t="shared" si="59"/>
        <v>63</v>
      </c>
      <c r="E513" s="11">
        <f t="shared" si="60"/>
        <v>99</v>
      </c>
      <c r="F513" s="38" t="str">
        <f t="shared" si="61"/>
        <v>2026</v>
      </c>
      <c r="G513" s="11" t="str" cm="1">
        <f t="array" ref="G513">gssBoardClass(A513,B513,C513,D513,E513,F513)</f>
        <v>Speed/Slalom Small</v>
      </c>
      <c r="H513" s="39" t="str">
        <f t="shared" si="62"/>
        <v>2026-We-Rac-99-63-230</v>
      </c>
      <c r="I513" s="42" t="str">
        <f t="shared" si="63"/>
        <v>2026</v>
      </c>
      <c r="J513" s="18">
        <v>2026</v>
      </c>
      <c r="K513" t="s">
        <v>2257</v>
      </c>
      <c r="L513" t="s">
        <v>2288</v>
      </c>
      <c r="M513">
        <v>99</v>
      </c>
      <c r="N513">
        <v>63</v>
      </c>
      <c r="O513">
        <v>230</v>
      </c>
      <c r="Q513" t="s">
        <v>232</v>
      </c>
    </row>
    <row r="514" spans="1:20" x14ac:dyDescent="0.3">
      <c r="A514" s="11" t="str">
        <f t="shared" ref="A514:A517" si="64">PROPER(K514)</f>
        <v>Jp</v>
      </c>
      <c r="B514" s="11" t="str">
        <f t="shared" ref="B514:B517" si="65">TRIM(PROPER(LEFT(L514,IFERROR(FIND(" ",L514),99))&amp;MID(L514,IFERROR(FIND(" ",L514),99),99)))</f>
        <v>Speed</v>
      </c>
      <c r="C514" s="11">
        <f t="shared" ref="C514:C517" si="66">TRUNC(O514)</f>
        <v>228</v>
      </c>
      <c r="D514" s="11">
        <f t="shared" ref="D514:D517" si="67">TRUNC(N514)</f>
        <v>45</v>
      </c>
      <c r="E514" s="11">
        <f t="shared" ref="E514:E517" si="68">M514</f>
        <v>53</v>
      </c>
      <c r="F514" s="38" t="str">
        <f t="shared" ref="F514:F517" si="69">I514</f>
        <v>2022</v>
      </c>
      <c r="G514" s="11" t="str" cm="1">
        <f t="array" ref="G514">gssBoardClass(A514,B514,C514,D514,E514,F514)</f>
        <v>Speedboard</v>
      </c>
      <c r="H514" s="39" t="str">
        <f t="shared" ref="H514:H517" si="70">_xlfn.CONCAT(I514,"-",LEFT(K514,2),"-",LEFT(L514,3),"-",M514,"-",TRUNC(N514),"-",TRUNC(O514))</f>
        <v>2022-JP-Spe-53-45-228</v>
      </c>
      <c r="I514" s="42" t="str">
        <f t="shared" ref="I514:I517" si="71">LEFT(J514,4)</f>
        <v>2022</v>
      </c>
      <c r="J514" s="18">
        <v>2022</v>
      </c>
      <c r="K514" t="s">
        <v>345</v>
      </c>
      <c r="L514" t="s">
        <v>2409</v>
      </c>
      <c r="M514">
        <v>53</v>
      </c>
      <c r="N514">
        <v>45</v>
      </c>
      <c r="O514">
        <v>228</v>
      </c>
      <c r="Q514" t="s">
        <v>2408</v>
      </c>
      <c r="T514">
        <v>4.5999999999999996</v>
      </c>
    </row>
    <row r="515" spans="1:20" x14ac:dyDescent="0.3">
      <c r="A515" s="11" t="str">
        <f t="shared" si="64"/>
        <v>Jp</v>
      </c>
      <c r="B515" s="11" t="str">
        <f t="shared" si="65"/>
        <v>Speed</v>
      </c>
      <c r="C515" s="11">
        <f t="shared" si="66"/>
        <v>228</v>
      </c>
      <c r="D515" s="11">
        <f t="shared" si="67"/>
        <v>50</v>
      </c>
      <c r="E515" s="11">
        <f t="shared" si="68"/>
        <v>64</v>
      </c>
      <c r="F515" s="38" t="str">
        <f t="shared" si="69"/>
        <v>2022</v>
      </c>
      <c r="G515" s="11" t="str" cm="1">
        <f t="array" ref="G515">gssBoardClass(A515,B515,C515,D515,E515,F515)</f>
        <v>Speedboard</v>
      </c>
      <c r="H515" s="39" t="str">
        <f t="shared" si="70"/>
        <v>2022-JP-Spe-64-50-228</v>
      </c>
      <c r="I515" s="42" t="str">
        <f t="shared" si="71"/>
        <v>2022</v>
      </c>
      <c r="J515" s="18">
        <v>2022</v>
      </c>
      <c r="K515" t="s">
        <v>345</v>
      </c>
      <c r="L515" t="s">
        <v>2409</v>
      </c>
      <c r="M515">
        <v>64</v>
      </c>
      <c r="N515">
        <v>50</v>
      </c>
      <c r="O515">
        <v>228</v>
      </c>
      <c r="Q515" t="s">
        <v>2408</v>
      </c>
      <c r="T515">
        <v>4.9000000000000004</v>
      </c>
    </row>
    <row r="516" spans="1:20" x14ac:dyDescent="0.3">
      <c r="A516" s="11" t="str">
        <f t="shared" si="64"/>
        <v>Jp</v>
      </c>
      <c r="B516" s="11" t="str">
        <f t="shared" si="65"/>
        <v>Speed</v>
      </c>
      <c r="C516" s="11">
        <f t="shared" si="66"/>
        <v>231</v>
      </c>
      <c r="D516" s="11">
        <f t="shared" si="67"/>
        <v>54</v>
      </c>
      <c r="E516" s="11">
        <f t="shared" si="68"/>
        <v>73</v>
      </c>
      <c r="F516" s="38" t="str">
        <f t="shared" si="69"/>
        <v>2022</v>
      </c>
      <c r="G516" s="11" t="str" cm="1">
        <f t="array" ref="G516">gssBoardClass(A516,B516,C516,D516,E516,F516)</f>
        <v>Speed/Slalom Xtra Small</v>
      </c>
      <c r="H516" s="39" t="str">
        <f t="shared" si="70"/>
        <v>2022-JP-Spe-73-54-231</v>
      </c>
      <c r="I516" s="42" t="str">
        <f t="shared" si="71"/>
        <v>2022</v>
      </c>
      <c r="J516" s="18">
        <v>2022</v>
      </c>
      <c r="K516" t="s">
        <v>345</v>
      </c>
      <c r="L516" t="s">
        <v>2409</v>
      </c>
      <c r="M516">
        <v>73</v>
      </c>
      <c r="N516">
        <v>54</v>
      </c>
      <c r="O516">
        <v>231</v>
      </c>
      <c r="P516" t="s">
        <v>2411</v>
      </c>
      <c r="Q516" t="s">
        <v>2408</v>
      </c>
      <c r="S516" t="s">
        <v>2410</v>
      </c>
      <c r="T516">
        <v>5.2</v>
      </c>
    </row>
    <row r="517" spans="1:20" x14ac:dyDescent="0.3">
      <c r="A517" s="11"/>
      <c r="B517" s="11"/>
      <c r="C517" s="11"/>
      <c r="D517" s="11"/>
      <c r="E517" s="11"/>
      <c r="F517" s="38"/>
      <c r="G517" s="11"/>
      <c r="H517" s="39"/>
      <c r="I517" s="42"/>
    </row>
  </sheetData>
  <autoFilter ref="A1:U513" xr:uid="{C43EE7DF-6394-4A61-9462-EC4D65F15DB9}">
    <sortState xmlns:xlrd2="http://schemas.microsoft.com/office/spreadsheetml/2017/richdata2" ref="A2:U513">
      <sortCondition ref="H1:H513"/>
    </sortState>
  </autoFilter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160020</xdr:colOff>
                    <xdr:row>0</xdr:row>
                    <xdr:rowOff>228600</xdr:rowOff>
                  </from>
                  <to>
                    <xdr:col>1</xdr:col>
                    <xdr:colOff>830580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975360</xdr:colOff>
                    <xdr:row>0</xdr:row>
                    <xdr:rowOff>236220</xdr:rowOff>
                  </from>
                  <to>
                    <xdr:col>1</xdr:col>
                    <xdr:colOff>2164080</xdr:colOff>
                    <xdr:row>0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C1:Z30"/>
  <sheetViews>
    <sheetView zoomScaleNormal="100" workbookViewId="0">
      <selection activeCell="I38" sqref="I38"/>
    </sheetView>
  </sheetViews>
  <sheetFormatPr defaultRowHeight="14.4" x14ac:dyDescent="0.3"/>
  <cols>
    <col min="3" max="3" width="23.109375" bestFit="1" customWidth="1"/>
    <col min="4" max="4" width="25.88671875" customWidth="1"/>
    <col min="5" max="5" width="23.109375" bestFit="1" customWidth="1"/>
    <col min="6" max="6" width="36" bestFit="1" customWidth="1"/>
    <col min="7" max="7" width="18.5546875" bestFit="1" customWidth="1"/>
    <col min="8" max="8" width="9.33203125" customWidth="1"/>
    <col min="9" max="9" width="18.33203125" bestFit="1" customWidth="1"/>
    <col min="10" max="10" width="48" bestFit="1" customWidth="1"/>
    <col min="12" max="12" width="19" bestFit="1" customWidth="1"/>
    <col min="13" max="14" width="23.109375" bestFit="1" customWidth="1"/>
    <col min="15" max="15" width="16.109375" bestFit="1" customWidth="1"/>
    <col min="20" max="20" width="8.109375" bestFit="1" customWidth="1"/>
    <col min="21" max="21" width="11" bestFit="1" customWidth="1"/>
    <col min="22" max="22" width="7" bestFit="1" customWidth="1"/>
    <col min="25" max="25" width="15" bestFit="1" customWidth="1"/>
    <col min="26" max="26" width="19" bestFit="1" customWidth="1"/>
  </cols>
  <sheetData>
    <row r="1" spans="3:26" x14ac:dyDescent="0.3">
      <c r="M1" s="36" t="s">
        <v>7</v>
      </c>
      <c r="N1" s="36" t="s">
        <v>7</v>
      </c>
      <c r="O1" s="36" t="s">
        <v>7</v>
      </c>
    </row>
    <row r="2" spans="3:26" x14ac:dyDescent="0.3">
      <c r="N2" t="s">
        <v>2253</v>
      </c>
    </row>
    <row r="3" spans="3:26" x14ac:dyDescent="0.3">
      <c r="C3" t="s">
        <v>2383</v>
      </c>
      <c r="T3" t="s">
        <v>3</v>
      </c>
      <c r="U3" t="s">
        <v>4</v>
      </c>
      <c r="V3" t="s">
        <v>355</v>
      </c>
      <c r="W3" t="s">
        <v>356</v>
      </c>
      <c r="X3" t="s">
        <v>6</v>
      </c>
      <c r="Y3" t="s">
        <v>0</v>
      </c>
      <c r="Z3" t="s">
        <v>7</v>
      </c>
    </row>
    <row r="4" spans="3:26" x14ac:dyDescent="0.3">
      <c r="C4" s="47" t="s">
        <v>7</v>
      </c>
      <c r="D4" s="47" t="s">
        <v>2365</v>
      </c>
      <c r="E4" s="47"/>
      <c r="F4" s="47" t="s">
        <v>2390</v>
      </c>
      <c r="G4" s="47" t="s">
        <v>2391</v>
      </c>
      <c r="H4" s="47"/>
      <c r="I4" s="47" t="s">
        <v>7</v>
      </c>
      <c r="J4" s="47" t="s">
        <v>2365</v>
      </c>
      <c r="L4" t="s">
        <v>38</v>
      </c>
      <c r="T4" t="s">
        <v>2257</v>
      </c>
      <c r="U4" t="s">
        <v>2258</v>
      </c>
      <c r="V4">
        <v>230</v>
      </c>
      <c r="W4">
        <v>58</v>
      </c>
      <c r="X4">
        <v>91</v>
      </c>
      <c r="Y4">
        <v>2026</v>
      </c>
      <c r="Z4" t="s">
        <v>38</v>
      </c>
    </row>
    <row r="5" spans="3:26" x14ac:dyDescent="0.3">
      <c r="C5" t="s">
        <v>48</v>
      </c>
      <c r="E5">
        <v>1</v>
      </c>
      <c r="F5" t="s">
        <v>2384</v>
      </c>
      <c r="G5" t="s">
        <v>2366</v>
      </c>
      <c r="I5" t="s">
        <v>2366</v>
      </c>
      <c r="J5" t="s">
        <v>2370</v>
      </c>
      <c r="L5" t="s">
        <v>11</v>
      </c>
      <c r="T5" t="s">
        <v>2257</v>
      </c>
      <c r="U5" t="s">
        <v>2259</v>
      </c>
      <c r="V5">
        <v>229</v>
      </c>
      <c r="W5">
        <v>68</v>
      </c>
      <c r="X5">
        <v>113</v>
      </c>
      <c r="Y5">
        <v>2026</v>
      </c>
      <c r="Z5" t="s">
        <v>11</v>
      </c>
    </row>
    <row r="6" spans="3:26" x14ac:dyDescent="0.3">
      <c r="C6" t="s">
        <v>2254</v>
      </c>
      <c r="E6">
        <v>2</v>
      </c>
      <c r="F6" t="s">
        <v>2388</v>
      </c>
      <c r="G6" t="s">
        <v>2392</v>
      </c>
      <c r="I6" t="s">
        <v>2371</v>
      </c>
      <c r="J6" t="s">
        <v>2372</v>
      </c>
      <c r="L6" t="s">
        <v>21</v>
      </c>
      <c r="T6" t="s">
        <v>2257</v>
      </c>
      <c r="U6" t="s">
        <v>2260</v>
      </c>
      <c r="V6">
        <v>229</v>
      </c>
      <c r="W6">
        <v>78</v>
      </c>
      <c r="X6">
        <v>135</v>
      </c>
      <c r="Y6">
        <v>2026</v>
      </c>
      <c r="Z6" t="s">
        <v>21</v>
      </c>
    </row>
    <row r="7" spans="3:26" x14ac:dyDescent="0.3">
      <c r="C7" t="s">
        <v>38</v>
      </c>
      <c r="E7">
        <v>3</v>
      </c>
      <c r="F7" t="s">
        <v>2385</v>
      </c>
      <c r="G7" t="s">
        <v>117</v>
      </c>
      <c r="I7" t="s">
        <v>2373</v>
      </c>
      <c r="J7" t="s">
        <v>2374</v>
      </c>
      <c r="T7" t="s">
        <v>2257</v>
      </c>
      <c r="U7" t="s">
        <v>2261</v>
      </c>
      <c r="V7">
        <v>229</v>
      </c>
      <c r="W7">
        <v>83</v>
      </c>
      <c r="X7">
        <v>142</v>
      </c>
      <c r="Y7">
        <v>2026</v>
      </c>
      <c r="Z7" t="s">
        <v>21</v>
      </c>
    </row>
    <row r="8" spans="3:26" x14ac:dyDescent="0.3">
      <c r="C8" t="s">
        <v>11</v>
      </c>
      <c r="E8">
        <v>4</v>
      </c>
      <c r="F8" t="s">
        <v>2386</v>
      </c>
      <c r="I8" t="s">
        <v>117</v>
      </c>
      <c r="J8" t="s">
        <v>2375</v>
      </c>
    </row>
    <row r="9" spans="3:26" x14ac:dyDescent="0.3">
      <c r="C9" t="s">
        <v>21</v>
      </c>
      <c r="E9">
        <v>5</v>
      </c>
      <c r="F9" t="s">
        <v>2387</v>
      </c>
      <c r="I9" t="s">
        <v>2376</v>
      </c>
      <c r="J9" t="s">
        <v>2377</v>
      </c>
    </row>
    <row r="10" spans="3:26" x14ac:dyDescent="0.3">
      <c r="C10" t="s">
        <v>43</v>
      </c>
      <c r="E10">
        <v>6</v>
      </c>
      <c r="F10" t="s">
        <v>2381</v>
      </c>
      <c r="I10" t="s">
        <v>2378</v>
      </c>
      <c r="J10" t="s">
        <v>2379</v>
      </c>
    </row>
    <row r="11" spans="3:26" x14ac:dyDescent="0.3">
      <c r="C11" t="s">
        <v>2255</v>
      </c>
      <c r="E11">
        <v>7</v>
      </c>
      <c r="F11" t="s">
        <v>2389</v>
      </c>
      <c r="I11" t="s">
        <v>2368</v>
      </c>
      <c r="J11" t="s">
        <v>2380</v>
      </c>
    </row>
    <row r="12" spans="3:26" x14ac:dyDescent="0.3">
      <c r="C12" t="s">
        <v>2256</v>
      </c>
      <c r="I12" t="s">
        <v>2381</v>
      </c>
      <c r="J12" t="s">
        <v>2382</v>
      </c>
    </row>
    <row r="13" spans="3:26" x14ac:dyDescent="0.3">
      <c r="C13" t="s">
        <v>75</v>
      </c>
    </row>
    <row r="15" spans="3:26" x14ac:dyDescent="0.3">
      <c r="C15" t="s">
        <v>2367</v>
      </c>
    </row>
    <row r="16" spans="3:26" x14ac:dyDescent="0.3">
      <c r="C16" t="s">
        <v>2368</v>
      </c>
    </row>
    <row r="17" spans="3:11" x14ac:dyDescent="0.3">
      <c r="C17" t="s">
        <v>2369</v>
      </c>
    </row>
    <row r="18" spans="3:11" x14ac:dyDescent="0.3">
      <c r="C18" t="s">
        <v>2253</v>
      </c>
    </row>
    <row r="23" spans="3:11" x14ac:dyDescent="0.3">
      <c r="C23" s="48" t="s">
        <v>2393</v>
      </c>
      <c r="D23" s="48" t="s">
        <v>4</v>
      </c>
      <c r="E23" s="48" t="s">
        <v>2394</v>
      </c>
      <c r="F23" s="48" t="s">
        <v>2365</v>
      </c>
      <c r="G23" s="48" t="s">
        <v>2395</v>
      </c>
      <c r="H23" s="48" t="s">
        <v>2396</v>
      </c>
      <c r="I23" s="48" t="s">
        <v>2397</v>
      </c>
      <c r="J23" s="48" t="s">
        <v>2398</v>
      </c>
      <c r="K23" s="48" t="s">
        <v>2399</v>
      </c>
    </row>
    <row r="24" spans="3:11" x14ac:dyDescent="0.3">
      <c r="C24" s="48">
        <v>1</v>
      </c>
      <c r="D24" s="48" t="s">
        <v>2400</v>
      </c>
      <c r="E24" s="48" t="s">
        <v>2381</v>
      </c>
      <c r="F24" s="48" t="s">
        <v>2401</v>
      </c>
      <c r="G24" s="48">
        <v>95</v>
      </c>
      <c r="H24" s="48">
        <v>120</v>
      </c>
      <c r="I24" s="48" t="s">
        <v>2402</v>
      </c>
      <c r="J24" s="48">
        <v>1</v>
      </c>
      <c r="K24" s="48">
        <v>0</v>
      </c>
    </row>
    <row r="25" spans="3:11" x14ac:dyDescent="0.3">
      <c r="C25" s="48">
        <v>2</v>
      </c>
      <c r="D25" s="48" t="s">
        <v>2400</v>
      </c>
      <c r="E25" s="48" t="s">
        <v>48</v>
      </c>
      <c r="F25" s="48" t="s">
        <v>2401</v>
      </c>
      <c r="G25" s="48">
        <v>1</v>
      </c>
      <c r="H25" s="48">
        <v>39</v>
      </c>
      <c r="I25" s="48" t="s">
        <v>2402</v>
      </c>
      <c r="J25" s="48">
        <v>1</v>
      </c>
      <c r="K25" s="48">
        <v>0</v>
      </c>
    </row>
    <row r="26" spans="3:11" x14ac:dyDescent="0.3">
      <c r="C26" s="48">
        <v>3</v>
      </c>
      <c r="D26" s="48" t="s">
        <v>2400</v>
      </c>
      <c r="E26" s="48" t="s">
        <v>2254</v>
      </c>
      <c r="F26" s="48" t="s">
        <v>2401</v>
      </c>
      <c r="G26" s="48">
        <v>40</v>
      </c>
      <c r="H26" s="48">
        <v>49</v>
      </c>
      <c r="I26" s="48" t="s">
        <v>2402</v>
      </c>
      <c r="J26" s="48">
        <v>1</v>
      </c>
      <c r="K26" s="48">
        <v>0</v>
      </c>
    </row>
    <row r="27" spans="3:11" x14ac:dyDescent="0.3">
      <c r="C27" s="48">
        <v>4</v>
      </c>
      <c r="D27" s="48" t="s">
        <v>2400</v>
      </c>
      <c r="E27" s="48" t="s">
        <v>38</v>
      </c>
      <c r="F27" s="48" t="s">
        <v>2401</v>
      </c>
      <c r="G27" s="48">
        <v>50</v>
      </c>
      <c r="H27" s="48">
        <v>59</v>
      </c>
      <c r="I27" s="48" t="s">
        <v>2402</v>
      </c>
      <c r="J27" s="48">
        <v>1</v>
      </c>
      <c r="K27" s="48">
        <v>0</v>
      </c>
    </row>
    <row r="28" spans="3:11" x14ac:dyDescent="0.3">
      <c r="C28" s="48">
        <v>5</v>
      </c>
      <c r="D28" s="48" t="s">
        <v>2400</v>
      </c>
      <c r="E28" s="48" t="s">
        <v>11</v>
      </c>
      <c r="F28" s="48" t="s">
        <v>2401</v>
      </c>
      <c r="G28" s="48">
        <v>60</v>
      </c>
      <c r="H28" s="48">
        <v>69</v>
      </c>
      <c r="I28" s="48" t="s">
        <v>2402</v>
      </c>
      <c r="J28" s="48">
        <v>1</v>
      </c>
      <c r="K28" s="48">
        <v>0</v>
      </c>
    </row>
    <row r="29" spans="3:11" x14ac:dyDescent="0.3">
      <c r="C29" s="48">
        <v>6</v>
      </c>
      <c r="D29" s="48" t="s">
        <v>2400</v>
      </c>
      <c r="E29" s="48" t="s">
        <v>21</v>
      </c>
      <c r="F29" s="48" t="s">
        <v>2401</v>
      </c>
      <c r="G29" s="48">
        <v>70</v>
      </c>
      <c r="H29" s="48">
        <v>79</v>
      </c>
      <c r="I29" s="48" t="s">
        <v>2402</v>
      </c>
      <c r="J29" s="48">
        <v>1</v>
      </c>
      <c r="K29" s="48">
        <v>0</v>
      </c>
    </row>
    <row r="30" spans="3:11" x14ac:dyDescent="0.3">
      <c r="C30" s="48">
        <v>7</v>
      </c>
      <c r="D30" s="48" t="s">
        <v>2400</v>
      </c>
      <c r="E30" s="48" t="s">
        <v>43</v>
      </c>
      <c r="F30" s="48" t="s">
        <v>2401</v>
      </c>
      <c r="G30" s="48">
        <v>80</v>
      </c>
      <c r="H30" s="48">
        <v>94</v>
      </c>
      <c r="I30" s="48" t="s">
        <v>2402</v>
      </c>
      <c r="J30" s="48">
        <v>1</v>
      </c>
      <c r="K30" s="48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5"/>
  <sheetViews>
    <sheetView workbookViewId="0">
      <selection activeCell="X29" sqref="X29"/>
    </sheetView>
  </sheetViews>
  <sheetFormatPr defaultRowHeight="14.4" x14ac:dyDescent="0.3"/>
  <cols>
    <col min="2" max="2" width="11.33203125" bestFit="1" customWidth="1"/>
    <col min="3" max="3" width="11" bestFit="1" customWidth="1"/>
    <col min="6" max="7" width="11.88671875" customWidth="1"/>
    <col min="8" max="8" width="19" bestFit="1" customWidth="1"/>
  </cols>
  <sheetData>
    <row r="1" spans="2:13" ht="15.6" x14ac:dyDescent="0.3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3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3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3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3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3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3">
      <c r="C10" t="s">
        <v>2034</v>
      </c>
      <c r="D10">
        <v>230</v>
      </c>
      <c r="E10">
        <v>58</v>
      </c>
      <c r="F10">
        <v>91</v>
      </c>
    </row>
    <row r="11" spans="2:13" x14ac:dyDescent="0.3">
      <c r="C11" t="s">
        <v>2022</v>
      </c>
      <c r="D11">
        <v>230</v>
      </c>
      <c r="E11">
        <v>63</v>
      </c>
      <c r="F11">
        <v>99</v>
      </c>
    </row>
    <row r="12" spans="2:13" x14ac:dyDescent="0.3">
      <c r="C12" t="s">
        <v>2036</v>
      </c>
      <c r="D12">
        <v>229</v>
      </c>
      <c r="E12">
        <v>68</v>
      </c>
      <c r="F12">
        <v>113</v>
      </c>
    </row>
    <row r="13" spans="2:13" x14ac:dyDescent="0.3">
      <c r="C13" t="s">
        <v>2037</v>
      </c>
      <c r="D13">
        <v>229</v>
      </c>
      <c r="E13">
        <v>73</v>
      </c>
      <c r="F13">
        <v>120</v>
      </c>
    </row>
    <row r="14" spans="2:13" x14ac:dyDescent="0.3">
      <c r="C14" t="s">
        <v>2032</v>
      </c>
      <c r="D14">
        <v>229</v>
      </c>
      <c r="E14">
        <v>78</v>
      </c>
      <c r="F14">
        <v>135</v>
      </c>
    </row>
    <row r="15" spans="2:13" x14ac:dyDescent="0.3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144780</xdr:rowOff>
                  </from>
                  <to>
                    <xdr:col>3</xdr:col>
                    <xdr:colOff>1417320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992C2-14E7-43D1-B496-83F11A57B365}">
  <sheetPr codeName="Sheet8"/>
  <dimension ref="B4:L21"/>
  <sheetViews>
    <sheetView workbookViewId="0">
      <selection activeCell="B19" sqref="B19:L21"/>
    </sheetView>
  </sheetViews>
  <sheetFormatPr defaultRowHeight="14.4" x14ac:dyDescent="0.3"/>
  <cols>
    <col min="2" max="2" width="5" bestFit="1" customWidth="1"/>
    <col min="7" max="7" width="7" bestFit="1" customWidth="1"/>
    <col min="8" max="8" width="13.5546875" bestFit="1" customWidth="1"/>
    <col min="9" max="9" width="11.44140625" bestFit="1" customWidth="1"/>
    <col min="10" max="10" width="12.6640625" bestFit="1" customWidth="1"/>
    <col min="11" max="11" width="28.44140625" bestFit="1" customWidth="1"/>
  </cols>
  <sheetData>
    <row r="4" spans="2:12" x14ac:dyDescent="0.3">
      <c r="B4" t="s">
        <v>0</v>
      </c>
      <c r="C4" t="s">
        <v>3</v>
      </c>
      <c r="D4" t="s">
        <v>2334</v>
      </c>
      <c r="E4" t="s">
        <v>6</v>
      </c>
      <c r="F4" t="s">
        <v>356</v>
      </c>
      <c r="G4" t="s">
        <v>355</v>
      </c>
      <c r="H4" t="s">
        <v>2263</v>
      </c>
      <c r="I4" t="s">
        <v>2274</v>
      </c>
      <c r="J4" t="s">
        <v>2275</v>
      </c>
      <c r="K4" t="s">
        <v>2336</v>
      </c>
      <c r="L4" t="s">
        <v>2040</v>
      </c>
    </row>
    <row r="5" spans="2:12" x14ac:dyDescent="0.3">
      <c r="B5">
        <v>2024</v>
      </c>
      <c r="C5" t="s">
        <v>2305</v>
      </c>
      <c r="D5" t="s">
        <v>1905</v>
      </c>
      <c r="E5">
        <v>87</v>
      </c>
      <c r="F5">
        <v>60</v>
      </c>
      <c r="G5">
        <v>225</v>
      </c>
      <c r="H5" t="s">
        <v>2346</v>
      </c>
      <c r="I5" t="s">
        <v>2338</v>
      </c>
      <c r="J5" t="s">
        <v>2337</v>
      </c>
      <c r="K5" t="s">
        <v>2340</v>
      </c>
      <c r="L5">
        <v>5.57</v>
      </c>
    </row>
    <row r="6" spans="2:12" x14ac:dyDescent="0.3">
      <c r="B6">
        <v>2024</v>
      </c>
      <c r="C6" t="s">
        <v>2305</v>
      </c>
      <c r="D6" t="s">
        <v>1906</v>
      </c>
      <c r="E6">
        <v>98</v>
      </c>
      <c r="F6">
        <v>63</v>
      </c>
      <c r="G6">
        <v>226</v>
      </c>
      <c r="H6" t="s">
        <v>2346</v>
      </c>
      <c r="I6" t="s">
        <v>2338</v>
      </c>
      <c r="J6" t="s">
        <v>2337</v>
      </c>
      <c r="K6" t="s">
        <v>2341</v>
      </c>
      <c r="L6">
        <v>5.97</v>
      </c>
    </row>
    <row r="7" spans="2:12" x14ac:dyDescent="0.3">
      <c r="B7">
        <v>2024</v>
      </c>
      <c r="C7" t="s">
        <v>2305</v>
      </c>
      <c r="D7" t="s">
        <v>1907</v>
      </c>
      <c r="E7">
        <v>110</v>
      </c>
      <c r="F7">
        <v>67</v>
      </c>
      <c r="G7">
        <v>228</v>
      </c>
      <c r="H7" t="s">
        <v>2346</v>
      </c>
      <c r="I7" t="s">
        <v>2338</v>
      </c>
      <c r="J7" t="s">
        <v>2337</v>
      </c>
      <c r="K7" t="s">
        <v>2342</v>
      </c>
      <c r="L7">
        <v>6.21</v>
      </c>
    </row>
    <row r="8" spans="2:12" x14ac:dyDescent="0.3">
      <c r="B8">
        <v>2024</v>
      </c>
      <c r="C8" t="s">
        <v>2305</v>
      </c>
      <c r="D8" t="s">
        <v>1908</v>
      </c>
      <c r="E8">
        <v>123</v>
      </c>
      <c r="F8">
        <v>73</v>
      </c>
      <c r="G8">
        <v>228</v>
      </c>
      <c r="H8" t="s">
        <v>2346</v>
      </c>
      <c r="I8" t="s">
        <v>2339</v>
      </c>
      <c r="J8" t="s">
        <v>2337</v>
      </c>
      <c r="K8" t="s">
        <v>2343</v>
      </c>
      <c r="L8">
        <v>6.52</v>
      </c>
    </row>
    <row r="9" spans="2:12" x14ac:dyDescent="0.3">
      <c r="B9">
        <v>2024</v>
      </c>
      <c r="C9" t="s">
        <v>2305</v>
      </c>
      <c r="D9" t="s">
        <v>1909</v>
      </c>
      <c r="E9">
        <v>129</v>
      </c>
      <c r="F9">
        <v>77</v>
      </c>
      <c r="G9">
        <v>228</v>
      </c>
      <c r="H9" t="s">
        <v>2346</v>
      </c>
      <c r="I9" t="s">
        <v>2339</v>
      </c>
      <c r="J9" t="s">
        <v>2337</v>
      </c>
      <c r="K9" t="s">
        <v>2344</v>
      </c>
      <c r="L9">
        <v>6.81</v>
      </c>
    </row>
    <row r="10" spans="2:12" x14ac:dyDescent="0.3">
      <c r="B10">
        <v>2024</v>
      </c>
      <c r="C10" t="s">
        <v>2305</v>
      </c>
      <c r="D10" t="s">
        <v>1911</v>
      </c>
      <c r="E10">
        <v>140</v>
      </c>
      <c r="F10">
        <v>85</v>
      </c>
      <c r="G10">
        <v>228</v>
      </c>
      <c r="H10" t="s">
        <v>2346</v>
      </c>
      <c r="I10" t="s">
        <v>2322</v>
      </c>
      <c r="J10" t="s">
        <v>2337</v>
      </c>
      <c r="K10" t="s">
        <v>2345</v>
      </c>
      <c r="L10">
        <v>7.2</v>
      </c>
    </row>
    <row r="18" spans="2:12" x14ac:dyDescent="0.3">
      <c r="E18" t="s">
        <v>2403</v>
      </c>
      <c r="F18" t="s">
        <v>2405</v>
      </c>
      <c r="G18" t="s">
        <v>2404</v>
      </c>
      <c r="I18" t="s">
        <v>2407</v>
      </c>
      <c r="L18" t="s">
        <v>2406</v>
      </c>
    </row>
    <row r="19" spans="2:12" x14ac:dyDescent="0.3">
      <c r="B19">
        <v>2022</v>
      </c>
      <c r="C19" t="s">
        <v>345</v>
      </c>
      <c r="D19" t="s">
        <v>2409</v>
      </c>
      <c r="E19">
        <v>53</v>
      </c>
      <c r="F19">
        <v>45</v>
      </c>
      <c r="G19">
        <v>228</v>
      </c>
      <c r="I19" t="s">
        <v>2408</v>
      </c>
      <c r="L19">
        <v>4.5999999999999996</v>
      </c>
    </row>
    <row r="20" spans="2:12" x14ac:dyDescent="0.3">
      <c r="B20">
        <v>2022</v>
      </c>
      <c r="C20" t="s">
        <v>345</v>
      </c>
      <c r="D20" t="s">
        <v>2409</v>
      </c>
      <c r="E20">
        <v>64</v>
      </c>
      <c r="F20">
        <v>50</v>
      </c>
      <c r="G20">
        <v>228</v>
      </c>
      <c r="I20" t="s">
        <v>2408</v>
      </c>
      <c r="L20">
        <v>4.9000000000000004</v>
      </c>
    </row>
    <row r="21" spans="2:12" x14ac:dyDescent="0.3">
      <c r="B21">
        <v>2022</v>
      </c>
      <c r="C21" t="s">
        <v>345</v>
      </c>
      <c r="E21">
        <v>73</v>
      </c>
      <c r="F21">
        <v>54</v>
      </c>
      <c r="G21">
        <v>231</v>
      </c>
      <c r="I21" t="s">
        <v>2408</v>
      </c>
      <c r="L21">
        <v>5.2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E1441" sqref="E1441"/>
    </sheetView>
  </sheetViews>
  <sheetFormatPr defaultRowHeight="14.4" outlineLevelCol="1" x14ac:dyDescent="0.3"/>
  <cols>
    <col min="1" max="1" width="26.6640625" bestFit="1" customWidth="1"/>
    <col min="2" max="2" width="7.33203125" bestFit="1" customWidth="1"/>
    <col min="3" max="3" width="16.109375" bestFit="1" customWidth="1"/>
    <col min="4" max="4" width="17.6640625" customWidth="1"/>
    <col min="5" max="5" width="25.33203125" bestFit="1" customWidth="1"/>
    <col min="6" max="6" width="11.33203125" bestFit="1" customWidth="1"/>
    <col min="7" max="7" width="14.5546875" bestFit="1" customWidth="1"/>
    <col min="8" max="8" width="11.33203125" customWidth="1"/>
    <col min="9" max="9" width="13.6640625" customWidth="1" outlineLevel="1"/>
    <col min="10" max="10" width="21.6640625" customWidth="1" outlineLevel="1"/>
    <col min="11" max="11" width="19.33203125" style="18" customWidth="1" outlineLevel="1"/>
    <col min="12" max="12" width="13.33203125" bestFit="1" customWidth="1"/>
  </cols>
  <sheetData>
    <row r="1" spans="1:12" ht="29.25" customHeight="1" x14ac:dyDescent="0.3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3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3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3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3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3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3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3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3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3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3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3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3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3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3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3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3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3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3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3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3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3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3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3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3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3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3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3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3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3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3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3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3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3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3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3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3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3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3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3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3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3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3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3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3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3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3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3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3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3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3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3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3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3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3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3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3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3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3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3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3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3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3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3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3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3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3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3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3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3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3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3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3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3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3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3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3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3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3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3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3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3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3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3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3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3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3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3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3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3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3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3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3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3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3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3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3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3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3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3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3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3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3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3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3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3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3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3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3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3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3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3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3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3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3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3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3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3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3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3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3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3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3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3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3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3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3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3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3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3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3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3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3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3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3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3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3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3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3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3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3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3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3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3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3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3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3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3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3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3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3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3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3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3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3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3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3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3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3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3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3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3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3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3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3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3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3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3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3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3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3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3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3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3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3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3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3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3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3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3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3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3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3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3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3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3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3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3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3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3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3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3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3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3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3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3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3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3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3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3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3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3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3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3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3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3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3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3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3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3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3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3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3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3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3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3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3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3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3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3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3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3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3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3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3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3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3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3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3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3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3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3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3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3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3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3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3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3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3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3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3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3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3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3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3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3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3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3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3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3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3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3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3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3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3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3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3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3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3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3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3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3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3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3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3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3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3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3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3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3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3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3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3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3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3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3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3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3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3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3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3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3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3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3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3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3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3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3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3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3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3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3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3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3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3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3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3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3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3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3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3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3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3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3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3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3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3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3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3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3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3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3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3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3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3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3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3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3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3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3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3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3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3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3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3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3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3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3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3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3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3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3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3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3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3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3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3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3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3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3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3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3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3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3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3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3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3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3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3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3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3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3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3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3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3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3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3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3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3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3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3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3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3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3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3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3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3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3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3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3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3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3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3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3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3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3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3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3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3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3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3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3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3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3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3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3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3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3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3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3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3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3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3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3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3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3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3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3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3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3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3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3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3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3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3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3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3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3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3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3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3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3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3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3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3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3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3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3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3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3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3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3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3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3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3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3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3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3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3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3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3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3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3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3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3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3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3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3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3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3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3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3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3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3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3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3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3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3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3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3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3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3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3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3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3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3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3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3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3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3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3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3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3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3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3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3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3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3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3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3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3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3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3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3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3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3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3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3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3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3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3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3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3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3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3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3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3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3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3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3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3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3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3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3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3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3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3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3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3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3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3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3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3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3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3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3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3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3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3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3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3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3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3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3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3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3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3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3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3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3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3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3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3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3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3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3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3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3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3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3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3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3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3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3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3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3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3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3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3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3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3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3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3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3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3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3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3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3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3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3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3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3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3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3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3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3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3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3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3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3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3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3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3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3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3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3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3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3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3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3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3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3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3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3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3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3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3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3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3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3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3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3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3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3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3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3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3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3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3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3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3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3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3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3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3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3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3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3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3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3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3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3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3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3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3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3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3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3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3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3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3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3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3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3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3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3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3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3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3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3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3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3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3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3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3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3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3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3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3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3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3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3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3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3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3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3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3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3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3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3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3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3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3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3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3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3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3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3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3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3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3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3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3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3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3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3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3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3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3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3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3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3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3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3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3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3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3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3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3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3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3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3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3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3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3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3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3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3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3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3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3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3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3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3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3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3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3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3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3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3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3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3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3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3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3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3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3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3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3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3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3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3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3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3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3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3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3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3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3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3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3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3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3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3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3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3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3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3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3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3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3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3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3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3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3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3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3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3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3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3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3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3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3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3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3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3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3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3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3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3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3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3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3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3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3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3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3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3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3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3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3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3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3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3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3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3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3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3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3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3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3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3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3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3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3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3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3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3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3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3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3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3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3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3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3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3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3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3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3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3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3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3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3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3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3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3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3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3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3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3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3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3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3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3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3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3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3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3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3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3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3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3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3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3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3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3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3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3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3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3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3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3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3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3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3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3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3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3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3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3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3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3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3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3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3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3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3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3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3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3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3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3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3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3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3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3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3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3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3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3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3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3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3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3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3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3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3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3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3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3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3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3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3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3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3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3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3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3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3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3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3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3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3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3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3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3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3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3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3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3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3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3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3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3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3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3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3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3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3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3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3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3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3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3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3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3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3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3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3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3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3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3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3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3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3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3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3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3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3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3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3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3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3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3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3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3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3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3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3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3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3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3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3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3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3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3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3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3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3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3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3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3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3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3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3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3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3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3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3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3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3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3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3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3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3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3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3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3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3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3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3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3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3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3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3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3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3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3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3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3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3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3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3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3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3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3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3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3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3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3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3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3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3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3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3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3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3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3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3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3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3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3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3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3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3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3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3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3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3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3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3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3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3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3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3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3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3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3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3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3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3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3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3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3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3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3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3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3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3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3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3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3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3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3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3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3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3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3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3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3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3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3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3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3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3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3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3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3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3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3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3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3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3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3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3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3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3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3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3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3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3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3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3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3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3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3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3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3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3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3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3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3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3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3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3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3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3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3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3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3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3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3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3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3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3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3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3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3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3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3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3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3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3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3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3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3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3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3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3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3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3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3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3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3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3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3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3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3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3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3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3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3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3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3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3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3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3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3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3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3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3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3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3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3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3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3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3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3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3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3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3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3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3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3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3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3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3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3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3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3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3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3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3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3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3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3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3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3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3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3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3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3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3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3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3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3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3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3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3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3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3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3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3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3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3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3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3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3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3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3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3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3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3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3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3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3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3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3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3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3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3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3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3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3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3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3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3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3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3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3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3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3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3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3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3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3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3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3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3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3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3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3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3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3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3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3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3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3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3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3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3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3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3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3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3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3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3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3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3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3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3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3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3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3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3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3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3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3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3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3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3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3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3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3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3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3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3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3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3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3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3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3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3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3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3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3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3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3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3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3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3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3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3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3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3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3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3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3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3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3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3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3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3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3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3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3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3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3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3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3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3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3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3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3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3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3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3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3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3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3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3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3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3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3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3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3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3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3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3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3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3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3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3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3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3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3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3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3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3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3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3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3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3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3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3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3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3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3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3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3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3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3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3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3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3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3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3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3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3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3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3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3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3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3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3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3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3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3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3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3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3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3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3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3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3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3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3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3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3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3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3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3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3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3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3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3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3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3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3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3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3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3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3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3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3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3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3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3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3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3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3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3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3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3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3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3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3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3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3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3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3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3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3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3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3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3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3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3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3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3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3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3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3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3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3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3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3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3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3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3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3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3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3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3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3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3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3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3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3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3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3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3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3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3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3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3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3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3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3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3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3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3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3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3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3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3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3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3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3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3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3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3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3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3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3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3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3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3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3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3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3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3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3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3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3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3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3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3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3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3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3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3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3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3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3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3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3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3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3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3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3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3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3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3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3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3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3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3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3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3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3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3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3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3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3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3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3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3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3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3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3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3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3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3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3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3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3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3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3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3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3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3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3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3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3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3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3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3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3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3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3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3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3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3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3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3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3">
      <c r="K1467"/>
    </row>
    <row r="1468" spans="1:12" x14ac:dyDescent="0.3">
      <c r="K1468"/>
    </row>
    <row r="1469" spans="1:12" x14ac:dyDescent="0.3">
      <c r="K1469"/>
    </row>
    <row r="1470" spans="1:12" x14ac:dyDescent="0.3">
      <c r="K1470"/>
    </row>
    <row r="1471" spans="1:12" x14ac:dyDescent="0.3">
      <c r="K1471"/>
    </row>
    <row r="1472" spans="1:12" x14ac:dyDescent="0.3">
      <c r="K1472"/>
    </row>
    <row r="1473" spans="11:11" x14ac:dyDescent="0.3">
      <c r="K1473"/>
    </row>
    <row r="1474" spans="11:11" x14ac:dyDescent="0.3">
      <c r="K1474"/>
    </row>
    <row r="1475" spans="11:11" x14ac:dyDescent="0.3">
      <c r="K1475"/>
    </row>
    <row r="1476" spans="11:11" x14ac:dyDescent="0.3">
      <c r="K1476"/>
    </row>
    <row r="1477" spans="11:11" x14ac:dyDescent="0.3">
      <c r="K1477"/>
    </row>
    <row r="1478" spans="11:11" x14ac:dyDescent="0.3">
      <c r="K1478"/>
    </row>
    <row r="1479" spans="11:11" x14ac:dyDescent="0.3">
      <c r="K1479"/>
    </row>
    <row r="1480" spans="11:11" x14ac:dyDescent="0.3">
      <c r="K1480"/>
    </row>
    <row r="1481" spans="11:11" x14ac:dyDescent="0.3">
      <c r="K1481"/>
    </row>
    <row r="1482" spans="11:11" x14ac:dyDescent="0.3">
      <c r="K1482"/>
    </row>
    <row r="1483" spans="11:11" x14ac:dyDescent="0.3">
      <c r="K1483"/>
    </row>
    <row r="1484" spans="11:11" x14ac:dyDescent="0.3">
      <c r="K1484"/>
    </row>
    <row r="1485" spans="11:11" x14ac:dyDescent="0.3">
      <c r="K1485"/>
    </row>
    <row r="1486" spans="11:11" x14ac:dyDescent="0.3">
      <c r="K1486"/>
    </row>
    <row r="1487" spans="11:11" x14ac:dyDescent="0.3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H61" sqref="H61"/>
    </sheetView>
  </sheetViews>
  <sheetFormatPr defaultRowHeight="14.4" outlineLevelCol="1" x14ac:dyDescent="0.3"/>
  <cols>
    <col min="2" max="2" width="16.44140625" customWidth="1"/>
    <col min="3" max="3" width="26.33203125" bestFit="1" customWidth="1"/>
    <col min="4" max="4" width="12" bestFit="1" customWidth="1"/>
    <col min="5" max="5" width="10.33203125" bestFit="1" customWidth="1"/>
    <col min="6" max="6" width="7.33203125" bestFit="1" customWidth="1"/>
    <col min="7" max="7" width="19" bestFit="1" customWidth="1"/>
    <col min="8" max="8" width="38.33203125" bestFit="1" customWidth="1"/>
    <col min="9" max="9" width="18.44140625" bestFit="1" customWidth="1"/>
    <col min="10" max="10" width="6.33203125" customWidth="1"/>
    <col min="11" max="11" width="33" customWidth="1"/>
    <col min="12" max="14" width="9.109375" customWidth="1" outlineLevel="1"/>
    <col min="15" max="15" width="4.6640625" customWidth="1"/>
    <col min="17" max="17" width="24.109375" style="9" bestFit="1" customWidth="1"/>
  </cols>
  <sheetData>
    <row r="1" spans="1:17" ht="43.5" customHeight="1" x14ac:dyDescent="0.3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3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233</v>
      </c>
      <c r="Q2" s="12" t="str">
        <f>_xlfn.XLOOKUP(K2,'Boards Catalogue'!H:H,'Boards Catalogue'!H:H,,-1)</f>
        <v>2018-Fa-Bla-100-62-231</v>
      </c>
    </row>
    <row r="3" spans="1:17" x14ac:dyDescent="0.3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235</v>
      </c>
      <c r="Q3" s="12" t="str">
        <f>_xlfn.XLOOKUP(K3,'Boards Catalogue'!H:H,'Boards Catalogue'!H:H,,-1)</f>
        <v>2018-Fa-Bla-115-66-232</v>
      </c>
    </row>
    <row r="4" spans="1:17" x14ac:dyDescent="0.3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235</v>
      </c>
      <c r="Q4" s="12" t="str">
        <f>_xlfn.XLOOKUP(K4,'Boards Catalogue'!H:H,'Boards Catalogue'!H:H,,-1)</f>
        <v>2018-Fa-Bla-115-66-232</v>
      </c>
    </row>
    <row r="5" spans="1:17" x14ac:dyDescent="0.3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237</v>
      </c>
      <c r="Q5" s="12" t="str">
        <f>_xlfn.XLOOKUP(K5,'Boards Catalogue'!H:H,'Boards Catalogue'!H:H,,-1)</f>
        <v>2018-Fa-Bla-130-70-233</v>
      </c>
    </row>
    <row r="6" spans="1:17" x14ac:dyDescent="0.3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237</v>
      </c>
      <c r="Q6" s="12" t="str">
        <f>_xlfn.XLOOKUP(K6,'Boards Catalogue'!H:H,'Boards Catalogue'!H:H,,-1)</f>
        <v>2018-Fa-Bla-130-70-233</v>
      </c>
    </row>
    <row r="7" spans="1:17" x14ac:dyDescent="0.3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239</v>
      </c>
      <c r="Q7" s="12" t="str">
        <f>_xlfn.XLOOKUP(K7,'Boards Catalogue'!H:H,'Boards Catalogue'!H:H,,-1)</f>
        <v>2018-Fa-Bla-145-77-235</v>
      </c>
    </row>
    <row r="8" spans="1:17" x14ac:dyDescent="0.3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241</v>
      </c>
      <c r="Q8" s="12" t="str">
        <f>_xlfn.XLOOKUP(K8,'Boards Catalogue'!H:H,'Boards Catalogue'!H:H,,-1)</f>
        <v>2018-Fa-Fal-114-71-230</v>
      </c>
    </row>
    <row r="9" spans="1:17" x14ac:dyDescent="0.3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243</v>
      </c>
      <c r="Q9" s="12" t="str">
        <f>_xlfn.XLOOKUP(K9,'Boards Catalogue'!H:H,'Boards Catalogue'!H:H,,-1)</f>
        <v>2018-Fa-Fal-129-80-230</v>
      </c>
    </row>
    <row r="10" spans="1:17" x14ac:dyDescent="0.3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250</v>
      </c>
      <c r="Q10" s="12" t="str">
        <f>_xlfn.XLOOKUP(K10,'Boards Catalogue'!H:H,'Boards Catalogue'!H:H,,-1)</f>
        <v>2018-Fa-Fal-89-60-235</v>
      </c>
    </row>
    <row r="11" spans="1:17" x14ac:dyDescent="0.3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245</v>
      </c>
      <c r="Q11" s="12" t="str">
        <f>_xlfn.XLOOKUP(K11,'Boards Catalogue'!H:H,'Boards Catalogue'!H:H,,-1)</f>
        <v>2018-Fa-Fal-159-90-230</v>
      </c>
    </row>
    <row r="12" spans="1:17" x14ac:dyDescent="0.3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3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3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248</v>
      </c>
      <c r="Q14" s="12" t="str">
        <f>_xlfn.XLOOKUP(K14,'Boards Catalogue'!H:H,'Boards Catalogue'!H:H,,-1)</f>
        <v>2018-Fa-Fal-70-52-230</v>
      </c>
    </row>
    <row r="15" spans="1:17" x14ac:dyDescent="0.3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242</v>
      </c>
      <c r="Q15" s="12" t="str">
        <f>_xlfn.XLOOKUP(K15,'Boards Catalogue'!H:H,'Boards Catalogue'!H:H,,-1)</f>
        <v>2018-Fa-Fal-121-75-230</v>
      </c>
    </row>
    <row r="16" spans="1:17" x14ac:dyDescent="0.3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244</v>
      </c>
      <c r="Q16" s="12" t="str">
        <f>_xlfn.XLOOKUP(K16,'Boards Catalogue'!H:H,'Boards Catalogue'!H:H,,-1)</f>
        <v>2018-Fa-Fal-136-85-225</v>
      </c>
    </row>
    <row r="17" spans="1:17" x14ac:dyDescent="0.3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251</v>
      </c>
      <c r="Q17" s="12" t="str">
        <f>_xlfn.XLOOKUP(K17,'Boards Catalogue'!H:H,'Boards Catalogue'!H:H,,-1)</f>
        <v>2018-Fa-Fal-98-63-235</v>
      </c>
    </row>
    <row r="18" spans="1:17" x14ac:dyDescent="0.3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3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3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3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3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271</v>
      </c>
      <c r="Q22" s="12" t="str">
        <f>_xlfn.XLOOKUP(K22,'Boards Catalogue'!H:H,'Boards Catalogue'!H:H,,-1)</f>
        <v>2018-Fa-Gec-133-78-246</v>
      </c>
    </row>
    <row r="23" spans="1:17" x14ac:dyDescent="0.3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268</v>
      </c>
      <c r="Q23" s="12" t="str">
        <f>_xlfn.XLOOKUP(K23,'Boards Catalogue'!H:H,'Boards Catalogue'!H:H,,-1)</f>
        <v>2018-Fa-Gec-120-76-242</v>
      </c>
    </row>
    <row r="24" spans="1:17" x14ac:dyDescent="0.3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3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282</v>
      </c>
      <c r="Q25" s="12" t="str">
        <f>_xlfn.XLOOKUP(K25,'Boards Catalogue'!H:H,'Boards Catalogue'!H:H,,-1)</f>
        <v>2018-Fa-Gri-82-58-224</v>
      </c>
    </row>
    <row r="26" spans="1:17" x14ac:dyDescent="0.3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284</v>
      </c>
      <c r="Q26" s="12" t="str">
        <f>_xlfn.XLOOKUP(K26,'Boards Catalogue'!H:H,'Boards Catalogue'!H:H,,-1)</f>
        <v>2018-Fa-Gri-99-62-229</v>
      </c>
    </row>
    <row r="27" spans="1:17" x14ac:dyDescent="0.3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3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3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3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3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3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294</v>
      </c>
      <c r="Q32" s="12" t="str">
        <f>_xlfn.XLOOKUP(K32,'Boards Catalogue'!H:H,'Boards Catalogue'!H:H,,-1)</f>
        <v>2018-Fa-Stu-99-60-218</v>
      </c>
    </row>
    <row r="33" spans="1:17" x14ac:dyDescent="0.3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298</v>
      </c>
      <c r="Q33" s="12" t="str">
        <f>_xlfn.XLOOKUP(K33,'Boards Catalogue'!H:H,'Boards Catalogue'!H:H,,-1)</f>
        <v>2018-Fa-Vip-220-85-285</v>
      </c>
    </row>
    <row r="34" spans="1:17" x14ac:dyDescent="0.3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H47" sqref="H47"/>
    </sheetView>
  </sheetViews>
  <sheetFormatPr defaultColWidth="72.33203125" defaultRowHeight="14.4" x14ac:dyDescent="0.3"/>
  <cols>
    <col min="1" max="1" width="12.44140625" bestFit="1" customWidth="1"/>
    <col min="2" max="2" width="8.5546875" bestFit="1" customWidth="1"/>
    <col min="3" max="3" width="41.33203125" bestFit="1" customWidth="1"/>
    <col min="4" max="4" width="14.88671875" bestFit="1" customWidth="1"/>
    <col min="5" max="5" width="9.109375" bestFit="1" customWidth="1"/>
    <col min="6" max="6" width="14.44140625" bestFit="1" customWidth="1"/>
    <col min="7" max="7" width="18.33203125" bestFit="1" customWidth="1"/>
    <col min="8" max="8" width="39.5546875" customWidth="1"/>
    <col min="9" max="9" width="37.33203125" bestFit="1" customWidth="1"/>
    <col min="10" max="10" width="20.6640625" bestFit="1" customWidth="1"/>
    <col min="11" max="11" width="9.5546875" customWidth="1"/>
    <col min="12" max="12" width="15.6640625" bestFit="1" customWidth="1"/>
  </cols>
  <sheetData>
    <row r="1" spans="1:11" ht="90" customHeight="1" x14ac:dyDescent="0.3"/>
    <row r="2" spans="1:11" x14ac:dyDescent="0.3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3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Y47" sqref="Y47"/>
    </sheetView>
  </sheetViews>
  <sheetFormatPr defaultRowHeight="14.4" x14ac:dyDescent="0.3"/>
  <cols>
    <col min="1" max="1" width="8.109375" bestFit="1" customWidth="1"/>
    <col min="2" max="2" width="8.5546875" bestFit="1" customWidth="1"/>
    <col min="3" max="3" width="20.6640625" bestFit="1" customWidth="1"/>
    <col min="4" max="4" width="11.5546875" bestFit="1" customWidth="1"/>
    <col min="6" max="6" width="11.109375" bestFit="1" customWidth="1"/>
    <col min="7" max="7" width="31.6640625" bestFit="1" customWidth="1"/>
    <col min="8" max="8" width="27.44140625" bestFit="1" customWidth="1"/>
    <col min="9" max="9" width="37.88671875" bestFit="1" customWidth="1"/>
    <col min="10" max="10" width="20.6640625" bestFit="1" customWidth="1"/>
    <col min="25" max="25" width="34.109375" bestFit="1" customWidth="1"/>
  </cols>
  <sheetData>
    <row r="1" spans="1:19" ht="109.5" customHeight="1" x14ac:dyDescent="0.3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3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3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3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3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3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3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3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3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3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3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3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3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3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3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3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3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3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3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3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3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3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3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3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3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3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3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3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3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3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3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3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3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3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3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3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3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3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3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3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3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3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3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3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3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3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3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3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3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3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3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3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3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3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3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3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3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3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3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3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3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3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3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3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3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3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3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3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3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3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3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3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3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3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3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3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3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3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3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3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3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3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3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3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FA75A-A39A-4DAC-AF18-E54EDFFA46D7}">
  <sheetPr codeName="Sheet9"/>
  <dimension ref="A1:K18"/>
  <sheetViews>
    <sheetView workbookViewId="0">
      <selection activeCell="M24" sqref="M24"/>
    </sheetView>
  </sheetViews>
  <sheetFormatPr defaultRowHeight="14.4" x14ac:dyDescent="0.3"/>
  <cols>
    <col min="1" max="1" width="5" bestFit="1" customWidth="1"/>
    <col min="2" max="2" width="9.5546875" bestFit="1" customWidth="1"/>
    <col min="3" max="3" width="16.44140625" bestFit="1" customWidth="1"/>
    <col min="7" max="7" width="31" bestFit="1" customWidth="1"/>
    <col min="8" max="8" width="29.5546875" customWidth="1"/>
    <col min="9" max="9" width="13.6640625" customWidth="1"/>
    <col min="10" max="10" width="9.44140625" customWidth="1"/>
    <col min="11" max="11" width="9.88671875" bestFit="1" customWidth="1"/>
  </cols>
  <sheetData>
    <row r="1" spans="1:11" x14ac:dyDescent="0.3">
      <c r="A1" t="s">
        <v>0</v>
      </c>
      <c r="B1" t="s">
        <v>3</v>
      </c>
      <c r="C1" t="s">
        <v>2334</v>
      </c>
      <c r="D1" t="s">
        <v>6</v>
      </c>
      <c r="E1" t="s">
        <v>356</v>
      </c>
      <c r="F1" t="s">
        <v>355</v>
      </c>
      <c r="G1" t="s">
        <v>2335</v>
      </c>
      <c r="H1" t="s">
        <v>2274</v>
      </c>
      <c r="I1" t="s">
        <v>2275</v>
      </c>
      <c r="J1" t="s">
        <v>2336</v>
      </c>
      <c r="K1" t="s">
        <v>2040</v>
      </c>
    </row>
    <row r="2" spans="1:11" x14ac:dyDescent="0.3">
      <c r="A2">
        <v>2023</v>
      </c>
      <c r="B2" t="s">
        <v>2305</v>
      </c>
      <c r="C2" t="s">
        <v>2353</v>
      </c>
      <c r="D2">
        <v>53</v>
      </c>
      <c r="E2">
        <v>44</v>
      </c>
      <c r="F2">
        <v>225</v>
      </c>
      <c r="G2" t="s">
        <v>2346</v>
      </c>
      <c r="I2" t="s">
        <v>2337</v>
      </c>
      <c r="J2" t="s">
        <v>2347</v>
      </c>
      <c r="K2">
        <v>4.2</v>
      </c>
    </row>
    <row r="3" spans="1:11" x14ac:dyDescent="0.3">
      <c r="A3">
        <v>2023</v>
      </c>
      <c r="B3" t="s">
        <v>2305</v>
      </c>
      <c r="C3" t="s">
        <v>2352</v>
      </c>
      <c r="D3">
        <v>76</v>
      </c>
      <c r="E3">
        <v>55</v>
      </c>
      <c r="F3">
        <v>225</v>
      </c>
      <c r="G3" t="s">
        <v>2346</v>
      </c>
      <c r="I3" t="s">
        <v>2337</v>
      </c>
      <c r="J3" t="s">
        <v>2348</v>
      </c>
      <c r="K3">
        <v>5</v>
      </c>
    </row>
    <row r="4" spans="1:11" x14ac:dyDescent="0.3">
      <c r="A4">
        <v>2023</v>
      </c>
      <c r="B4" t="s">
        <v>2305</v>
      </c>
      <c r="C4" t="s">
        <v>1905</v>
      </c>
      <c r="D4">
        <v>87</v>
      </c>
      <c r="E4">
        <v>60</v>
      </c>
      <c r="F4">
        <v>225</v>
      </c>
      <c r="G4" t="s">
        <v>2346</v>
      </c>
      <c r="I4" t="s">
        <v>2337</v>
      </c>
      <c r="J4" t="s">
        <v>2340</v>
      </c>
      <c r="K4">
        <v>5.5</v>
      </c>
    </row>
    <row r="5" spans="1:11" x14ac:dyDescent="0.3">
      <c r="A5">
        <v>2023</v>
      </c>
      <c r="B5" t="s">
        <v>2305</v>
      </c>
      <c r="C5" t="s">
        <v>1906</v>
      </c>
      <c r="D5">
        <v>97</v>
      </c>
      <c r="E5">
        <v>63</v>
      </c>
      <c r="F5">
        <v>225</v>
      </c>
      <c r="G5" t="s">
        <v>2346</v>
      </c>
      <c r="I5" t="s">
        <v>2337</v>
      </c>
      <c r="J5" t="s">
        <v>2341</v>
      </c>
      <c r="K5">
        <v>5.89</v>
      </c>
    </row>
    <row r="6" spans="1:11" x14ac:dyDescent="0.3">
      <c r="A6">
        <v>2023</v>
      </c>
      <c r="B6" t="s">
        <v>2305</v>
      </c>
      <c r="C6" t="s">
        <v>1907</v>
      </c>
      <c r="D6">
        <v>113</v>
      </c>
      <c r="E6">
        <v>67</v>
      </c>
      <c r="F6">
        <v>228</v>
      </c>
      <c r="G6" t="s">
        <v>2346</v>
      </c>
      <c r="I6" t="s">
        <v>2337</v>
      </c>
      <c r="J6" t="s">
        <v>2342</v>
      </c>
      <c r="K6">
        <v>6.06</v>
      </c>
    </row>
    <row r="7" spans="1:11" x14ac:dyDescent="0.3">
      <c r="A7">
        <v>2023</v>
      </c>
      <c r="B7" t="s">
        <v>2305</v>
      </c>
      <c r="C7" t="s">
        <v>1908</v>
      </c>
      <c r="D7">
        <v>124</v>
      </c>
      <c r="E7">
        <v>73</v>
      </c>
      <c r="F7">
        <v>228</v>
      </c>
      <c r="G7" t="s">
        <v>2346</v>
      </c>
      <c r="I7" t="s">
        <v>2337</v>
      </c>
      <c r="J7" t="s">
        <v>2349</v>
      </c>
      <c r="K7">
        <v>6.52</v>
      </c>
    </row>
    <row r="8" spans="1:11" x14ac:dyDescent="0.3">
      <c r="A8">
        <v>2023</v>
      </c>
      <c r="B8" t="s">
        <v>2305</v>
      </c>
      <c r="C8" t="s">
        <v>1909</v>
      </c>
      <c r="D8">
        <v>129</v>
      </c>
      <c r="E8">
        <v>77</v>
      </c>
      <c r="F8">
        <v>228</v>
      </c>
      <c r="G8" t="s">
        <v>2346</v>
      </c>
      <c r="I8" t="s">
        <v>2337</v>
      </c>
      <c r="J8" t="s">
        <v>2344</v>
      </c>
      <c r="K8">
        <v>6.63</v>
      </c>
    </row>
    <row r="9" spans="1:11" x14ac:dyDescent="0.3">
      <c r="A9">
        <v>2023</v>
      </c>
      <c r="B9" t="s">
        <v>2305</v>
      </c>
      <c r="C9" t="s">
        <v>1910</v>
      </c>
      <c r="D9">
        <v>134</v>
      </c>
      <c r="E9">
        <v>83</v>
      </c>
      <c r="F9">
        <v>228</v>
      </c>
      <c r="G9" t="s">
        <v>2346</v>
      </c>
      <c r="I9" t="s">
        <v>2337</v>
      </c>
      <c r="J9" t="s">
        <v>2350</v>
      </c>
      <c r="K9">
        <v>6.9</v>
      </c>
    </row>
    <row r="10" spans="1:11" x14ac:dyDescent="0.3">
      <c r="A10">
        <v>2023</v>
      </c>
      <c r="B10" t="s">
        <v>2305</v>
      </c>
      <c r="C10" t="s">
        <v>1911</v>
      </c>
      <c r="D10">
        <v>140</v>
      </c>
      <c r="E10">
        <v>85</v>
      </c>
      <c r="F10">
        <v>228</v>
      </c>
      <c r="G10" t="s">
        <v>2346</v>
      </c>
      <c r="I10" t="s">
        <v>2337</v>
      </c>
      <c r="J10" t="s">
        <v>2345</v>
      </c>
      <c r="K10">
        <v>7.2</v>
      </c>
    </row>
    <row r="11" spans="1:11" x14ac:dyDescent="0.3">
      <c r="A11">
        <v>2023</v>
      </c>
      <c r="B11" t="s">
        <v>2305</v>
      </c>
      <c r="C11" t="s">
        <v>2352</v>
      </c>
      <c r="D11">
        <v>76</v>
      </c>
      <c r="E11">
        <v>55</v>
      </c>
      <c r="F11">
        <v>225</v>
      </c>
      <c r="G11" t="s">
        <v>2351</v>
      </c>
      <c r="I11" t="s">
        <v>2337</v>
      </c>
      <c r="J11" t="s">
        <v>2348</v>
      </c>
      <c r="K11">
        <v>5.5</v>
      </c>
    </row>
    <row r="12" spans="1:11" x14ac:dyDescent="0.3">
      <c r="A12">
        <v>2023</v>
      </c>
      <c r="B12" t="s">
        <v>2305</v>
      </c>
      <c r="C12" t="s">
        <v>1905</v>
      </c>
      <c r="D12">
        <v>87</v>
      </c>
      <c r="E12">
        <v>60</v>
      </c>
      <c r="F12">
        <v>225</v>
      </c>
      <c r="G12" t="s">
        <v>2351</v>
      </c>
      <c r="I12" t="s">
        <v>2337</v>
      </c>
      <c r="J12" t="s">
        <v>2340</v>
      </c>
      <c r="K12">
        <v>6.1</v>
      </c>
    </row>
    <row r="13" spans="1:11" x14ac:dyDescent="0.3">
      <c r="A13">
        <v>2023</v>
      </c>
      <c r="B13" t="s">
        <v>2305</v>
      </c>
      <c r="C13" t="s">
        <v>1906</v>
      </c>
      <c r="D13">
        <v>97</v>
      </c>
      <c r="E13">
        <v>63</v>
      </c>
      <c r="F13">
        <v>225</v>
      </c>
      <c r="G13" t="s">
        <v>2351</v>
      </c>
      <c r="I13" t="s">
        <v>2337</v>
      </c>
      <c r="J13" t="s">
        <v>2341</v>
      </c>
      <c r="K13">
        <v>6.22</v>
      </c>
    </row>
    <row r="14" spans="1:11" x14ac:dyDescent="0.3">
      <c r="A14">
        <v>2023</v>
      </c>
      <c r="B14" t="s">
        <v>2305</v>
      </c>
      <c r="C14" t="s">
        <v>1907</v>
      </c>
      <c r="D14">
        <v>113</v>
      </c>
      <c r="E14">
        <v>67</v>
      </c>
      <c r="F14">
        <v>228</v>
      </c>
      <c r="G14" t="s">
        <v>2351</v>
      </c>
      <c r="I14" t="s">
        <v>2337</v>
      </c>
      <c r="J14" t="s">
        <v>2342</v>
      </c>
      <c r="K14">
        <v>7.71</v>
      </c>
    </row>
    <row r="15" spans="1:11" x14ac:dyDescent="0.3">
      <c r="A15">
        <v>2023</v>
      </c>
      <c r="B15" t="s">
        <v>2305</v>
      </c>
      <c r="C15" t="s">
        <v>1908</v>
      </c>
      <c r="D15">
        <v>124</v>
      </c>
      <c r="E15">
        <v>73</v>
      </c>
      <c r="F15">
        <v>228</v>
      </c>
      <c r="G15" t="s">
        <v>2351</v>
      </c>
      <c r="I15" t="s">
        <v>2337</v>
      </c>
      <c r="J15" t="s">
        <v>2349</v>
      </c>
      <c r="K15">
        <v>7.13</v>
      </c>
    </row>
    <row r="16" spans="1:11" x14ac:dyDescent="0.3">
      <c r="A16">
        <v>2023</v>
      </c>
      <c r="B16" t="s">
        <v>2305</v>
      </c>
      <c r="C16" t="s">
        <v>1909</v>
      </c>
      <c r="D16">
        <v>129</v>
      </c>
      <c r="E16">
        <v>77</v>
      </c>
      <c r="F16">
        <v>228</v>
      </c>
      <c r="G16" t="s">
        <v>2351</v>
      </c>
      <c r="I16" t="s">
        <v>2337</v>
      </c>
      <c r="J16" t="s">
        <v>2344</v>
      </c>
      <c r="K16">
        <v>7.47</v>
      </c>
    </row>
    <row r="17" spans="1:11" x14ac:dyDescent="0.3">
      <c r="A17">
        <v>2023</v>
      </c>
      <c r="B17" t="s">
        <v>2305</v>
      </c>
      <c r="C17" t="s">
        <v>1910</v>
      </c>
      <c r="D17">
        <v>134</v>
      </c>
      <c r="E17">
        <v>83</v>
      </c>
      <c r="F17">
        <v>228</v>
      </c>
      <c r="G17" t="s">
        <v>2351</v>
      </c>
      <c r="I17" t="s">
        <v>2337</v>
      </c>
      <c r="J17" t="s">
        <v>2350</v>
      </c>
      <c r="K17">
        <v>7.79</v>
      </c>
    </row>
    <row r="18" spans="1:11" x14ac:dyDescent="0.3">
      <c r="A18">
        <v>2023</v>
      </c>
      <c r="B18" t="s">
        <v>2305</v>
      </c>
      <c r="C18" t="s">
        <v>1911</v>
      </c>
      <c r="D18">
        <v>140</v>
      </c>
      <c r="E18">
        <v>85</v>
      </c>
      <c r="F18">
        <v>228</v>
      </c>
      <c r="G18" t="s">
        <v>2351</v>
      </c>
      <c r="I18" t="s">
        <v>2337</v>
      </c>
      <c r="J18" t="s">
        <v>2345</v>
      </c>
      <c r="K18">
        <v>8.1999999999999993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0723-7288-4648-A109-585AF6DE17AA}">
  <sheetPr codeName="Sheet10"/>
  <dimension ref="A1"/>
  <sheetViews>
    <sheetView workbookViewId="0">
      <selection activeCell="O22" sqref="O22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Boards Catalogue</vt:lpstr>
      <vt:lpstr>Class</vt:lpstr>
      <vt:lpstr>AI Prompt</vt:lpstr>
      <vt:lpstr>Sheet1</vt:lpstr>
      <vt:lpstr>APPROVED SERIES PRODUCTION </vt:lpstr>
      <vt:lpstr>GPS-Boards-Validation</vt:lpstr>
      <vt:lpstr>Temp-Berra-ToAddAfterReview</vt:lpstr>
      <vt:lpstr>Temp-Berra-unit-remove</vt:lpstr>
      <vt:lpstr>2023_SB_iSonic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2026-05-13T17:31:35Z</dcterms:modified>
</cp:coreProperties>
</file>