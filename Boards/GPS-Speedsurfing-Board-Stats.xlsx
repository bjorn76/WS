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bjorn\Documents\bjorn76\WS\Boards\"/>
    </mc:Choice>
  </mc:AlternateContent>
  <xr:revisionPtr revIDLastSave="0" documentId="13_ncr:1_{3530CC7B-F099-4EC9-909D-6EBF080C014B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Board Stats" sheetId="2" r:id="rId1"/>
    <sheet name="windsurfing.pl" sheetId="3" r:id="rId2"/>
    <sheet name="ddl" sheetId="4" r:id="rId3"/>
  </sheets>
  <definedNames>
    <definedName name="_xlnm._FilterDatabase" localSheetId="0" hidden="1">'Board Stats'!$A$2:$L$2</definedName>
    <definedName name="rYear">ddl!$A$2:$A$18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3" i="2" l="1"/>
  <c r="L182" i="2"/>
  <c r="L184" i="2"/>
  <c r="L185" i="2"/>
  <c r="L186" i="2"/>
  <c r="L187" i="2"/>
  <c r="L188" i="2"/>
  <c r="L189" i="2"/>
  <c r="L190" i="2"/>
  <c r="L191" i="2"/>
  <c r="L192" i="2"/>
  <c r="L193" i="2"/>
  <c r="L19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95" i="2"/>
  <c r="L27" i="2"/>
  <c r="D3" i="3"/>
  <c r="D4" i="3"/>
  <c r="D5" i="3"/>
  <c r="D6" i="3"/>
  <c r="D7" i="3"/>
  <c r="D8" i="3"/>
  <c r="D9" i="3"/>
  <c r="D10" i="3"/>
  <c r="D11" i="3"/>
  <c r="D12" i="3"/>
  <c r="D13" i="3"/>
  <c r="D14" i="3"/>
  <c r="L69" i="2" l="1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6" i="2"/>
  <c r="L97" i="2"/>
  <c r="L98" i="2"/>
  <c r="L99" i="2"/>
  <c r="L100" i="2"/>
  <c r="L101" i="2"/>
  <c r="L102" i="2"/>
  <c r="L103" i="2"/>
  <c r="L104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17" i="2"/>
  <c r="L18" i="2"/>
  <c r="L19" i="2"/>
  <c r="L20" i="2"/>
  <c r="L21" i="2"/>
  <c r="L22" i="2"/>
  <c r="L23" i="2"/>
  <c r="L24" i="2"/>
  <c r="L25" i="2"/>
  <c r="L26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3" i="2"/>
</calcChain>
</file>

<file path=xl/sharedStrings.xml><?xml version="1.0" encoding="utf-8"?>
<sst xmlns="http://schemas.openxmlformats.org/spreadsheetml/2006/main" count="997" uniqueCount="410">
  <si>
    <t>#</t>
  </si>
  <si>
    <t>ID</t>
  </si>
  <si>
    <t>Brand</t>
  </si>
  <si>
    <t>Type</t>
  </si>
  <si>
    <t>Size</t>
  </si>
  <si>
    <t>Volume</t>
  </si>
  <si>
    <t>Year</t>
  </si>
  <si>
    <t>Class</t>
  </si>
  <si>
    <t>Sessions</t>
  </si>
  <si>
    <t>In Quiver</t>
  </si>
  <si>
    <t>RRD</t>
  </si>
  <si>
    <t>Custom Aurelio Verdi</t>
  </si>
  <si>
    <t>39 x 226 cm</t>
  </si>
  <si>
    <t>45 l</t>
  </si>
  <si>
    <t>Speedboard</t>
  </si>
  <si>
    <t>43 x 223 cm</t>
  </si>
  <si>
    <t>50 l</t>
  </si>
  <si>
    <t>43 x 220 cm</t>
  </si>
  <si>
    <t>48 l</t>
  </si>
  <si>
    <t>Fire Storm Wood V2</t>
  </si>
  <si>
    <t>75 x 239 cm</t>
  </si>
  <si>
    <t>129 l</t>
  </si>
  <si>
    <t>Slalom Large</t>
  </si>
  <si>
    <t>Firemove Ltd V2 102</t>
  </si>
  <si>
    <t>68 x 238 cm</t>
  </si>
  <si>
    <t>102 l</t>
  </si>
  <si>
    <t>Wave / Freestyle</t>
  </si>
  <si>
    <t>Firemove Ltd V2 112</t>
  </si>
  <si>
    <t>74 x 238 cm</t>
  </si>
  <si>
    <t>112 l</t>
  </si>
  <si>
    <t>Firemove Ltd V2 122</t>
  </si>
  <si>
    <t>79 x 238 cm</t>
  </si>
  <si>
    <t>122 l</t>
  </si>
  <si>
    <t>Firemove Ltd V2 130</t>
  </si>
  <si>
    <t>85 x 236 cm</t>
  </si>
  <si>
    <t>130 l</t>
  </si>
  <si>
    <t>Firemove Ltd V2 140</t>
  </si>
  <si>
    <t>90 x 238 cm</t>
  </si>
  <si>
    <t>140 l</t>
  </si>
  <si>
    <t>Firemove V2 Wood</t>
  </si>
  <si>
    <t>firestorm 111</t>
  </si>
  <si>
    <t>68 x 236 cm</t>
  </si>
  <si>
    <t>111 l</t>
  </si>
  <si>
    <t>-</t>
  </si>
  <si>
    <t>Firestorm LTD</t>
  </si>
  <si>
    <t>72 x 238 cm</t>
  </si>
  <si>
    <t>120 l</t>
  </si>
  <si>
    <t>Firestorm LTD V2</t>
  </si>
  <si>
    <t>77 x 240 cm</t>
  </si>
  <si>
    <t>138 l</t>
  </si>
  <si>
    <t>Firewave LTD</t>
  </si>
  <si>
    <t>62 x 235 cm</t>
  </si>
  <si>
    <t>92 l</t>
  </si>
  <si>
    <t>freerace</t>
  </si>
  <si>
    <t>74 x 240 cm</t>
  </si>
  <si>
    <t>proto Firestorm V3 #053</t>
  </si>
  <si>
    <t>65 x 235 cm</t>
  </si>
  <si>
    <t>101 l</t>
  </si>
  <si>
    <t>Slalom Medium</t>
  </si>
  <si>
    <t>Proto X-Fire 98 V7</t>
  </si>
  <si>
    <t>98 l</t>
  </si>
  <si>
    <t>Speed/Slalom Small</t>
  </si>
  <si>
    <t>Slalom</t>
  </si>
  <si>
    <t>85 x 270 cm</t>
  </si>
  <si>
    <t>Slalom Large Proto</t>
  </si>
  <si>
    <t>90 x 232 cm</t>
  </si>
  <si>
    <t>144 l</t>
  </si>
  <si>
    <t>Slalom Xtra Large</t>
  </si>
  <si>
    <t>Speed 41</t>
  </si>
  <si>
    <t>41 x 226 cm</t>
  </si>
  <si>
    <t>54 l</t>
  </si>
  <si>
    <t>Speed 43</t>
  </si>
  <si>
    <t>43 x 225 cm</t>
  </si>
  <si>
    <t>63 l</t>
  </si>
  <si>
    <t>speed board</t>
  </si>
  <si>
    <t>42 x 225 cm</t>
  </si>
  <si>
    <t>58 l</t>
  </si>
  <si>
    <t>x fire</t>
  </si>
  <si>
    <t>X-Fire LTD V6 105</t>
  </si>
  <si>
    <t>105 l</t>
  </si>
  <si>
    <t>X-Fire LTD V6 114</t>
  </si>
  <si>
    <t>70 x 235 cm</t>
  </si>
  <si>
    <t>114 l</t>
  </si>
  <si>
    <t>X-Fire LTD V6 122</t>
  </si>
  <si>
    <t>81 x 228 cm</t>
  </si>
  <si>
    <t>X-Fire LTD V6 129</t>
  </si>
  <si>
    <t>85 x 228 cm</t>
  </si>
  <si>
    <t>X-Fire LTD V6 90</t>
  </si>
  <si>
    <t>59 x 235 cm</t>
  </si>
  <si>
    <t>90 l</t>
  </si>
  <si>
    <t>X-Fire LTD V6 98</t>
  </si>
  <si>
    <t>X-Fire LTD V7 105</t>
  </si>
  <si>
    <t>X-Fire LTD V7 114</t>
  </si>
  <si>
    <t>X-Fire LTD V7 122</t>
  </si>
  <si>
    <t>X-Fire LTD V7 129</t>
  </si>
  <si>
    <t>X-Fire LTD V7 80</t>
  </si>
  <si>
    <t>53 x 235 cm</t>
  </si>
  <si>
    <t>80 l</t>
  </si>
  <si>
    <t>X-Fire LTD V7 90</t>
  </si>
  <si>
    <t>X-Fire LTD V7 98</t>
  </si>
  <si>
    <t>X-Fire V5 LTD 128</t>
  </si>
  <si>
    <t>XiFire LTD V6 90</t>
  </si>
  <si>
    <t>https://www.gps-speedsurfing.com/mypage/boardstats?id=</t>
  </si>
  <si>
    <t>Link</t>
  </si>
  <si>
    <t>Custom Speed</t>
  </si>
  <si>
    <t>0 x 0 cm</t>
  </si>
  <si>
    <t>0 l</t>
  </si>
  <si>
    <t>Firemove</t>
  </si>
  <si>
    <t>236 x 85 cm</t>
  </si>
  <si>
    <t>firemove</t>
  </si>
  <si>
    <t>75 x 235 cm</t>
  </si>
  <si>
    <t>110 l</t>
  </si>
  <si>
    <t>FireMove 120 LTD</t>
  </si>
  <si>
    <t>80 x 236 cm</t>
  </si>
  <si>
    <t>FireMove 140 LTD</t>
  </si>
  <si>
    <t>Firemove LTD</t>
  </si>
  <si>
    <t>69 x 236 cm</t>
  </si>
  <si>
    <t>100 l</t>
  </si>
  <si>
    <t>Firemove LTD 130</t>
  </si>
  <si>
    <t>firerace</t>
  </si>
  <si>
    <t>69 x 235 cm</t>
  </si>
  <si>
    <t>Firerace W-tech 102</t>
  </si>
  <si>
    <t>Firerace W-tech 112</t>
  </si>
  <si>
    <t>Firestorm 120 W-tech</t>
  </si>
  <si>
    <t>FireWave 102 LTD</t>
  </si>
  <si>
    <t>64 x 235 cm</t>
  </si>
  <si>
    <t>Freestyle Wave</t>
  </si>
  <si>
    <t>59 x 234 cm</t>
  </si>
  <si>
    <t>84 l</t>
  </si>
  <si>
    <t>Freestyle Wave LTD</t>
  </si>
  <si>
    <t>31 x 233 cm</t>
  </si>
  <si>
    <t>63 x 234 cm</t>
  </si>
  <si>
    <t>96 l</t>
  </si>
  <si>
    <t>FreeStyleWave</t>
  </si>
  <si>
    <t>Frrestyle Wave 102</t>
  </si>
  <si>
    <t>65 x 233 cm</t>
  </si>
  <si>
    <t>Slalom/speed</t>
  </si>
  <si>
    <t>59 x 240 cm</t>
  </si>
  <si>
    <t>X-fire LTD V5</t>
  </si>
  <si>
    <t>58 x 240 cm</t>
  </si>
  <si>
    <t>X-Fire LTD V5 105</t>
  </si>
  <si>
    <t>X-Fire LTD V5 114</t>
  </si>
  <si>
    <t>X-Fire LTD V5 114 2013</t>
  </si>
  <si>
    <t>X-Fire LTD V5 122</t>
  </si>
  <si>
    <t>X-Fire LTD V5 129</t>
  </si>
  <si>
    <t>X-Fire LTD V5 90</t>
  </si>
  <si>
    <t>X-Fire LTD V5 98</t>
  </si>
  <si>
    <t>Fire Storm 111</t>
  </si>
  <si>
    <t>38 x 238 cm</t>
  </si>
  <si>
    <t>Fire Storm 138 W-Tech</t>
  </si>
  <si>
    <t>Fire Strom LTD</t>
  </si>
  <si>
    <t>firemove 100</t>
  </si>
  <si>
    <t>FireMove 100 X-Tech</t>
  </si>
  <si>
    <t>firemove 110</t>
  </si>
  <si>
    <t>75 x 232 cm</t>
  </si>
  <si>
    <t>FireMove 110 X-Tech</t>
  </si>
  <si>
    <t>75 x 236 cm</t>
  </si>
  <si>
    <t>Firemove 120</t>
  </si>
  <si>
    <t>80 x 235 cm</t>
  </si>
  <si>
    <t>Wingboard</t>
  </si>
  <si>
    <t>Firemove LTD 100</t>
  </si>
  <si>
    <t>Firemove LTD 110</t>
  </si>
  <si>
    <t>Firerace V3 122</t>
  </si>
  <si>
    <t>79 x 225 cm</t>
  </si>
  <si>
    <t>Firestorm</t>
  </si>
  <si>
    <t>72 x 235 cm</t>
  </si>
  <si>
    <t>59 x 232 cm</t>
  </si>
  <si>
    <t>Freestyle Wave 90 X-Tech</t>
  </si>
  <si>
    <t>61 x 233 cm</t>
  </si>
  <si>
    <t>Freestyle Wave 96 LTD</t>
  </si>
  <si>
    <t>FreestyleWave</t>
  </si>
  <si>
    <t>TwinTip LTD</t>
  </si>
  <si>
    <t>635 x 231 cm</t>
  </si>
  <si>
    <t>wave cult</t>
  </si>
  <si>
    <t>565 x 230 cm</t>
  </si>
  <si>
    <t>77 l</t>
  </si>
  <si>
    <t>X-fire</t>
  </si>
  <si>
    <t>85 x 225 cm</t>
  </si>
  <si>
    <t>135 l</t>
  </si>
  <si>
    <t>xfire 105</t>
  </si>
  <si>
    <t>60 x 250 cm</t>
  </si>
  <si>
    <t>X-Fire 80 V</t>
  </si>
  <si>
    <t>Speed/Slalom Xtra Small</t>
  </si>
  <si>
    <t>X-Fire LTD 105</t>
  </si>
  <si>
    <t>65 x 230 cm</t>
  </si>
  <si>
    <t>X-Fire Ltd V3 122</t>
  </si>
  <si>
    <t>X-Fire LTD V4</t>
  </si>
  <si>
    <t>X-Fire LTD V4 105</t>
  </si>
  <si>
    <t>X-Fire LTD V4 114</t>
  </si>
  <si>
    <t>X-Fire LTD V4 122</t>
  </si>
  <si>
    <t>X-Fire LTD V4 129</t>
  </si>
  <si>
    <t>134 l</t>
  </si>
  <si>
    <t>X-Fire LTD V4 90</t>
  </si>
  <si>
    <t>X-Fire LTD V4 98</t>
  </si>
  <si>
    <t>X-FIRE V3</t>
  </si>
  <si>
    <t>X-Fire V4</t>
  </si>
  <si>
    <t>https://www.windsurfing.pl/equipment-catalog/?eqtype=1&amp;eqbrand=45&amp;eqyear=2013</t>
  </si>
  <si>
    <t>Brand#</t>
  </si>
  <si>
    <t>https://www.windsurfing.pl/equipment-catalog/?eqtype=1&amp;eqbrand=</t>
  </si>
  <si>
    <t>45&amp;eqyear=2013</t>
  </si>
  <si>
    <t>JP</t>
  </si>
  <si>
    <t>Fanatic</t>
  </si>
  <si>
    <t>Mistral</t>
  </si>
  <si>
    <t>Tabou</t>
  </si>
  <si>
    <t>Tiga</t>
  </si>
  <si>
    <t>Naish</t>
  </si>
  <si>
    <t>rYear</t>
  </si>
  <si>
    <t>F2</t>
  </si>
  <si>
    <t>AHD</t>
  </si>
  <si>
    <t>Attack</t>
  </si>
  <si>
    <t>BIC</t>
  </si>
  <si>
    <t>Excocet</t>
  </si>
  <si>
    <t>https://www.windsurfing.pl/equipment/7047,rrd-x-fire-ltd-v5-90</t>
  </si>
  <si>
    <t>Starboard</t>
  </si>
  <si>
    <t>Atom IQ</t>
  </si>
  <si>
    <t>84 x 239 cm</t>
  </si>
  <si>
    <t>Atom IQ 100 Tufskin</t>
  </si>
  <si>
    <t>68 x 235 cm</t>
  </si>
  <si>
    <t>Atom IQ carbon 110</t>
  </si>
  <si>
    <t>745 x 235 cm</t>
  </si>
  <si>
    <t>AtomIQ 120 Carbon</t>
  </si>
  <si>
    <t>80 x 247 cm</t>
  </si>
  <si>
    <t>Carve 111 wood</t>
  </si>
  <si>
    <t>665 x 246 cm</t>
  </si>
  <si>
    <t>Fórmula 167 blue</t>
  </si>
  <si>
    <t>208 x 100 cm</t>
  </si>
  <si>
    <t>165 l</t>
  </si>
  <si>
    <t>Formula (&gt;95)</t>
  </si>
  <si>
    <t>Futura</t>
  </si>
  <si>
    <t>72 x 246 cm</t>
  </si>
  <si>
    <t>Futura 104 carbon</t>
  </si>
  <si>
    <t>695 x 241 cm</t>
  </si>
  <si>
    <t>104 l</t>
  </si>
  <si>
    <t>Futura 104 wood</t>
  </si>
  <si>
    <t>Futura 114 carbon</t>
  </si>
  <si>
    <t>Futura 114 wood</t>
  </si>
  <si>
    <t>Futura 124 Carbon</t>
  </si>
  <si>
    <t>76 x 246 cm</t>
  </si>
  <si>
    <t>124 l</t>
  </si>
  <si>
    <t>Futura 124 Wood</t>
  </si>
  <si>
    <t>Futura 133 Wood</t>
  </si>
  <si>
    <t>765 x 2485 cm</t>
  </si>
  <si>
    <t>133 l</t>
  </si>
  <si>
    <t>Futura 134 Carbon</t>
  </si>
  <si>
    <t>Futura 134 Wood</t>
  </si>
  <si>
    <t>Futura 90 Wood</t>
  </si>
  <si>
    <t>62 x 238 cm</t>
  </si>
  <si>
    <t>Futura 93 wood</t>
  </si>
  <si>
    <t>93 l</t>
  </si>
  <si>
    <t>Futura 97 wood</t>
  </si>
  <si>
    <t>65 x 240 cm</t>
  </si>
  <si>
    <t>97 l</t>
  </si>
  <si>
    <t>Futura carbon</t>
  </si>
  <si>
    <t>Futura Carbon</t>
  </si>
  <si>
    <t>85 x 247 cm</t>
  </si>
  <si>
    <t>Go 139 Tufskin</t>
  </si>
  <si>
    <t>80 x 250 cm</t>
  </si>
  <si>
    <t>139 l</t>
  </si>
  <si>
    <t>Isonic</t>
  </si>
  <si>
    <t>71 x 231 cm</t>
  </si>
  <si>
    <t>107 l</t>
  </si>
  <si>
    <t>iSonic 107 Carbon</t>
  </si>
  <si>
    <t>70 x 231 cm</t>
  </si>
  <si>
    <t>iSonic 107 wood</t>
  </si>
  <si>
    <t>iSonic 110 Carbon</t>
  </si>
  <si>
    <t>75 x 230 cm</t>
  </si>
  <si>
    <t>Isonic 117</t>
  </si>
  <si>
    <t>805 x 228 cm</t>
  </si>
  <si>
    <t>117 l</t>
  </si>
  <si>
    <t>iSonic 117 wood</t>
  </si>
  <si>
    <t>80 x 228 cm</t>
  </si>
  <si>
    <t>Isonic 120 carbon</t>
  </si>
  <si>
    <t>iSonic 130 Carbon</t>
  </si>
  <si>
    <t>Isonic 80 Wood</t>
  </si>
  <si>
    <t>585 x 232 cm</t>
  </si>
  <si>
    <t>isonic 87 Carbon</t>
  </si>
  <si>
    <t>60 x 234 cm</t>
  </si>
  <si>
    <t>87 l</t>
  </si>
  <si>
    <t>iSonic 87 wood</t>
  </si>
  <si>
    <t>Isonic 90 Carbon</t>
  </si>
  <si>
    <t>63 x 228 cm</t>
  </si>
  <si>
    <t>iSonic 97 Carbon</t>
  </si>
  <si>
    <t>655 x 230 cm</t>
  </si>
  <si>
    <t>Isonic 97 wood</t>
  </si>
  <si>
    <t>66 x 231 cm</t>
  </si>
  <si>
    <t>Isonic carbon</t>
  </si>
  <si>
    <t>I-Sonic Speed 54</t>
  </si>
  <si>
    <t>545 x 230 cm</t>
  </si>
  <si>
    <t>72 l</t>
  </si>
  <si>
    <t>iSonic speed special w44</t>
  </si>
  <si>
    <t>44 x 230 cm</t>
  </si>
  <si>
    <t>Isonic speed special W49</t>
  </si>
  <si>
    <t>49 x 230 cm</t>
  </si>
  <si>
    <t>64 l</t>
  </si>
  <si>
    <t>iSonic Speed Special W54</t>
  </si>
  <si>
    <t>54 x 230 cm</t>
  </si>
  <si>
    <t>iSonics carbon</t>
  </si>
  <si>
    <t>Kode 87 Wood Carbon</t>
  </si>
  <si>
    <t>61 x 230 cm</t>
  </si>
  <si>
    <t>Kode FreeWave Wood</t>
  </si>
  <si>
    <t>61 x 234 cm</t>
  </si>
  <si>
    <t>94 l</t>
  </si>
  <si>
    <t>No idea</t>
  </si>
  <si>
    <t>85 x 223 cm</t>
  </si>
  <si>
    <t>147 l</t>
  </si>
  <si>
    <t>Slalom One</t>
  </si>
  <si>
    <t>Speed special 58</t>
  </si>
  <si>
    <t>58 x 235 cm</t>
  </si>
  <si>
    <t>82 l</t>
  </si>
  <si>
    <t>Starboard AtomIQ 140</t>
  </si>
  <si>
    <t>89 x 235 cm</t>
  </si>
  <si>
    <t>Ultrasonic Wood</t>
  </si>
  <si>
    <t>95 x 241 cm</t>
  </si>
  <si>
    <t>Windsup Touring Delux Inflatable</t>
  </si>
  <si>
    <t>79 x 384 cm</t>
  </si>
  <si>
    <t>335 l</t>
  </si>
  <si>
    <t>Special / Longboard</t>
  </si>
  <si>
    <t>User</t>
  </si>
  <si>
    <t>Erik</t>
  </si>
  <si>
    <t>Berra</t>
  </si>
  <si>
    <t>Dublett Berra</t>
  </si>
  <si>
    <t>AllWave</t>
  </si>
  <si>
    <t>85 l</t>
  </si>
  <si>
    <t>Eagle</t>
  </si>
  <si>
    <t>126 l</t>
  </si>
  <si>
    <t>Eagle 100</t>
  </si>
  <si>
    <t>63 x 245 cm</t>
  </si>
  <si>
    <t>Eagle 126</t>
  </si>
  <si>
    <t>69 x 249 cm</t>
  </si>
  <si>
    <t>Falcon</t>
  </si>
  <si>
    <t>61 x 245 cm</t>
  </si>
  <si>
    <t>Falcon 105</t>
  </si>
  <si>
    <t>67 x 245 cm</t>
  </si>
  <si>
    <t>Falcon 125</t>
  </si>
  <si>
    <t>76 x 245 cm</t>
  </si>
  <si>
    <t>125 l</t>
  </si>
  <si>
    <t>Falcon 145</t>
  </si>
  <si>
    <t>85 x 245 cm</t>
  </si>
  <si>
    <t>145 l</t>
  </si>
  <si>
    <t>Falcon 90</t>
  </si>
  <si>
    <t>Falcon 90 Proto</t>
  </si>
  <si>
    <t>Falcon Formula TT</t>
  </si>
  <si>
    <t>100 x 250 cm</t>
  </si>
  <si>
    <t>155 l</t>
  </si>
  <si>
    <t>Falcon prototype</t>
  </si>
  <si>
    <t>70 x 245 cm</t>
  </si>
  <si>
    <t>132 l</t>
  </si>
  <si>
    <t>Falcon SL 105</t>
  </si>
  <si>
    <t>Falcon SL 145</t>
  </si>
  <si>
    <t>Falcon SL90</t>
  </si>
  <si>
    <t>Falcon Slalom 105</t>
  </si>
  <si>
    <t>68 x 245 cm</t>
  </si>
  <si>
    <t>Falcon Speed</t>
  </si>
  <si>
    <t>69 l</t>
  </si>
  <si>
    <t>Freemove</t>
  </si>
  <si>
    <t>59 x 243 cm</t>
  </si>
  <si>
    <t>95 l</t>
  </si>
  <si>
    <t>Freewave</t>
  </si>
  <si>
    <t>56 x 236 cm</t>
  </si>
  <si>
    <t>Freewave 104</t>
  </si>
  <si>
    <t>64 x 241 cm</t>
  </si>
  <si>
    <t>Freewave 86</t>
  </si>
  <si>
    <t>58 x 239 cm</t>
  </si>
  <si>
    <t>86 l</t>
  </si>
  <si>
    <t>Freewave 95</t>
  </si>
  <si>
    <t>61 x 241 cm</t>
  </si>
  <si>
    <t>Hawk 108</t>
  </si>
  <si>
    <t>62 x 247 cm</t>
  </si>
  <si>
    <t>108 l</t>
  </si>
  <si>
    <t>Hawk 123</t>
  </si>
  <si>
    <t>66 x 249 cm</t>
  </si>
  <si>
    <t>123 l</t>
  </si>
  <si>
    <t>Shark</t>
  </si>
  <si>
    <t>75 x 260 cm</t>
  </si>
  <si>
    <t>Shark 130 Ltd</t>
  </si>
  <si>
    <t>70 x 258 cm</t>
  </si>
  <si>
    <t>Shark HRS 145 L</t>
  </si>
  <si>
    <t>75 x 263 cm</t>
  </si>
  <si>
    <t>Attitude Inspiro 79</t>
  </si>
  <si>
    <t>78 x 252 cm</t>
  </si>
  <si>
    <t>136 l</t>
  </si>
  <si>
    <t>Attitude Inspiro 87</t>
  </si>
  <si>
    <t>Formula 98 N.T.</t>
  </si>
  <si>
    <t>95 x 260 cm</t>
  </si>
  <si>
    <t>158 l</t>
  </si>
  <si>
    <t>GT Special 54</t>
  </si>
  <si>
    <t>54 x 242 cm</t>
  </si>
  <si>
    <t>78 l</t>
  </si>
  <si>
    <t>GT Special 73</t>
  </si>
  <si>
    <t>73 x 258 cm</t>
  </si>
  <si>
    <t>GT Special 86</t>
  </si>
  <si>
    <t>85 x 260 cm</t>
  </si>
  <si>
    <t>Kauli Pro 81</t>
  </si>
  <si>
    <t>55 x 240 cm</t>
  </si>
  <si>
    <t>81 l</t>
  </si>
  <si>
    <t>Maxx Ride 104</t>
  </si>
  <si>
    <t>66 x 250 cm</t>
  </si>
  <si>
    <t>Maxx Ride 92</t>
  </si>
  <si>
    <t>62 x 250 cm</t>
  </si>
  <si>
    <t>Mx 57</t>
  </si>
  <si>
    <t>58 x 250 cm</t>
  </si>
  <si>
    <t>Type F 64</t>
  </si>
  <si>
    <t>64 x 256 cm</t>
  </si>
  <si>
    <t>106 l</t>
  </si>
  <si>
    <t>Type F 75</t>
  </si>
  <si>
    <t>75 x 262 cm</t>
  </si>
  <si>
    <t>Type F 85</t>
  </si>
  <si>
    <t>85 x 262 cm</t>
  </si>
  <si>
    <t>86 x 255 cm</t>
  </si>
  <si>
    <t>153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</si>
</sst>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Arial Narrow"/>
      <family val="2"/>
    </font>
    <font>
      <b/>
      <sz val="9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1"/>
    <xf numFmtId="0" fontId="1" fillId="0" borderId="0" xfId="0" applyFont="1"/>
    <xf numFmtId="0" fontId="3" fillId="0" borderId="0" xfId="0" applyFont="1"/>
    <xf numFmtId="0" fontId="1" fillId="2" borderId="0" xfId="0" applyFont="1" applyFill="1"/>
    <xf numFmtId="0" fontId="1" fillId="3" borderId="0" xfId="0" applyFont="1" applyFill="1"/>
    <xf numFmtId="0" fontId="0" fillId="4" borderId="0" xfId="0" applyFill="1"/>
    <xf numFmtId="0" fontId="2" fillId="0" borderId="0" xfId="1" applyFill="1"/>
    <xf numFmtId="0" fontId="1" fillId="4" borderId="0" xfId="0" applyFont="1" applyFill="1"/>
    <xf numFmtId="0" fontId="0" fillId="5" borderId="0" xfId="0" applyFill="1"/>
    <xf numFmtId="0" fontId="2" fillId="5" borderId="0" xfId="1" applyFill="1"/>
    <xf numFmtId="0" fontId="2" fillId="4" borderId="0" xfId="1" applyFill="1"/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5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409575</xdr:colOff>
      <xdr:row>39</xdr:row>
      <xdr:rowOff>14540</xdr:rowOff>
    </xdr:from>
    <xdr:to>
      <xdr:col>26</xdr:col>
      <xdr:colOff>115474</xdr:colOff>
      <xdr:row>61</xdr:row>
      <xdr:rowOff>48479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46E935-3EBE-B22E-9191-187E366B1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63675" y="7482140"/>
          <a:ext cx="5801899" cy="4224939"/>
        </a:xfrm>
        <a:prstGeom prst="rect">
          <a:avLst/>
        </a:prstGeom>
      </xdr:spPr>
    </xdr:pic>
    <xdr:clientData/>
  </xdr:twoCellAnchor>
  <xdr:twoCellAnchor editAs="oneCell">
    <xdr:from>
      <xdr:col>16</xdr:col>
      <xdr:colOff>388606</xdr:colOff>
      <xdr:row>18</xdr:row>
      <xdr:rowOff>85724</xdr:rowOff>
    </xdr:from>
    <xdr:to>
      <xdr:col>25</xdr:col>
      <xdr:colOff>420177</xdr:colOff>
      <xdr:row>38</xdr:row>
      <xdr:rowOff>29307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01AC32-D44C-1721-F431-8BB65A79B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42706" y="3552824"/>
          <a:ext cx="5517971" cy="37535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windsurfing.pl/equipment/7047,rrd-x-fire-ltd-v5-90" TargetMode="External"/><Relationship Id="rId1" Type="http://schemas.openxmlformats.org/officeDocument/2006/relationships/hyperlink" Target="https://www.windsurfing.pl/equipment-catalog/?eqtype=1&amp;eqbrand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76202-A1A0-4430-9DEF-EFCA8AEA998F}">
  <dimension ref="A1:L194"/>
  <sheetViews>
    <sheetView workbookViewId="0">
      <pane ySplit="2" topLeftCell="A173" activePane="bottomLeft" state="frozen"/>
      <selection pane="bottomLeft" activeCell="A186" sqref="A186"/>
    </sheetView>
  </sheetViews>
  <sheetFormatPr defaultRowHeight="15" x14ac:dyDescent="0.25"/>
  <cols>
    <col min="1" max="1" width="12.85546875" style="14" bestFit="1" customWidth="1"/>
    <col min="2" max="2" width="10" customWidth="1"/>
    <col min="5" max="5" width="24" bestFit="1" customWidth="1"/>
    <col min="6" max="6" width="37" bestFit="1" customWidth="1"/>
    <col min="7" max="7" width="10.28515625" bestFit="1" customWidth="1"/>
    <col min="8" max="8" width="7.28515625" bestFit="1" customWidth="1"/>
    <col min="9" max="9" width="23.140625" bestFit="1" customWidth="1"/>
    <col min="12" max="12" width="26.28515625" customWidth="1"/>
  </cols>
  <sheetData>
    <row r="1" spans="1:12" s="3" customFormat="1" ht="13.5" x14ac:dyDescent="0.25">
      <c r="A1" s="13"/>
      <c r="F1" s="3" t="s">
        <v>102</v>
      </c>
    </row>
    <row r="2" spans="1:12" ht="19.5" customHeight="1" x14ac:dyDescent="0.25">
      <c r="A2" s="12" t="s">
        <v>317</v>
      </c>
      <c r="B2" s="4" t="s">
        <v>0</v>
      </c>
      <c r="C2" s="4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4" t="s">
        <v>103</v>
      </c>
    </row>
    <row r="3" spans="1:12" x14ac:dyDescent="0.25">
      <c r="B3">
        <v>1</v>
      </c>
      <c r="C3">
        <v>6821</v>
      </c>
      <c r="D3" t="s">
        <v>10</v>
      </c>
      <c r="E3" t="s">
        <v>11</v>
      </c>
      <c r="F3" t="s">
        <v>12</v>
      </c>
      <c r="G3" t="s">
        <v>13</v>
      </c>
      <c r="H3">
        <v>2014</v>
      </c>
      <c r="I3" t="s">
        <v>14</v>
      </c>
      <c r="J3">
        <v>9</v>
      </c>
      <c r="K3">
        <v>1</v>
      </c>
      <c r="L3" s="1" t="str">
        <f t="shared" ref="L3:L34" si="0">HYPERLINK(_xlfn.CONCAT($F$1,C3),E3)</f>
        <v>Custom Aurelio Verdi</v>
      </c>
    </row>
    <row r="4" spans="1:12" x14ac:dyDescent="0.25">
      <c r="B4">
        <v>2</v>
      </c>
      <c r="C4">
        <v>7087</v>
      </c>
      <c r="D4" t="s">
        <v>10</v>
      </c>
      <c r="E4" t="s">
        <v>11</v>
      </c>
      <c r="F4" t="s">
        <v>15</v>
      </c>
      <c r="G4" t="s">
        <v>16</v>
      </c>
      <c r="H4">
        <v>2014</v>
      </c>
      <c r="I4" t="s">
        <v>14</v>
      </c>
      <c r="J4">
        <v>5</v>
      </c>
      <c r="K4">
        <v>2</v>
      </c>
      <c r="L4" s="1" t="str">
        <f t="shared" si="0"/>
        <v>Custom Aurelio Verdi</v>
      </c>
    </row>
    <row r="5" spans="1:12" x14ac:dyDescent="0.25">
      <c r="B5">
        <v>3</v>
      </c>
      <c r="C5">
        <v>7217</v>
      </c>
      <c r="D5" t="s">
        <v>10</v>
      </c>
      <c r="E5" t="s">
        <v>11</v>
      </c>
      <c r="F5" t="s">
        <v>17</v>
      </c>
      <c r="G5" t="s">
        <v>18</v>
      </c>
      <c r="H5">
        <v>2014</v>
      </c>
      <c r="I5" t="s">
        <v>14</v>
      </c>
      <c r="J5">
        <v>6</v>
      </c>
      <c r="K5">
        <v>2</v>
      </c>
      <c r="L5" s="1" t="str">
        <f t="shared" si="0"/>
        <v>Custom Aurelio Verdi</v>
      </c>
    </row>
    <row r="6" spans="1:12" x14ac:dyDescent="0.25">
      <c r="B6">
        <v>4</v>
      </c>
      <c r="C6">
        <v>10820</v>
      </c>
      <c r="D6" t="s">
        <v>10</v>
      </c>
      <c r="E6" t="s">
        <v>19</v>
      </c>
      <c r="F6" t="s">
        <v>20</v>
      </c>
      <c r="G6" t="s">
        <v>21</v>
      </c>
      <c r="H6">
        <v>2014</v>
      </c>
      <c r="I6" t="s">
        <v>22</v>
      </c>
      <c r="J6">
        <v>83</v>
      </c>
      <c r="K6">
        <v>1</v>
      </c>
      <c r="L6" s="1" t="str">
        <f t="shared" si="0"/>
        <v>Fire Storm Wood V2</v>
      </c>
    </row>
    <row r="7" spans="1:12" x14ac:dyDescent="0.25">
      <c r="B7">
        <v>5</v>
      </c>
      <c r="C7">
        <v>5783</v>
      </c>
      <c r="D7" t="s">
        <v>10</v>
      </c>
      <c r="E7" t="s">
        <v>23</v>
      </c>
      <c r="F7" t="s">
        <v>24</v>
      </c>
      <c r="G7" t="s">
        <v>25</v>
      </c>
      <c r="H7">
        <v>2014</v>
      </c>
      <c r="I7" t="s">
        <v>26</v>
      </c>
      <c r="J7">
        <v>53</v>
      </c>
      <c r="K7">
        <v>3</v>
      </c>
      <c r="L7" s="1" t="str">
        <f t="shared" si="0"/>
        <v>Firemove Ltd V2 102</v>
      </c>
    </row>
    <row r="8" spans="1:12" x14ac:dyDescent="0.25">
      <c r="B8">
        <v>6</v>
      </c>
      <c r="C8">
        <v>5784</v>
      </c>
      <c r="D8" t="s">
        <v>10</v>
      </c>
      <c r="E8" t="s">
        <v>27</v>
      </c>
      <c r="F8" t="s">
        <v>28</v>
      </c>
      <c r="G8" t="s">
        <v>29</v>
      </c>
      <c r="H8">
        <v>2014</v>
      </c>
      <c r="I8" t="s">
        <v>26</v>
      </c>
      <c r="J8">
        <v>13</v>
      </c>
      <c r="K8">
        <v>4</v>
      </c>
      <c r="L8" s="1" t="str">
        <f t="shared" si="0"/>
        <v>Firemove Ltd V2 112</v>
      </c>
    </row>
    <row r="9" spans="1:12" x14ac:dyDescent="0.25">
      <c r="B9">
        <v>7</v>
      </c>
      <c r="C9">
        <v>5785</v>
      </c>
      <c r="D9" t="s">
        <v>10</v>
      </c>
      <c r="E9" t="s">
        <v>30</v>
      </c>
      <c r="F9" t="s">
        <v>31</v>
      </c>
      <c r="G9" t="s">
        <v>32</v>
      </c>
      <c r="H9">
        <v>2014</v>
      </c>
      <c r="I9" t="s">
        <v>26</v>
      </c>
      <c r="J9">
        <v>6</v>
      </c>
      <c r="K9">
        <v>2</v>
      </c>
      <c r="L9" s="1" t="str">
        <f t="shared" si="0"/>
        <v>Firemove Ltd V2 122</v>
      </c>
    </row>
    <row r="10" spans="1:12" x14ac:dyDescent="0.25">
      <c r="B10">
        <v>8</v>
      </c>
      <c r="C10">
        <v>5786</v>
      </c>
      <c r="D10" t="s">
        <v>10</v>
      </c>
      <c r="E10" t="s">
        <v>33</v>
      </c>
      <c r="F10" t="s">
        <v>34</v>
      </c>
      <c r="G10" t="s">
        <v>35</v>
      </c>
      <c r="H10">
        <v>2014</v>
      </c>
      <c r="I10" t="s">
        <v>26</v>
      </c>
      <c r="J10">
        <v>4</v>
      </c>
      <c r="K10">
        <v>2</v>
      </c>
      <c r="L10" s="1" t="str">
        <f t="shared" si="0"/>
        <v>Firemove Ltd V2 130</v>
      </c>
    </row>
    <row r="11" spans="1:12" x14ac:dyDescent="0.25">
      <c r="B11">
        <v>9</v>
      </c>
      <c r="C11">
        <v>5787</v>
      </c>
      <c r="D11" t="s">
        <v>10</v>
      </c>
      <c r="E11" t="s">
        <v>36</v>
      </c>
      <c r="F11" t="s">
        <v>37</v>
      </c>
      <c r="G11" t="s">
        <v>38</v>
      </c>
      <c r="H11">
        <v>2014</v>
      </c>
      <c r="I11" t="s">
        <v>26</v>
      </c>
      <c r="J11">
        <v>60</v>
      </c>
      <c r="K11">
        <v>5</v>
      </c>
      <c r="L11" s="1" t="str">
        <f t="shared" si="0"/>
        <v>Firemove Ltd V2 140</v>
      </c>
    </row>
    <row r="12" spans="1:12" x14ac:dyDescent="0.25">
      <c r="B12">
        <v>10</v>
      </c>
      <c r="C12">
        <v>13559</v>
      </c>
      <c r="D12" t="s">
        <v>10</v>
      </c>
      <c r="E12" t="s">
        <v>39</v>
      </c>
      <c r="F12" t="s">
        <v>37</v>
      </c>
      <c r="G12" t="s">
        <v>38</v>
      </c>
      <c r="H12">
        <v>2014</v>
      </c>
      <c r="I12" t="s">
        <v>26</v>
      </c>
      <c r="J12">
        <v>11</v>
      </c>
      <c r="K12">
        <v>1</v>
      </c>
      <c r="L12" s="1" t="str">
        <f t="shared" si="0"/>
        <v>Firemove V2 Wood</v>
      </c>
    </row>
    <row r="13" spans="1:12" x14ac:dyDescent="0.25">
      <c r="B13">
        <v>11</v>
      </c>
      <c r="C13">
        <v>9793</v>
      </c>
      <c r="D13" t="s">
        <v>10</v>
      </c>
      <c r="E13" t="s">
        <v>40</v>
      </c>
      <c r="F13" t="s">
        <v>41</v>
      </c>
      <c r="G13" t="s">
        <v>42</v>
      </c>
      <c r="H13">
        <v>2014</v>
      </c>
      <c r="I13" t="s">
        <v>43</v>
      </c>
      <c r="J13">
        <v>2</v>
      </c>
      <c r="L13" s="1" t="str">
        <f t="shared" si="0"/>
        <v>firestorm 111</v>
      </c>
    </row>
    <row r="14" spans="1:12" x14ac:dyDescent="0.25">
      <c r="B14">
        <v>12</v>
      </c>
      <c r="C14">
        <v>7194</v>
      </c>
      <c r="D14" t="s">
        <v>10</v>
      </c>
      <c r="E14" t="s">
        <v>44</v>
      </c>
      <c r="F14" t="s">
        <v>45</v>
      </c>
      <c r="G14" t="s">
        <v>46</v>
      </c>
      <c r="H14">
        <v>2014</v>
      </c>
      <c r="I14" t="s">
        <v>22</v>
      </c>
      <c r="J14">
        <v>44</v>
      </c>
      <c r="K14">
        <v>1</v>
      </c>
      <c r="L14" s="1" t="str">
        <f t="shared" si="0"/>
        <v>Firestorm LTD</v>
      </c>
    </row>
    <row r="15" spans="1:12" x14ac:dyDescent="0.25">
      <c r="B15">
        <v>13</v>
      </c>
      <c r="C15">
        <v>10003</v>
      </c>
      <c r="D15" t="s">
        <v>10</v>
      </c>
      <c r="E15" t="s">
        <v>47</v>
      </c>
      <c r="F15" t="s">
        <v>48</v>
      </c>
      <c r="G15" t="s">
        <v>49</v>
      </c>
      <c r="H15">
        <v>2014</v>
      </c>
      <c r="I15" t="s">
        <v>22</v>
      </c>
      <c r="J15">
        <v>73</v>
      </c>
      <c r="K15">
        <v>1</v>
      </c>
      <c r="L15" s="1" t="str">
        <f t="shared" si="0"/>
        <v>Firestorm LTD V2</v>
      </c>
    </row>
    <row r="16" spans="1:12" x14ac:dyDescent="0.25">
      <c r="B16">
        <v>14</v>
      </c>
      <c r="C16">
        <v>10368</v>
      </c>
      <c r="D16" t="s">
        <v>10</v>
      </c>
      <c r="E16" t="s">
        <v>50</v>
      </c>
      <c r="F16" t="s">
        <v>51</v>
      </c>
      <c r="G16" t="s">
        <v>52</v>
      </c>
      <c r="H16">
        <v>2014</v>
      </c>
      <c r="I16" t="s">
        <v>26</v>
      </c>
      <c r="J16">
        <v>52</v>
      </c>
      <c r="K16">
        <v>1</v>
      </c>
      <c r="L16" s="1" t="str">
        <f t="shared" si="0"/>
        <v>Firewave LTD</v>
      </c>
    </row>
    <row r="17" spans="1:12" x14ac:dyDescent="0.25">
      <c r="B17">
        <v>15</v>
      </c>
      <c r="C17">
        <v>9692</v>
      </c>
      <c r="D17" t="s">
        <v>10</v>
      </c>
      <c r="E17" t="s">
        <v>53</v>
      </c>
      <c r="F17" t="s">
        <v>54</v>
      </c>
      <c r="G17" t="s">
        <v>21</v>
      </c>
      <c r="H17">
        <v>2014</v>
      </c>
      <c r="I17" t="s">
        <v>22</v>
      </c>
      <c r="J17">
        <v>1</v>
      </c>
      <c r="L17" s="1" t="str">
        <f t="shared" si="0"/>
        <v>freerace</v>
      </c>
    </row>
    <row r="18" spans="1:12" x14ac:dyDescent="0.25">
      <c r="B18">
        <v>16</v>
      </c>
      <c r="C18">
        <v>8251</v>
      </c>
      <c r="D18" t="s">
        <v>10</v>
      </c>
      <c r="E18" t="s">
        <v>55</v>
      </c>
      <c r="F18" t="s">
        <v>56</v>
      </c>
      <c r="G18" t="s">
        <v>57</v>
      </c>
      <c r="H18">
        <v>2014</v>
      </c>
      <c r="I18" t="s">
        <v>58</v>
      </c>
      <c r="J18">
        <v>5</v>
      </c>
      <c r="L18" s="1" t="str">
        <f t="shared" si="0"/>
        <v>proto Firestorm V3 #053</v>
      </c>
    </row>
    <row r="19" spans="1:12" x14ac:dyDescent="0.25">
      <c r="B19">
        <v>17</v>
      </c>
      <c r="C19">
        <v>8266</v>
      </c>
      <c r="D19" t="s">
        <v>10</v>
      </c>
      <c r="E19" t="s">
        <v>59</v>
      </c>
      <c r="F19" t="s">
        <v>51</v>
      </c>
      <c r="G19" t="s">
        <v>60</v>
      </c>
      <c r="H19">
        <v>2014</v>
      </c>
      <c r="I19" t="s">
        <v>61</v>
      </c>
      <c r="J19">
        <v>5</v>
      </c>
      <c r="K19">
        <v>1</v>
      </c>
      <c r="L19" s="1" t="str">
        <f t="shared" si="0"/>
        <v>Proto X-Fire 98 V7</v>
      </c>
    </row>
    <row r="20" spans="1:12" x14ac:dyDescent="0.25">
      <c r="B20">
        <v>18</v>
      </c>
      <c r="C20">
        <v>10170</v>
      </c>
      <c r="D20" t="s">
        <v>10</v>
      </c>
      <c r="E20" t="s">
        <v>62</v>
      </c>
      <c r="F20" t="s">
        <v>63</v>
      </c>
      <c r="G20" t="s">
        <v>60</v>
      </c>
      <c r="H20">
        <v>2014</v>
      </c>
      <c r="I20" t="s">
        <v>43</v>
      </c>
      <c r="J20">
        <v>5</v>
      </c>
      <c r="L20" s="1" t="str">
        <f t="shared" si="0"/>
        <v>Slalom</v>
      </c>
    </row>
    <row r="21" spans="1:12" x14ac:dyDescent="0.25">
      <c r="B21">
        <v>19</v>
      </c>
      <c r="C21">
        <v>10287</v>
      </c>
      <c r="D21" t="s">
        <v>10</v>
      </c>
      <c r="E21" t="s">
        <v>64</v>
      </c>
      <c r="F21" t="s">
        <v>65</v>
      </c>
      <c r="G21" t="s">
        <v>66</v>
      </c>
      <c r="H21">
        <v>2014</v>
      </c>
      <c r="I21" t="s">
        <v>67</v>
      </c>
      <c r="J21">
        <v>4</v>
      </c>
      <c r="L21" s="1" t="str">
        <f t="shared" si="0"/>
        <v>Slalom Large Proto</v>
      </c>
    </row>
    <row r="22" spans="1:12" x14ac:dyDescent="0.25">
      <c r="B22">
        <v>20</v>
      </c>
      <c r="C22">
        <v>5797</v>
      </c>
      <c r="D22" t="s">
        <v>10</v>
      </c>
      <c r="E22" t="s">
        <v>68</v>
      </c>
      <c r="F22" t="s">
        <v>69</v>
      </c>
      <c r="G22" t="s">
        <v>70</v>
      </c>
      <c r="H22">
        <v>2014</v>
      </c>
      <c r="I22" t="s">
        <v>14</v>
      </c>
      <c r="J22">
        <v>28</v>
      </c>
      <c r="K22">
        <v>2</v>
      </c>
      <c r="L22" s="1" t="str">
        <f t="shared" si="0"/>
        <v>Speed 41</v>
      </c>
    </row>
    <row r="23" spans="1:12" x14ac:dyDescent="0.25">
      <c r="B23">
        <v>21</v>
      </c>
      <c r="C23">
        <v>9443</v>
      </c>
      <c r="D23" t="s">
        <v>10</v>
      </c>
      <c r="E23" t="s">
        <v>71</v>
      </c>
      <c r="F23" t="s">
        <v>72</v>
      </c>
      <c r="G23" t="s">
        <v>73</v>
      </c>
      <c r="H23">
        <v>2014</v>
      </c>
      <c r="I23" t="s">
        <v>14</v>
      </c>
      <c r="J23">
        <v>35</v>
      </c>
      <c r="K23">
        <v>3</v>
      </c>
      <c r="L23" s="1" t="str">
        <f t="shared" si="0"/>
        <v>Speed 43</v>
      </c>
    </row>
    <row r="24" spans="1:12" x14ac:dyDescent="0.25">
      <c r="B24">
        <v>22</v>
      </c>
      <c r="C24">
        <v>6951</v>
      </c>
      <c r="D24" t="s">
        <v>10</v>
      </c>
      <c r="E24" t="s">
        <v>74</v>
      </c>
      <c r="F24" t="s">
        <v>75</v>
      </c>
      <c r="G24" t="s">
        <v>76</v>
      </c>
      <c r="H24">
        <v>2014</v>
      </c>
      <c r="I24" t="s">
        <v>14</v>
      </c>
      <c r="J24">
        <v>9</v>
      </c>
      <c r="K24">
        <v>1</v>
      </c>
      <c r="L24" s="1" t="str">
        <f t="shared" si="0"/>
        <v>speed board</v>
      </c>
    </row>
    <row r="25" spans="1:12" x14ac:dyDescent="0.25">
      <c r="B25">
        <v>23</v>
      </c>
      <c r="C25">
        <v>7238</v>
      </c>
      <c r="D25" t="s">
        <v>10</v>
      </c>
      <c r="E25" t="s">
        <v>77</v>
      </c>
      <c r="F25" t="s">
        <v>51</v>
      </c>
      <c r="G25" t="s">
        <v>60</v>
      </c>
      <c r="H25">
        <v>2014</v>
      </c>
      <c r="I25" t="s">
        <v>58</v>
      </c>
      <c r="J25">
        <v>23</v>
      </c>
      <c r="K25">
        <v>2</v>
      </c>
      <c r="L25" s="1" t="str">
        <f t="shared" si="0"/>
        <v>x fire</v>
      </c>
    </row>
    <row r="26" spans="1:12" x14ac:dyDescent="0.25">
      <c r="B26">
        <v>24</v>
      </c>
      <c r="C26">
        <v>5753</v>
      </c>
      <c r="D26" t="s">
        <v>10</v>
      </c>
      <c r="E26" t="s">
        <v>78</v>
      </c>
      <c r="F26" t="s">
        <v>56</v>
      </c>
      <c r="G26" t="s">
        <v>79</v>
      </c>
      <c r="H26">
        <v>2014</v>
      </c>
      <c r="I26" t="s">
        <v>58</v>
      </c>
      <c r="J26">
        <v>612</v>
      </c>
      <c r="K26">
        <v>17</v>
      </c>
      <c r="L26" s="1" t="str">
        <f t="shared" si="0"/>
        <v>X-Fire LTD V6 105</v>
      </c>
    </row>
    <row r="27" spans="1:12" x14ac:dyDescent="0.25">
      <c r="B27">
        <v>25</v>
      </c>
      <c r="C27">
        <v>5703</v>
      </c>
      <c r="D27" t="s">
        <v>10</v>
      </c>
      <c r="E27" t="s">
        <v>80</v>
      </c>
      <c r="F27" t="s">
        <v>81</v>
      </c>
      <c r="G27" t="s">
        <v>82</v>
      </c>
      <c r="H27">
        <v>2014</v>
      </c>
      <c r="I27" t="s">
        <v>58</v>
      </c>
      <c r="J27">
        <v>840</v>
      </c>
      <c r="K27">
        <v>24</v>
      </c>
      <c r="L27" s="1" t="str">
        <f t="shared" si="0"/>
        <v>X-Fire LTD V6 114</v>
      </c>
    </row>
    <row r="28" spans="1:12" x14ac:dyDescent="0.25">
      <c r="B28">
        <v>26</v>
      </c>
      <c r="C28">
        <v>5796</v>
      </c>
      <c r="D28" t="s">
        <v>10</v>
      </c>
      <c r="E28" t="s">
        <v>83</v>
      </c>
      <c r="F28" t="s">
        <v>84</v>
      </c>
      <c r="G28" t="s">
        <v>32</v>
      </c>
      <c r="H28">
        <v>2014</v>
      </c>
      <c r="I28" t="s">
        <v>22</v>
      </c>
      <c r="J28">
        <v>134</v>
      </c>
      <c r="K28">
        <v>15</v>
      </c>
      <c r="L28" s="1" t="str">
        <f t="shared" si="0"/>
        <v>X-Fire LTD V6 122</v>
      </c>
    </row>
    <row r="29" spans="1:12" x14ac:dyDescent="0.25">
      <c r="B29">
        <v>27</v>
      </c>
      <c r="C29">
        <v>5702</v>
      </c>
      <c r="D29" t="s">
        <v>10</v>
      </c>
      <c r="E29" t="s">
        <v>85</v>
      </c>
      <c r="F29" t="s">
        <v>86</v>
      </c>
      <c r="G29" t="s">
        <v>21</v>
      </c>
      <c r="H29">
        <v>2014</v>
      </c>
      <c r="I29" t="s">
        <v>22</v>
      </c>
      <c r="J29">
        <v>64</v>
      </c>
      <c r="K29">
        <v>5</v>
      </c>
      <c r="L29" s="1" t="str">
        <f t="shared" si="0"/>
        <v>X-Fire LTD V6 129</v>
      </c>
    </row>
    <row r="30" spans="1:12" x14ac:dyDescent="0.25">
      <c r="A30" s="14" t="s">
        <v>319</v>
      </c>
      <c r="B30" s="6">
        <v>28</v>
      </c>
      <c r="C30" s="6">
        <v>5795</v>
      </c>
      <c r="D30" s="6" t="s">
        <v>10</v>
      </c>
      <c r="E30" s="6" t="s">
        <v>87</v>
      </c>
      <c r="F30" s="6" t="s">
        <v>88</v>
      </c>
      <c r="G30" s="6" t="s">
        <v>89</v>
      </c>
      <c r="H30" s="6">
        <v>2014</v>
      </c>
      <c r="I30" s="6" t="s">
        <v>61</v>
      </c>
      <c r="J30" s="6">
        <v>326</v>
      </c>
      <c r="K30" s="6">
        <v>13</v>
      </c>
      <c r="L30" s="11" t="str">
        <f t="shared" si="0"/>
        <v>X-Fire LTD V6 90</v>
      </c>
    </row>
    <row r="31" spans="1:12" x14ac:dyDescent="0.25">
      <c r="B31">
        <v>29</v>
      </c>
      <c r="C31">
        <v>5738</v>
      </c>
      <c r="D31" t="s">
        <v>10</v>
      </c>
      <c r="E31" t="s">
        <v>90</v>
      </c>
      <c r="F31" t="s">
        <v>51</v>
      </c>
      <c r="G31" t="s">
        <v>60</v>
      </c>
      <c r="H31">
        <v>2014</v>
      </c>
      <c r="I31" t="s">
        <v>61</v>
      </c>
      <c r="J31">
        <v>479</v>
      </c>
      <c r="K31">
        <v>18</v>
      </c>
      <c r="L31" s="1" t="str">
        <f t="shared" si="0"/>
        <v>X-Fire LTD V6 98</v>
      </c>
    </row>
    <row r="32" spans="1:12" x14ac:dyDescent="0.25">
      <c r="B32">
        <v>30</v>
      </c>
      <c r="C32">
        <v>7059</v>
      </c>
      <c r="D32" t="s">
        <v>10</v>
      </c>
      <c r="E32" t="s">
        <v>91</v>
      </c>
      <c r="F32" t="s">
        <v>56</v>
      </c>
      <c r="G32" t="s">
        <v>79</v>
      </c>
      <c r="H32">
        <v>2014</v>
      </c>
      <c r="I32" t="s">
        <v>58</v>
      </c>
      <c r="J32">
        <v>29</v>
      </c>
      <c r="K32">
        <v>4</v>
      </c>
      <c r="L32" s="1" t="str">
        <f t="shared" si="0"/>
        <v>X-Fire LTD V7 105</v>
      </c>
    </row>
    <row r="33" spans="1:12" x14ac:dyDescent="0.25">
      <c r="B33">
        <v>31</v>
      </c>
      <c r="C33">
        <v>7060</v>
      </c>
      <c r="D33" t="s">
        <v>10</v>
      </c>
      <c r="E33" t="s">
        <v>92</v>
      </c>
      <c r="F33" t="s">
        <v>81</v>
      </c>
      <c r="G33" t="s">
        <v>82</v>
      </c>
      <c r="H33">
        <v>2014</v>
      </c>
      <c r="I33" t="s">
        <v>58</v>
      </c>
      <c r="J33">
        <v>48</v>
      </c>
      <c r="K33">
        <v>4</v>
      </c>
      <c r="L33" s="1" t="str">
        <f t="shared" si="0"/>
        <v>X-Fire LTD V7 114</v>
      </c>
    </row>
    <row r="34" spans="1:12" x14ac:dyDescent="0.25">
      <c r="B34">
        <v>32</v>
      </c>
      <c r="C34">
        <v>7061</v>
      </c>
      <c r="D34" t="s">
        <v>10</v>
      </c>
      <c r="E34" t="s">
        <v>93</v>
      </c>
      <c r="F34" t="s">
        <v>84</v>
      </c>
      <c r="G34" t="s">
        <v>32</v>
      </c>
      <c r="H34">
        <v>2014</v>
      </c>
      <c r="I34" t="s">
        <v>22</v>
      </c>
      <c r="J34">
        <v>160</v>
      </c>
      <c r="K34">
        <v>3</v>
      </c>
      <c r="L34" s="1" t="str">
        <f t="shared" si="0"/>
        <v>X-Fire LTD V7 122</v>
      </c>
    </row>
    <row r="35" spans="1:12" x14ac:dyDescent="0.25">
      <c r="B35">
        <v>33</v>
      </c>
      <c r="C35">
        <v>7062</v>
      </c>
      <c r="D35" t="s">
        <v>10</v>
      </c>
      <c r="E35" t="s">
        <v>94</v>
      </c>
      <c r="F35" t="s">
        <v>86</v>
      </c>
      <c r="G35" t="s">
        <v>21</v>
      </c>
      <c r="H35">
        <v>2014</v>
      </c>
      <c r="I35" t="s">
        <v>22</v>
      </c>
      <c r="J35">
        <v>7</v>
      </c>
      <c r="K35">
        <v>1</v>
      </c>
      <c r="L35" s="1" t="str">
        <f t="shared" ref="L35:L66" si="1">HYPERLINK(_xlfn.CONCAT($F$1,C35),E35)</f>
        <v>X-Fire LTD V7 129</v>
      </c>
    </row>
    <row r="36" spans="1:12" x14ac:dyDescent="0.25">
      <c r="B36">
        <v>34</v>
      </c>
      <c r="C36">
        <v>7056</v>
      </c>
      <c r="D36" t="s">
        <v>10</v>
      </c>
      <c r="E36" t="s">
        <v>95</v>
      </c>
      <c r="F36" t="s">
        <v>96</v>
      </c>
      <c r="G36" t="s">
        <v>97</v>
      </c>
      <c r="H36">
        <v>2014</v>
      </c>
      <c r="I36" t="s">
        <v>61</v>
      </c>
      <c r="J36">
        <v>31</v>
      </c>
      <c r="K36">
        <v>1</v>
      </c>
      <c r="L36" s="1" t="str">
        <f t="shared" si="1"/>
        <v>X-Fire LTD V7 80</v>
      </c>
    </row>
    <row r="37" spans="1:12" x14ac:dyDescent="0.25">
      <c r="B37">
        <v>35</v>
      </c>
      <c r="C37">
        <v>7057</v>
      </c>
      <c r="D37" t="s">
        <v>10</v>
      </c>
      <c r="E37" t="s">
        <v>98</v>
      </c>
      <c r="F37" t="s">
        <v>88</v>
      </c>
      <c r="G37" t="s">
        <v>89</v>
      </c>
      <c r="H37">
        <v>2014</v>
      </c>
      <c r="I37" t="s">
        <v>61</v>
      </c>
      <c r="J37">
        <v>42</v>
      </c>
      <c r="K37">
        <v>1</v>
      </c>
      <c r="L37" s="1" t="str">
        <f t="shared" si="1"/>
        <v>X-Fire LTD V7 90</v>
      </c>
    </row>
    <row r="38" spans="1:12" x14ac:dyDescent="0.25">
      <c r="B38">
        <v>36</v>
      </c>
      <c r="C38">
        <v>7058</v>
      </c>
      <c r="D38" t="s">
        <v>10</v>
      </c>
      <c r="E38" t="s">
        <v>99</v>
      </c>
      <c r="F38" t="s">
        <v>51</v>
      </c>
      <c r="G38" t="s">
        <v>60</v>
      </c>
      <c r="H38">
        <v>2014</v>
      </c>
      <c r="I38" t="s">
        <v>58</v>
      </c>
      <c r="J38">
        <v>70</v>
      </c>
      <c r="K38">
        <v>3</v>
      </c>
      <c r="L38" s="1" t="str">
        <f t="shared" si="1"/>
        <v>X-Fire LTD V7 98</v>
      </c>
    </row>
    <row r="39" spans="1:12" x14ac:dyDescent="0.25">
      <c r="B39">
        <v>37</v>
      </c>
      <c r="C39">
        <v>14103</v>
      </c>
      <c r="D39" t="s">
        <v>10</v>
      </c>
      <c r="E39" t="s">
        <v>100</v>
      </c>
      <c r="F39" t="s">
        <v>86</v>
      </c>
      <c r="G39" t="s">
        <v>21</v>
      </c>
      <c r="H39">
        <v>2014</v>
      </c>
      <c r="I39" t="s">
        <v>22</v>
      </c>
      <c r="J39">
        <v>2</v>
      </c>
      <c r="K39">
        <v>1</v>
      </c>
      <c r="L39" s="1" t="str">
        <f t="shared" si="1"/>
        <v>X-Fire V5 LTD 128</v>
      </c>
    </row>
    <row r="40" spans="1:12" x14ac:dyDescent="0.25">
      <c r="A40" s="14" t="s">
        <v>320</v>
      </c>
      <c r="B40" s="9">
        <v>38</v>
      </c>
      <c r="C40" s="9">
        <v>5678</v>
      </c>
      <c r="D40" s="9" t="s">
        <v>10</v>
      </c>
      <c r="E40" s="9" t="s">
        <v>101</v>
      </c>
      <c r="F40" s="9" t="s">
        <v>88</v>
      </c>
      <c r="G40" s="9" t="s">
        <v>89</v>
      </c>
      <c r="H40" s="9">
        <v>2014</v>
      </c>
      <c r="I40" s="9" t="s">
        <v>61</v>
      </c>
      <c r="J40" s="9">
        <v>75</v>
      </c>
      <c r="K40" s="9">
        <v>3</v>
      </c>
      <c r="L40" s="10" t="str">
        <f t="shared" si="1"/>
        <v>XiFire LTD V6 90</v>
      </c>
    </row>
    <row r="41" spans="1:12" x14ac:dyDescent="0.25">
      <c r="B41">
        <v>39</v>
      </c>
      <c r="C41">
        <v>5581</v>
      </c>
      <c r="D41" t="s">
        <v>10</v>
      </c>
      <c r="E41" t="s">
        <v>104</v>
      </c>
      <c r="F41" t="s">
        <v>105</v>
      </c>
      <c r="G41" t="s">
        <v>106</v>
      </c>
      <c r="H41">
        <v>2013</v>
      </c>
      <c r="I41" t="s">
        <v>14</v>
      </c>
      <c r="J41">
        <v>17</v>
      </c>
      <c r="K41">
        <v>2</v>
      </c>
      <c r="L41" s="1" t="str">
        <f t="shared" si="1"/>
        <v>Custom Speed</v>
      </c>
    </row>
    <row r="42" spans="1:12" x14ac:dyDescent="0.25">
      <c r="B42">
        <v>40</v>
      </c>
      <c r="C42">
        <v>9415</v>
      </c>
      <c r="D42" t="s">
        <v>10</v>
      </c>
      <c r="E42" t="s">
        <v>107</v>
      </c>
      <c r="F42" t="s">
        <v>108</v>
      </c>
      <c r="G42" t="s">
        <v>35</v>
      </c>
      <c r="H42">
        <v>2013</v>
      </c>
      <c r="I42" t="s">
        <v>26</v>
      </c>
      <c r="J42">
        <v>7</v>
      </c>
      <c r="K42">
        <v>1</v>
      </c>
      <c r="L42" s="1" t="str">
        <f t="shared" si="1"/>
        <v>Firemove</v>
      </c>
    </row>
    <row r="43" spans="1:12" x14ac:dyDescent="0.25">
      <c r="B43">
        <v>41</v>
      </c>
      <c r="C43">
        <v>14364</v>
      </c>
      <c r="D43" t="s">
        <v>10</v>
      </c>
      <c r="E43" t="s">
        <v>109</v>
      </c>
      <c r="F43" t="s">
        <v>110</v>
      </c>
      <c r="G43" t="s">
        <v>111</v>
      </c>
      <c r="H43">
        <v>2013</v>
      </c>
      <c r="I43" t="s">
        <v>58</v>
      </c>
      <c r="L43" s="1" t="str">
        <f t="shared" si="1"/>
        <v>firemove</v>
      </c>
    </row>
    <row r="44" spans="1:12" x14ac:dyDescent="0.25">
      <c r="A44" s="15"/>
      <c r="B44">
        <v>42</v>
      </c>
      <c r="C44">
        <v>5553</v>
      </c>
      <c r="D44" t="s">
        <v>10</v>
      </c>
      <c r="E44" t="s">
        <v>112</v>
      </c>
      <c r="F44" t="s">
        <v>113</v>
      </c>
      <c r="G44" t="s">
        <v>46</v>
      </c>
      <c r="H44">
        <v>2013</v>
      </c>
      <c r="I44" t="s">
        <v>58</v>
      </c>
      <c r="J44">
        <v>4</v>
      </c>
      <c r="K44">
        <v>2</v>
      </c>
      <c r="L44" s="1" t="str">
        <f t="shared" si="1"/>
        <v>FireMove 120 LTD</v>
      </c>
    </row>
    <row r="45" spans="1:12" x14ac:dyDescent="0.25">
      <c r="B45">
        <v>43</v>
      </c>
      <c r="C45">
        <v>5554</v>
      </c>
      <c r="D45" t="s">
        <v>10</v>
      </c>
      <c r="E45" t="s">
        <v>114</v>
      </c>
      <c r="F45" t="s">
        <v>37</v>
      </c>
      <c r="G45" t="s">
        <v>38</v>
      </c>
      <c r="H45">
        <v>2013</v>
      </c>
      <c r="I45" t="s">
        <v>22</v>
      </c>
      <c r="J45">
        <v>4</v>
      </c>
      <c r="K45">
        <v>2</v>
      </c>
      <c r="L45" s="1" t="str">
        <f t="shared" si="1"/>
        <v>FireMove 140 LTD</v>
      </c>
    </row>
    <row r="46" spans="1:12" x14ac:dyDescent="0.25">
      <c r="B46">
        <v>44</v>
      </c>
      <c r="C46">
        <v>9928</v>
      </c>
      <c r="D46" t="s">
        <v>10</v>
      </c>
      <c r="E46" t="s">
        <v>115</v>
      </c>
      <c r="F46" t="s">
        <v>34</v>
      </c>
      <c r="G46" t="s">
        <v>35</v>
      </c>
      <c r="H46">
        <v>2013</v>
      </c>
      <c r="I46" t="s">
        <v>22</v>
      </c>
      <c r="J46">
        <v>7</v>
      </c>
      <c r="K46">
        <v>1</v>
      </c>
      <c r="L46" s="1" t="str">
        <f t="shared" si="1"/>
        <v>Firemove LTD</v>
      </c>
    </row>
    <row r="47" spans="1:12" x14ac:dyDescent="0.25">
      <c r="B47">
        <v>45</v>
      </c>
      <c r="C47">
        <v>5191</v>
      </c>
      <c r="D47" t="s">
        <v>10</v>
      </c>
      <c r="E47" t="s">
        <v>115</v>
      </c>
      <c r="F47" t="s">
        <v>116</v>
      </c>
      <c r="G47" t="s">
        <v>117</v>
      </c>
      <c r="H47">
        <v>2013</v>
      </c>
      <c r="I47" t="s">
        <v>43</v>
      </c>
      <c r="J47">
        <v>62</v>
      </c>
      <c r="K47">
        <v>2</v>
      </c>
      <c r="L47" s="1" t="str">
        <f t="shared" si="1"/>
        <v>Firemove LTD</v>
      </c>
    </row>
    <row r="48" spans="1:12" x14ac:dyDescent="0.25">
      <c r="B48">
        <v>46</v>
      </c>
      <c r="C48">
        <v>10208</v>
      </c>
      <c r="D48" t="s">
        <v>10</v>
      </c>
      <c r="E48" t="s">
        <v>118</v>
      </c>
      <c r="F48" t="s">
        <v>34</v>
      </c>
      <c r="G48" t="s">
        <v>35</v>
      </c>
      <c r="H48">
        <v>2013</v>
      </c>
      <c r="I48" t="s">
        <v>22</v>
      </c>
      <c r="J48">
        <v>11</v>
      </c>
      <c r="K48">
        <v>1</v>
      </c>
      <c r="L48" s="1" t="str">
        <f t="shared" si="1"/>
        <v>Firemove LTD 130</v>
      </c>
    </row>
    <row r="49" spans="1:12" x14ac:dyDescent="0.25">
      <c r="B49">
        <v>47</v>
      </c>
      <c r="C49">
        <v>5664</v>
      </c>
      <c r="D49" t="s">
        <v>10</v>
      </c>
      <c r="E49" t="s">
        <v>119</v>
      </c>
      <c r="F49" t="s">
        <v>120</v>
      </c>
      <c r="G49" t="s">
        <v>29</v>
      </c>
      <c r="H49">
        <v>2013</v>
      </c>
      <c r="I49" t="s">
        <v>43</v>
      </c>
      <c r="J49">
        <v>2</v>
      </c>
      <c r="K49">
        <v>2</v>
      </c>
      <c r="L49" s="1" t="str">
        <f t="shared" si="1"/>
        <v>firerace</v>
      </c>
    </row>
    <row r="50" spans="1:12" x14ac:dyDescent="0.25">
      <c r="B50">
        <v>48</v>
      </c>
      <c r="C50">
        <v>5425</v>
      </c>
      <c r="D50" t="s">
        <v>10</v>
      </c>
      <c r="E50" t="s">
        <v>121</v>
      </c>
      <c r="F50" t="s">
        <v>56</v>
      </c>
      <c r="G50" t="s">
        <v>25</v>
      </c>
      <c r="H50">
        <v>2013</v>
      </c>
      <c r="I50" t="s">
        <v>58</v>
      </c>
      <c r="J50">
        <v>4</v>
      </c>
      <c r="K50">
        <v>1</v>
      </c>
      <c r="L50" s="1" t="str">
        <f t="shared" si="1"/>
        <v>Firerace W-tech 102</v>
      </c>
    </row>
    <row r="51" spans="1:12" x14ac:dyDescent="0.25">
      <c r="B51">
        <v>49</v>
      </c>
      <c r="C51">
        <v>5426</v>
      </c>
      <c r="D51" t="s">
        <v>10</v>
      </c>
      <c r="E51" t="s">
        <v>122</v>
      </c>
      <c r="F51" t="s">
        <v>81</v>
      </c>
      <c r="G51" t="s">
        <v>29</v>
      </c>
      <c r="H51">
        <v>2013</v>
      </c>
      <c r="I51" t="s">
        <v>43</v>
      </c>
      <c r="J51">
        <v>10</v>
      </c>
      <c r="K51">
        <v>1</v>
      </c>
      <c r="L51" s="1" t="str">
        <f t="shared" si="1"/>
        <v>Firerace W-tech 112</v>
      </c>
    </row>
    <row r="52" spans="1:12" x14ac:dyDescent="0.25">
      <c r="B52">
        <v>50</v>
      </c>
      <c r="C52">
        <v>5576</v>
      </c>
      <c r="D52" t="s">
        <v>10</v>
      </c>
      <c r="E52" t="s">
        <v>123</v>
      </c>
      <c r="F52" t="s">
        <v>45</v>
      </c>
      <c r="G52" t="s">
        <v>46</v>
      </c>
      <c r="H52">
        <v>2013</v>
      </c>
      <c r="I52" t="s">
        <v>58</v>
      </c>
      <c r="J52">
        <v>26</v>
      </c>
      <c r="K52">
        <v>1</v>
      </c>
      <c r="L52" s="1" t="str">
        <f t="shared" si="1"/>
        <v>Firestorm 120 W-tech</v>
      </c>
    </row>
    <row r="53" spans="1:12" x14ac:dyDescent="0.25">
      <c r="B53">
        <v>51</v>
      </c>
      <c r="C53">
        <v>5555</v>
      </c>
      <c r="D53" t="s">
        <v>10</v>
      </c>
      <c r="E53" t="s">
        <v>124</v>
      </c>
      <c r="F53" t="s">
        <v>125</v>
      </c>
      <c r="G53" t="s">
        <v>25</v>
      </c>
      <c r="H53">
        <v>2013</v>
      </c>
      <c r="I53" t="s">
        <v>26</v>
      </c>
      <c r="J53">
        <v>1</v>
      </c>
      <c r="L53" s="1" t="str">
        <f t="shared" si="1"/>
        <v>FireWave 102 LTD</v>
      </c>
    </row>
    <row r="54" spans="1:12" x14ac:dyDescent="0.25">
      <c r="A54" s="16"/>
      <c r="B54">
        <v>52</v>
      </c>
      <c r="C54">
        <v>5492</v>
      </c>
      <c r="D54" t="s">
        <v>10</v>
      </c>
      <c r="E54" t="s">
        <v>126</v>
      </c>
      <c r="F54" t="s">
        <v>127</v>
      </c>
      <c r="G54" t="s">
        <v>128</v>
      </c>
      <c r="H54">
        <v>2013</v>
      </c>
      <c r="I54" t="s">
        <v>26</v>
      </c>
      <c r="J54">
        <v>29</v>
      </c>
      <c r="K54">
        <v>1</v>
      </c>
      <c r="L54" s="1" t="str">
        <f t="shared" si="1"/>
        <v>Freestyle Wave</v>
      </c>
    </row>
    <row r="55" spans="1:12" x14ac:dyDescent="0.25">
      <c r="B55">
        <v>53</v>
      </c>
      <c r="C55">
        <v>6930</v>
      </c>
      <c r="D55" t="s">
        <v>10</v>
      </c>
      <c r="E55" t="s">
        <v>129</v>
      </c>
      <c r="F55" t="s">
        <v>130</v>
      </c>
      <c r="G55" t="s">
        <v>89</v>
      </c>
      <c r="H55">
        <v>2013</v>
      </c>
      <c r="I55" t="s">
        <v>26</v>
      </c>
      <c r="J55">
        <v>4</v>
      </c>
      <c r="K55">
        <v>4</v>
      </c>
      <c r="L55" s="1" t="str">
        <f t="shared" si="1"/>
        <v>Freestyle Wave LTD</v>
      </c>
    </row>
    <row r="56" spans="1:12" x14ac:dyDescent="0.25">
      <c r="B56">
        <v>54</v>
      </c>
      <c r="C56">
        <v>10156</v>
      </c>
      <c r="D56" t="s">
        <v>10</v>
      </c>
      <c r="E56" t="s">
        <v>129</v>
      </c>
      <c r="F56" t="s">
        <v>131</v>
      </c>
      <c r="G56" t="s">
        <v>132</v>
      </c>
      <c r="H56">
        <v>2013</v>
      </c>
      <c r="I56" t="s">
        <v>26</v>
      </c>
      <c r="J56">
        <v>19</v>
      </c>
      <c r="K56">
        <v>1</v>
      </c>
      <c r="L56" s="1" t="str">
        <f t="shared" si="1"/>
        <v>Freestyle Wave LTD</v>
      </c>
    </row>
    <row r="57" spans="1:12" x14ac:dyDescent="0.25">
      <c r="B57">
        <v>55</v>
      </c>
      <c r="C57">
        <v>10490</v>
      </c>
      <c r="D57" t="s">
        <v>10</v>
      </c>
      <c r="E57" t="s">
        <v>133</v>
      </c>
      <c r="F57" t="s">
        <v>56</v>
      </c>
      <c r="G57" t="s">
        <v>25</v>
      </c>
      <c r="H57">
        <v>2013</v>
      </c>
      <c r="I57" t="s">
        <v>26</v>
      </c>
      <c r="J57">
        <v>2</v>
      </c>
      <c r="L57" s="1" t="str">
        <f t="shared" si="1"/>
        <v>FreeStyleWave</v>
      </c>
    </row>
    <row r="58" spans="1:12" x14ac:dyDescent="0.25">
      <c r="B58">
        <v>56</v>
      </c>
      <c r="C58">
        <v>10476</v>
      </c>
      <c r="D58" t="s">
        <v>10</v>
      </c>
      <c r="E58" t="s">
        <v>134</v>
      </c>
      <c r="F58" t="s">
        <v>56</v>
      </c>
      <c r="G58" t="s">
        <v>25</v>
      </c>
      <c r="H58">
        <v>2013</v>
      </c>
      <c r="I58" t="s">
        <v>26</v>
      </c>
      <c r="J58">
        <v>19</v>
      </c>
      <c r="K58">
        <v>2</v>
      </c>
      <c r="L58" s="1" t="str">
        <f t="shared" si="1"/>
        <v>Frrestyle Wave 102</v>
      </c>
    </row>
    <row r="59" spans="1:12" x14ac:dyDescent="0.25">
      <c r="B59">
        <v>57</v>
      </c>
      <c r="C59">
        <v>14962</v>
      </c>
      <c r="D59" t="s">
        <v>10</v>
      </c>
      <c r="E59" t="s">
        <v>62</v>
      </c>
      <c r="F59" t="s">
        <v>135</v>
      </c>
      <c r="G59" t="s">
        <v>79</v>
      </c>
      <c r="H59">
        <v>2013</v>
      </c>
      <c r="I59" t="s">
        <v>58</v>
      </c>
      <c r="L59" s="1" t="str">
        <f t="shared" si="1"/>
        <v>Slalom</v>
      </c>
    </row>
    <row r="60" spans="1:12" x14ac:dyDescent="0.25">
      <c r="B60">
        <v>58</v>
      </c>
      <c r="C60">
        <v>10426</v>
      </c>
      <c r="D60" t="s">
        <v>10</v>
      </c>
      <c r="E60" t="s">
        <v>136</v>
      </c>
      <c r="F60" t="s">
        <v>137</v>
      </c>
      <c r="G60" t="s">
        <v>89</v>
      </c>
      <c r="H60">
        <v>2013</v>
      </c>
      <c r="I60" t="s">
        <v>61</v>
      </c>
      <c r="J60">
        <v>1</v>
      </c>
      <c r="K60">
        <v>2</v>
      </c>
      <c r="L60" s="1" t="str">
        <f t="shared" si="1"/>
        <v>Slalom/speed</v>
      </c>
    </row>
    <row r="61" spans="1:12" x14ac:dyDescent="0.25">
      <c r="B61">
        <v>59</v>
      </c>
      <c r="C61">
        <v>10110</v>
      </c>
      <c r="D61" t="s">
        <v>10</v>
      </c>
      <c r="E61" t="s">
        <v>138</v>
      </c>
      <c r="F61" t="s">
        <v>139</v>
      </c>
      <c r="G61" t="s">
        <v>89</v>
      </c>
      <c r="H61">
        <v>2013</v>
      </c>
      <c r="I61" t="s">
        <v>61</v>
      </c>
      <c r="J61">
        <v>6</v>
      </c>
      <c r="K61">
        <v>1</v>
      </c>
      <c r="L61" s="1" t="str">
        <f t="shared" si="1"/>
        <v>X-fire LTD V5</v>
      </c>
    </row>
    <row r="62" spans="1:12" x14ac:dyDescent="0.25">
      <c r="B62">
        <v>60</v>
      </c>
      <c r="C62">
        <v>5312</v>
      </c>
      <c r="D62" t="s">
        <v>10</v>
      </c>
      <c r="E62" t="s">
        <v>140</v>
      </c>
      <c r="F62" t="s">
        <v>56</v>
      </c>
      <c r="G62" t="s">
        <v>79</v>
      </c>
      <c r="H62">
        <v>2013</v>
      </c>
      <c r="I62" t="s">
        <v>58</v>
      </c>
      <c r="J62">
        <v>309</v>
      </c>
      <c r="K62">
        <v>11</v>
      </c>
      <c r="L62" s="1" t="str">
        <f t="shared" si="1"/>
        <v>X-Fire LTD V5 105</v>
      </c>
    </row>
    <row r="63" spans="1:12" x14ac:dyDescent="0.25">
      <c r="B63">
        <v>61</v>
      </c>
      <c r="C63">
        <v>5313</v>
      </c>
      <c r="D63" t="s">
        <v>10</v>
      </c>
      <c r="E63" t="s">
        <v>141</v>
      </c>
      <c r="F63" t="s">
        <v>81</v>
      </c>
      <c r="G63" t="s">
        <v>82</v>
      </c>
      <c r="H63">
        <v>2013</v>
      </c>
      <c r="I63" t="s">
        <v>58</v>
      </c>
      <c r="J63">
        <v>417</v>
      </c>
      <c r="K63">
        <v>15</v>
      </c>
      <c r="L63" s="1" t="str">
        <f t="shared" si="1"/>
        <v>X-Fire LTD V5 114</v>
      </c>
    </row>
    <row r="64" spans="1:12" x14ac:dyDescent="0.25">
      <c r="B64">
        <v>62</v>
      </c>
      <c r="C64">
        <v>5397</v>
      </c>
      <c r="D64" t="s">
        <v>10</v>
      </c>
      <c r="E64" t="s">
        <v>142</v>
      </c>
      <c r="F64" t="s">
        <v>81</v>
      </c>
      <c r="G64" t="s">
        <v>82</v>
      </c>
      <c r="H64">
        <v>2013</v>
      </c>
      <c r="I64" t="s">
        <v>58</v>
      </c>
      <c r="J64">
        <v>45</v>
      </c>
      <c r="K64">
        <v>9</v>
      </c>
      <c r="L64" s="1" t="str">
        <f t="shared" si="1"/>
        <v>X-Fire LTD V5 114 2013</v>
      </c>
    </row>
    <row r="65" spans="2:12" x14ac:dyDescent="0.25">
      <c r="B65">
        <v>63</v>
      </c>
      <c r="C65">
        <v>5314</v>
      </c>
      <c r="D65" t="s">
        <v>10</v>
      </c>
      <c r="E65" t="s">
        <v>143</v>
      </c>
      <c r="F65" t="s">
        <v>84</v>
      </c>
      <c r="G65" t="s">
        <v>32</v>
      </c>
      <c r="H65">
        <v>2013</v>
      </c>
      <c r="I65" t="s">
        <v>22</v>
      </c>
      <c r="J65">
        <v>242</v>
      </c>
      <c r="K65">
        <v>10</v>
      </c>
      <c r="L65" s="1" t="str">
        <f t="shared" si="1"/>
        <v>X-Fire LTD V5 122</v>
      </c>
    </row>
    <row r="66" spans="2:12" x14ac:dyDescent="0.25">
      <c r="B66">
        <v>64</v>
      </c>
      <c r="C66">
        <v>5315</v>
      </c>
      <c r="D66" t="s">
        <v>10</v>
      </c>
      <c r="E66" t="s">
        <v>144</v>
      </c>
      <c r="F66" t="s">
        <v>86</v>
      </c>
      <c r="G66" t="s">
        <v>21</v>
      </c>
      <c r="H66">
        <v>2013</v>
      </c>
      <c r="I66" t="s">
        <v>22</v>
      </c>
      <c r="J66">
        <v>214</v>
      </c>
      <c r="K66">
        <v>14</v>
      </c>
      <c r="L66" s="1" t="str">
        <f t="shared" si="1"/>
        <v>X-Fire LTD V5 129</v>
      </c>
    </row>
    <row r="67" spans="2:12" x14ac:dyDescent="0.25">
      <c r="B67">
        <v>65</v>
      </c>
      <c r="C67">
        <v>5311</v>
      </c>
      <c r="D67" t="s">
        <v>10</v>
      </c>
      <c r="E67" t="s">
        <v>145</v>
      </c>
      <c r="F67" t="s">
        <v>137</v>
      </c>
      <c r="G67" t="s">
        <v>89</v>
      </c>
      <c r="H67">
        <v>2013</v>
      </c>
      <c r="I67" t="s">
        <v>61</v>
      </c>
      <c r="J67">
        <v>123</v>
      </c>
      <c r="K67">
        <v>7</v>
      </c>
      <c r="L67" s="1" t="str">
        <f t="shared" ref="L67:L98" si="2">HYPERLINK(_xlfn.CONCAT($F$1,C67),E67)</f>
        <v>X-Fire LTD V5 90</v>
      </c>
    </row>
    <row r="68" spans="2:12" x14ac:dyDescent="0.25">
      <c r="B68">
        <v>66</v>
      </c>
      <c r="C68">
        <v>5266</v>
      </c>
      <c r="D68" t="s">
        <v>10</v>
      </c>
      <c r="E68" t="s">
        <v>146</v>
      </c>
      <c r="F68" t="s">
        <v>51</v>
      </c>
      <c r="G68" t="s">
        <v>60</v>
      </c>
      <c r="H68">
        <v>2013</v>
      </c>
      <c r="I68" t="s">
        <v>58</v>
      </c>
      <c r="J68">
        <v>589</v>
      </c>
      <c r="K68">
        <v>24</v>
      </c>
      <c r="L68" s="1" t="str">
        <f t="shared" si="2"/>
        <v>X-Fire LTD V5 98</v>
      </c>
    </row>
    <row r="69" spans="2:12" x14ac:dyDescent="0.25">
      <c r="B69">
        <v>67</v>
      </c>
      <c r="C69">
        <v>5201</v>
      </c>
      <c r="D69" t="s">
        <v>10</v>
      </c>
      <c r="E69" t="s">
        <v>104</v>
      </c>
      <c r="F69" t="s">
        <v>105</v>
      </c>
      <c r="G69" t="s">
        <v>106</v>
      </c>
      <c r="H69">
        <v>2012</v>
      </c>
      <c r="I69" t="s">
        <v>14</v>
      </c>
      <c r="J69">
        <v>9</v>
      </c>
      <c r="K69">
        <v>3</v>
      </c>
      <c r="L69" s="1" t="str">
        <f t="shared" si="2"/>
        <v>Custom Speed</v>
      </c>
    </row>
    <row r="70" spans="2:12" x14ac:dyDescent="0.25">
      <c r="B70">
        <v>68</v>
      </c>
      <c r="C70">
        <v>4944</v>
      </c>
      <c r="D70" t="s">
        <v>10</v>
      </c>
      <c r="E70" t="s">
        <v>147</v>
      </c>
      <c r="F70" t="s">
        <v>148</v>
      </c>
      <c r="G70" t="s">
        <v>42</v>
      </c>
      <c r="H70">
        <v>2012</v>
      </c>
      <c r="I70" t="s">
        <v>58</v>
      </c>
      <c r="J70">
        <v>23</v>
      </c>
      <c r="K70">
        <v>2</v>
      </c>
      <c r="L70" s="1" t="str">
        <f t="shared" si="2"/>
        <v>Fire Storm 111</v>
      </c>
    </row>
    <row r="71" spans="2:12" x14ac:dyDescent="0.25">
      <c r="B71">
        <v>69</v>
      </c>
      <c r="C71">
        <v>6940</v>
      </c>
      <c r="D71" t="s">
        <v>10</v>
      </c>
      <c r="E71" t="s">
        <v>149</v>
      </c>
      <c r="F71" t="s">
        <v>48</v>
      </c>
      <c r="G71" t="s">
        <v>49</v>
      </c>
      <c r="H71">
        <v>2012</v>
      </c>
      <c r="I71" t="s">
        <v>58</v>
      </c>
      <c r="J71">
        <v>23</v>
      </c>
      <c r="K71">
        <v>3</v>
      </c>
      <c r="L71" s="1" t="str">
        <f t="shared" si="2"/>
        <v>Fire Storm 138 W-Tech</v>
      </c>
    </row>
    <row r="72" spans="2:12" x14ac:dyDescent="0.25">
      <c r="B72">
        <v>70</v>
      </c>
      <c r="C72">
        <v>5327</v>
      </c>
      <c r="D72" t="s">
        <v>10</v>
      </c>
      <c r="E72" t="s">
        <v>150</v>
      </c>
      <c r="F72" t="s">
        <v>48</v>
      </c>
      <c r="G72" t="s">
        <v>49</v>
      </c>
      <c r="H72">
        <v>2012</v>
      </c>
      <c r="I72" t="s">
        <v>58</v>
      </c>
      <c r="J72">
        <v>13</v>
      </c>
      <c r="K72">
        <v>3</v>
      </c>
      <c r="L72" s="1" t="str">
        <f t="shared" si="2"/>
        <v>Fire Strom LTD</v>
      </c>
    </row>
    <row r="73" spans="2:12" x14ac:dyDescent="0.25">
      <c r="B73">
        <v>71</v>
      </c>
      <c r="C73">
        <v>14552</v>
      </c>
      <c r="D73" t="s">
        <v>10</v>
      </c>
      <c r="E73" t="s">
        <v>151</v>
      </c>
      <c r="F73" t="s">
        <v>116</v>
      </c>
      <c r="G73" t="s">
        <v>117</v>
      </c>
      <c r="H73">
        <v>2012</v>
      </c>
      <c r="I73" t="s">
        <v>26</v>
      </c>
      <c r="J73">
        <v>6</v>
      </c>
      <c r="K73">
        <v>1</v>
      </c>
      <c r="L73" s="1" t="str">
        <f t="shared" si="2"/>
        <v>firemove 100</v>
      </c>
    </row>
    <row r="74" spans="2:12" x14ac:dyDescent="0.25">
      <c r="B74">
        <v>72</v>
      </c>
      <c r="C74">
        <v>13922</v>
      </c>
      <c r="D74" t="s">
        <v>10</v>
      </c>
      <c r="E74" t="s">
        <v>152</v>
      </c>
      <c r="F74" t="s">
        <v>116</v>
      </c>
      <c r="G74" t="s">
        <v>117</v>
      </c>
      <c r="H74">
        <v>2012</v>
      </c>
      <c r="I74" t="s">
        <v>58</v>
      </c>
      <c r="J74">
        <v>22</v>
      </c>
      <c r="K74">
        <v>2</v>
      </c>
      <c r="L74" s="1" t="str">
        <f t="shared" si="2"/>
        <v>FireMove 100 X-Tech</v>
      </c>
    </row>
    <row r="75" spans="2:12" x14ac:dyDescent="0.25">
      <c r="B75">
        <v>73</v>
      </c>
      <c r="C75">
        <v>14551</v>
      </c>
      <c r="D75" t="s">
        <v>10</v>
      </c>
      <c r="E75" t="s">
        <v>153</v>
      </c>
      <c r="F75" t="s">
        <v>154</v>
      </c>
      <c r="G75" t="s">
        <v>111</v>
      </c>
      <c r="H75">
        <v>2012</v>
      </c>
      <c r="I75" t="s">
        <v>26</v>
      </c>
      <c r="J75">
        <v>5</v>
      </c>
      <c r="K75">
        <v>1</v>
      </c>
      <c r="L75" s="1" t="str">
        <f t="shared" si="2"/>
        <v>firemove 110</v>
      </c>
    </row>
    <row r="76" spans="2:12" x14ac:dyDescent="0.25">
      <c r="B76">
        <v>74</v>
      </c>
      <c r="C76">
        <v>4965</v>
      </c>
      <c r="D76" t="s">
        <v>10</v>
      </c>
      <c r="E76" t="s">
        <v>155</v>
      </c>
      <c r="F76" t="s">
        <v>156</v>
      </c>
      <c r="G76" t="s">
        <v>111</v>
      </c>
      <c r="H76">
        <v>2012</v>
      </c>
      <c r="I76" t="s">
        <v>26</v>
      </c>
      <c r="J76">
        <v>2</v>
      </c>
      <c r="K76">
        <v>1</v>
      </c>
      <c r="L76" s="1" t="str">
        <f t="shared" si="2"/>
        <v>FireMove 110 X-Tech</v>
      </c>
    </row>
    <row r="77" spans="2:12" x14ac:dyDescent="0.25">
      <c r="B77">
        <v>75</v>
      </c>
      <c r="C77">
        <v>5398</v>
      </c>
      <c r="D77" t="s">
        <v>10</v>
      </c>
      <c r="E77" t="s">
        <v>157</v>
      </c>
      <c r="F77" t="s">
        <v>158</v>
      </c>
      <c r="G77" t="s">
        <v>46</v>
      </c>
      <c r="H77">
        <v>2012</v>
      </c>
      <c r="I77" t="s">
        <v>22</v>
      </c>
      <c r="J77">
        <v>25</v>
      </c>
      <c r="K77">
        <v>1</v>
      </c>
      <c r="L77" s="1" t="str">
        <f t="shared" si="2"/>
        <v>Firemove 120</v>
      </c>
    </row>
    <row r="78" spans="2:12" x14ac:dyDescent="0.25">
      <c r="B78">
        <v>76</v>
      </c>
      <c r="C78">
        <v>14541</v>
      </c>
      <c r="D78" t="s">
        <v>10</v>
      </c>
      <c r="E78" t="s">
        <v>115</v>
      </c>
      <c r="F78" t="s">
        <v>156</v>
      </c>
      <c r="G78" t="s">
        <v>111</v>
      </c>
      <c r="H78">
        <v>2012</v>
      </c>
      <c r="I78" t="s">
        <v>159</v>
      </c>
      <c r="J78">
        <v>1</v>
      </c>
      <c r="K78">
        <v>1</v>
      </c>
      <c r="L78" s="1" t="str">
        <f t="shared" si="2"/>
        <v>Firemove LTD</v>
      </c>
    </row>
    <row r="79" spans="2:12" x14ac:dyDescent="0.25">
      <c r="B79">
        <v>77</v>
      </c>
      <c r="C79">
        <v>5031</v>
      </c>
      <c r="D79" t="s">
        <v>10</v>
      </c>
      <c r="E79" t="s">
        <v>115</v>
      </c>
      <c r="F79" t="s">
        <v>156</v>
      </c>
      <c r="G79" t="s">
        <v>111</v>
      </c>
      <c r="H79">
        <v>2012</v>
      </c>
      <c r="I79" t="s">
        <v>159</v>
      </c>
      <c r="J79">
        <v>31</v>
      </c>
      <c r="K79">
        <v>1</v>
      </c>
      <c r="L79" s="1" t="str">
        <f t="shared" si="2"/>
        <v>Firemove LTD</v>
      </c>
    </row>
    <row r="80" spans="2:12" x14ac:dyDescent="0.25">
      <c r="B80">
        <v>78</v>
      </c>
      <c r="C80">
        <v>4921</v>
      </c>
      <c r="D80" t="s">
        <v>10</v>
      </c>
      <c r="E80" t="s">
        <v>115</v>
      </c>
      <c r="F80" t="s">
        <v>116</v>
      </c>
      <c r="G80" t="s">
        <v>117</v>
      </c>
      <c r="H80">
        <v>2012</v>
      </c>
      <c r="I80" t="s">
        <v>43</v>
      </c>
      <c r="J80">
        <v>4</v>
      </c>
      <c r="K80">
        <v>2</v>
      </c>
      <c r="L80" s="1" t="str">
        <f t="shared" si="2"/>
        <v>Firemove LTD</v>
      </c>
    </row>
    <row r="81" spans="2:12" x14ac:dyDescent="0.25">
      <c r="B81">
        <v>79</v>
      </c>
      <c r="C81">
        <v>4936</v>
      </c>
      <c r="D81" t="s">
        <v>10</v>
      </c>
      <c r="E81" t="s">
        <v>160</v>
      </c>
      <c r="F81" t="s">
        <v>116</v>
      </c>
      <c r="G81" t="s">
        <v>117</v>
      </c>
      <c r="H81">
        <v>2012</v>
      </c>
      <c r="I81" t="s">
        <v>43</v>
      </c>
      <c r="J81">
        <v>83</v>
      </c>
      <c r="K81">
        <v>4</v>
      </c>
      <c r="L81" s="1" t="str">
        <f t="shared" si="2"/>
        <v>Firemove LTD 100</v>
      </c>
    </row>
    <row r="82" spans="2:12" x14ac:dyDescent="0.25">
      <c r="B82">
        <v>80</v>
      </c>
      <c r="C82">
        <v>5032</v>
      </c>
      <c r="D82" t="s">
        <v>10</v>
      </c>
      <c r="E82" t="s">
        <v>161</v>
      </c>
      <c r="F82" t="s">
        <v>156</v>
      </c>
      <c r="G82" t="s">
        <v>111</v>
      </c>
      <c r="H82">
        <v>2012</v>
      </c>
      <c r="I82" t="s">
        <v>58</v>
      </c>
      <c r="J82">
        <v>130</v>
      </c>
      <c r="K82">
        <v>6</v>
      </c>
      <c r="L82" s="1" t="str">
        <f t="shared" si="2"/>
        <v>Firemove LTD 110</v>
      </c>
    </row>
    <row r="83" spans="2:12" x14ac:dyDescent="0.25">
      <c r="B83">
        <v>81</v>
      </c>
      <c r="C83">
        <v>5412</v>
      </c>
      <c r="D83" t="s">
        <v>10</v>
      </c>
      <c r="E83" t="s">
        <v>162</v>
      </c>
      <c r="F83" t="s">
        <v>163</v>
      </c>
      <c r="G83" t="s">
        <v>32</v>
      </c>
      <c r="H83">
        <v>2012</v>
      </c>
      <c r="I83" t="s">
        <v>22</v>
      </c>
      <c r="J83">
        <v>1</v>
      </c>
      <c r="K83">
        <v>1</v>
      </c>
      <c r="L83" s="1" t="str">
        <f t="shared" si="2"/>
        <v>Firerace V3 122</v>
      </c>
    </row>
    <row r="84" spans="2:12" x14ac:dyDescent="0.25">
      <c r="B84">
        <v>82</v>
      </c>
      <c r="C84">
        <v>7038</v>
      </c>
      <c r="D84" t="s">
        <v>10</v>
      </c>
      <c r="E84" t="s">
        <v>164</v>
      </c>
      <c r="F84" t="s">
        <v>165</v>
      </c>
      <c r="G84" t="s">
        <v>46</v>
      </c>
      <c r="H84">
        <v>2012</v>
      </c>
      <c r="I84" t="s">
        <v>58</v>
      </c>
      <c r="J84">
        <v>73</v>
      </c>
      <c r="K84">
        <v>3</v>
      </c>
      <c r="L84" s="1" t="str">
        <f t="shared" si="2"/>
        <v>Firestorm</v>
      </c>
    </row>
    <row r="85" spans="2:12" x14ac:dyDescent="0.25">
      <c r="B85">
        <v>83</v>
      </c>
      <c r="C85">
        <v>12125</v>
      </c>
      <c r="D85" t="s">
        <v>10</v>
      </c>
      <c r="E85" t="s">
        <v>126</v>
      </c>
      <c r="F85" t="s">
        <v>166</v>
      </c>
      <c r="G85" t="s">
        <v>128</v>
      </c>
      <c r="H85">
        <v>2012</v>
      </c>
      <c r="I85" t="s">
        <v>26</v>
      </c>
      <c r="J85">
        <v>3</v>
      </c>
      <c r="K85">
        <v>1</v>
      </c>
      <c r="L85" s="1" t="str">
        <f t="shared" si="2"/>
        <v>Freestyle Wave</v>
      </c>
    </row>
    <row r="86" spans="2:12" x14ac:dyDescent="0.25">
      <c r="B86">
        <v>84</v>
      </c>
      <c r="C86">
        <v>14198</v>
      </c>
      <c r="D86" t="s">
        <v>10</v>
      </c>
      <c r="E86" t="s">
        <v>167</v>
      </c>
      <c r="F86" t="s">
        <v>168</v>
      </c>
      <c r="G86" t="s">
        <v>89</v>
      </c>
      <c r="H86">
        <v>2012</v>
      </c>
      <c r="I86" t="s">
        <v>26</v>
      </c>
      <c r="J86">
        <v>4</v>
      </c>
      <c r="K86">
        <v>1</v>
      </c>
      <c r="L86" s="1" t="str">
        <f t="shared" si="2"/>
        <v>Freestyle Wave 90 X-Tech</v>
      </c>
    </row>
    <row r="87" spans="2:12" x14ac:dyDescent="0.25">
      <c r="B87">
        <v>85</v>
      </c>
      <c r="C87">
        <v>10193</v>
      </c>
      <c r="D87" t="s">
        <v>10</v>
      </c>
      <c r="E87" t="s">
        <v>169</v>
      </c>
      <c r="F87" t="s">
        <v>131</v>
      </c>
      <c r="G87" t="s">
        <v>132</v>
      </c>
      <c r="H87">
        <v>2012</v>
      </c>
      <c r="I87" t="s">
        <v>26</v>
      </c>
      <c r="J87">
        <v>33</v>
      </c>
      <c r="K87">
        <v>1</v>
      </c>
      <c r="L87" s="1" t="str">
        <f t="shared" si="2"/>
        <v>Freestyle Wave 96 LTD</v>
      </c>
    </row>
    <row r="88" spans="2:12" x14ac:dyDescent="0.25">
      <c r="B88">
        <v>86</v>
      </c>
      <c r="C88">
        <v>5018</v>
      </c>
      <c r="D88" t="s">
        <v>10</v>
      </c>
      <c r="E88" t="s">
        <v>170</v>
      </c>
      <c r="F88" t="s">
        <v>131</v>
      </c>
      <c r="G88" t="s">
        <v>132</v>
      </c>
      <c r="H88">
        <v>2012</v>
      </c>
      <c r="I88" t="s">
        <v>26</v>
      </c>
      <c r="J88">
        <v>1</v>
      </c>
      <c r="K88">
        <v>1</v>
      </c>
      <c r="L88" s="1" t="str">
        <f t="shared" si="2"/>
        <v>FreestyleWave</v>
      </c>
    </row>
    <row r="89" spans="2:12" x14ac:dyDescent="0.25">
      <c r="B89">
        <v>87</v>
      </c>
      <c r="C89">
        <v>5196</v>
      </c>
      <c r="D89" t="s">
        <v>10</v>
      </c>
      <c r="E89" t="s">
        <v>171</v>
      </c>
      <c r="F89" t="s">
        <v>172</v>
      </c>
      <c r="G89" t="s">
        <v>117</v>
      </c>
      <c r="H89">
        <v>2012</v>
      </c>
      <c r="I89" t="s">
        <v>26</v>
      </c>
      <c r="J89">
        <v>6</v>
      </c>
      <c r="K89">
        <v>3</v>
      </c>
      <c r="L89" s="1" t="str">
        <f t="shared" si="2"/>
        <v>TwinTip LTD</v>
      </c>
    </row>
    <row r="90" spans="2:12" x14ac:dyDescent="0.25">
      <c r="B90">
        <v>88</v>
      </c>
      <c r="C90">
        <v>4977</v>
      </c>
      <c r="D90" t="s">
        <v>10</v>
      </c>
      <c r="E90" t="s">
        <v>173</v>
      </c>
      <c r="F90" t="s">
        <v>174</v>
      </c>
      <c r="G90" t="s">
        <v>175</v>
      </c>
      <c r="H90">
        <v>2012</v>
      </c>
      <c r="I90" t="s">
        <v>43</v>
      </c>
      <c r="J90">
        <v>1</v>
      </c>
      <c r="K90">
        <v>1</v>
      </c>
      <c r="L90" s="1" t="str">
        <f t="shared" si="2"/>
        <v>wave cult</v>
      </c>
    </row>
    <row r="91" spans="2:12" x14ac:dyDescent="0.25">
      <c r="B91">
        <v>89</v>
      </c>
      <c r="C91">
        <v>15015</v>
      </c>
      <c r="D91" t="s">
        <v>10</v>
      </c>
      <c r="E91" t="s">
        <v>176</v>
      </c>
      <c r="F91" t="s">
        <v>177</v>
      </c>
      <c r="G91" t="s">
        <v>178</v>
      </c>
      <c r="H91">
        <v>2012</v>
      </c>
      <c r="I91" t="s">
        <v>58</v>
      </c>
      <c r="L91" s="1" t="str">
        <f t="shared" si="2"/>
        <v>X-fire</v>
      </c>
    </row>
    <row r="92" spans="2:12" x14ac:dyDescent="0.25">
      <c r="B92">
        <v>90</v>
      </c>
      <c r="C92">
        <v>14981</v>
      </c>
      <c r="D92" t="s">
        <v>10</v>
      </c>
      <c r="E92" t="s">
        <v>179</v>
      </c>
      <c r="F92" t="s">
        <v>180</v>
      </c>
      <c r="G92" t="s">
        <v>79</v>
      </c>
      <c r="H92">
        <v>2012</v>
      </c>
      <c r="I92" t="s">
        <v>61</v>
      </c>
      <c r="J92">
        <v>1</v>
      </c>
      <c r="L92" s="1" t="str">
        <f t="shared" si="2"/>
        <v>xfire 105</v>
      </c>
    </row>
    <row r="93" spans="2:12" x14ac:dyDescent="0.25">
      <c r="B93">
        <v>91</v>
      </c>
      <c r="C93">
        <v>5163</v>
      </c>
      <c r="D93" t="s">
        <v>10</v>
      </c>
      <c r="E93" t="s">
        <v>181</v>
      </c>
      <c r="F93" t="s">
        <v>96</v>
      </c>
      <c r="G93" t="s">
        <v>97</v>
      </c>
      <c r="H93">
        <v>2012</v>
      </c>
      <c r="I93" t="s">
        <v>182</v>
      </c>
      <c r="J93">
        <v>16</v>
      </c>
      <c r="K93">
        <v>3</v>
      </c>
      <c r="L93" s="1" t="str">
        <f t="shared" si="2"/>
        <v>X-Fire 80 V</v>
      </c>
    </row>
    <row r="94" spans="2:12" x14ac:dyDescent="0.25">
      <c r="B94">
        <v>92</v>
      </c>
      <c r="C94">
        <v>9639</v>
      </c>
      <c r="D94" t="s">
        <v>10</v>
      </c>
      <c r="E94" t="s">
        <v>183</v>
      </c>
      <c r="F94" t="s">
        <v>184</v>
      </c>
      <c r="G94" t="s">
        <v>79</v>
      </c>
      <c r="H94">
        <v>2012</v>
      </c>
      <c r="I94" t="s">
        <v>58</v>
      </c>
      <c r="J94">
        <v>5</v>
      </c>
      <c r="L94" s="1" t="str">
        <f t="shared" si="2"/>
        <v>X-Fire LTD 105</v>
      </c>
    </row>
    <row r="95" spans="2:12" x14ac:dyDescent="0.25">
      <c r="B95">
        <v>93</v>
      </c>
      <c r="C95">
        <v>4845</v>
      </c>
      <c r="D95" t="s">
        <v>10</v>
      </c>
      <c r="E95" t="s">
        <v>185</v>
      </c>
      <c r="F95" t="s">
        <v>163</v>
      </c>
      <c r="G95" t="s">
        <v>32</v>
      </c>
      <c r="H95">
        <v>2012</v>
      </c>
      <c r="I95" t="s">
        <v>22</v>
      </c>
      <c r="J95">
        <v>45</v>
      </c>
      <c r="K95">
        <v>8</v>
      </c>
      <c r="L95" s="1" t="str">
        <f t="shared" si="2"/>
        <v>X-Fire Ltd V3 122</v>
      </c>
    </row>
    <row r="96" spans="2:12" x14ac:dyDescent="0.25">
      <c r="B96">
        <v>94</v>
      </c>
      <c r="C96">
        <v>4868</v>
      </c>
      <c r="D96" t="s">
        <v>10</v>
      </c>
      <c r="E96" t="s">
        <v>186</v>
      </c>
      <c r="F96" t="s">
        <v>81</v>
      </c>
      <c r="G96" t="s">
        <v>82</v>
      </c>
      <c r="H96">
        <v>2012</v>
      </c>
      <c r="I96" t="s">
        <v>58</v>
      </c>
      <c r="J96">
        <v>29</v>
      </c>
      <c r="K96">
        <v>3</v>
      </c>
      <c r="L96" s="1" t="str">
        <f t="shared" si="2"/>
        <v>X-Fire LTD V4</v>
      </c>
    </row>
    <row r="97" spans="2:12" x14ac:dyDescent="0.25">
      <c r="B97">
        <v>95</v>
      </c>
      <c r="C97">
        <v>5012</v>
      </c>
      <c r="D97" t="s">
        <v>10</v>
      </c>
      <c r="E97" t="s">
        <v>187</v>
      </c>
      <c r="F97" t="s">
        <v>56</v>
      </c>
      <c r="G97" t="s">
        <v>79</v>
      </c>
      <c r="H97">
        <v>2012</v>
      </c>
      <c r="I97" t="s">
        <v>58</v>
      </c>
      <c r="J97">
        <v>135</v>
      </c>
      <c r="K97">
        <v>5</v>
      </c>
      <c r="L97" s="1" t="str">
        <f t="shared" si="2"/>
        <v>X-Fire LTD V4 105</v>
      </c>
    </row>
    <row r="98" spans="2:12" x14ac:dyDescent="0.25">
      <c r="B98">
        <v>96</v>
      </c>
      <c r="C98">
        <v>4870</v>
      </c>
      <c r="D98" t="s">
        <v>10</v>
      </c>
      <c r="E98" t="s">
        <v>188</v>
      </c>
      <c r="F98" t="s">
        <v>81</v>
      </c>
      <c r="G98" t="s">
        <v>82</v>
      </c>
      <c r="H98">
        <v>2012</v>
      </c>
      <c r="I98" t="s">
        <v>58</v>
      </c>
      <c r="J98">
        <v>431</v>
      </c>
      <c r="K98">
        <v>22</v>
      </c>
      <c r="L98" s="1" t="str">
        <f t="shared" si="2"/>
        <v>X-Fire LTD V4 114</v>
      </c>
    </row>
    <row r="99" spans="2:12" x14ac:dyDescent="0.25">
      <c r="B99">
        <v>97</v>
      </c>
      <c r="C99">
        <v>4954</v>
      </c>
      <c r="D99" t="s">
        <v>10</v>
      </c>
      <c r="E99" t="s">
        <v>189</v>
      </c>
      <c r="F99" t="s">
        <v>84</v>
      </c>
      <c r="G99" t="s">
        <v>32</v>
      </c>
      <c r="H99">
        <v>2012</v>
      </c>
      <c r="I99" t="s">
        <v>22</v>
      </c>
      <c r="J99">
        <v>373</v>
      </c>
      <c r="K99">
        <v>11</v>
      </c>
      <c r="L99" s="1" t="str">
        <f t="shared" ref="L99:L130" si="3">HYPERLINK(_xlfn.CONCAT($F$1,C99),E99)</f>
        <v>X-Fire LTD V4 122</v>
      </c>
    </row>
    <row r="100" spans="2:12" x14ac:dyDescent="0.25">
      <c r="B100">
        <v>98</v>
      </c>
      <c r="C100">
        <v>4946</v>
      </c>
      <c r="D100" t="s">
        <v>10</v>
      </c>
      <c r="E100" t="s">
        <v>190</v>
      </c>
      <c r="F100" t="s">
        <v>86</v>
      </c>
      <c r="G100" t="s">
        <v>191</v>
      </c>
      <c r="H100">
        <v>2012</v>
      </c>
      <c r="I100" t="s">
        <v>67</v>
      </c>
      <c r="J100">
        <v>79</v>
      </c>
      <c r="K100">
        <v>9</v>
      </c>
      <c r="L100" s="1" t="str">
        <f t="shared" si="3"/>
        <v>X-Fire LTD V4 129</v>
      </c>
    </row>
    <row r="101" spans="2:12" x14ac:dyDescent="0.25">
      <c r="B101">
        <v>99</v>
      </c>
      <c r="C101">
        <v>4869</v>
      </c>
      <c r="D101" t="s">
        <v>10</v>
      </c>
      <c r="E101" t="s">
        <v>192</v>
      </c>
      <c r="F101" t="s">
        <v>139</v>
      </c>
      <c r="G101" t="s">
        <v>89</v>
      </c>
      <c r="H101">
        <v>2012</v>
      </c>
      <c r="I101" t="s">
        <v>61</v>
      </c>
      <c r="J101">
        <v>121</v>
      </c>
      <c r="K101">
        <v>8</v>
      </c>
      <c r="L101" s="1" t="str">
        <f t="shared" si="3"/>
        <v>X-Fire LTD V4 90</v>
      </c>
    </row>
    <row r="102" spans="2:12" x14ac:dyDescent="0.25">
      <c r="B102">
        <v>100</v>
      </c>
      <c r="C102">
        <v>4927</v>
      </c>
      <c r="D102" t="s">
        <v>10</v>
      </c>
      <c r="E102" t="s">
        <v>193</v>
      </c>
      <c r="F102" t="s">
        <v>51</v>
      </c>
      <c r="G102" t="s">
        <v>60</v>
      </c>
      <c r="H102">
        <v>2012</v>
      </c>
      <c r="I102" t="s">
        <v>58</v>
      </c>
      <c r="J102">
        <v>282</v>
      </c>
      <c r="K102">
        <v>15</v>
      </c>
      <c r="L102" s="1" t="str">
        <f t="shared" si="3"/>
        <v>X-Fire LTD V4 98</v>
      </c>
    </row>
    <row r="103" spans="2:12" x14ac:dyDescent="0.25">
      <c r="B103">
        <v>101</v>
      </c>
      <c r="C103">
        <v>4888</v>
      </c>
      <c r="D103" t="s">
        <v>10</v>
      </c>
      <c r="E103" t="s">
        <v>194</v>
      </c>
      <c r="F103" t="s">
        <v>120</v>
      </c>
      <c r="G103" t="s">
        <v>29</v>
      </c>
      <c r="H103">
        <v>2012</v>
      </c>
      <c r="I103" t="s">
        <v>58</v>
      </c>
      <c r="J103">
        <v>106</v>
      </c>
      <c r="K103">
        <v>8</v>
      </c>
      <c r="L103" s="1" t="str">
        <f t="shared" si="3"/>
        <v>X-FIRE V3</v>
      </c>
    </row>
    <row r="104" spans="2:12" x14ac:dyDescent="0.25">
      <c r="B104">
        <v>102</v>
      </c>
      <c r="C104">
        <v>5010</v>
      </c>
      <c r="D104" t="s">
        <v>10</v>
      </c>
      <c r="E104" t="s">
        <v>195</v>
      </c>
      <c r="F104" t="s">
        <v>56</v>
      </c>
      <c r="G104" t="s">
        <v>79</v>
      </c>
      <c r="H104">
        <v>2012</v>
      </c>
      <c r="I104" t="s">
        <v>58</v>
      </c>
      <c r="J104">
        <v>6</v>
      </c>
      <c r="K104">
        <v>1</v>
      </c>
      <c r="L104" s="1" t="str">
        <f t="shared" si="3"/>
        <v>X-Fire V4</v>
      </c>
    </row>
    <row r="105" spans="2:12" x14ac:dyDescent="0.25">
      <c r="B105">
        <v>103</v>
      </c>
      <c r="C105">
        <v>9797</v>
      </c>
      <c r="D105" t="s">
        <v>213</v>
      </c>
      <c r="E105" t="s">
        <v>214</v>
      </c>
      <c r="F105" t="s">
        <v>215</v>
      </c>
      <c r="G105" t="s">
        <v>35</v>
      </c>
      <c r="H105">
        <v>2015</v>
      </c>
      <c r="I105" t="s">
        <v>43</v>
      </c>
      <c r="J105">
        <v>13</v>
      </c>
      <c r="L105" s="1" t="str">
        <f t="shared" si="3"/>
        <v>Atom IQ</v>
      </c>
    </row>
    <row r="106" spans="2:12" x14ac:dyDescent="0.25">
      <c r="B106">
        <v>104</v>
      </c>
      <c r="C106">
        <v>9435</v>
      </c>
      <c r="D106" t="s">
        <v>213</v>
      </c>
      <c r="E106" t="s">
        <v>216</v>
      </c>
      <c r="F106" t="s">
        <v>217</v>
      </c>
      <c r="G106" t="s">
        <v>117</v>
      </c>
      <c r="H106">
        <v>2015</v>
      </c>
      <c r="I106" t="s">
        <v>58</v>
      </c>
      <c r="J106">
        <v>7</v>
      </c>
      <c r="K106">
        <v>1</v>
      </c>
      <c r="L106" s="1" t="str">
        <f t="shared" si="3"/>
        <v>Atom IQ 100 Tufskin</v>
      </c>
    </row>
    <row r="107" spans="2:12" x14ac:dyDescent="0.25">
      <c r="B107">
        <v>105</v>
      </c>
      <c r="C107">
        <v>10159</v>
      </c>
      <c r="D107" t="s">
        <v>213</v>
      </c>
      <c r="E107" t="s">
        <v>218</v>
      </c>
      <c r="F107" t="s">
        <v>219</v>
      </c>
      <c r="G107" t="s">
        <v>111</v>
      </c>
      <c r="H107">
        <v>2015</v>
      </c>
      <c r="I107" t="s">
        <v>43</v>
      </c>
      <c r="J107">
        <v>15</v>
      </c>
      <c r="K107">
        <v>4</v>
      </c>
      <c r="L107" s="1" t="str">
        <f t="shared" si="3"/>
        <v>Atom IQ carbon 110</v>
      </c>
    </row>
    <row r="108" spans="2:12" x14ac:dyDescent="0.25">
      <c r="B108">
        <v>106</v>
      </c>
      <c r="C108">
        <v>8247</v>
      </c>
      <c r="D108" t="s">
        <v>213</v>
      </c>
      <c r="E108" t="s">
        <v>220</v>
      </c>
      <c r="F108" t="s">
        <v>221</v>
      </c>
      <c r="G108" t="s">
        <v>46</v>
      </c>
      <c r="H108">
        <v>2015</v>
      </c>
      <c r="I108" t="s">
        <v>22</v>
      </c>
      <c r="J108">
        <v>79</v>
      </c>
      <c r="K108">
        <v>6</v>
      </c>
      <c r="L108" s="1" t="str">
        <f t="shared" si="3"/>
        <v>AtomIQ 120 Carbon</v>
      </c>
    </row>
    <row r="109" spans="2:12" x14ac:dyDescent="0.25">
      <c r="B109">
        <v>107</v>
      </c>
      <c r="C109">
        <v>7094</v>
      </c>
      <c r="D109" t="s">
        <v>213</v>
      </c>
      <c r="E109" t="s">
        <v>222</v>
      </c>
      <c r="F109" t="s">
        <v>223</v>
      </c>
      <c r="G109" t="s">
        <v>42</v>
      </c>
      <c r="H109">
        <v>2015</v>
      </c>
      <c r="I109" t="s">
        <v>58</v>
      </c>
      <c r="J109">
        <v>1</v>
      </c>
      <c r="K109">
        <v>1</v>
      </c>
      <c r="L109" s="1" t="str">
        <f t="shared" si="3"/>
        <v>Carve 111 wood</v>
      </c>
    </row>
    <row r="110" spans="2:12" x14ac:dyDescent="0.25">
      <c r="B110">
        <v>108</v>
      </c>
      <c r="C110">
        <v>13707</v>
      </c>
      <c r="D110" t="s">
        <v>213</v>
      </c>
      <c r="E110" t="s">
        <v>224</v>
      </c>
      <c r="F110" t="s">
        <v>225</v>
      </c>
      <c r="G110" t="s">
        <v>226</v>
      </c>
      <c r="H110">
        <v>2015</v>
      </c>
      <c r="I110" t="s">
        <v>227</v>
      </c>
      <c r="J110">
        <v>60</v>
      </c>
      <c r="K110">
        <v>2</v>
      </c>
      <c r="L110" s="1" t="str">
        <f t="shared" si="3"/>
        <v>Fórmula 167 blue</v>
      </c>
    </row>
    <row r="111" spans="2:12" x14ac:dyDescent="0.25">
      <c r="B111">
        <v>109</v>
      </c>
      <c r="C111">
        <v>9581</v>
      </c>
      <c r="D111" t="s">
        <v>213</v>
      </c>
      <c r="E111" t="s">
        <v>228</v>
      </c>
      <c r="F111" t="s">
        <v>229</v>
      </c>
      <c r="G111" t="s">
        <v>82</v>
      </c>
      <c r="H111">
        <v>2015</v>
      </c>
      <c r="I111" t="s">
        <v>58</v>
      </c>
      <c r="J111">
        <v>4</v>
      </c>
      <c r="K111">
        <v>3</v>
      </c>
      <c r="L111" s="1" t="str">
        <f t="shared" si="3"/>
        <v>Futura</v>
      </c>
    </row>
    <row r="112" spans="2:12" x14ac:dyDescent="0.25">
      <c r="B112">
        <v>110</v>
      </c>
      <c r="C112">
        <v>7188</v>
      </c>
      <c r="D112" t="s">
        <v>213</v>
      </c>
      <c r="E112" t="s">
        <v>230</v>
      </c>
      <c r="F112" t="s">
        <v>231</v>
      </c>
      <c r="G112" t="s">
        <v>232</v>
      </c>
      <c r="H112">
        <v>2015</v>
      </c>
      <c r="I112" t="s">
        <v>43</v>
      </c>
      <c r="J112">
        <v>57</v>
      </c>
      <c r="K112">
        <v>2</v>
      </c>
      <c r="L112" s="1" t="str">
        <f t="shared" si="3"/>
        <v>Futura 104 carbon</v>
      </c>
    </row>
    <row r="113" spans="2:12" x14ac:dyDescent="0.25">
      <c r="B113">
        <v>111</v>
      </c>
      <c r="C113">
        <v>8291</v>
      </c>
      <c r="D113" t="s">
        <v>213</v>
      </c>
      <c r="E113" t="s">
        <v>233</v>
      </c>
      <c r="F113" t="s">
        <v>231</v>
      </c>
      <c r="G113" t="s">
        <v>232</v>
      </c>
      <c r="H113">
        <v>2015</v>
      </c>
      <c r="I113" t="s">
        <v>58</v>
      </c>
      <c r="J113">
        <v>57</v>
      </c>
      <c r="K113">
        <v>2</v>
      </c>
      <c r="L113" s="1" t="str">
        <f t="shared" si="3"/>
        <v>Futura 104 wood</v>
      </c>
    </row>
    <row r="114" spans="2:12" x14ac:dyDescent="0.25">
      <c r="B114">
        <v>112</v>
      </c>
      <c r="C114">
        <v>8329</v>
      </c>
      <c r="D114" t="s">
        <v>213</v>
      </c>
      <c r="E114" t="s">
        <v>234</v>
      </c>
      <c r="F114" t="s">
        <v>229</v>
      </c>
      <c r="G114" t="s">
        <v>82</v>
      </c>
      <c r="H114">
        <v>2015</v>
      </c>
      <c r="I114" t="s">
        <v>43</v>
      </c>
      <c r="J114">
        <v>55</v>
      </c>
      <c r="K114">
        <v>2</v>
      </c>
      <c r="L114" s="1" t="str">
        <f t="shared" si="3"/>
        <v>Futura 114 carbon</v>
      </c>
    </row>
    <row r="115" spans="2:12" x14ac:dyDescent="0.25">
      <c r="B115">
        <v>113</v>
      </c>
      <c r="C115">
        <v>7111</v>
      </c>
      <c r="D115" t="s">
        <v>213</v>
      </c>
      <c r="E115" t="s">
        <v>235</v>
      </c>
      <c r="F115" t="s">
        <v>229</v>
      </c>
      <c r="G115" t="s">
        <v>82</v>
      </c>
      <c r="H115">
        <v>2015</v>
      </c>
      <c r="I115" t="s">
        <v>58</v>
      </c>
      <c r="J115">
        <v>70</v>
      </c>
      <c r="K115">
        <v>8</v>
      </c>
      <c r="L115" s="1" t="str">
        <f t="shared" si="3"/>
        <v>Futura 114 wood</v>
      </c>
    </row>
    <row r="116" spans="2:12" x14ac:dyDescent="0.25">
      <c r="B116">
        <v>114</v>
      </c>
      <c r="C116">
        <v>8290</v>
      </c>
      <c r="D116" t="s">
        <v>213</v>
      </c>
      <c r="E116" t="s">
        <v>236</v>
      </c>
      <c r="F116" t="s">
        <v>237</v>
      </c>
      <c r="G116" t="s">
        <v>238</v>
      </c>
      <c r="H116">
        <v>2015</v>
      </c>
      <c r="I116" t="s">
        <v>58</v>
      </c>
      <c r="J116">
        <v>21</v>
      </c>
      <c r="K116">
        <v>4</v>
      </c>
      <c r="L116" s="1" t="str">
        <f t="shared" si="3"/>
        <v>Futura 124 Carbon</v>
      </c>
    </row>
    <row r="117" spans="2:12" x14ac:dyDescent="0.25">
      <c r="B117">
        <v>115</v>
      </c>
      <c r="C117">
        <v>7165</v>
      </c>
      <c r="D117" t="s">
        <v>213</v>
      </c>
      <c r="E117" t="s">
        <v>239</v>
      </c>
      <c r="F117" t="s">
        <v>237</v>
      </c>
      <c r="G117" t="s">
        <v>238</v>
      </c>
      <c r="H117">
        <v>2015</v>
      </c>
      <c r="I117" t="s">
        <v>22</v>
      </c>
      <c r="J117">
        <v>221</v>
      </c>
      <c r="K117">
        <v>5</v>
      </c>
      <c r="L117" s="1" t="str">
        <f t="shared" si="3"/>
        <v>Futura 124 Wood</v>
      </c>
    </row>
    <row r="118" spans="2:12" x14ac:dyDescent="0.25">
      <c r="B118">
        <v>116</v>
      </c>
      <c r="C118">
        <v>9389</v>
      </c>
      <c r="D118" t="s">
        <v>213</v>
      </c>
      <c r="E118" t="s">
        <v>240</v>
      </c>
      <c r="F118" t="s">
        <v>241</v>
      </c>
      <c r="G118" t="s">
        <v>242</v>
      </c>
      <c r="H118">
        <v>2015</v>
      </c>
      <c r="I118" t="s">
        <v>58</v>
      </c>
      <c r="J118">
        <v>12</v>
      </c>
      <c r="K118">
        <v>1</v>
      </c>
      <c r="L118" s="1" t="str">
        <f t="shared" si="3"/>
        <v>Futura 133 Wood</v>
      </c>
    </row>
    <row r="119" spans="2:12" x14ac:dyDescent="0.25">
      <c r="B119">
        <v>117</v>
      </c>
      <c r="C119">
        <v>8246</v>
      </c>
      <c r="D119" t="s">
        <v>213</v>
      </c>
      <c r="E119" t="s">
        <v>243</v>
      </c>
      <c r="F119" t="s">
        <v>221</v>
      </c>
      <c r="G119" t="s">
        <v>191</v>
      </c>
      <c r="H119">
        <v>2015</v>
      </c>
      <c r="I119" t="s">
        <v>22</v>
      </c>
      <c r="J119">
        <v>74</v>
      </c>
      <c r="K119">
        <v>3</v>
      </c>
      <c r="L119" s="1" t="str">
        <f t="shared" si="3"/>
        <v>Futura 134 Carbon</v>
      </c>
    </row>
    <row r="120" spans="2:12" x14ac:dyDescent="0.25">
      <c r="B120">
        <v>118</v>
      </c>
      <c r="C120">
        <v>9738</v>
      </c>
      <c r="D120" t="s">
        <v>213</v>
      </c>
      <c r="E120" t="s">
        <v>244</v>
      </c>
      <c r="F120" t="s">
        <v>221</v>
      </c>
      <c r="G120" t="s">
        <v>191</v>
      </c>
      <c r="H120">
        <v>2015</v>
      </c>
      <c r="I120" t="s">
        <v>22</v>
      </c>
      <c r="J120">
        <v>48</v>
      </c>
      <c r="K120">
        <v>5</v>
      </c>
      <c r="L120" s="1" t="str">
        <f t="shared" si="3"/>
        <v>Futura 134 Wood</v>
      </c>
    </row>
    <row r="121" spans="2:12" x14ac:dyDescent="0.25">
      <c r="B121">
        <v>119</v>
      </c>
      <c r="C121">
        <v>7047</v>
      </c>
      <c r="D121" t="s">
        <v>213</v>
      </c>
      <c r="E121" t="s">
        <v>245</v>
      </c>
      <c r="F121" t="s">
        <v>246</v>
      </c>
      <c r="G121" t="s">
        <v>89</v>
      </c>
      <c r="H121">
        <v>2015</v>
      </c>
      <c r="I121" t="s">
        <v>43</v>
      </c>
      <c r="J121">
        <v>6</v>
      </c>
      <c r="K121">
        <v>3</v>
      </c>
      <c r="L121" s="1" t="str">
        <f t="shared" si="3"/>
        <v>Futura 90 Wood</v>
      </c>
    </row>
    <row r="122" spans="2:12" x14ac:dyDescent="0.25">
      <c r="B122">
        <v>120</v>
      </c>
      <c r="C122">
        <v>11097</v>
      </c>
      <c r="D122" t="s">
        <v>213</v>
      </c>
      <c r="E122" t="s">
        <v>247</v>
      </c>
      <c r="F122" t="s">
        <v>246</v>
      </c>
      <c r="G122" t="s">
        <v>248</v>
      </c>
      <c r="H122">
        <v>2015</v>
      </c>
      <c r="I122" t="s">
        <v>58</v>
      </c>
      <c r="J122">
        <v>17</v>
      </c>
      <c r="K122">
        <v>1</v>
      </c>
      <c r="L122" s="1" t="str">
        <f t="shared" si="3"/>
        <v>Futura 93 wood</v>
      </c>
    </row>
    <row r="123" spans="2:12" x14ac:dyDescent="0.25">
      <c r="B123">
        <v>121</v>
      </c>
      <c r="C123">
        <v>8328</v>
      </c>
      <c r="D123" t="s">
        <v>213</v>
      </c>
      <c r="E123" t="s">
        <v>249</v>
      </c>
      <c r="F123" t="s">
        <v>250</v>
      </c>
      <c r="G123" t="s">
        <v>251</v>
      </c>
      <c r="H123">
        <v>2015</v>
      </c>
      <c r="I123" t="s">
        <v>43</v>
      </c>
      <c r="J123">
        <v>36</v>
      </c>
      <c r="K123">
        <v>1</v>
      </c>
      <c r="L123" s="1" t="str">
        <f t="shared" si="3"/>
        <v>Futura 97 wood</v>
      </c>
    </row>
    <row r="124" spans="2:12" x14ac:dyDescent="0.25">
      <c r="B124">
        <v>122</v>
      </c>
      <c r="C124">
        <v>8327</v>
      </c>
      <c r="D124" t="s">
        <v>213</v>
      </c>
      <c r="E124" t="s">
        <v>252</v>
      </c>
      <c r="F124" t="s">
        <v>229</v>
      </c>
      <c r="G124" t="s">
        <v>82</v>
      </c>
      <c r="H124">
        <v>2015</v>
      </c>
      <c r="I124" t="s">
        <v>58</v>
      </c>
      <c r="J124">
        <v>14</v>
      </c>
      <c r="K124">
        <v>1</v>
      </c>
      <c r="L124" s="1" t="str">
        <f t="shared" si="3"/>
        <v>Futura carbon</v>
      </c>
    </row>
    <row r="125" spans="2:12" x14ac:dyDescent="0.25">
      <c r="B125">
        <v>123</v>
      </c>
      <c r="C125">
        <v>10180</v>
      </c>
      <c r="D125" t="s">
        <v>213</v>
      </c>
      <c r="E125" t="s">
        <v>253</v>
      </c>
      <c r="F125" t="s">
        <v>254</v>
      </c>
      <c r="G125" t="s">
        <v>66</v>
      </c>
      <c r="H125">
        <v>2015</v>
      </c>
      <c r="I125" t="s">
        <v>58</v>
      </c>
      <c r="J125">
        <v>2</v>
      </c>
      <c r="L125" s="1" t="str">
        <f t="shared" si="3"/>
        <v>Futura Carbon</v>
      </c>
    </row>
    <row r="126" spans="2:12" x14ac:dyDescent="0.25">
      <c r="B126">
        <v>124</v>
      </c>
      <c r="C126">
        <v>8334</v>
      </c>
      <c r="D126" t="s">
        <v>213</v>
      </c>
      <c r="E126" t="s">
        <v>255</v>
      </c>
      <c r="F126" t="s">
        <v>256</v>
      </c>
      <c r="G126" t="s">
        <v>257</v>
      </c>
      <c r="H126">
        <v>2015</v>
      </c>
      <c r="I126" t="s">
        <v>22</v>
      </c>
      <c r="J126">
        <v>10</v>
      </c>
      <c r="K126">
        <v>2</v>
      </c>
      <c r="L126" s="1" t="str">
        <f t="shared" si="3"/>
        <v>Go 139 Tufskin</v>
      </c>
    </row>
    <row r="127" spans="2:12" x14ac:dyDescent="0.25">
      <c r="B127">
        <v>125</v>
      </c>
      <c r="C127">
        <v>9369</v>
      </c>
      <c r="D127" t="s">
        <v>213</v>
      </c>
      <c r="E127" t="s">
        <v>258</v>
      </c>
      <c r="F127" t="s">
        <v>259</v>
      </c>
      <c r="G127" t="s">
        <v>260</v>
      </c>
      <c r="H127">
        <v>2015</v>
      </c>
      <c r="I127" t="s">
        <v>58</v>
      </c>
      <c r="J127">
        <v>39</v>
      </c>
      <c r="K127">
        <v>6</v>
      </c>
      <c r="L127" s="1" t="str">
        <f t="shared" si="3"/>
        <v>Isonic</v>
      </c>
    </row>
    <row r="128" spans="2:12" x14ac:dyDescent="0.25">
      <c r="B128">
        <v>126</v>
      </c>
      <c r="C128">
        <v>6977</v>
      </c>
      <c r="D128" t="s">
        <v>213</v>
      </c>
      <c r="E128" t="s">
        <v>261</v>
      </c>
      <c r="F128" t="s">
        <v>262</v>
      </c>
      <c r="G128" t="s">
        <v>260</v>
      </c>
      <c r="H128">
        <v>2015</v>
      </c>
      <c r="I128" t="s">
        <v>58</v>
      </c>
      <c r="J128">
        <v>1388</v>
      </c>
      <c r="K128">
        <v>56</v>
      </c>
      <c r="L128" s="1" t="str">
        <f t="shared" si="3"/>
        <v>iSonic 107 Carbon</v>
      </c>
    </row>
    <row r="129" spans="1:12" x14ac:dyDescent="0.25">
      <c r="B129">
        <v>127</v>
      </c>
      <c r="C129">
        <v>10549</v>
      </c>
      <c r="D129" t="s">
        <v>213</v>
      </c>
      <c r="E129" t="s">
        <v>263</v>
      </c>
      <c r="F129" t="s">
        <v>262</v>
      </c>
      <c r="G129" t="s">
        <v>260</v>
      </c>
      <c r="H129">
        <v>2015</v>
      </c>
      <c r="I129" t="s">
        <v>58</v>
      </c>
      <c r="J129">
        <v>12</v>
      </c>
      <c r="K129">
        <v>1</v>
      </c>
      <c r="L129" s="1" t="str">
        <f t="shared" si="3"/>
        <v>iSonic 107 wood</v>
      </c>
    </row>
    <row r="130" spans="1:12" x14ac:dyDescent="0.25">
      <c r="B130">
        <v>128</v>
      </c>
      <c r="C130">
        <v>6971</v>
      </c>
      <c r="D130" t="s">
        <v>213</v>
      </c>
      <c r="E130" t="s">
        <v>264</v>
      </c>
      <c r="F130" t="s">
        <v>265</v>
      </c>
      <c r="G130" t="s">
        <v>111</v>
      </c>
      <c r="H130">
        <v>2015</v>
      </c>
      <c r="I130" t="s">
        <v>22</v>
      </c>
      <c r="J130">
        <v>149</v>
      </c>
      <c r="K130">
        <v>17</v>
      </c>
      <c r="L130" s="1" t="str">
        <f t="shared" si="3"/>
        <v>iSonic 110 Carbon</v>
      </c>
    </row>
    <row r="131" spans="1:12" x14ac:dyDescent="0.25">
      <c r="B131">
        <v>129</v>
      </c>
      <c r="C131">
        <v>10431</v>
      </c>
      <c r="D131" t="s">
        <v>213</v>
      </c>
      <c r="E131" t="s">
        <v>266</v>
      </c>
      <c r="F131" t="s">
        <v>267</v>
      </c>
      <c r="G131" t="s">
        <v>268</v>
      </c>
      <c r="H131">
        <v>2015</v>
      </c>
      <c r="I131" t="s">
        <v>22</v>
      </c>
      <c r="J131">
        <v>44</v>
      </c>
      <c r="K131">
        <v>4</v>
      </c>
      <c r="L131" s="1" t="str">
        <f t="shared" ref="L131:L162" si="4">HYPERLINK(_xlfn.CONCAT($F$1,C131),E131)</f>
        <v>Isonic 117</v>
      </c>
    </row>
    <row r="132" spans="1:12" x14ac:dyDescent="0.25">
      <c r="B132">
        <v>130</v>
      </c>
      <c r="C132">
        <v>7242</v>
      </c>
      <c r="D132" t="s">
        <v>213</v>
      </c>
      <c r="E132" t="s">
        <v>269</v>
      </c>
      <c r="F132" t="s">
        <v>270</v>
      </c>
      <c r="G132" t="s">
        <v>268</v>
      </c>
      <c r="H132">
        <v>2015</v>
      </c>
      <c r="I132" t="s">
        <v>22</v>
      </c>
      <c r="J132">
        <v>40</v>
      </c>
      <c r="K132">
        <v>1</v>
      </c>
      <c r="L132" s="1" t="str">
        <f t="shared" si="4"/>
        <v>iSonic 117 wood</v>
      </c>
    </row>
    <row r="133" spans="1:12" x14ac:dyDescent="0.25">
      <c r="B133">
        <v>131</v>
      </c>
      <c r="C133">
        <v>7046</v>
      </c>
      <c r="D133" t="s">
        <v>213</v>
      </c>
      <c r="E133" t="s">
        <v>271</v>
      </c>
      <c r="F133" t="s">
        <v>270</v>
      </c>
      <c r="G133" t="s">
        <v>46</v>
      </c>
      <c r="H133">
        <v>2015</v>
      </c>
      <c r="I133" t="s">
        <v>22</v>
      </c>
      <c r="J133">
        <v>541</v>
      </c>
      <c r="K133">
        <v>18</v>
      </c>
      <c r="L133" s="1" t="str">
        <f t="shared" si="4"/>
        <v>Isonic 120 carbon</v>
      </c>
    </row>
    <row r="134" spans="1:12" x14ac:dyDescent="0.25">
      <c r="B134">
        <v>132</v>
      </c>
      <c r="C134">
        <v>6972</v>
      </c>
      <c r="D134" t="s">
        <v>213</v>
      </c>
      <c r="E134" t="s">
        <v>272</v>
      </c>
      <c r="F134" t="s">
        <v>86</v>
      </c>
      <c r="G134" t="s">
        <v>35</v>
      </c>
      <c r="H134">
        <v>2015</v>
      </c>
      <c r="I134" t="s">
        <v>67</v>
      </c>
      <c r="J134">
        <v>480</v>
      </c>
      <c r="K134">
        <v>18</v>
      </c>
      <c r="L134" s="1" t="str">
        <f t="shared" si="4"/>
        <v>iSonic 130 Carbon</v>
      </c>
    </row>
    <row r="135" spans="1:12" x14ac:dyDescent="0.25">
      <c r="B135">
        <v>133</v>
      </c>
      <c r="C135">
        <v>7189</v>
      </c>
      <c r="D135" t="s">
        <v>213</v>
      </c>
      <c r="E135" t="s">
        <v>273</v>
      </c>
      <c r="F135" t="s">
        <v>274</v>
      </c>
      <c r="G135" t="s">
        <v>97</v>
      </c>
      <c r="H135">
        <v>2015</v>
      </c>
      <c r="I135" t="s">
        <v>61</v>
      </c>
      <c r="J135">
        <v>60</v>
      </c>
      <c r="K135">
        <v>2</v>
      </c>
      <c r="L135" s="1" t="str">
        <f t="shared" si="4"/>
        <v>Isonic 80 Wood</v>
      </c>
    </row>
    <row r="136" spans="1:12" x14ac:dyDescent="0.25">
      <c r="B136">
        <v>134</v>
      </c>
      <c r="C136">
        <v>7096</v>
      </c>
      <c r="D136" t="s">
        <v>213</v>
      </c>
      <c r="E136" t="s">
        <v>275</v>
      </c>
      <c r="F136" t="s">
        <v>276</v>
      </c>
      <c r="G136" t="s">
        <v>277</v>
      </c>
      <c r="H136">
        <v>2015</v>
      </c>
      <c r="I136" t="s">
        <v>61</v>
      </c>
      <c r="J136">
        <v>502</v>
      </c>
      <c r="K136">
        <v>23</v>
      </c>
      <c r="L136" s="1" t="str">
        <f t="shared" si="4"/>
        <v>isonic 87 Carbon</v>
      </c>
    </row>
    <row r="137" spans="1:12" x14ac:dyDescent="0.25">
      <c r="B137">
        <v>135</v>
      </c>
      <c r="C137">
        <v>7191</v>
      </c>
      <c r="D137" t="s">
        <v>213</v>
      </c>
      <c r="E137" t="s">
        <v>278</v>
      </c>
      <c r="F137" t="s">
        <v>276</v>
      </c>
      <c r="G137" t="s">
        <v>277</v>
      </c>
      <c r="H137">
        <v>2015</v>
      </c>
      <c r="I137" t="s">
        <v>61</v>
      </c>
      <c r="J137">
        <v>45</v>
      </c>
      <c r="K137">
        <v>3</v>
      </c>
      <c r="L137" s="1" t="str">
        <f t="shared" si="4"/>
        <v>iSonic 87 wood</v>
      </c>
    </row>
    <row r="138" spans="1:12" x14ac:dyDescent="0.25">
      <c r="B138">
        <v>136</v>
      </c>
      <c r="C138">
        <v>6999</v>
      </c>
      <c r="D138" t="s">
        <v>213</v>
      </c>
      <c r="E138" t="s">
        <v>279</v>
      </c>
      <c r="F138" t="s">
        <v>280</v>
      </c>
      <c r="G138" t="s">
        <v>89</v>
      </c>
      <c r="H138">
        <v>2015</v>
      </c>
      <c r="I138" t="s">
        <v>61</v>
      </c>
      <c r="J138">
        <v>429</v>
      </c>
      <c r="K138">
        <v>27</v>
      </c>
      <c r="L138" s="1" t="str">
        <f t="shared" si="4"/>
        <v>Isonic 90 Carbon</v>
      </c>
    </row>
    <row r="139" spans="1:12" x14ac:dyDescent="0.25">
      <c r="B139">
        <v>137</v>
      </c>
      <c r="C139">
        <v>7003</v>
      </c>
      <c r="D139" t="s">
        <v>213</v>
      </c>
      <c r="E139" t="s">
        <v>281</v>
      </c>
      <c r="F139" t="s">
        <v>282</v>
      </c>
      <c r="G139" t="s">
        <v>251</v>
      </c>
      <c r="H139">
        <v>2015</v>
      </c>
      <c r="I139" t="s">
        <v>58</v>
      </c>
      <c r="J139">
        <v>436</v>
      </c>
      <c r="K139">
        <v>22</v>
      </c>
      <c r="L139" s="1" t="str">
        <f t="shared" si="4"/>
        <v>iSonic 97 Carbon</v>
      </c>
    </row>
    <row r="140" spans="1:12" x14ac:dyDescent="0.25">
      <c r="B140">
        <v>138</v>
      </c>
      <c r="C140">
        <v>10302</v>
      </c>
      <c r="D140" t="s">
        <v>213</v>
      </c>
      <c r="E140" t="s">
        <v>283</v>
      </c>
      <c r="F140" t="s">
        <v>284</v>
      </c>
      <c r="G140" t="s">
        <v>251</v>
      </c>
      <c r="H140">
        <v>2015</v>
      </c>
      <c r="I140" t="s">
        <v>58</v>
      </c>
      <c r="J140">
        <v>42</v>
      </c>
      <c r="K140">
        <v>1</v>
      </c>
      <c r="L140" s="1" t="str">
        <f t="shared" si="4"/>
        <v>Isonic 97 wood</v>
      </c>
    </row>
    <row r="141" spans="1:12" x14ac:dyDescent="0.25">
      <c r="B141">
        <v>139</v>
      </c>
      <c r="C141">
        <v>7045</v>
      </c>
      <c r="D141" t="s">
        <v>213</v>
      </c>
      <c r="E141" t="s">
        <v>285</v>
      </c>
      <c r="F141" t="s">
        <v>270</v>
      </c>
      <c r="G141" t="s">
        <v>46</v>
      </c>
      <c r="H141">
        <v>2015</v>
      </c>
      <c r="I141" t="s">
        <v>22</v>
      </c>
      <c r="J141">
        <v>25</v>
      </c>
      <c r="K141">
        <v>4</v>
      </c>
      <c r="L141" s="1" t="str">
        <f t="shared" si="4"/>
        <v>Isonic carbon</v>
      </c>
    </row>
    <row r="142" spans="1:12" x14ac:dyDescent="0.25">
      <c r="A142" s="14" t="s">
        <v>318</v>
      </c>
      <c r="B142">
        <v>140</v>
      </c>
      <c r="C142" s="9">
        <v>7239</v>
      </c>
      <c r="D142" t="s">
        <v>213</v>
      </c>
      <c r="E142" t="s">
        <v>286</v>
      </c>
      <c r="F142" t="s">
        <v>287</v>
      </c>
      <c r="G142" t="s">
        <v>288</v>
      </c>
      <c r="H142">
        <v>2015</v>
      </c>
      <c r="I142" t="s">
        <v>14</v>
      </c>
      <c r="J142">
        <v>216</v>
      </c>
      <c r="K142">
        <v>4</v>
      </c>
      <c r="L142" s="1" t="str">
        <f t="shared" si="4"/>
        <v>I-Sonic Speed 54</v>
      </c>
    </row>
    <row r="143" spans="1:12" x14ac:dyDescent="0.25">
      <c r="B143">
        <v>141</v>
      </c>
      <c r="C143">
        <v>7044</v>
      </c>
      <c r="D143" t="s">
        <v>213</v>
      </c>
      <c r="E143" t="s">
        <v>289</v>
      </c>
      <c r="F143" t="s">
        <v>290</v>
      </c>
      <c r="G143" t="s">
        <v>70</v>
      </c>
      <c r="H143">
        <v>2015</v>
      </c>
      <c r="I143" t="s">
        <v>14</v>
      </c>
      <c r="J143">
        <v>49</v>
      </c>
      <c r="K143">
        <v>8</v>
      </c>
      <c r="L143" s="1" t="str">
        <f t="shared" si="4"/>
        <v>iSonic speed special w44</v>
      </c>
    </row>
    <row r="144" spans="1:12" x14ac:dyDescent="0.25">
      <c r="B144">
        <v>142</v>
      </c>
      <c r="C144">
        <v>8346</v>
      </c>
      <c r="D144" t="s">
        <v>213</v>
      </c>
      <c r="E144" t="s">
        <v>291</v>
      </c>
      <c r="F144" t="s">
        <v>292</v>
      </c>
      <c r="G144" t="s">
        <v>293</v>
      </c>
      <c r="H144">
        <v>2015</v>
      </c>
      <c r="I144" t="s">
        <v>14</v>
      </c>
      <c r="J144">
        <v>43</v>
      </c>
      <c r="K144">
        <v>9</v>
      </c>
      <c r="L144" s="1" t="str">
        <f t="shared" si="4"/>
        <v>Isonic speed special W49</v>
      </c>
    </row>
    <row r="145" spans="2:12" x14ac:dyDescent="0.25">
      <c r="B145">
        <v>143</v>
      </c>
      <c r="C145" s="9">
        <v>7004</v>
      </c>
      <c r="D145" t="s">
        <v>213</v>
      </c>
      <c r="E145" t="s">
        <v>294</v>
      </c>
      <c r="F145" t="s">
        <v>295</v>
      </c>
      <c r="G145" t="s">
        <v>288</v>
      </c>
      <c r="H145">
        <v>2015</v>
      </c>
      <c r="I145" t="s">
        <v>43</v>
      </c>
      <c r="J145">
        <v>206</v>
      </c>
      <c r="K145">
        <v>7</v>
      </c>
      <c r="L145" s="1" t="str">
        <f t="shared" si="4"/>
        <v>iSonic Speed Special W54</v>
      </c>
    </row>
    <row r="146" spans="2:12" x14ac:dyDescent="0.25">
      <c r="B146">
        <v>144</v>
      </c>
      <c r="C146">
        <v>10778</v>
      </c>
      <c r="D146" t="s">
        <v>213</v>
      </c>
      <c r="E146" t="s">
        <v>296</v>
      </c>
      <c r="F146" t="s">
        <v>265</v>
      </c>
      <c r="G146" t="s">
        <v>111</v>
      </c>
      <c r="H146">
        <v>2015</v>
      </c>
      <c r="I146" t="s">
        <v>22</v>
      </c>
      <c r="J146">
        <v>2</v>
      </c>
      <c r="L146" s="1" t="str">
        <f t="shared" si="4"/>
        <v>iSonics carbon</v>
      </c>
    </row>
    <row r="147" spans="2:12" x14ac:dyDescent="0.25">
      <c r="B147">
        <v>145</v>
      </c>
      <c r="C147">
        <v>9433</v>
      </c>
      <c r="D147" t="s">
        <v>213</v>
      </c>
      <c r="E147" t="s">
        <v>297</v>
      </c>
      <c r="F147" t="s">
        <v>298</v>
      </c>
      <c r="G147" t="s">
        <v>277</v>
      </c>
      <c r="H147">
        <v>2015</v>
      </c>
      <c r="I147" t="s">
        <v>26</v>
      </c>
      <c r="J147">
        <v>4</v>
      </c>
      <c r="L147" s="1" t="str">
        <f t="shared" si="4"/>
        <v>Kode 87 Wood Carbon</v>
      </c>
    </row>
    <row r="148" spans="2:12" x14ac:dyDescent="0.25">
      <c r="B148">
        <v>146</v>
      </c>
      <c r="C148">
        <v>8280</v>
      </c>
      <c r="D148" t="s">
        <v>213</v>
      </c>
      <c r="E148" t="s">
        <v>299</v>
      </c>
      <c r="F148" t="s">
        <v>300</v>
      </c>
      <c r="G148" t="s">
        <v>301</v>
      </c>
      <c r="H148">
        <v>2015</v>
      </c>
      <c r="I148" t="s">
        <v>26</v>
      </c>
      <c r="J148">
        <v>19</v>
      </c>
      <c r="K148">
        <v>4</v>
      </c>
      <c r="L148" s="1" t="str">
        <f t="shared" si="4"/>
        <v>Kode FreeWave Wood</v>
      </c>
    </row>
    <row r="149" spans="2:12" x14ac:dyDescent="0.25">
      <c r="B149">
        <v>147</v>
      </c>
      <c r="C149">
        <v>14825</v>
      </c>
      <c r="D149" t="s">
        <v>213</v>
      </c>
      <c r="E149" t="s">
        <v>302</v>
      </c>
      <c r="F149" t="s">
        <v>303</v>
      </c>
      <c r="G149" t="s">
        <v>304</v>
      </c>
      <c r="H149">
        <v>2015</v>
      </c>
      <c r="I149" t="s">
        <v>22</v>
      </c>
      <c r="L149" s="1" t="str">
        <f t="shared" si="4"/>
        <v>No idea</v>
      </c>
    </row>
    <row r="150" spans="2:12" x14ac:dyDescent="0.25">
      <c r="B150">
        <v>148</v>
      </c>
      <c r="C150">
        <v>7203</v>
      </c>
      <c r="D150" t="s">
        <v>213</v>
      </c>
      <c r="E150" t="s">
        <v>305</v>
      </c>
      <c r="F150" t="s">
        <v>265</v>
      </c>
      <c r="G150" t="s">
        <v>111</v>
      </c>
      <c r="H150">
        <v>2015</v>
      </c>
      <c r="I150" t="s">
        <v>22</v>
      </c>
      <c r="J150">
        <v>22</v>
      </c>
      <c r="K150">
        <v>4</v>
      </c>
      <c r="L150" s="1" t="str">
        <f t="shared" si="4"/>
        <v>Slalom One</v>
      </c>
    </row>
    <row r="151" spans="2:12" x14ac:dyDescent="0.25">
      <c r="B151">
        <v>149</v>
      </c>
      <c r="C151">
        <v>8265</v>
      </c>
      <c r="D151" t="s">
        <v>213</v>
      </c>
      <c r="E151" t="s">
        <v>306</v>
      </c>
      <c r="F151" t="s">
        <v>307</v>
      </c>
      <c r="G151" t="s">
        <v>308</v>
      </c>
      <c r="H151">
        <v>2015</v>
      </c>
      <c r="I151" t="s">
        <v>14</v>
      </c>
      <c r="J151">
        <v>14</v>
      </c>
      <c r="K151">
        <v>1</v>
      </c>
      <c r="L151" s="1" t="str">
        <f t="shared" si="4"/>
        <v>Speed special 58</v>
      </c>
    </row>
    <row r="152" spans="2:12" x14ac:dyDescent="0.25">
      <c r="B152">
        <v>150</v>
      </c>
      <c r="C152">
        <v>9475</v>
      </c>
      <c r="D152" t="s">
        <v>213</v>
      </c>
      <c r="E152" t="s">
        <v>309</v>
      </c>
      <c r="F152" t="s">
        <v>310</v>
      </c>
      <c r="G152" t="s">
        <v>38</v>
      </c>
      <c r="H152">
        <v>2015</v>
      </c>
      <c r="I152" t="s">
        <v>67</v>
      </c>
      <c r="J152">
        <v>2</v>
      </c>
      <c r="K152">
        <v>2</v>
      </c>
      <c r="L152" s="1" t="str">
        <f t="shared" si="4"/>
        <v>Starboard AtomIQ 140</v>
      </c>
    </row>
    <row r="153" spans="2:12" x14ac:dyDescent="0.25">
      <c r="B153">
        <v>151</v>
      </c>
      <c r="C153">
        <v>9748</v>
      </c>
      <c r="D153" t="s">
        <v>213</v>
      </c>
      <c r="E153" t="s">
        <v>311</v>
      </c>
      <c r="F153" t="s">
        <v>312</v>
      </c>
      <c r="G153" t="s">
        <v>304</v>
      </c>
      <c r="H153">
        <v>2015</v>
      </c>
      <c r="I153" t="s">
        <v>67</v>
      </c>
      <c r="J153">
        <v>24</v>
      </c>
      <c r="K153">
        <v>2</v>
      </c>
      <c r="L153" s="1" t="str">
        <f t="shared" si="4"/>
        <v>Ultrasonic Wood</v>
      </c>
    </row>
    <row r="154" spans="2:12" x14ac:dyDescent="0.25">
      <c r="B154">
        <v>152</v>
      </c>
      <c r="C154">
        <v>7169</v>
      </c>
      <c r="D154" t="s">
        <v>213</v>
      </c>
      <c r="E154" t="s">
        <v>313</v>
      </c>
      <c r="F154" t="s">
        <v>314</v>
      </c>
      <c r="G154" t="s">
        <v>315</v>
      </c>
      <c r="H154">
        <v>2015</v>
      </c>
      <c r="I154" t="s">
        <v>316</v>
      </c>
      <c r="J154">
        <v>4</v>
      </c>
      <c r="K154">
        <v>1</v>
      </c>
      <c r="L154" s="1" t="str">
        <f t="shared" si="4"/>
        <v>Windsup Touring Delux Inflatable</v>
      </c>
    </row>
    <row r="155" spans="2:12" x14ac:dyDescent="0.25">
      <c r="B155">
        <v>153</v>
      </c>
      <c r="C155">
        <v>2010</v>
      </c>
      <c r="D155" t="s">
        <v>201</v>
      </c>
      <c r="E155" t="s">
        <v>321</v>
      </c>
      <c r="F155" t="s">
        <v>166</v>
      </c>
      <c r="G155" t="s">
        <v>322</v>
      </c>
      <c r="H155">
        <v>2007</v>
      </c>
      <c r="I155" t="s">
        <v>26</v>
      </c>
      <c r="J155">
        <v>7</v>
      </c>
      <c r="K155">
        <v>2</v>
      </c>
      <c r="L155" s="1" t="str">
        <f t="shared" si="4"/>
        <v>AllWave</v>
      </c>
    </row>
    <row r="156" spans="2:12" x14ac:dyDescent="0.25">
      <c r="B156">
        <v>154</v>
      </c>
      <c r="C156">
        <v>2625</v>
      </c>
      <c r="D156" t="s">
        <v>201</v>
      </c>
      <c r="E156" t="s">
        <v>323</v>
      </c>
      <c r="F156" t="s">
        <v>105</v>
      </c>
      <c r="G156" t="s">
        <v>324</v>
      </c>
      <c r="H156">
        <v>2007</v>
      </c>
      <c r="I156" t="s">
        <v>43</v>
      </c>
      <c r="J156">
        <v>3</v>
      </c>
      <c r="L156" s="1" t="str">
        <f t="shared" si="4"/>
        <v>Eagle</v>
      </c>
    </row>
    <row r="157" spans="2:12" x14ac:dyDescent="0.25">
      <c r="B157">
        <v>155</v>
      </c>
      <c r="C157">
        <v>2240</v>
      </c>
      <c r="D157" t="s">
        <v>201</v>
      </c>
      <c r="E157" t="s">
        <v>325</v>
      </c>
      <c r="F157" t="s">
        <v>326</v>
      </c>
      <c r="G157" t="s">
        <v>117</v>
      </c>
      <c r="H157">
        <v>2007</v>
      </c>
      <c r="I157" t="s">
        <v>58</v>
      </c>
      <c r="J157">
        <v>9</v>
      </c>
      <c r="K157">
        <v>5</v>
      </c>
      <c r="L157" s="1" t="str">
        <f t="shared" si="4"/>
        <v>Eagle 100</v>
      </c>
    </row>
    <row r="158" spans="2:12" x14ac:dyDescent="0.25">
      <c r="B158">
        <v>156</v>
      </c>
      <c r="C158">
        <v>3064</v>
      </c>
      <c r="D158" t="s">
        <v>201</v>
      </c>
      <c r="E158" t="s">
        <v>327</v>
      </c>
      <c r="F158" t="s">
        <v>328</v>
      </c>
      <c r="G158" t="s">
        <v>324</v>
      </c>
      <c r="H158">
        <v>2007</v>
      </c>
      <c r="I158" t="s">
        <v>58</v>
      </c>
      <c r="J158">
        <v>14</v>
      </c>
      <c r="K158">
        <v>5</v>
      </c>
      <c r="L158" s="1" t="str">
        <f t="shared" si="4"/>
        <v>Eagle 126</v>
      </c>
    </row>
    <row r="159" spans="2:12" x14ac:dyDescent="0.25">
      <c r="B159">
        <v>157</v>
      </c>
      <c r="C159">
        <v>1904</v>
      </c>
      <c r="D159" t="s">
        <v>201</v>
      </c>
      <c r="E159" t="s">
        <v>329</v>
      </c>
      <c r="F159" t="s">
        <v>330</v>
      </c>
      <c r="G159" t="s">
        <v>89</v>
      </c>
      <c r="H159">
        <v>2007</v>
      </c>
      <c r="I159" t="s">
        <v>58</v>
      </c>
      <c r="J159">
        <v>24</v>
      </c>
      <c r="K159">
        <v>9</v>
      </c>
      <c r="L159" s="1" t="str">
        <f t="shared" si="4"/>
        <v>Falcon</v>
      </c>
    </row>
    <row r="160" spans="2:12" x14ac:dyDescent="0.25">
      <c r="B160">
        <v>158</v>
      </c>
      <c r="C160">
        <v>2409</v>
      </c>
      <c r="D160" t="s">
        <v>201</v>
      </c>
      <c r="E160" t="s">
        <v>331</v>
      </c>
      <c r="F160" t="s">
        <v>332</v>
      </c>
      <c r="G160" t="s">
        <v>79</v>
      </c>
      <c r="H160">
        <v>2007</v>
      </c>
      <c r="I160" t="s">
        <v>58</v>
      </c>
      <c r="J160">
        <v>832</v>
      </c>
      <c r="K160">
        <v>30</v>
      </c>
      <c r="L160" s="1" t="str">
        <f t="shared" si="4"/>
        <v>Falcon 105</v>
      </c>
    </row>
    <row r="161" spans="2:12" x14ac:dyDescent="0.25">
      <c r="B161">
        <v>159</v>
      </c>
      <c r="C161">
        <v>1874</v>
      </c>
      <c r="D161" t="s">
        <v>201</v>
      </c>
      <c r="E161" t="s">
        <v>333</v>
      </c>
      <c r="F161" t="s">
        <v>334</v>
      </c>
      <c r="G161" t="s">
        <v>335</v>
      </c>
      <c r="H161">
        <v>2007</v>
      </c>
      <c r="I161" t="s">
        <v>22</v>
      </c>
      <c r="J161">
        <v>961</v>
      </c>
      <c r="K161">
        <v>27</v>
      </c>
      <c r="L161" s="1" t="str">
        <f t="shared" si="4"/>
        <v>Falcon 125</v>
      </c>
    </row>
    <row r="162" spans="2:12" x14ac:dyDescent="0.25">
      <c r="B162">
        <v>160</v>
      </c>
      <c r="C162">
        <v>3083</v>
      </c>
      <c r="D162" t="s">
        <v>201</v>
      </c>
      <c r="E162" t="s">
        <v>336</v>
      </c>
      <c r="F162" t="s">
        <v>337</v>
      </c>
      <c r="G162" t="s">
        <v>338</v>
      </c>
      <c r="H162">
        <v>2007</v>
      </c>
      <c r="I162" t="s">
        <v>67</v>
      </c>
      <c r="J162">
        <v>33</v>
      </c>
      <c r="K162">
        <v>5</v>
      </c>
      <c r="L162" s="1" t="str">
        <f t="shared" si="4"/>
        <v>Falcon 145</v>
      </c>
    </row>
    <row r="163" spans="2:12" x14ac:dyDescent="0.25">
      <c r="B163">
        <v>161</v>
      </c>
      <c r="C163">
        <v>1905</v>
      </c>
      <c r="D163" t="s">
        <v>201</v>
      </c>
      <c r="E163" t="s">
        <v>339</v>
      </c>
      <c r="F163" t="s">
        <v>330</v>
      </c>
      <c r="G163" t="s">
        <v>89</v>
      </c>
      <c r="H163">
        <v>2007</v>
      </c>
      <c r="I163" t="s">
        <v>58</v>
      </c>
      <c r="J163">
        <v>2396</v>
      </c>
      <c r="K163">
        <v>61</v>
      </c>
      <c r="L163" s="1" t="str">
        <f t="shared" ref="L163:L194" si="5">HYPERLINK(_xlfn.CONCAT($F$1,C163),E163)</f>
        <v>Falcon 90</v>
      </c>
    </row>
    <row r="164" spans="2:12" x14ac:dyDescent="0.25">
      <c r="B164">
        <v>162</v>
      </c>
      <c r="C164">
        <v>2554</v>
      </c>
      <c r="D164" t="s">
        <v>201</v>
      </c>
      <c r="E164" t="s">
        <v>340</v>
      </c>
      <c r="F164" t="s">
        <v>330</v>
      </c>
      <c r="G164" t="s">
        <v>89</v>
      </c>
      <c r="H164">
        <v>2007</v>
      </c>
      <c r="I164" t="s">
        <v>58</v>
      </c>
      <c r="J164">
        <v>19</v>
      </c>
      <c r="K164">
        <v>1</v>
      </c>
      <c r="L164" s="1" t="str">
        <f t="shared" si="5"/>
        <v>Falcon 90 Proto</v>
      </c>
    </row>
    <row r="165" spans="2:12" x14ac:dyDescent="0.25">
      <c r="B165">
        <v>163</v>
      </c>
      <c r="C165">
        <v>3737</v>
      </c>
      <c r="D165" t="s">
        <v>201</v>
      </c>
      <c r="E165" t="s">
        <v>341</v>
      </c>
      <c r="F165" t="s">
        <v>342</v>
      </c>
      <c r="G165" t="s">
        <v>343</v>
      </c>
      <c r="H165">
        <v>2007</v>
      </c>
      <c r="I165" t="s">
        <v>227</v>
      </c>
      <c r="J165">
        <v>24</v>
      </c>
      <c r="K165">
        <v>8</v>
      </c>
      <c r="L165" s="1" t="str">
        <f t="shared" si="5"/>
        <v>Falcon Formula TT</v>
      </c>
    </row>
    <row r="166" spans="2:12" x14ac:dyDescent="0.25">
      <c r="B166">
        <v>164</v>
      </c>
      <c r="C166">
        <v>4185</v>
      </c>
      <c r="D166" t="s">
        <v>201</v>
      </c>
      <c r="E166" t="s">
        <v>344</v>
      </c>
      <c r="F166" t="s">
        <v>345</v>
      </c>
      <c r="G166" t="s">
        <v>346</v>
      </c>
      <c r="H166">
        <v>2007</v>
      </c>
      <c r="I166" t="s">
        <v>22</v>
      </c>
      <c r="J166">
        <v>25</v>
      </c>
      <c r="K166">
        <v>1</v>
      </c>
      <c r="L166" s="1" t="str">
        <f t="shared" si="5"/>
        <v>Falcon prototype</v>
      </c>
    </row>
    <row r="167" spans="2:12" x14ac:dyDescent="0.25">
      <c r="B167">
        <v>165</v>
      </c>
      <c r="C167">
        <v>2927</v>
      </c>
      <c r="D167" t="s">
        <v>201</v>
      </c>
      <c r="E167" t="s">
        <v>347</v>
      </c>
      <c r="F167" t="s">
        <v>332</v>
      </c>
      <c r="G167" t="s">
        <v>42</v>
      </c>
      <c r="H167">
        <v>2007</v>
      </c>
      <c r="I167" t="s">
        <v>58</v>
      </c>
      <c r="J167">
        <v>71</v>
      </c>
      <c r="K167">
        <v>3</v>
      </c>
      <c r="L167" s="1" t="str">
        <f t="shared" si="5"/>
        <v>Falcon SL 105</v>
      </c>
    </row>
    <row r="168" spans="2:12" x14ac:dyDescent="0.25">
      <c r="B168">
        <v>166</v>
      </c>
      <c r="C168">
        <v>2039</v>
      </c>
      <c r="D168" t="s">
        <v>201</v>
      </c>
      <c r="E168" t="s">
        <v>348</v>
      </c>
      <c r="F168" t="s">
        <v>337</v>
      </c>
      <c r="G168" t="s">
        <v>338</v>
      </c>
      <c r="H168">
        <v>2007</v>
      </c>
      <c r="I168" t="s">
        <v>67</v>
      </c>
      <c r="J168">
        <v>41</v>
      </c>
      <c r="K168">
        <v>3</v>
      </c>
      <c r="L168" s="1" t="str">
        <f t="shared" si="5"/>
        <v>Falcon SL 145</v>
      </c>
    </row>
    <row r="169" spans="2:12" x14ac:dyDescent="0.25">
      <c r="B169">
        <v>167</v>
      </c>
      <c r="C169">
        <v>2391</v>
      </c>
      <c r="D169" t="s">
        <v>201</v>
      </c>
      <c r="E169" t="s">
        <v>349</v>
      </c>
      <c r="F169" t="s">
        <v>330</v>
      </c>
      <c r="G169" t="s">
        <v>89</v>
      </c>
      <c r="H169">
        <v>2007</v>
      </c>
      <c r="I169" t="s">
        <v>58</v>
      </c>
      <c r="J169">
        <v>140</v>
      </c>
      <c r="K169">
        <v>6</v>
      </c>
      <c r="L169" s="1" t="str">
        <f t="shared" si="5"/>
        <v>Falcon SL90</v>
      </c>
    </row>
    <row r="170" spans="2:12" x14ac:dyDescent="0.25">
      <c r="B170">
        <v>168</v>
      </c>
      <c r="C170">
        <v>2802</v>
      </c>
      <c r="D170" t="s">
        <v>201</v>
      </c>
      <c r="E170" t="s">
        <v>350</v>
      </c>
      <c r="F170" t="s">
        <v>351</v>
      </c>
      <c r="G170" t="s">
        <v>79</v>
      </c>
      <c r="H170">
        <v>2007</v>
      </c>
      <c r="I170" t="s">
        <v>58</v>
      </c>
      <c r="J170">
        <v>45</v>
      </c>
      <c r="K170">
        <v>2</v>
      </c>
      <c r="L170" s="1" t="str">
        <f t="shared" si="5"/>
        <v>Falcon Slalom 105</v>
      </c>
    </row>
    <row r="171" spans="2:12" x14ac:dyDescent="0.25">
      <c r="B171">
        <v>169</v>
      </c>
      <c r="C171">
        <v>2928</v>
      </c>
      <c r="D171" t="s">
        <v>201</v>
      </c>
      <c r="E171" t="s">
        <v>352</v>
      </c>
      <c r="F171" t="s">
        <v>105</v>
      </c>
      <c r="G171" t="s">
        <v>353</v>
      </c>
      <c r="H171">
        <v>2007</v>
      </c>
      <c r="I171" t="s">
        <v>43</v>
      </c>
      <c r="J171">
        <v>2</v>
      </c>
      <c r="L171" s="1" t="str">
        <f t="shared" si="5"/>
        <v>Falcon Speed</v>
      </c>
    </row>
    <row r="172" spans="2:12" x14ac:dyDescent="0.25">
      <c r="B172">
        <v>170</v>
      </c>
      <c r="C172">
        <v>12052</v>
      </c>
      <c r="D172" t="s">
        <v>201</v>
      </c>
      <c r="E172" t="s">
        <v>354</v>
      </c>
      <c r="F172" t="s">
        <v>355</v>
      </c>
      <c r="G172" t="s">
        <v>356</v>
      </c>
      <c r="H172">
        <v>2007</v>
      </c>
      <c r="I172" t="s">
        <v>61</v>
      </c>
      <c r="J172">
        <v>1</v>
      </c>
      <c r="K172">
        <v>1</v>
      </c>
      <c r="L172" s="1" t="str">
        <f t="shared" si="5"/>
        <v>Freemove</v>
      </c>
    </row>
    <row r="173" spans="2:12" x14ac:dyDescent="0.25">
      <c r="B173">
        <v>171</v>
      </c>
      <c r="C173">
        <v>4319</v>
      </c>
      <c r="D173" t="s">
        <v>201</v>
      </c>
      <c r="E173" t="s">
        <v>357</v>
      </c>
      <c r="F173" t="s">
        <v>358</v>
      </c>
      <c r="G173" t="s">
        <v>175</v>
      </c>
      <c r="H173">
        <v>2007</v>
      </c>
      <c r="I173" t="s">
        <v>26</v>
      </c>
      <c r="J173">
        <v>5</v>
      </c>
      <c r="K173">
        <v>2</v>
      </c>
      <c r="L173" s="1" t="str">
        <f t="shared" si="5"/>
        <v>Freewave</v>
      </c>
    </row>
    <row r="174" spans="2:12" x14ac:dyDescent="0.25">
      <c r="B174">
        <v>172</v>
      </c>
      <c r="C174">
        <v>2317</v>
      </c>
      <c r="D174" t="s">
        <v>201</v>
      </c>
      <c r="E174" t="s">
        <v>359</v>
      </c>
      <c r="F174" t="s">
        <v>360</v>
      </c>
      <c r="G174" t="s">
        <v>232</v>
      </c>
      <c r="H174">
        <v>2007</v>
      </c>
      <c r="I174" t="s">
        <v>26</v>
      </c>
      <c r="J174">
        <v>20</v>
      </c>
      <c r="K174">
        <v>10</v>
      </c>
      <c r="L174" s="1" t="str">
        <f t="shared" si="5"/>
        <v>Freewave 104</v>
      </c>
    </row>
    <row r="175" spans="2:12" x14ac:dyDescent="0.25">
      <c r="B175">
        <v>173</v>
      </c>
      <c r="C175">
        <v>2379</v>
      </c>
      <c r="D175" t="s">
        <v>201</v>
      </c>
      <c r="E175" t="s">
        <v>361</v>
      </c>
      <c r="F175" t="s">
        <v>362</v>
      </c>
      <c r="G175" t="s">
        <v>363</v>
      </c>
      <c r="H175">
        <v>2007</v>
      </c>
      <c r="I175" t="s">
        <v>26</v>
      </c>
      <c r="J175">
        <v>63</v>
      </c>
      <c r="K175">
        <v>5</v>
      </c>
      <c r="L175" s="1" t="str">
        <f t="shared" si="5"/>
        <v>Freewave 86</v>
      </c>
    </row>
    <row r="176" spans="2:12" x14ac:dyDescent="0.25">
      <c r="B176">
        <v>174</v>
      </c>
      <c r="C176">
        <v>2769</v>
      </c>
      <c r="D176" t="s">
        <v>201</v>
      </c>
      <c r="E176" t="s">
        <v>364</v>
      </c>
      <c r="F176" t="s">
        <v>365</v>
      </c>
      <c r="G176" t="s">
        <v>356</v>
      </c>
      <c r="H176">
        <v>2007</v>
      </c>
      <c r="I176" t="s">
        <v>26</v>
      </c>
      <c r="J176">
        <v>103</v>
      </c>
      <c r="K176">
        <v>10</v>
      </c>
      <c r="L176" s="1" t="str">
        <f t="shared" si="5"/>
        <v>Freewave 95</v>
      </c>
    </row>
    <row r="177" spans="1:12" x14ac:dyDescent="0.25">
      <c r="B177">
        <v>175</v>
      </c>
      <c r="C177">
        <v>2239</v>
      </c>
      <c r="D177" t="s">
        <v>201</v>
      </c>
      <c r="E177" t="s">
        <v>366</v>
      </c>
      <c r="F177" t="s">
        <v>367</v>
      </c>
      <c r="G177" t="s">
        <v>368</v>
      </c>
      <c r="H177">
        <v>2007</v>
      </c>
      <c r="I177" t="s">
        <v>58</v>
      </c>
      <c r="J177">
        <v>84</v>
      </c>
      <c r="K177">
        <v>11</v>
      </c>
      <c r="L177" s="1" t="str">
        <f t="shared" si="5"/>
        <v>Hawk 108</v>
      </c>
    </row>
    <row r="178" spans="1:12" x14ac:dyDescent="0.25">
      <c r="B178">
        <v>176</v>
      </c>
      <c r="C178">
        <v>2227</v>
      </c>
      <c r="D178" t="s">
        <v>201</v>
      </c>
      <c r="E178" t="s">
        <v>369</v>
      </c>
      <c r="F178" t="s">
        <v>370</v>
      </c>
      <c r="G178" t="s">
        <v>371</v>
      </c>
      <c r="H178">
        <v>2007</v>
      </c>
      <c r="I178" t="s">
        <v>58</v>
      </c>
      <c r="J178">
        <v>6</v>
      </c>
      <c r="K178">
        <v>5</v>
      </c>
      <c r="L178" s="1" t="str">
        <f t="shared" si="5"/>
        <v>Hawk 123</v>
      </c>
    </row>
    <row r="179" spans="1:12" x14ac:dyDescent="0.25">
      <c r="B179">
        <v>177</v>
      </c>
      <c r="C179">
        <v>3031</v>
      </c>
      <c r="D179" t="s">
        <v>201</v>
      </c>
      <c r="E179" t="s">
        <v>372</v>
      </c>
      <c r="F179" t="s">
        <v>373</v>
      </c>
      <c r="G179" t="s">
        <v>338</v>
      </c>
      <c r="H179">
        <v>2007</v>
      </c>
      <c r="I179" t="s">
        <v>22</v>
      </c>
      <c r="J179">
        <v>25</v>
      </c>
      <c r="K179">
        <v>6</v>
      </c>
      <c r="L179" s="1" t="str">
        <f t="shared" si="5"/>
        <v>Shark</v>
      </c>
    </row>
    <row r="180" spans="1:12" x14ac:dyDescent="0.25">
      <c r="B180">
        <v>178</v>
      </c>
      <c r="C180">
        <v>3310</v>
      </c>
      <c r="D180" t="s">
        <v>201</v>
      </c>
      <c r="E180" t="s">
        <v>374</v>
      </c>
      <c r="F180" t="s">
        <v>375</v>
      </c>
      <c r="G180" t="s">
        <v>35</v>
      </c>
      <c r="H180">
        <v>2007</v>
      </c>
      <c r="I180" t="s">
        <v>22</v>
      </c>
      <c r="J180">
        <v>84</v>
      </c>
      <c r="K180">
        <v>9</v>
      </c>
      <c r="L180" s="1" t="str">
        <f t="shared" si="5"/>
        <v>Shark 130 Ltd</v>
      </c>
    </row>
    <row r="181" spans="1:12" x14ac:dyDescent="0.25">
      <c r="B181">
        <v>179</v>
      </c>
      <c r="C181">
        <v>3215</v>
      </c>
      <c r="D181" t="s">
        <v>201</v>
      </c>
      <c r="E181" t="s">
        <v>376</v>
      </c>
      <c r="F181" t="s">
        <v>377</v>
      </c>
      <c r="G181" t="s">
        <v>338</v>
      </c>
      <c r="H181">
        <v>2007</v>
      </c>
      <c r="I181" t="s">
        <v>22</v>
      </c>
      <c r="J181">
        <v>24</v>
      </c>
      <c r="K181">
        <v>4</v>
      </c>
      <c r="L181" s="1" t="str">
        <f t="shared" si="5"/>
        <v>Shark HRS 145 L</v>
      </c>
    </row>
    <row r="182" spans="1:12" x14ac:dyDescent="0.25">
      <c r="A182" s="14" t="s">
        <v>319</v>
      </c>
      <c r="B182">
        <v>180</v>
      </c>
      <c r="C182">
        <v>14297</v>
      </c>
      <c r="D182" t="s">
        <v>208</v>
      </c>
      <c r="E182" t="s">
        <v>378</v>
      </c>
      <c r="F182" t="s">
        <v>379</v>
      </c>
      <c r="G182" t="s">
        <v>380</v>
      </c>
      <c r="H182">
        <v>2004</v>
      </c>
      <c r="I182" t="s">
        <v>22</v>
      </c>
      <c r="J182">
        <v>4</v>
      </c>
      <c r="K182">
        <v>1</v>
      </c>
      <c r="L182" s="1" t="str">
        <f t="shared" si="5"/>
        <v>Attitude Inspiro 79</v>
      </c>
    </row>
    <row r="183" spans="1:12" x14ac:dyDescent="0.25">
      <c r="B183">
        <v>181</v>
      </c>
      <c r="C183">
        <v>661</v>
      </c>
      <c r="D183" t="s">
        <v>208</v>
      </c>
      <c r="E183" t="s">
        <v>381</v>
      </c>
      <c r="F183" t="s">
        <v>408</v>
      </c>
      <c r="G183" t="s">
        <v>409</v>
      </c>
      <c r="H183">
        <v>2004</v>
      </c>
      <c r="I183" t="s">
        <v>67</v>
      </c>
      <c r="J183">
        <v>3</v>
      </c>
      <c r="L183" s="1" t="str">
        <f t="shared" si="5"/>
        <v>Attitude Inspiro 87</v>
      </c>
    </row>
    <row r="184" spans="1:12" x14ac:dyDescent="0.25">
      <c r="B184">
        <v>182</v>
      </c>
      <c r="C184">
        <v>1218</v>
      </c>
      <c r="D184" t="s">
        <v>208</v>
      </c>
      <c r="E184" t="s">
        <v>382</v>
      </c>
      <c r="F184" t="s">
        <v>383</v>
      </c>
      <c r="G184" t="s">
        <v>384</v>
      </c>
      <c r="H184">
        <v>2004</v>
      </c>
      <c r="I184" t="s">
        <v>227</v>
      </c>
      <c r="J184">
        <v>47</v>
      </c>
      <c r="K184">
        <v>4</v>
      </c>
      <c r="L184" s="1" t="str">
        <f t="shared" si="5"/>
        <v>Formula 98 N.T.</v>
      </c>
    </row>
    <row r="185" spans="1:12" x14ac:dyDescent="0.25">
      <c r="B185">
        <v>183</v>
      </c>
      <c r="C185">
        <v>335</v>
      </c>
      <c r="D185" t="s">
        <v>208</v>
      </c>
      <c r="E185" t="s">
        <v>385</v>
      </c>
      <c r="F185" t="s">
        <v>386</v>
      </c>
      <c r="G185" t="s">
        <v>387</v>
      </c>
      <c r="H185">
        <v>2004</v>
      </c>
      <c r="I185" t="s">
        <v>61</v>
      </c>
      <c r="J185">
        <v>4</v>
      </c>
      <c r="L185" s="1" t="str">
        <f t="shared" si="5"/>
        <v>GT Special 54</v>
      </c>
    </row>
    <row r="186" spans="1:12" x14ac:dyDescent="0.25">
      <c r="B186">
        <v>184</v>
      </c>
      <c r="C186">
        <v>679</v>
      </c>
      <c r="D186" t="s">
        <v>208</v>
      </c>
      <c r="E186" t="s">
        <v>388</v>
      </c>
      <c r="F186" t="s">
        <v>389</v>
      </c>
      <c r="G186" t="s">
        <v>46</v>
      </c>
      <c r="H186">
        <v>2004</v>
      </c>
      <c r="I186" t="s">
        <v>22</v>
      </c>
      <c r="J186">
        <v>36</v>
      </c>
      <c r="K186">
        <v>8</v>
      </c>
      <c r="L186" s="1" t="str">
        <f t="shared" si="5"/>
        <v>GT Special 73</v>
      </c>
    </row>
    <row r="187" spans="1:12" x14ac:dyDescent="0.25">
      <c r="B187">
        <v>185</v>
      </c>
      <c r="C187">
        <v>3459</v>
      </c>
      <c r="D187" t="s">
        <v>208</v>
      </c>
      <c r="E187" t="s">
        <v>390</v>
      </c>
      <c r="F187" t="s">
        <v>391</v>
      </c>
      <c r="G187" t="s">
        <v>384</v>
      </c>
      <c r="H187">
        <v>2004</v>
      </c>
      <c r="I187" t="s">
        <v>67</v>
      </c>
      <c r="J187">
        <v>10</v>
      </c>
      <c r="K187">
        <v>2</v>
      </c>
      <c r="L187" s="1" t="str">
        <f t="shared" si="5"/>
        <v>GT Special 86</v>
      </c>
    </row>
    <row r="188" spans="1:12" x14ac:dyDescent="0.25">
      <c r="B188">
        <v>186</v>
      </c>
      <c r="C188">
        <v>3475</v>
      </c>
      <c r="D188" t="s">
        <v>208</v>
      </c>
      <c r="E188" t="s">
        <v>392</v>
      </c>
      <c r="F188" t="s">
        <v>393</v>
      </c>
      <c r="G188" t="s">
        <v>394</v>
      </c>
      <c r="H188">
        <v>2004</v>
      </c>
      <c r="I188" t="s">
        <v>26</v>
      </c>
      <c r="J188">
        <v>2</v>
      </c>
      <c r="L188" s="1" t="str">
        <f t="shared" si="5"/>
        <v>Kauli Pro 81</v>
      </c>
    </row>
    <row r="189" spans="1:12" x14ac:dyDescent="0.25">
      <c r="B189">
        <v>187</v>
      </c>
      <c r="C189">
        <v>826</v>
      </c>
      <c r="D189" t="s">
        <v>208</v>
      </c>
      <c r="E189" t="s">
        <v>395</v>
      </c>
      <c r="F189" t="s">
        <v>396</v>
      </c>
      <c r="G189" t="s">
        <v>232</v>
      </c>
      <c r="H189">
        <v>2004</v>
      </c>
      <c r="I189" t="s">
        <v>26</v>
      </c>
      <c r="J189">
        <v>1</v>
      </c>
      <c r="K189">
        <v>3</v>
      </c>
      <c r="L189" s="1" t="str">
        <f t="shared" si="5"/>
        <v>Maxx Ride 104</v>
      </c>
    </row>
    <row r="190" spans="1:12" x14ac:dyDescent="0.25">
      <c r="B190">
        <v>188</v>
      </c>
      <c r="C190">
        <v>2436</v>
      </c>
      <c r="D190" t="s">
        <v>208</v>
      </c>
      <c r="E190" t="s">
        <v>397</v>
      </c>
      <c r="F190" t="s">
        <v>398</v>
      </c>
      <c r="G190" t="s">
        <v>52</v>
      </c>
      <c r="H190">
        <v>2004</v>
      </c>
      <c r="I190" t="s">
        <v>26</v>
      </c>
      <c r="J190">
        <v>2</v>
      </c>
      <c r="L190" s="1" t="str">
        <f t="shared" si="5"/>
        <v>Maxx Ride 92</v>
      </c>
    </row>
    <row r="191" spans="1:12" x14ac:dyDescent="0.25">
      <c r="B191">
        <v>189</v>
      </c>
      <c r="C191">
        <v>3745</v>
      </c>
      <c r="D191" t="s">
        <v>208</v>
      </c>
      <c r="E191" t="s">
        <v>399</v>
      </c>
      <c r="F191" t="s">
        <v>400</v>
      </c>
      <c r="G191" t="s">
        <v>322</v>
      </c>
      <c r="H191">
        <v>2004</v>
      </c>
      <c r="I191" t="s">
        <v>26</v>
      </c>
      <c r="J191">
        <v>2</v>
      </c>
      <c r="K191">
        <v>0</v>
      </c>
      <c r="L191" s="1" t="str">
        <f t="shared" si="5"/>
        <v>Mx 57</v>
      </c>
    </row>
    <row r="192" spans="1:12" x14ac:dyDescent="0.25">
      <c r="B192">
        <v>190</v>
      </c>
      <c r="C192">
        <v>2111</v>
      </c>
      <c r="D192" t="s">
        <v>208</v>
      </c>
      <c r="E192" t="s">
        <v>401</v>
      </c>
      <c r="F192" t="s">
        <v>402</v>
      </c>
      <c r="G192" t="s">
        <v>403</v>
      </c>
      <c r="H192">
        <v>2004</v>
      </c>
      <c r="I192" t="s">
        <v>58</v>
      </c>
      <c r="J192">
        <v>24</v>
      </c>
      <c r="K192">
        <v>1</v>
      </c>
      <c r="L192" s="1" t="str">
        <f t="shared" si="5"/>
        <v>Type F 64</v>
      </c>
    </row>
    <row r="193" spans="2:12" x14ac:dyDescent="0.25">
      <c r="B193">
        <v>191</v>
      </c>
      <c r="C193">
        <v>1679</v>
      </c>
      <c r="D193" t="s">
        <v>208</v>
      </c>
      <c r="E193" t="s">
        <v>404</v>
      </c>
      <c r="F193" t="s">
        <v>405</v>
      </c>
      <c r="G193" t="s">
        <v>335</v>
      </c>
      <c r="H193">
        <v>2004</v>
      </c>
      <c r="I193" t="s">
        <v>22</v>
      </c>
      <c r="J193">
        <v>32</v>
      </c>
      <c r="K193">
        <v>4</v>
      </c>
      <c r="L193" s="1" t="str">
        <f t="shared" si="5"/>
        <v>Type F 75</v>
      </c>
    </row>
    <row r="194" spans="2:12" x14ac:dyDescent="0.25">
      <c r="B194">
        <v>192</v>
      </c>
      <c r="C194">
        <v>1952</v>
      </c>
      <c r="D194" t="s">
        <v>208</v>
      </c>
      <c r="E194" t="s">
        <v>406</v>
      </c>
      <c r="F194" t="s">
        <v>407</v>
      </c>
      <c r="G194" t="s">
        <v>338</v>
      </c>
      <c r="H194">
        <v>2004</v>
      </c>
      <c r="I194" t="s">
        <v>67</v>
      </c>
      <c r="J194">
        <v>1</v>
      </c>
      <c r="K194">
        <v>1</v>
      </c>
      <c r="L194" s="1" t="str">
        <f t="shared" si="5"/>
        <v>Type F 85</v>
      </c>
    </row>
  </sheetData>
  <autoFilter ref="A2:L2" xr:uid="{CA576202-A1A0-4430-9DEF-EFCA8AEA998F}">
    <sortState xmlns:xlrd2="http://schemas.microsoft.com/office/spreadsheetml/2017/richdata2" ref="A3:L194">
      <sortCondition ref="B2"/>
    </sortState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2A5F9-18CA-47B5-B545-037F63A1FD14}">
  <dimension ref="A1:L20"/>
  <sheetViews>
    <sheetView tabSelected="1" workbookViewId="0">
      <selection activeCell="D9" sqref="D9"/>
    </sheetView>
  </sheetViews>
  <sheetFormatPr defaultRowHeight="15" x14ac:dyDescent="0.25"/>
  <sheetData>
    <row r="1" spans="1:12" x14ac:dyDescent="0.25">
      <c r="A1" s="8">
        <v>2006</v>
      </c>
      <c r="B1" s="7" t="s">
        <v>198</v>
      </c>
      <c r="I1" t="s">
        <v>199</v>
      </c>
      <c r="L1" t="s">
        <v>196</v>
      </c>
    </row>
    <row r="2" spans="1:12" x14ac:dyDescent="0.25">
      <c r="B2" t="s">
        <v>2</v>
      </c>
      <c r="C2" t="s">
        <v>197</v>
      </c>
      <c r="D2" t="s">
        <v>103</v>
      </c>
    </row>
    <row r="3" spans="1:12" x14ac:dyDescent="0.25">
      <c r="B3" t="s">
        <v>208</v>
      </c>
      <c r="C3">
        <v>1</v>
      </c>
      <c r="D3" s="1" t="str">
        <f t="shared" ref="D3:D13" si="0">HYPERLINK(_xlfn.CONCAT($B$1,$C3,"&amp;eqyear=",$A$1),_xlfn.CONCAT($A$1))</f>
        <v>2006</v>
      </c>
    </row>
    <row r="4" spans="1:12" x14ac:dyDescent="0.25">
      <c r="B4" t="s">
        <v>209</v>
      </c>
      <c r="C4">
        <v>4</v>
      </c>
      <c r="D4" s="1" t="str">
        <f t="shared" si="0"/>
        <v>2006</v>
      </c>
    </row>
    <row r="5" spans="1:12" x14ac:dyDescent="0.25">
      <c r="B5" t="s">
        <v>210</v>
      </c>
      <c r="C5">
        <v>6</v>
      </c>
      <c r="D5" s="1" t="str">
        <f t="shared" si="0"/>
        <v>2006</v>
      </c>
    </row>
    <row r="6" spans="1:12" x14ac:dyDescent="0.25">
      <c r="B6" t="s">
        <v>211</v>
      </c>
      <c r="C6">
        <v>13</v>
      </c>
      <c r="D6" s="1" t="str">
        <f t="shared" si="0"/>
        <v>2006</v>
      </c>
    </row>
    <row r="7" spans="1:12" x14ac:dyDescent="0.25">
      <c r="B7" t="s">
        <v>207</v>
      </c>
      <c r="C7">
        <v>16</v>
      </c>
      <c r="D7" s="1" t="str">
        <f t="shared" si="0"/>
        <v>2006</v>
      </c>
    </row>
    <row r="8" spans="1:12" x14ac:dyDescent="0.25">
      <c r="B8" t="s">
        <v>205</v>
      </c>
      <c r="C8">
        <v>35</v>
      </c>
      <c r="D8" s="1" t="str">
        <f t="shared" si="0"/>
        <v>2006</v>
      </c>
    </row>
    <row r="9" spans="1:12" x14ac:dyDescent="0.25">
      <c r="B9" t="s">
        <v>204</v>
      </c>
      <c r="C9">
        <v>55</v>
      </c>
      <c r="D9" s="1" t="str">
        <f t="shared" si="0"/>
        <v>2006</v>
      </c>
    </row>
    <row r="10" spans="1:12" x14ac:dyDescent="0.25">
      <c r="B10" t="s">
        <v>203</v>
      </c>
      <c r="C10">
        <v>52</v>
      </c>
      <c r="D10" s="1" t="str">
        <f t="shared" si="0"/>
        <v>2006</v>
      </c>
    </row>
    <row r="11" spans="1:12" x14ac:dyDescent="0.25">
      <c r="B11" t="s">
        <v>202</v>
      </c>
      <c r="C11">
        <v>34</v>
      </c>
      <c r="D11" s="1" t="str">
        <f t="shared" si="0"/>
        <v>2006</v>
      </c>
    </row>
    <row r="12" spans="1:12" x14ac:dyDescent="0.25">
      <c r="B12" t="s">
        <v>201</v>
      </c>
      <c r="C12">
        <v>17</v>
      </c>
      <c r="D12" s="1" t="str">
        <f t="shared" si="0"/>
        <v>2006</v>
      </c>
    </row>
    <row r="13" spans="1:12" x14ac:dyDescent="0.25">
      <c r="B13" t="s">
        <v>200</v>
      </c>
      <c r="C13">
        <v>30</v>
      </c>
      <c r="D13" s="1" t="str">
        <f t="shared" si="0"/>
        <v>2006</v>
      </c>
    </row>
    <row r="14" spans="1:12" x14ac:dyDescent="0.25">
      <c r="B14" s="2" t="s">
        <v>10</v>
      </c>
      <c r="C14">
        <v>45</v>
      </c>
      <c r="D14" s="1" t="str">
        <f>HYPERLINK(_xlfn.CONCAT($B$1,$C14,"&amp;eqyear=",$A$1),_xlfn.CONCAT($A$1))</f>
        <v>2006</v>
      </c>
    </row>
    <row r="20" spans="4:4" x14ac:dyDescent="0.25">
      <c r="D20" s="1" t="s">
        <v>212</v>
      </c>
    </row>
  </sheetData>
  <dataValidations count="1">
    <dataValidation type="list" allowBlank="1" showInputMessage="1" showErrorMessage="1" sqref="A1" xr:uid="{5EB31147-B765-45DA-B588-B91859632423}">
      <formula1>rYear</formula1>
    </dataValidation>
  </dataValidations>
  <hyperlinks>
    <hyperlink ref="B1" r:id="rId1" xr:uid="{17CF5FDE-F4C0-425C-A328-BEBE6092A2BF}"/>
    <hyperlink ref="D20" r:id="rId2" xr:uid="{BE85311A-4242-4A16-9F49-79D53CED419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583F9-C105-4DC5-AB97-B32AA9231D3E}">
  <dimension ref="A1:A18"/>
  <sheetViews>
    <sheetView workbookViewId="0">
      <selection activeCell="E49" sqref="E49"/>
    </sheetView>
  </sheetViews>
  <sheetFormatPr defaultRowHeight="15" x14ac:dyDescent="0.25"/>
  <sheetData>
    <row r="1" spans="1:1" x14ac:dyDescent="0.25">
      <c r="A1" t="s">
        <v>206</v>
      </c>
    </row>
    <row r="2" spans="1:1" x14ac:dyDescent="0.25">
      <c r="A2">
        <v>2000</v>
      </c>
    </row>
    <row r="3" spans="1:1" x14ac:dyDescent="0.25">
      <c r="A3">
        <v>2001</v>
      </c>
    </row>
    <row r="4" spans="1:1" x14ac:dyDescent="0.25">
      <c r="A4">
        <v>2002</v>
      </c>
    </row>
    <row r="5" spans="1:1" x14ac:dyDescent="0.25">
      <c r="A5">
        <v>2003</v>
      </c>
    </row>
    <row r="6" spans="1:1" x14ac:dyDescent="0.25">
      <c r="A6">
        <v>2004</v>
      </c>
    </row>
    <row r="7" spans="1:1" x14ac:dyDescent="0.25">
      <c r="A7">
        <v>2005</v>
      </c>
    </row>
    <row r="8" spans="1:1" x14ac:dyDescent="0.25">
      <c r="A8">
        <v>2006</v>
      </c>
    </row>
    <row r="9" spans="1:1" x14ac:dyDescent="0.25">
      <c r="A9">
        <v>2007</v>
      </c>
    </row>
    <row r="10" spans="1:1" x14ac:dyDescent="0.25">
      <c r="A10">
        <v>2008</v>
      </c>
    </row>
    <row r="11" spans="1:1" x14ac:dyDescent="0.25">
      <c r="A11">
        <v>2009</v>
      </c>
    </row>
    <row r="12" spans="1:1" x14ac:dyDescent="0.25">
      <c r="A12">
        <v>2010</v>
      </c>
    </row>
    <row r="13" spans="1:1" x14ac:dyDescent="0.25">
      <c r="A13">
        <v>2011</v>
      </c>
    </row>
    <row r="14" spans="1:1" x14ac:dyDescent="0.25">
      <c r="A14">
        <v>2012</v>
      </c>
    </row>
    <row r="15" spans="1:1" x14ac:dyDescent="0.25">
      <c r="A15">
        <v>2013</v>
      </c>
    </row>
    <row r="16" spans="1:1" x14ac:dyDescent="0.25">
      <c r="A16">
        <v>2014</v>
      </c>
    </row>
    <row r="17" spans="1:1" x14ac:dyDescent="0.25">
      <c r="A17">
        <v>2015</v>
      </c>
    </row>
    <row r="18" spans="1:1" x14ac:dyDescent="0.25">
      <c r="A18">
        <v>2016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Board Stats</vt:lpstr>
      <vt:lpstr>windsurfing.pl</vt:lpstr>
      <vt:lpstr>ddl</vt:lpstr>
      <vt:lpstr>rYear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Björn Johansson</dc:creator>
  <cp:lastModifiedBy>Björn Johansson</cp:lastModifiedBy>
  <dcterms:created xsi:type="dcterms:W3CDTF">2015-06-05T18:17:20Z</dcterms:created>
  <dcterms:modified xsi:type="dcterms:W3CDTF">2026-05-06T20:58:55Z</dcterms:modified>
</cp:coreProperties>
</file>