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"/>
    </mc:Choice>
  </mc:AlternateContent>
  <xr:revisionPtr revIDLastSave="0" documentId="13_ncr:1_{B16633E4-9143-4EAA-B65A-D2D26FFB1363}" xr6:coauthVersionLast="47" xr6:coauthVersionMax="47" xr10:uidLastSave="{00000000-0000-0000-0000-000000000000}"/>
  <bookViews>
    <workbookView xWindow="-120" yWindow="-120" windowWidth="38640" windowHeight="21120" tabRatio="981" xr2:uid="{00000000-000D-0000-FFFF-FFFF00000000}"/>
  </bookViews>
  <sheets>
    <sheet name="Boards Catalogue" sheetId="4" r:id="rId1"/>
    <sheet name="APPROVED SERIES PRODUCTION " sheetId="15" r:id="rId2"/>
    <sheet name="GPS-Boards-Validation" sheetId="1" r:id="rId3"/>
    <sheet name="Temp-Berra-ToAddAfterReview" sheetId="8" r:id="rId4"/>
    <sheet name="Temp-Berra-unit-remove" sheetId="9" r:id="rId5"/>
  </sheets>
  <definedNames>
    <definedName name="_xlnm._FilterDatabase" localSheetId="1" hidden="1">'APPROVED SERIES PRODUCTION '!$C$1:$I$1466</definedName>
    <definedName name="_xlnm._FilterDatabase" localSheetId="0" hidden="1">'Boards Catalogue'!$A$1:$L$1</definedName>
    <definedName name="_xlnm._FilterDatabase" localSheetId="2" hidden="1">'GPS-Boards-Validation'!$A$1:$I$1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2" i="4" l="1"/>
  <c r="B372" i="4"/>
  <c r="A373" i="4"/>
  <c r="B373" i="4"/>
  <c r="A374" i="4"/>
  <c r="B374" i="4"/>
  <c r="B375" i="4"/>
  <c r="A375" i="4" s="1"/>
  <c r="A376" i="4"/>
  <c r="B376" i="4"/>
  <c r="A377" i="4"/>
  <c r="B377" i="4"/>
  <c r="A378" i="4"/>
  <c r="B378" i="4"/>
  <c r="B379" i="4"/>
  <c r="A379" i="4" s="1"/>
  <c r="A380" i="4"/>
  <c r="B380" i="4"/>
  <c r="A381" i="4"/>
  <c r="B381" i="4"/>
  <c r="A382" i="4"/>
  <c r="B382" i="4"/>
  <c r="B383" i="4"/>
  <c r="A383" i="4" s="1"/>
  <c r="A384" i="4"/>
  <c r="B384" i="4"/>
  <c r="A385" i="4"/>
  <c r="B385" i="4"/>
  <c r="A386" i="4"/>
  <c r="B386" i="4"/>
  <c r="B387" i="4"/>
  <c r="A387" i="4" s="1"/>
  <c r="A388" i="4"/>
  <c r="B388" i="4"/>
  <c r="A389" i="4"/>
  <c r="B389" i="4"/>
  <c r="A390" i="4"/>
  <c r="B390" i="4"/>
  <c r="B391" i="4"/>
  <c r="A391" i="4" s="1"/>
  <c r="A392" i="4"/>
  <c r="B392" i="4"/>
  <c r="A393" i="4"/>
  <c r="B393" i="4"/>
  <c r="A394" i="4"/>
  <c r="B394" i="4"/>
  <c r="B395" i="4"/>
  <c r="A395" i="4" s="1"/>
  <c r="A396" i="4"/>
  <c r="B396" i="4"/>
  <c r="A397" i="4"/>
  <c r="B397" i="4"/>
  <c r="A398" i="4"/>
  <c r="B398" i="4"/>
  <c r="B399" i="4"/>
  <c r="A399" i="4" s="1"/>
  <c r="A400" i="4"/>
  <c r="B400" i="4"/>
  <c r="A401" i="4"/>
  <c r="B401" i="4"/>
  <c r="A402" i="4"/>
  <c r="B402" i="4"/>
  <c r="B403" i="4"/>
  <c r="A403" i="4" s="1"/>
  <c r="A404" i="4"/>
  <c r="B404" i="4"/>
  <c r="A405" i="4"/>
  <c r="B405" i="4"/>
  <c r="A406" i="4"/>
  <c r="B406" i="4"/>
  <c r="B407" i="4"/>
  <c r="A407" i="4" s="1"/>
  <c r="A408" i="4"/>
  <c r="B408" i="4"/>
  <c r="A409" i="4"/>
  <c r="B409" i="4"/>
  <c r="A410" i="4"/>
  <c r="B410" i="4"/>
  <c r="B411" i="4"/>
  <c r="A411" i="4" s="1"/>
  <c r="A412" i="4"/>
  <c r="B412" i="4"/>
  <c r="A413" i="4"/>
  <c r="B413" i="4"/>
  <c r="A414" i="4"/>
  <c r="B414" i="4"/>
  <c r="B415" i="4"/>
  <c r="A415" i="4" s="1"/>
  <c r="A416" i="4"/>
  <c r="B416" i="4"/>
  <c r="A417" i="4"/>
  <c r="B417" i="4"/>
  <c r="A418" i="4"/>
  <c r="B418" i="4"/>
  <c r="B419" i="4"/>
  <c r="A419" i="4" s="1"/>
  <c r="A420" i="4"/>
  <c r="B420" i="4"/>
  <c r="A421" i="4"/>
  <c r="B421" i="4"/>
  <c r="A422" i="4"/>
  <c r="B422" i="4"/>
  <c r="B423" i="4"/>
  <c r="A423" i="4" s="1"/>
  <c r="A424" i="4"/>
  <c r="B424" i="4"/>
  <c r="A425" i="4"/>
  <c r="B425" i="4"/>
  <c r="A426" i="4"/>
  <c r="B426" i="4"/>
  <c r="B427" i="4"/>
  <c r="A427" i="4" s="1"/>
  <c r="A428" i="4"/>
  <c r="B428" i="4"/>
  <c r="A429" i="4"/>
  <c r="B429" i="4"/>
  <c r="A430" i="4"/>
  <c r="B430" i="4"/>
  <c r="B431" i="4"/>
  <c r="A431" i="4" s="1"/>
  <c r="A432" i="4"/>
  <c r="B432" i="4"/>
  <c r="A433" i="4"/>
  <c r="B433" i="4"/>
  <c r="A434" i="4"/>
  <c r="B434" i="4"/>
  <c r="B435" i="4"/>
  <c r="A435" i="4" s="1"/>
  <c r="A436" i="4"/>
  <c r="B436" i="4"/>
  <c r="A437" i="4"/>
  <c r="B437" i="4"/>
  <c r="A438" i="4"/>
  <c r="B438" i="4"/>
  <c r="B439" i="4"/>
  <c r="A439" i="4" s="1"/>
  <c r="A440" i="4"/>
  <c r="B440" i="4"/>
  <c r="A366" i="4"/>
  <c r="B366" i="4"/>
  <c r="B367" i="4"/>
  <c r="A367" i="4" s="1"/>
  <c r="A368" i="4"/>
  <c r="B368" i="4"/>
  <c r="A369" i="4"/>
  <c r="B369" i="4"/>
  <c r="A370" i="4"/>
  <c r="B370" i="4"/>
  <c r="B371" i="4"/>
  <c r="A371" i="4" s="1"/>
  <c r="M2" i="9"/>
  <c r="B2" i="4"/>
  <c r="B360" i="4"/>
  <c r="A360" i="4" s="1"/>
  <c r="B361" i="4"/>
  <c r="A361" i="4" s="1"/>
  <c r="B362" i="4"/>
  <c r="B363" i="4"/>
  <c r="A363" i="4" s="1"/>
  <c r="B364" i="4"/>
  <c r="B365" i="4"/>
  <c r="A362" i="4"/>
  <c r="A364" i="4"/>
  <c r="A365" i="4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49" i="15" l="1"/>
  <c r="A702" i="15"/>
  <c r="A703" i="15"/>
  <c r="A704" i="15"/>
  <c r="A705" i="15"/>
  <c r="A706" i="15"/>
  <c r="A966" i="15"/>
  <c r="A1261" i="15"/>
  <c r="A1302" i="15"/>
  <c r="A1335" i="15"/>
  <c r="G3" i="15"/>
  <c r="H3" i="15"/>
  <c r="G4" i="15"/>
  <c r="H4" i="15"/>
  <c r="G5" i="15"/>
  <c r="H5" i="15"/>
  <c r="G6" i="15"/>
  <c r="H6" i="15"/>
  <c r="G7" i="15"/>
  <c r="H7" i="15"/>
  <c r="G8" i="15"/>
  <c r="H8" i="15"/>
  <c r="G9" i="15"/>
  <c r="H9" i="15"/>
  <c r="G10" i="15"/>
  <c r="H10" i="15"/>
  <c r="G11" i="15"/>
  <c r="H11" i="15"/>
  <c r="G12" i="15"/>
  <c r="H12" i="15"/>
  <c r="G13" i="15"/>
  <c r="H13" i="15"/>
  <c r="G14" i="15"/>
  <c r="H14" i="15"/>
  <c r="G15" i="15"/>
  <c r="H15" i="15"/>
  <c r="G16" i="15"/>
  <c r="H16" i="15"/>
  <c r="G17" i="15"/>
  <c r="H17" i="15"/>
  <c r="G18" i="15"/>
  <c r="H18" i="15"/>
  <c r="G19" i="15"/>
  <c r="H19" i="15"/>
  <c r="G20" i="15"/>
  <c r="H20" i="15"/>
  <c r="G21" i="15"/>
  <c r="H21" i="15"/>
  <c r="G22" i="15"/>
  <c r="H22" i="15"/>
  <c r="G23" i="15"/>
  <c r="H23" i="15"/>
  <c r="G24" i="15"/>
  <c r="H24" i="15"/>
  <c r="G25" i="15"/>
  <c r="H25" i="15"/>
  <c r="G26" i="15"/>
  <c r="H26" i="15"/>
  <c r="G27" i="15"/>
  <c r="H27" i="15"/>
  <c r="G28" i="15"/>
  <c r="H28" i="15"/>
  <c r="G29" i="15"/>
  <c r="H29" i="15"/>
  <c r="G30" i="15"/>
  <c r="H30" i="15"/>
  <c r="G31" i="15"/>
  <c r="H31" i="15"/>
  <c r="G32" i="15"/>
  <c r="H32" i="15"/>
  <c r="G33" i="15"/>
  <c r="H33" i="15"/>
  <c r="G34" i="15"/>
  <c r="H34" i="15"/>
  <c r="G35" i="15"/>
  <c r="H35" i="15"/>
  <c r="G36" i="15"/>
  <c r="H36" i="15"/>
  <c r="G37" i="15"/>
  <c r="H37" i="15"/>
  <c r="G38" i="15"/>
  <c r="H38" i="15"/>
  <c r="G39" i="15"/>
  <c r="H39" i="15"/>
  <c r="G40" i="15"/>
  <c r="H40" i="15"/>
  <c r="G41" i="15"/>
  <c r="H41" i="15"/>
  <c r="G42" i="15"/>
  <c r="H42" i="15"/>
  <c r="G43" i="15"/>
  <c r="H43" i="15"/>
  <c r="G44" i="15"/>
  <c r="H44" i="15"/>
  <c r="G45" i="15"/>
  <c r="H45" i="15"/>
  <c r="G46" i="15"/>
  <c r="H46" i="15"/>
  <c r="G47" i="15"/>
  <c r="H47" i="15"/>
  <c r="G48" i="15"/>
  <c r="H48" i="15"/>
  <c r="G49" i="15"/>
  <c r="H49" i="15"/>
  <c r="G50" i="15"/>
  <c r="H50" i="15"/>
  <c r="G51" i="15"/>
  <c r="H51" i="15"/>
  <c r="G52" i="15"/>
  <c r="H52" i="15"/>
  <c r="G53" i="15"/>
  <c r="H53" i="15"/>
  <c r="G54" i="15"/>
  <c r="H54" i="15"/>
  <c r="G55" i="15"/>
  <c r="H55" i="15"/>
  <c r="G56" i="15"/>
  <c r="H56" i="15"/>
  <c r="G57" i="15"/>
  <c r="H57" i="15"/>
  <c r="G58" i="15"/>
  <c r="H58" i="15"/>
  <c r="G59" i="15"/>
  <c r="H59" i="15"/>
  <c r="G60" i="15"/>
  <c r="H60" i="15"/>
  <c r="G61" i="15"/>
  <c r="H61" i="15"/>
  <c r="G62" i="15"/>
  <c r="H62" i="15"/>
  <c r="G63" i="15"/>
  <c r="H63" i="15"/>
  <c r="G64" i="15"/>
  <c r="H64" i="15"/>
  <c r="G65" i="15"/>
  <c r="H65" i="15"/>
  <c r="G66" i="15"/>
  <c r="H66" i="15"/>
  <c r="G67" i="15"/>
  <c r="H67" i="15"/>
  <c r="G68" i="15"/>
  <c r="H68" i="15"/>
  <c r="G69" i="15"/>
  <c r="H69" i="15"/>
  <c r="G70" i="15"/>
  <c r="H70" i="15"/>
  <c r="G71" i="15"/>
  <c r="H71" i="15"/>
  <c r="G72" i="15"/>
  <c r="H72" i="15"/>
  <c r="G73" i="15"/>
  <c r="H73" i="15"/>
  <c r="G74" i="15"/>
  <c r="H74" i="15"/>
  <c r="G75" i="15"/>
  <c r="H75" i="15"/>
  <c r="G76" i="15"/>
  <c r="H76" i="15"/>
  <c r="G77" i="15"/>
  <c r="H77" i="15"/>
  <c r="G78" i="15"/>
  <c r="H78" i="15"/>
  <c r="G79" i="15"/>
  <c r="H79" i="15"/>
  <c r="G80" i="15"/>
  <c r="H80" i="15"/>
  <c r="G81" i="15"/>
  <c r="H81" i="15"/>
  <c r="G82" i="15"/>
  <c r="H82" i="15"/>
  <c r="G83" i="15"/>
  <c r="H83" i="15"/>
  <c r="G84" i="15"/>
  <c r="H84" i="15"/>
  <c r="G85" i="15"/>
  <c r="H85" i="15"/>
  <c r="G86" i="15"/>
  <c r="H86" i="15"/>
  <c r="G87" i="15"/>
  <c r="H87" i="15"/>
  <c r="G88" i="15"/>
  <c r="H88" i="15"/>
  <c r="G89" i="15"/>
  <c r="H89" i="15"/>
  <c r="G90" i="15"/>
  <c r="H90" i="15"/>
  <c r="G91" i="15"/>
  <c r="H91" i="15"/>
  <c r="G92" i="15"/>
  <c r="H92" i="15"/>
  <c r="G93" i="15"/>
  <c r="H93" i="15"/>
  <c r="G94" i="15"/>
  <c r="H94" i="15"/>
  <c r="G95" i="15"/>
  <c r="H95" i="15"/>
  <c r="G96" i="15"/>
  <c r="H96" i="15"/>
  <c r="G97" i="15"/>
  <c r="H97" i="15"/>
  <c r="G98" i="15"/>
  <c r="H98" i="15"/>
  <c r="G99" i="15"/>
  <c r="H99" i="15"/>
  <c r="G100" i="15"/>
  <c r="H100" i="15"/>
  <c r="G101" i="15"/>
  <c r="H101" i="15"/>
  <c r="G102" i="15"/>
  <c r="H102" i="15"/>
  <c r="G103" i="15"/>
  <c r="H103" i="15"/>
  <c r="G104" i="15"/>
  <c r="H104" i="15"/>
  <c r="G105" i="15"/>
  <c r="H105" i="15"/>
  <c r="G106" i="15"/>
  <c r="H106" i="15"/>
  <c r="G107" i="15"/>
  <c r="H107" i="15"/>
  <c r="G108" i="15"/>
  <c r="H108" i="15"/>
  <c r="G109" i="15"/>
  <c r="H109" i="15"/>
  <c r="G110" i="15"/>
  <c r="H110" i="15"/>
  <c r="G111" i="15"/>
  <c r="H111" i="15"/>
  <c r="G112" i="15"/>
  <c r="H112" i="15"/>
  <c r="G113" i="15"/>
  <c r="H113" i="15"/>
  <c r="G114" i="15"/>
  <c r="H114" i="15"/>
  <c r="G115" i="15"/>
  <c r="H115" i="15"/>
  <c r="G116" i="15"/>
  <c r="H116" i="15"/>
  <c r="G117" i="15"/>
  <c r="H117" i="15"/>
  <c r="G118" i="15"/>
  <c r="H118" i="15"/>
  <c r="G119" i="15"/>
  <c r="H119" i="15"/>
  <c r="G120" i="15"/>
  <c r="H120" i="15"/>
  <c r="G121" i="15"/>
  <c r="H121" i="15"/>
  <c r="G122" i="15"/>
  <c r="H122" i="15"/>
  <c r="G123" i="15"/>
  <c r="H123" i="15"/>
  <c r="G124" i="15"/>
  <c r="H124" i="15"/>
  <c r="G125" i="15"/>
  <c r="H125" i="15"/>
  <c r="G126" i="15"/>
  <c r="H126" i="15"/>
  <c r="G127" i="15"/>
  <c r="H127" i="15"/>
  <c r="G128" i="15"/>
  <c r="H128" i="15"/>
  <c r="G129" i="15"/>
  <c r="H129" i="15"/>
  <c r="G130" i="15"/>
  <c r="H130" i="15"/>
  <c r="G131" i="15"/>
  <c r="H131" i="15"/>
  <c r="G132" i="15"/>
  <c r="H132" i="15"/>
  <c r="G133" i="15"/>
  <c r="H133" i="15"/>
  <c r="G134" i="15"/>
  <c r="H134" i="15"/>
  <c r="G135" i="15"/>
  <c r="H135" i="15"/>
  <c r="G136" i="15"/>
  <c r="H136" i="15"/>
  <c r="G137" i="15"/>
  <c r="H137" i="15"/>
  <c r="G138" i="15"/>
  <c r="H138" i="15"/>
  <c r="G139" i="15"/>
  <c r="H139" i="15"/>
  <c r="G140" i="15"/>
  <c r="H140" i="15"/>
  <c r="G141" i="15"/>
  <c r="H141" i="15"/>
  <c r="G142" i="15"/>
  <c r="H142" i="15"/>
  <c r="G143" i="15"/>
  <c r="H143" i="15"/>
  <c r="G144" i="15"/>
  <c r="H144" i="15"/>
  <c r="G145" i="15"/>
  <c r="H145" i="15"/>
  <c r="G146" i="15"/>
  <c r="H146" i="15"/>
  <c r="G147" i="15"/>
  <c r="H147" i="15"/>
  <c r="G148" i="15"/>
  <c r="H148" i="15"/>
  <c r="G149" i="15"/>
  <c r="H149" i="15"/>
  <c r="G150" i="15"/>
  <c r="H150" i="15"/>
  <c r="G151" i="15"/>
  <c r="H151" i="15"/>
  <c r="G152" i="15"/>
  <c r="H152" i="15"/>
  <c r="G153" i="15"/>
  <c r="H153" i="15"/>
  <c r="G154" i="15"/>
  <c r="H154" i="15"/>
  <c r="G155" i="15"/>
  <c r="H155" i="15"/>
  <c r="G156" i="15"/>
  <c r="H156" i="15"/>
  <c r="G157" i="15"/>
  <c r="H157" i="15"/>
  <c r="G158" i="15"/>
  <c r="H158" i="15"/>
  <c r="G159" i="15"/>
  <c r="H159" i="15"/>
  <c r="G160" i="15"/>
  <c r="H160" i="15"/>
  <c r="G161" i="15"/>
  <c r="H161" i="15"/>
  <c r="G162" i="15"/>
  <c r="H162" i="15"/>
  <c r="G163" i="15"/>
  <c r="H163" i="15"/>
  <c r="G164" i="15"/>
  <c r="H164" i="15"/>
  <c r="G165" i="15"/>
  <c r="H165" i="15"/>
  <c r="G166" i="15"/>
  <c r="H166" i="15"/>
  <c r="G167" i="15"/>
  <c r="H167" i="15"/>
  <c r="G168" i="15"/>
  <c r="H168" i="15"/>
  <c r="G169" i="15"/>
  <c r="H169" i="15"/>
  <c r="G170" i="15"/>
  <c r="H170" i="15"/>
  <c r="G171" i="15"/>
  <c r="H171" i="15"/>
  <c r="G172" i="15"/>
  <c r="H172" i="15"/>
  <c r="G173" i="15"/>
  <c r="H173" i="15"/>
  <c r="G174" i="15"/>
  <c r="H174" i="15"/>
  <c r="G175" i="15"/>
  <c r="H175" i="15"/>
  <c r="G176" i="15"/>
  <c r="H176" i="15"/>
  <c r="G177" i="15"/>
  <c r="H177" i="15"/>
  <c r="G178" i="15"/>
  <c r="H178" i="15"/>
  <c r="G179" i="15"/>
  <c r="H179" i="15"/>
  <c r="G180" i="15"/>
  <c r="H180" i="15"/>
  <c r="G181" i="15"/>
  <c r="H181" i="15"/>
  <c r="G182" i="15"/>
  <c r="H182" i="15"/>
  <c r="G183" i="15"/>
  <c r="H183" i="15"/>
  <c r="G184" i="15"/>
  <c r="H184" i="15"/>
  <c r="G185" i="15"/>
  <c r="H185" i="15"/>
  <c r="G186" i="15"/>
  <c r="H186" i="15"/>
  <c r="G187" i="15"/>
  <c r="H187" i="15"/>
  <c r="G188" i="15"/>
  <c r="H188" i="15"/>
  <c r="G189" i="15"/>
  <c r="H189" i="15"/>
  <c r="G190" i="15"/>
  <c r="H190" i="15"/>
  <c r="G191" i="15"/>
  <c r="H191" i="15"/>
  <c r="G192" i="15"/>
  <c r="H192" i="15"/>
  <c r="G193" i="15"/>
  <c r="H193" i="15"/>
  <c r="G194" i="15"/>
  <c r="H194" i="15"/>
  <c r="G195" i="15"/>
  <c r="H195" i="15"/>
  <c r="G196" i="15"/>
  <c r="H196" i="15"/>
  <c r="G197" i="15"/>
  <c r="H197" i="15"/>
  <c r="G198" i="15"/>
  <c r="H198" i="15"/>
  <c r="G199" i="15"/>
  <c r="H199" i="15"/>
  <c r="G200" i="15"/>
  <c r="H200" i="15"/>
  <c r="G201" i="15"/>
  <c r="H201" i="15"/>
  <c r="G202" i="15"/>
  <c r="H202" i="15"/>
  <c r="G203" i="15"/>
  <c r="H203" i="15"/>
  <c r="G204" i="15"/>
  <c r="H204" i="15"/>
  <c r="G205" i="15"/>
  <c r="H205" i="15"/>
  <c r="G206" i="15"/>
  <c r="H206" i="15"/>
  <c r="G207" i="15"/>
  <c r="H207" i="15"/>
  <c r="G208" i="15"/>
  <c r="H208" i="15"/>
  <c r="G209" i="15"/>
  <c r="H209" i="15"/>
  <c r="G210" i="15"/>
  <c r="H210" i="15"/>
  <c r="G211" i="15"/>
  <c r="H211" i="15"/>
  <c r="G212" i="15"/>
  <c r="H212" i="15"/>
  <c r="G213" i="15"/>
  <c r="H213" i="15"/>
  <c r="G214" i="15"/>
  <c r="H214" i="15"/>
  <c r="G215" i="15"/>
  <c r="H215" i="15"/>
  <c r="G216" i="15"/>
  <c r="H216" i="15"/>
  <c r="G217" i="15"/>
  <c r="H217" i="15"/>
  <c r="G218" i="15"/>
  <c r="H218" i="15"/>
  <c r="G219" i="15"/>
  <c r="H219" i="15"/>
  <c r="G220" i="15"/>
  <c r="H220" i="15"/>
  <c r="G221" i="15"/>
  <c r="H221" i="15"/>
  <c r="G222" i="15"/>
  <c r="H222" i="15"/>
  <c r="G223" i="15"/>
  <c r="H223" i="15"/>
  <c r="G224" i="15"/>
  <c r="H224" i="15"/>
  <c r="G225" i="15"/>
  <c r="H225" i="15"/>
  <c r="G226" i="15"/>
  <c r="H226" i="15"/>
  <c r="G227" i="15"/>
  <c r="H227" i="15"/>
  <c r="G228" i="15"/>
  <c r="H228" i="15"/>
  <c r="G229" i="15"/>
  <c r="H229" i="15"/>
  <c r="G230" i="15"/>
  <c r="H230" i="15"/>
  <c r="G231" i="15"/>
  <c r="H231" i="15"/>
  <c r="G232" i="15"/>
  <c r="H232" i="15"/>
  <c r="G233" i="15"/>
  <c r="H233" i="15"/>
  <c r="G234" i="15"/>
  <c r="H234" i="15"/>
  <c r="G235" i="15"/>
  <c r="H235" i="15"/>
  <c r="G236" i="15"/>
  <c r="H236" i="15"/>
  <c r="G237" i="15"/>
  <c r="H237" i="15"/>
  <c r="G238" i="15"/>
  <c r="H238" i="15"/>
  <c r="G239" i="15"/>
  <c r="H239" i="15"/>
  <c r="G240" i="15"/>
  <c r="H240" i="15"/>
  <c r="G241" i="15"/>
  <c r="H241" i="15"/>
  <c r="G242" i="15"/>
  <c r="H242" i="15"/>
  <c r="G243" i="15"/>
  <c r="H243" i="15"/>
  <c r="G244" i="15"/>
  <c r="H244" i="15"/>
  <c r="G245" i="15"/>
  <c r="H245" i="15"/>
  <c r="G246" i="15"/>
  <c r="H246" i="15"/>
  <c r="G247" i="15"/>
  <c r="H247" i="15"/>
  <c r="G248" i="15"/>
  <c r="H248" i="15"/>
  <c r="G249" i="15"/>
  <c r="H249" i="15"/>
  <c r="G250" i="15"/>
  <c r="H250" i="15"/>
  <c r="G251" i="15"/>
  <c r="H251" i="15"/>
  <c r="G252" i="15"/>
  <c r="H252" i="15"/>
  <c r="G253" i="15"/>
  <c r="H253" i="15"/>
  <c r="G254" i="15"/>
  <c r="H254" i="15"/>
  <c r="G255" i="15"/>
  <c r="H255" i="15"/>
  <c r="G256" i="15"/>
  <c r="H256" i="15"/>
  <c r="G257" i="15"/>
  <c r="H257" i="15"/>
  <c r="G258" i="15"/>
  <c r="H258" i="15"/>
  <c r="G259" i="15"/>
  <c r="H259" i="15"/>
  <c r="G260" i="15"/>
  <c r="H260" i="15"/>
  <c r="G261" i="15"/>
  <c r="H261" i="15"/>
  <c r="G262" i="15"/>
  <c r="H262" i="15"/>
  <c r="G263" i="15"/>
  <c r="H263" i="15"/>
  <c r="G264" i="15"/>
  <c r="H264" i="15"/>
  <c r="G265" i="15"/>
  <c r="H265" i="15"/>
  <c r="G266" i="15"/>
  <c r="H266" i="15"/>
  <c r="G267" i="15"/>
  <c r="H267" i="15"/>
  <c r="G268" i="15"/>
  <c r="H268" i="15"/>
  <c r="G269" i="15"/>
  <c r="H269" i="15"/>
  <c r="G270" i="15"/>
  <c r="H270" i="15"/>
  <c r="G271" i="15"/>
  <c r="H271" i="15"/>
  <c r="G272" i="15"/>
  <c r="H272" i="15"/>
  <c r="G273" i="15"/>
  <c r="H273" i="15"/>
  <c r="G274" i="15"/>
  <c r="H274" i="15"/>
  <c r="G275" i="15"/>
  <c r="H275" i="15"/>
  <c r="G276" i="15"/>
  <c r="H276" i="15"/>
  <c r="G277" i="15"/>
  <c r="H277" i="15"/>
  <c r="G278" i="15"/>
  <c r="H278" i="15"/>
  <c r="G279" i="15"/>
  <c r="H279" i="15"/>
  <c r="G280" i="15"/>
  <c r="H280" i="15"/>
  <c r="G281" i="15"/>
  <c r="H281" i="15"/>
  <c r="G282" i="15"/>
  <c r="H282" i="15"/>
  <c r="G283" i="15"/>
  <c r="H283" i="15"/>
  <c r="G284" i="15"/>
  <c r="H284" i="15"/>
  <c r="G285" i="15"/>
  <c r="H285" i="15"/>
  <c r="G286" i="15"/>
  <c r="H286" i="15"/>
  <c r="G287" i="15"/>
  <c r="H287" i="15"/>
  <c r="G288" i="15"/>
  <c r="H288" i="15"/>
  <c r="G289" i="15"/>
  <c r="H289" i="15"/>
  <c r="G290" i="15"/>
  <c r="H290" i="15"/>
  <c r="G291" i="15"/>
  <c r="H291" i="15"/>
  <c r="G292" i="15"/>
  <c r="H292" i="15"/>
  <c r="G293" i="15"/>
  <c r="H293" i="15"/>
  <c r="G294" i="15"/>
  <c r="H294" i="15"/>
  <c r="G295" i="15"/>
  <c r="H295" i="15"/>
  <c r="G296" i="15"/>
  <c r="H296" i="15"/>
  <c r="G297" i="15"/>
  <c r="H297" i="15"/>
  <c r="G298" i="15"/>
  <c r="H298" i="15"/>
  <c r="G299" i="15"/>
  <c r="H299" i="15"/>
  <c r="G300" i="15"/>
  <c r="H300" i="15"/>
  <c r="G301" i="15"/>
  <c r="H301" i="15"/>
  <c r="G302" i="15"/>
  <c r="H302" i="15"/>
  <c r="G303" i="15"/>
  <c r="H303" i="15"/>
  <c r="G304" i="15"/>
  <c r="H304" i="15"/>
  <c r="G305" i="15"/>
  <c r="H305" i="15"/>
  <c r="G306" i="15"/>
  <c r="H306" i="15"/>
  <c r="G307" i="15"/>
  <c r="H307" i="15"/>
  <c r="G308" i="15"/>
  <c r="H308" i="15"/>
  <c r="G309" i="15"/>
  <c r="H309" i="15"/>
  <c r="G310" i="15"/>
  <c r="H310" i="15"/>
  <c r="G311" i="15"/>
  <c r="H311" i="15"/>
  <c r="G312" i="15"/>
  <c r="H312" i="15"/>
  <c r="G313" i="15"/>
  <c r="H313" i="15"/>
  <c r="G314" i="15"/>
  <c r="H314" i="15"/>
  <c r="G315" i="15"/>
  <c r="H315" i="15"/>
  <c r="G316" i="15"/>
  <c r="H316" i="15"/>
  <c r="G317" i="15"/>
  <c r="H317" i="15"/>
  <c r="G318" i="15"/>
  <c r="H318" i="15"/>
  <c r="G319" i="15"/>
  <c r="H319" i="15"/>
  <c r="G320" i="15"/>
  <c r="H320" i="15"/>
  <c r="G321" i="15"/>
  <c r="H321" i="15"/>
  <c r="G322" i="15"/>
  <c r="H322" i="15"/>
  <c r="G323" i="15"/>
  <c r="H323" i="15"/>
  <c r="G324" i="15"/>
  <c r="H324" i="15"/>
  <c r="G325" i="15"/>
  <c r="H325" i="15"/>
  <c r="G326" i="15"/>
  <c r="H326" i="15"/>
  <c r="G327" i="15"/>
  <c r="H327" i="15"/>
  <c r="G328" i="15"/>
  <c r="H328" i="15"/>
  <c r="G329" i="15"/>
  <c r="H329" i="15"/>
  <c r="G330" i="15"/>
  <c r="H330" i="15"/>
  <c r="G331" i="15"/>
  <c r="H331" i="15"/>
  <c r="G332" i="15"/>
  <c r="H332" i="15"/>
  <c r="G333" i="15"/>
  <c r="H333" i="15"/>
  <c r="G334" i="15"/>
  <c r="H334" i="15"/>
  <c r="G335" i="15"/>
  <c r="H335" i="15"/>
  <c r="G336" i="15"/>
  <c r="H336" i="15"/>
  <c r="G337" i="15"/>
  <c r="H337" i="15"/>
  <c r="G338" i="15"/>
  <c r="H338" i="15"/>
  <c r="G339" i="15"/>
  <c r="H339" i="15"/>
  <c r="G340" i="15"/>
  <c r="H340" i="15"/>
  <c r="G341" i="15"/>
  <c r="H341" i="15"/>
  <c r="G342" i="15"/>
  <c r="H342" i="15"/>
  <c r="G343" i="15"/>
  <c r="H343" i="15"/>
  <c r="G344" i="15"/>
  <c r="H344" i="15"/>
  <c r="G345" i="15"/>
  <c r="H345" i="15"/>
  <c r="G346" i="15"/>
  <c r="H346" i="15"/>
  <c r="G347" i="15"/>
  <c r="H347" i="15"/>
  <c r="G348" i="15"/>
  <c r="H348" i="15"/>
  <c r="G349" i="15"/>
  <c r="H349" i="15"/>
  <c r="G350" i="15"/>
  <c r="H350" i="15"/>
  <c r="G351" i="15"/>
  <c r="H351" i="15"/>
  <c r="G352" i="15"/>
  <c r="H352" i="15"/>
  <c r="G353" i="15"/>
  <c r="H353" i="15"/>
  <c r="G354" i="15"/>
  <c r="H354" i="15"/>
  <c r="G355" i="15"/>
  <c r="H355" i="15"/>
  <c r="G356" i="15"/>
  <c r="H356" i="15"/>
  <c r="G357" i="15"/>
  <c r="H357" i="15"/>
  <c r="G358" i="15"/>
  <c r="H358" i="15"/>
  <c r="G359" i="15"/>
  <c r="H359" i="15"/>
  <c r="G360" i="15"/>
  <c r="H360" i="15"/>
  <c r="G361" i="15"/>
  <c r="H361" i="15"/>
  <c r="G362" i="15"/>
  <c r="H362" i="15"/>
  <c r="G363" i="15"/>
  <c r="H363" i="15"/>
  <c r="G364" i="15"/>
  <c r="H364" i="15"/>
  <c r="G365" i="15"/>
  <c r="H365" i="15"/>
  <c r="G366" i="15"/>
  <c r="H366" i="15"/>
  <c r="G367" i="15"/>
  <c r="H367" i="15"/>
  <c r="G368" i="15"/>
  <c r="H368" i="15"/>
  <c r="G369" i="15"/>
  <c r="H369" i="15"/>
  <c r="G370" i="15"/>
  <c r="H370" i="15"/>
  <c r="G371" i="15"/>
  <c r="H371" i="15"/>
  <c r="G372" i="15"/>
  <c r="H372" i="15"/>
  <c r="G373" i="15"/>
  <c r="H373" i="15"/>
  <c r="G374" i="15"/>
  <c r="H374" i="15"/>
  <c r="G375" i="15"/>
  <c r="H375" i="15"/>
  <c r="G376" i="15"/>
  <c r="H376" i="15"/>
  <c r="G377" i="15"/>
  <c r="H377" i="15"/>
  <c r="G378" i="15"/>
  <c r="H378" i="15"/>
  <c r="G379" i="15"/>
  <c r="H379" i="15"/>
  <c r="G380" i="15"/>
  <c r="H380" i="15"/>
  <c r="G381" i="15"/>
  <c r="H381" i="15"/>
  <c r="G382" i="15"/>
  <c r="H382" i="15"/>
  <c r="G383" i="15"/>
  <c r="H383" i="15"/>
  <c r="G384" i="15"/>
  <c r="H384" i="15"/>
  <c r="G385" i="15"/>
  <c r="H385" i="15"/>
  <c r="G386" i="15"/>
  <c r="H386" i="15"/>
  <c r="G387" i="15"/>
  <c r="H387" i="15"/>
  <c r="G388" i="15"/>
  <c r="H388" i="15"/>
  <c r="G389" i="15"/>
  <c r="H389" i="15"/>
  <c r="G390" i="15"/>
  <c r="H390" i="15"/>
  <c r="G391" i="15"/>
  <c r="H391" i="15"/>
  <c r="G392" i="15"/>
  <c r="H392" i="15"/>
  <c r="G393" i="15"/>
  <c r="H393" i="15"/>
  <c r="G394" i="15"/>
  <c r="H394" i="15"/>
  <c r="G395" i="15"/>
  <c r="H395" i="15"/>
  <c r="G396" i="15"/>
  <c r="H396" i="15"/>
  <c r="G397" i="15"/>
  <c r="H397" i="15"/>
  <c r="G398" i="15"/>
  <c r="H398" i="15"/>
  <c r="G399" i="15"/>
  <c r="H399" i="15"/>
  <c r="G400" i="15"/>
  <c r="H400" i="15"/>
  <c r="G401" i="15"/>
  <c r="H401" i="15"/>
  <c r="G402" i="15"/>
  <c r="H402" i="15"/>
  <c r="G403" i="15"/>
  <c r="H403" i="15"/>
  <c r="G404" i="15"/>
  <c r="H404" i="15"/>
  <c r="G405" i="15"/>
  <c r="H405" i="15"/>
  <c r="G406" i="15"/>
  <c r="H406" i="15"/>
  <c r="G407" i="15"/>
  <c r="H407" i="15"/>
  <c r="G408" i="15"/>
  <c r="H408" i="15"/>
  <c r="G409" i="15"/>
  <c r="H409" i="15"/>
  <c r="G410" i="15"/>
  <c r="H410" i="15"/>
  <c r="G411" i="15"/>
  <c r="H411" i="15"/>
  <c r="G412" i="15"/>
  <c r="H412" i="15"/>
  <c r="G413" i="15"/>
  <c r="H413" i="15"/>
  <c r="G414" i="15"/>
  <c r="H414" i="15"/>
  <c r="G415" i="15"/>
  <c r="H415" i="15"/>
  <c r="G416" i="15"/>
  <c r="H416" i="15"/>
  <c r="G417" i="15"/>
  <c r="H417" i="15"/>
  <c r="G418" i="15"/>
  <c r="H418" i="15"/>
  <c r="G419" i="15"/>
  <c r="H419" i="15"/>
  <c r="G420" i="15"/>
  <c r="H420" i="15"/>
  <c r="G421" i="15"/>
  <c r="H421" i="15"/>
  <c r="G422" i="15"/>
  <c r="H422" i="15"/>
  <c r="G423" i="15"/>
  <c r="H423" i="15"/>
  <c r="G424" i="15"/>
  <c r="H424" i="15"/>
  <c r="G425" i="15"/>
  <c r="H425" i="15"/>
  <c r="G426" i="15"/>
  <c r="H426" i="15"/>
  <c r="G427" i="15"/>
  <c r="H427" i="15"/>
  <c r="G428" i="15"/>
  <c r="H428" i="15"/>
  <c r="G429" i="15"/>
  <c r="H429" i="15"/>
  <c r="G430" i="15"/>
  <c r="H430" i="15"/>
  <c r="G431" i="15"/>
  <c r="H431" i="15"/>
  <c r="G432" i="15"/>
  <c r="H432" i="15"/>
  <c r="G433" i="15"/>
  <c r="H433" i="15"/>
  <c r="G434" i="15"/>
  <c r="H434" i="15"/>
  <c r="G435" i="15"/>
  <c r="H435" i="15"/>
  <c r="G436" i="15"/>
  <c r="H436" i="15"/>
  <c r="G437" i="15"/>
  <c r="H437" i="15"/>
  <c r="G438" i="15"/>
  <c r="H438" i="15"/>
  <c r="G439" i="15"/>
  <c r="H439" i="15"/>
  <c r="G440" i="15"/>
  <c r="H440" i="15"/>
  <c r="G441" i="15"/>
  <c r="H441" i="15"/>
  <c r="G442" i="15"/>
  <c r="H442" i="15"/>
  <c r="G443" i="15"/>
  <c r="H443" i="15"/>
  <c r="G444" i="15"/>
  <c r="H444" i="15"/>
  <c r="G445" i="15"/>
  <c r="H445" i="15"/>
  <c r="G446" i="15"/>
  <c r="H446" i="15"/>
  <c r="G447" i="15"/>
  <c r="H447" i="15"/>
  <c r="G448" i="15"/>
  <c r="H448" i="15"/>
  <c r="G449" i="15"/>
  <c r="H449" i="15"/>
  <c r="G450" i="15"/>
  <c r="H450" i="15"/>
  <c r="G451" i="15"/>
  <c r="H451" i="15"/>
  <c r="G452" i="15"/>
  <c r="H452" i="15"/>
  <c r="G453" i="15"/>
  <c r="H453" i="15"/>
  <c r="G454" i="15"/>
  <c r="H454" i="15"/>
  <c r="G455" i="15"/>
  <c r="H455" i="15"/>
  <c r="G456" i="15"/>
  <c r="H456" i="15"/>
  <c r="G457" i="15"/>
  <c r="H457" i="15"/>
  <c r="G458" i="15"/>
  <c r="H458" i="15"/>
  <c r="G459" i="15"/>
  <c r="H459" i="15"/>
  <c r="G460" i="15"/>
  <c r="H460" i="15"/>
  <c r="G461" i="15"/>
  <c r="H461" i="15"/>
  <c r="G462" i="15"/>
  <c r="H462" i="15"/>
  <c r="G463" i="15"/>
  <c r="H463" i="15"/>
  <c r="G464" i="15"/>
  <c r="H464" i="15"/>
  <c r="G465" i="15"/>
  <c r="H465" i="15"/>
  <c r="G466" i="15"/>
  <c r="H466" i="15"/>
  <c r="G467" i="15"/>
  <c r="H467" i="15"/>
  <c r="G468" i="15"/>
  <c r="H468" i="15"/>
  <c r="G469" i="15"/>
  <c r="H469" i="15"/>
  <c r="G470" i="15"/>
  <c r="H470" i="15"/>
  <c r="G471" i="15"/>
  <c r="H471" i="15"/>
  <c r="G472" i="15"/>
  <c r="H472" i="15"/>
  <c r="G473" i="15"/>
  <c r="H473" i="15"/>
  <c r="G474" i="15"/>
  <c r="H474" i="15"/>
  <c r="G475" i="15"/>
  <c r="H475" i="15"/>
  <c r="G476" i="15"/>
  <c r="H476" i="15"/>
  <c r="G477" i="15"/>
  <c r="H477" i="15"/>
  <c r="G478" i="15"/>
  <c r="H478" i="15"/>
  <c r="G479" i="15"/>
  <c r="H479" i="15"/>
  <c r="G480" i="15"/>
  <c r="H480" i="15"/>
  <c r="G481" i="15"/>
  <c r="H481" i="15"/>
  <c r="G482" i="15"/>
  <c r="H482" i="15"/>
  <c r="G483" i="15"/>
  <c r="H483" i="15"/>
  <c r="G484" i="15"/>
  <c r="H484" i="15"/>
  <c r="G485" i="15"/>
  <c r="H485" i="15"/>
  <c r="G486" i="15"/>
  <c r="H486" i="15"/>
  <c r="G487" i="15"/>
  <c r="H487" i="15"/>
  <c r="G488" i="15"/>
  <c r="H488" i="15"/>
  <c r="G489" i="15"/>
  <c r="H489" i="15"/>
  <c r="G490" i="15"/>
  <c r="H490" i="15"/>
  <c r="G491" i="15"/>
  <c r="H491" i="15"/>
  <c r="G492" i="15"/>
  <c r="H492" i="15"/>
  <c r="G493" i="15"/>
  <c r="H493" i="15"/>
  <c r="G494" i="15"/>
  <c r="H494" i="15"/>
  <c r="G495" i="15"/>
  <c r="H495" i="15"/>
  <c r="G496" i="15"/>
  <c r="H496" i="15"/>
  <c r="G497" i="15"/>
  <c r="H497" i="15"/>
  <c r="G498" i="15"/>
  <c r="H498" i="15"/>
  <c r="G499" i="15"/>
  <c r="H499" i="15"/>
  <c r="G500" i="15"/>
  <c r="H500" i="15"/>
  <c r="G501" i="15"/>
  <c r="H501" i="15"/>
  <c r="G502" i="15"/>
  <c r="H502" i="15"/>
  <c r="G503" i="15"/>
  <c r="H503" i="15"/>
  <c r="G504" i="15"/>
  <c r="H504" i="15"/>
  <c r="G505" i="15"/>
  <c r="H505" i="15"/>
  <c r="G506" i="15"/>
  <c r="H506" i="15"/>
  <c r="G507" i="15"/>
  <c r="H507" i="15"/>
  <c r="G508" i="15"/>
  <c r="H508" i="15"/>
  <c r="G509" i="15"/>
  <c r="H509" i="15"/>
  <c r="G510" i="15"/>
  <c r="H510" i="15"/>
  <c r="G511" i="15"/>
  <c r="H511" i="15"/>
  <c r="G512" i="15"/>
  <c r="H512" i="15"/>
  <c r="G513" i="15"/>
  <c r="H513" i="15"/>
  <c r="G514" i="15"/>
  <c r="H514" i="15"/>
  <c r="G515" i="15"/>
  <c r="H515" i="15"/>
  <c r="G516" i="15"/>
  <c r="H516" i="15"/>
  <c r="G517" i="15"/>
  <c r="H517" i="15"/>
  <c r="G518" i="15"/>
  <c r="H518" i="15"/>
  <c r="G519" i="15"/>
  <c r="H519" i="15"/>
  <c r="G520" i="15"/>
  <c r="H520" i="15"/>
  <c r="G521" i="15"/>
  <c r="H521" i="15"/>
  <c r="G522" i="15"/>
  <c r="H522" i="15"/>
  <c r="G523" i="15"/>
  <c r="H523" i="15"/>
  <c r="G524" i="15"/>
  <c r="H524" i="15"/>
  <c r="G525" i="15"/>
  <c r="H525" i="15"/>
  <c r="G526" i="15"/>
  <c r="H526" i="15"/>
  <c r="G527" i="15"/>
  <c r="H527" i="15"/>
  <c r="G528" i="15"/>
  <c r="H528" i="15"/>
  <c r="G529" i="15"/>
  <c r="H529" i="15"/>
  <c r="G530" i="15"/>
  <c r="H530" i="15"/>
  <c r="G531" i="15"/>
  <c r="H531" i="15"/>
  <c r="G532" i="15"/>
  <c r="H532" i="15"/>
  <c r="G533" i="15"/>
  <c r="H533" i="15"/>
  <c r="G534" i="15"/>
  <c r="H534" i="15"/>
  <c r="G535" i="15"/>
  <c r="H535" i="15"/>
  <c r="G536" i="15"/>
  <c r="H536" i="15"/>
  <c r="G537" i="15"/>
  <c r="H537" i="15"/>
  <c r="G538" i="15"/>
  <c r="H538" i="15"/>
  <c r="G539" i="15"/>
  <c r="H539" i="15"/>
  <c r="G540" i="15"/>
  <c r="H540" i="15"/>
  <c r="G541" i="15"/>
  <c r="H541" i="15"/>
  <c r="G542" i="15"/>
  <c r="H542" i="15"/>
  <c r="G543" i="15"/>
  <c r="H543" i="15"/>
  <c r="G544" i="15"/>
  <c r="H544" i="15"/>
  <c r="G545" i="15"/>
  <c r="H545" i="15"/>
  <c r="G546" i="15"/>
  <c r="H546" i="15"/>
  <c r="G547" i="15"/>
  <c r="H547" i="15"/>
  <c r="G548" i="15"/>
  <c r="H548" i="15"/>
  <c r="G549" i="15"/>
  <c r="H549" i="15"/>
  <c r="G550" i="15"/>
  <c r="H550" i="15"/>
  <c r="G551" i="15"/>
  <c r="H551" i="15"/>
  <c r="G552" i="15"/>
  <c r="H552" i="15"/>
  <c r="G553" i="15"/>
  <c r="H553" i="15"/>
  <c r="G554" i="15"/>
  <c r="H554" i="15"/>
  <c r="G555" i="15"/>
  <c r="H555" i="15"/>
  <c r="G556" i="15"/>
  <c r="H556" i="15"/>
  <c r="G557" i="15"/>
  <c r="H557" i="15"/>
  <c r="G558" i="15"/>
  <c r="H558" i="15"/>
  <c r="G559" i="15"/>
  <c r="H559" i="15"/>
  <c r="G560" i="15"/>
  <c r="H560" i="15"/>
  <c r="G561" i="15"/>
  <c r="H561" i="15"/>
  <c r="G562" i="15"/>
  <c r="H562" i="15"/>
  <c r="G563" i="15"/>
  <c r="H563" i="15"/>
  <c r="G564" i="15"/>
  <c r="H564" i="15"/>
  <c r="G565" i="15"/>
  <c r="H565" i="15"/>
  <c r="G566" i="15"/>
  <c r="H566" i="15"/>
  <c r="G567" i="15"/>
  <c r="H567" i="15"/>
  <c r="G568" i="15"/>
  <c r="H568" i="15"/>
  <c r="G569" i="15"/>
  <c r="H569" i="15"/>
  <c r="G570" i="15"/>
  <c r="H570" i="15"/>
  <c r="G571" i="15"/>
  <c r="H571" i="15"/>
  <c r="G572" i="15"/>
  <c r="H572" i="15"/>
  <c r="G573" i="15"/>
  <c r="H573" i="15"/>
  <c r="G574" i="15"/>
  <c r="H574" i="15"/>
  <c r="G575" i="15"/>
  <c r="H575" i="15"/>
  <c r="G576" i="15"/>
  <c r="H576" i="15"/>
  <c r="G577" i="15"/>
  <c r="H577" i="15"/>
  <c r="G578" i="15"/>
  <c r="H578" i="15"/>
  <c r="G579" i="15"/>
  <c r="H579" i="15"/>
  <c r="G580" i="15"/>
  <c r="H580" i="15"/>
  <c r="G581" i="15"/>
  <c r="H581" i="15"/>
  <c r="G582" i="15"/>
  <c r="H582" i="15"/>
  <c r="G583" i="15"/>
  <c r="H583" i="15"/>
  <c r="G584" i="15"/>
  <c r="H584" i="15"/>
  <c r="G585" i="15"/>
  <c r="H585" i="15"/>
  <c r="G586" i="15"/>
  <c r="H586" i="15"/>
  <c r="G587" i="15"/>
  <c r="H587" i="15"/>
  <c r="G588" i="15"/>
  <c r="H588" i="15"/>
  <c r="G589" i="15"/>
  <c r="H589" i="15"/>
  <c r="G590" i="15"/>
  <c r="H590" i="15"/>
  <c r="G591" i="15"/>
  <c r="H591" i="15"/>
  <c r="G592" i="15"/>
  <c r="H592" i="15"/>
  <c r="G593" i="15"/>
  <c r="H593" i="15"/>
  <c r="G594" i="15"/>
  <c r="H594" i="15"/>
  <c r="G595" i="15"/>
  <c r="H595" i="15"/>
  <c r="G596" i="15"/>
  <c r="H596" i="15"/>
  <c r="G597" i="15"/>
  <c r="H597" i="15"/>
  <c r="G598" i="15"/>
  <c r="H598" i="15"/>
  <c r="G599" i="15"/>
  <c r="H599" i="15"/>
  <c r="G600" i="15"/>
  <c r="H600" i="15"/>
  <c r="G601" i="15"/>
  <c r="H601" i="15"/>
  <c r="G602" i="15"/>
  <c r="H602" i="15"/>
  <c r="G603" i="15"/>
  <c r="H603" i="15"/>
  <c r="G604" i="15"/>
  <c r="H604" i="15"/>
  <c r="G605" i="15"/>
  <c r="H605" i="15"/>
  <c r="G606" i="15"/>
  <c r="H606" i="15"/>
  <c r="G607" i="15"/>
  <c r="H607" i="15"/>
  <c r="G608" i="15"/>
  <c r="H608" i="15"/>
  <c r="G609" i="15"/>
  <c r="H609" i="15"/>
  <c r="G610" i="15"/>
  <c r="H610" i="15"/>
  <c r="G611" i="15"/>
  <c r="H611" i="15"/>
  <c r="G612" i="15"/>
  <c r="H612" i="15"/>
  <c r="G613" i="15"/>
  <c r="H613" i="15"/>
  <c r="G614" i="15"/>
  <c r="H614" i="15"/>
  <c r="G615" i="15"/>
  <c r="H615" i="15"/>
  <c r="G616" i="15"/>
  <c r="H616" i="15"/>
  <c r="G617" i="15"/>
  <c r="H617" i="15"/>
  <c r="G618" i="15"/>
  <c r="H618" i="15"/>
  <c r="G619" i="15"/>
  <c r="H619" i="15"/>
  <c r="G620" i="15"/>
  <c r="H620" i="15"/>
  <c r="G621" i="15"/>
  <c r="H621" i="15"/>
  <c r="G622" i="15"/>
  <c r="H622" i="15"/>
  <c r="G623" i="15"/>
  <c r="H623" i="15"/>
  <c r="G624" i="15"/>
  <c r="H624" i="15"/>
  <c r="G625" i="15"/>
  <c r="H625" i="15"/>
  <c r="G626" i="15"/>
  <c r="H626" i="15"/>
  <c r="G627" i="15"/>
  <c r="H627" i="15"/>
  <c r="G628" i="15"/>
  <c r="H628" i="15"/>
  <c r="G629" i="15"/>
  <c r="H629" i="15"/>
  <c r="G630" i="15"/>
  <c r="H630" i="15"/>
  <c r="G631" i="15"/>
  <c r="H631" i="15"/>
  <c r="G632" i="15"/>
  <c r="H632" i="15"/>
  <c r="G633" i="15"/>
  <c r="H633" i="15"/>
  <c r="G634" i="15"/>
  <c r="H634" i="15"/>
  <c r="G635" i="15"/>
  <c r="H635" i="15"/>
  <c r="G636" i="15"/>
  <c r="H636" i="15"/>
  <c r="G637" i="15"/>
  <c r="H637" i="15"/>
  <c r="G638" i="15"/>
  <c r="H638" i="15"/>
  <c r="G639" i="15"/>
  <c r="H639" i="15"/>
  <c r="G640" i="15"/>
  <c r="H640" i="15"/>
  <c r="G641" i="15"/>
  <c r="H641" i="15"/>
  <c r="G642" i="15"/>
  <c r="H642" i="15"/>
  <c r="G643" i="15"/>
  <c r="H643" i="15"/>
  <c r="G644" i="15"/>
  <c r="H644" i="15"/>
  <c r="G645" i="15"/>
  <c r="H645" i="15"/>
  <c r="G646" i="15"/>
  <c r="H646" i="15"/>
  <c r="G647" i="15"/>
  <c r="H647" i="15"/>
  <c r="G648" i="15"/>
  <c r="H648" i="15"/>
  <c r="G649" i="15"/>
  <c r="H649" i="15"/>
  <c r="G650" i="15"/>
  <c r="H650" i="15"/>
  <c r="G651" i="15"/>
  <c r="H651" i="15"/>
  <c r="G652" i="15"/>
  <c r="H652" i="15"/>
  <c r="G653" i="15"/>
  <c r="H653" i="15"/>
  <c r="G654" i="15"/>
  <c r="H654" i="15"/>
  <c r="G655" i="15"/>
  <c r="H655" i="15"/>
  <c r="G656" i="15"/>
  <c r="H656" i="15"/>
  <c r="G657" i="15"/>
  <c r="H657" i="15"/>
  <c r="G658" i="15"/>
  <c r="H658" i="15"/>
  <c r="G659" i="15"/>
  <c r="H659" i="15"/>
  <c r="G660" i="15"/>
  <c r="H660" i="15"/>
  <c r="G661" i="15"/>
  <c r="H661" i="15"/>
  <c r="G662" i="15"/>
  <c r="H662" i="15"/>
  <c r="G663" i="15"/>
  <c r="H663" i="15"/>
  <c r="G664" i="15"/>
  <c r="H664" i="15"/>
  <c r="G665" i="15"/>
  <c r="H665" i="15"/>
  <c r="G666" i="15"/>
  <c r="H666" i="15"/>
  <c r="G667" i="15"/>
  <c r="H667" i="15"/>
  <c r="G668" i="15"/>
  <c r="H668" i="15"/>
  <c r="G669" i="15"/>
  <c r="H669" i="15"/>
  <c r="G670" i="15"/>
  <c r="H670" i="15"/>
  <c r="G671" i="15"/>
  <c r="H671" i="15"/>
  <c r="G672" i="15"/>
  <c r="H672" i="15"/>
  <c r="G673" i="15"/>
  <c r="H673" i="15"/>
  <c r="G674" i="15"/>
  <c r="H674" i="15"/>
  <c r="G675" i="15"/>
  <c r="H675" i="15"/>
  <c r="G676" i="15"/>
  <c r="H676" i="15"/>
  <c r="G677" i="15"/>
  <c r="H677" i="15"/>
  <c r="G678" i="15"/>
  <c r="H678" i="15"/>
  <c r="G679" i="15"/>
  <c r="H679" i="15"/>
  <c r="G680" i="15"/>
  <c r="H680" i="15"/>
  <c r="G681" i="15"/>
  <c r="H681" i="15"/>
  <c r="G682" i="15"/>
  <c r="H682" i="15"/>
  <c r="G683" i="15"/>
  <c r="H683" i="15"/>
  <c r="G684" i="15"/>
  <c r="H684" i="15"/>
  <c r="G685" i="15"/>
  <c r="H685" i="15"/>
  <c r="G686" i="15"/>
  <c r="H686" i="15"/>
  <c r="G687" i="15"/>
  <c r="H687" i="15"/>
  <c r="G688" i="15"/>
  <c r="H688" i="15"/>
  <c r="G689" i="15"/>
  <c r="H689" i="15"/>
  <c r="G690" i="15"/>
  <c r="H690" i="15"/>
  <c r="G691" i="15"/>
  <c r="H691" i="15"/>
  <c r="G692" i="15"/>
  <c r="H692" i="15"/>
  <c r="G693" i="15"/>
  <c r="H693" i="15"/>
  <c r="G694" i="15"/>
  <c r="H694" i="15"/>
  <c r="G695" i="15"/>
  <c r="H695" i="15"/>
  <c r="G696" i="15"/>
  <c r="H696" i="15"/>
  <c r="G697" i="15"/>
  <c r="H697" i="15"/>
  <c r="G698" i="15"/>
  <c r="H698" i="15"/>
  <c r="G699" i="15"/>
  <c r="H699" i="15"/>
  <c r="G700" i="15"/>
  <c r="H700" i="15"/>
  <c r="G701" i="15"/>
  <c r="H701" i="15"/>
  <c r="G702" i="15"/>
  <c r="H702" i="15"/>
  <c r="G703" i="15"/>
  <c r="H703" i="15"/>
  <c r="G704" i="15"/>
  <c r="H704" i="15"/>
  <c r="G705" i="15"/>
  <c r="H705" i="15"/>
  <c r="G706" i="15"/>
  <c r="H706" i="15"/>
  <c r="G707" i="15"/>
  <c r="H707" i="15"/>
  <c r="G708" i="15"/>
  <c r="H708" i="15"/>
  <c r="G709" i="15"/>
  <c r="H709" i="15"/>
  <c r="G710" i="15"/>
  <c r="H710" i="15"/>
  <c r="G711" i="15"/>
  <c r="H711" i="15"/>
  <c r="G712" i="15"/>
  <c r="H712" i="15"/>
  <c r="G713" i="15"/>
  <c r="H713" i="15"/>
  <c r="G714" i="15"/>
  <c r="H714" i="15"/>
  <c r="G715" i="15"/>
  <c r="H715" i="15"/>
  <c r="G716" i="15"/>
  <c r="H716" i="15"/>
  <c r="G717" i="15"/>
  <c r="H717" i="15"/>
  <c r="G718" i="15"/>
  <c r="H718" i="15"/>
  <c r="G719" i="15"/>
  <c r="H719" i="15"/>
  <c r="G720" i="15"/>
  <c r="H720" i="15"/>
  <c r="G721" i="15"/>
  <c r="H721" i="15"/>
  <c r="G722" i="15"/>
  <c r="H722" i="15"/>
  <c r="G723" i="15"/>
  <c r="H723" i="15"/>
  <c r="G724" i="15"/>
  <c r="H724" i="15"/>
  <c r="G725" i="15"/>
  <c r="H725" i="15"/>
  <c r="G726" i="15"/>
  <c r="H726" i="15"/>
  <c r="G727" i="15"/>
  <c r="H727" i="15"/>
  <c r="G728" i="15"/>
  <c r="H728" i="15"/>
  <c r="G729" i="15"/>
  <c r="H729" i="15"/>
  <c r="G730" i="15"/>
  <c r="H730" i="15"/>
  <c r="G731" i="15"/>
  <c r="H731" i="15"/>
  <c r="G732" i="15"/>
  <c r="H732" i="15"/>
  <c r="G733" i="15"/>
  <c r="H733" i="15"/>
  <c r="G734" i="15"/>
  <c r="H734" i="15"/>
  <c r="G735" i="15"/>
  <c r="H735" i="15"/>
  <c r="G736" i="15"/>
  <c r="H736" i="15"/>
  <c r="G737" i="15"/>
  <c r="H737" i="15"/>
  <c r="G738" i="15"/>
  <c r="H738" i="15"/>
  <c r="G739" i="15"/>
  <c r="H739" i="15"/>
  <c r="G740" i="15"/>
  <c r="H740" i="15"/>
  <c r="G741" i="15"/>
  <c r="H741" i="15"/>
  <c r="G742" i="15"/>
  <c r="H742" i="15"/>
  <c r="G743" i="15"/>
  <c r="H743" i="15"/>
  <c r="G744" i="15"/>
  <c r="H744" i="15"/>
  <c r="G745" i="15"/>
  <c r="H745" i="15"/>
  <c r="G746" i="15"/>
  <c r="H746" i="15"/>
  <c r="G747" i="15"/>
  <c r="H747" i="15"/>
  <c r="G748" i="15"/>
  <c r="H748" i="15"/>
  <c r="G749" i="15"/>
  <c r="H749" i="15"/>
  <c r="G750" i="15"/>
  <c r="H750" i="15"/>
  <c r="G751" i="15"/>
  <c r="H751" i="15"/>
  <c r="G752" i="15"/>
  <c r="H752" i="15"/>
  <c r="G753" i="15"/>
  <c r="H753" i="15"/>
  <c r="G754" i="15"/>
  <c r="H754" i="15"/>
  <c r="G755" i="15"/>
  <c r="H755" i="15"/>
  <c r="G756" i="15"/>
  <c r="H756" i="15"/>
  <c r="G757" i="15"/>
  <c r="H757" i="15"/>
  <c r="G758" i="15"/>
  <c r="H758" i="15"/>
  <c r="G759" i="15"/>
  <c r="H759" i="15"/>
  <c r="G760" i="15"/>
  <c r="H760" i="15"/>
  <c r="G761" i="15"/>
  <c r="H761" i="15"/>
  <c r="G762" i="15"/>
  <c r="H762" i="15"/>
  <c r="G763" i="15"/>
  <c r="H763" i="15"/>
  <c r="G764" i="15"/>
  <c r="H764" i="15"/>
  <c r="G765" i="15"/>
  <c r="H765" i="15"/>
  <c r="G766" i="15"/>
  <c r="H766" i="15"/>
  <c r="G767" i="15"/>
  <c r="H767" i="15"/>
  <c r="G768" i="15"/>
  <c r="H768" i="15"/>
  <c r="G769" i="15"/>
  <c r="H769" i="15"/>
  <c r="G770" i="15"/>
  <c r="H770" i="15"/>
  <c r="G771" i="15"/>
  <c r="H771" i="15"/>
  <c r="G772" i="15"/>
  <c r="H772" i="15"/>
  <c r="G773" i="15"/>
  <c r="H773" i="15"/>
  <c r="G774" i="15"/>
  <c r="H774" i="15"/>
  <c r="G775" i="15"/>
  <c r="H775" i="15"/>
  <c r="G776" i="15"/>
  <c r="H776" i="15"/>
  <c r="G777" i="15"/>
  <c r="H777" i="15"/>
  <c r="G778" i="15"/>
  <c r="H778" i="15"/>
  <c r="G779" i="15"/>
  <c r="H779" i="15"/>
  <c r="G780" i="15"/>
  <c r="H780" i="15"/>
  <c r="G781" i="15"/>
  <c r="H781" i="15"/>
  <c r="G782" i="15"/>
  <c r="H782" i="15"/>
  <c r="G783" i="15"/>
  <c r="H783" i="15"/>
  <c r="G784" i="15"/>
  <c r="H784" i="15"/>
  <c r="G785" i="15"/>
  <c r="H785" i="15"/>
  <c r="G786" i="15"/>
  <c r="H786" i="15"/>
  <c r="G787" i="15"/>
  <c r="H787" i="15"/>
  <c r="G788" i="15"/>
  <c r="H788" i="15"/>
  <c r="G789" i="15"/>
  <c r="H789" i="15"/>
  <c r="G790" i="15"/>
  <c r="H790" i="15"/>
  <c r="G791" i="15"/>
  <c r="H791" i="15"/>
  <c r="G792" i="15"/>
  <c r="H792" i="15"/>
  <c r="G793" i="15"/>
  <c r="H793" i="15"/>
  <c r="G794" i="15"/>
  <c r="H794" i="15"/>
  <c r="G795" i="15"/>
  <c r="H795" i="15"/>
  <c r="G796" i="15"/>
  <c r="H796" i="15"/>
  <c r="G797" i="15"/>
  <c r="H797" i="15"/>
  <c r="G798" i="15"/>
  <c r="H798" i="15"/>
  <c r="G799" i="15"/>
  <c r="H799" i="15"/>
  <c r="G800" i="15"/>
  <c r="H800" i="15"/>
  <c r="G801" i="15"/>
  <c r="H801" i="15"/>
  <c r="G802" i="15"/>
  <c r="H802" i="15"/>
  <c r="G803" i="15"/>
  <c r="H803" i="15"/>
  <c r="G804" i="15"/>
  <c r="H804" i="15"/>
  <c r="G805" i="15"/>
  <c r="H805" i="15"/>
  <c r="G806" i="15"/>
  <c r="H806" i="15"/>
  <c r="G807" i="15"/>
  <c r="H807" i="15"/>
  <c r="G808" i="15"/>
  <c r="H808" i="15"/>
  <c r="G809" i="15"/>
  <c r="H809" i="15"/>
  <c r="G810" i="15"/>
  <c r="H810" i="15"/>
  <c r="G811" i="15"/>
  <c r="H811" i="15"/>
  <c r="G812" i="15"/>
  <c r="H812" i="15"/>
  <c r="G813" i="15"/>
  <c r="H813" i="15"/>
  <c r="G814" i="15"/>
  <c r="H814" i="15"/>
  <c r="G815" i="15"/>
  <c r="H815" i="15"/>
  <c r="G816" i="15"/>
  <c r="H816" i="15"/>
  <c r="G817" i="15"/>
  <c r="H817" i="15"/>
  <c r="G818" i="15"/>
  <c r="H818" i="15"/>
  <c r="G819" i="15"/>
  <c r="H819" i="15"/>
  <c r="G820" i="15"/>
  <c r="H820" i="15"/>
  <c r="G821" i="15"/>
  <c r="H821" i="15"/>
  <c r="G822" i="15"/>
  <c r="H822" i="15"/>
  <c r="G823" i="15"/>
  <c r="H823" i="15"/>
  <c r="G824" i="15"/>
  <c r="H824" i="15"/>
  <c r="G825" i="15"/>
  <c r="H825" i="15"/>
  <c r="G826" i="15"/>
  <c r="H826" i="15"/>
  <c r="G827" i="15"/>
  <c r="H827" i="15"/>
  <c r="G828" i="15"/>
  <c r="H828" i="15"/>
  <c r="G829" i="15"/>
  <c r="H829" i="15"/>
  <c r="G830" i="15"/>
  <c r="H830" i="15"/>
  <c r="G831" i="15"/>
  <c r="H831" i="15"/>
  <c r="G832" i="15"/>
  <c r="H832" i="15"/>
  <c r="G833" i="15"/>
  <c r="H833" i="15"/>
  <c r="G834" i="15"/>
  <c r="H834" i="15"/>
  <c r="G835" i="15"/>
  <c r="H835" i="15"/>
  <c r="G836" i="15"/>
  <c r="H836" i="15"/>
  <c r="G837" i="15"/>
  <c r="H837" i="15"/>
  <c r="G838" i="15"/>
  <c r="H838" i="15"/>
  <c r="G839" i="15"/>
  <c r="H839" i="15"/>
  <c r="G840" i="15"/>
  <c r="H840" i="15"/>
  <c r="G841" i="15"/>
  <c r="H841" i="15"/>
  <c r="G842" i="15"/>
  <c r="H842" i="15"/>
  <c r="G843" i="15"/>
  <c r="H843" i="15"/>
  <c r="G844" i="15"/>
  <c r="H844" i="15"/>
  <c r="G845" i="15"/>
  <c r="H845" i="15"/>
  <c r="G846" i="15"/>
  <c r="H846" i="15"/>
  <c r="G847" i="15"/>
  <c r="H847" i="15"/>
  <c r="G848" i="15"/>
  <c r="H848" i="15"/>
  <c r="G849" i="15"/>
  <c r="H849" i="15"/>
  <c r="G850" i="15"/>
  <c r="H850" i="15"/>
  <c r="G851" i="15"/>
  <c r="H851" i="15"/>
  <c r="G852" i="15"/>
  <c r="H852" i="15"/>
  <c r="G853" i="15"/>
  <c r="H853" i="15"/>
  <c r="G854" i="15"/>
  <c r="H854" i="15"/>
  <c r="G855" i="15"/>
  <c r="H855" i="15"/>
  <c r="G856" i="15"/>
  <c r="H856" i="15"/>
  <c r="G857" i="15"/>
  <c r="H857" i="15"/>
  <c r="G858" i="15"/>
  <c r="H858" i="15"/>
  <c r="G859" i="15"/>
  <c r="H859" i="15"/>
  <c r="G860" i="15"/>
  <c r="H860" i="15"/>
  <c r="G861" i="15"/>
  <c r="H861" i="15"/>
  <c r="G862" i="15"/>
  <c r="H862" i="15"/>
  <c r="G863" i="15"/>
  <c r="H863" i="15"/>
  <c r="G864" i="15"/>
  <c r="H864" i="15"/>
  <c r="G865" i="15"/>
  <c r="H865" i="15"/>
  <c r="G866" i="15"/>
  <c r="H866" i="15"/>
  <c r="G867" i="15"/>
  <c r="H867" i="15"/>
  <c r="G868" i="15"/>
  <c r="H868" i="15"/>
  <c r="G869" i="15"/>
  <c r="H869" i="15"/>
  <c r="G870" i="15"/>
  <c r="H870" i="15"/>
  <c r="G871" i="15"/>
  <c r="H871" i="15"/>
  <c r="G872" i="15"/>
  <c r="H872" i="15"/>
  <c r="G873" i="15"/>
  <c r="H873" i="15"/>
  <c r="G874" i="15"/>
  <c r="H874" i="15"/>
  <c r="G875" i="15"/>
  <c r="H875" i="15"/>
  <c r="G876" i="15"/>
  <c r="H876" i="15"/>
  <c r="G877" i="15"/>
  <c r="H877" i="15"/>
  <c r="G878" i="15"/>
  <c r="H878" i="15"/>
  <c r="G879" i="15"/>
  <c r="H879" i="15"/>
  <c r="G880" i="15"/>
  <c r="H880" i="15"/>
  <c r="G881" i="15"/>
  <c r="H881" i="15"/>
  <c r="G882" i="15"/>
  <c r="H882" i="15"/>
  <c r="G883" i="15"/>
  <c r="H883" i="15"/>
  <c r="G884" i="15"/>
  <c r="H884" i="15"/>
  <c r="G885" i="15"/>
  <c r="H885" i="15"/>
  <c r="G886" i="15"/>
  <c r="H886" i="15"/>
  <c r="G887" i="15"/>
  <c r="H887" i="15"/>
  <c r="G888" i="15"/>
  <c r="H888" i="15"/>
  <c r="G889" i="15"/>
  <c r="H889" i="15"/>
  <c r="G890" i="15"/>
  <c r="H890" i="15"/>
  <c r="G891" i="15"/>
  <c r="H891" i="15"/>
  <c r="G892" i="15"/>
  <c r="H892" i="15"/>
  <c r="G893" i="15"/>
  <c r="H893" i="15"/>
  <c r="G894" i="15"/>
  <c r="H894" i="15"/>
  <c r="G895" i="15"/>
  <c r="H895" i="15"/>
  <c r="G896" i="15"/>
  <c r="H896" i="15"/>
  <c r="G897" i="15"/>
  <c r="H897" i="15"/>
  <c r="G898" i="15"/>
  <c r="H898" i="15"/>
  <c r="G899" i="15"/>
  <c r="H899" i="15"/>
  <c r="G900" i="15"/>
  <c r="H900" i="15"/>
  <c r="G901" i="15"/>
  <c r="H901" i="15"/>
  <c r="G902" i="15"/>
  <c r="H902" i="15"/>
  <c r="G903" i="15"/>
  <c r="H903" i="15"/>
  <c r="G904" i="15"/>
  <c r="H904" i="15"/>
  <c r="G905" i="15"/>
  <c r="H905" i="15"/>
  <c r="G906" i="15"/>
  <c r="H906" i="15"/>
  <c r="G907" i="15"/>
  <c r="H907" i="15"/>
  <c r="G908" i="15"/>
  <c r="H908" i="15"/>
  <c r="G909" i="15"/>
  <c r="H909" i="15"/>
  <c r="G910" i="15"/>
  <c r="H910" i="15"/>
  <c r="G911" i="15"/>
  <c r="H911" i="15"/>
  <c r="G912" i="15"/>
  <c r="H912" i="15"/>
  <c r="G913" i="15"/>
  <c r="H913" i="15"/>
  <c r="G914" i="15"/>
  <c r="H914" i="15"/>
  <c r="G915" i="15"/>
  <c r="H915" i="15"/>
  <c r="G916" i="15"/>
  <c r="H916" i="15"/>
  <c r="G917" i="15"/>
  <c r="H917" i="15"/>
  <c r="G918" i="15"/>
  <c r="H918" i="15"/>
  <c r="G919" i="15"/>
  <c r="H919" i="15"/>
  <c r="G920" i="15"/>
  <c r="H920" i="15"/>
  <c r="G921" i="15"/>
  <c r="H921" i="15"/>
  <c r="G922" i="15"/>
  <c r="H922" i="15"/>
  <c r="G923" i="15"/>
  <c r="H923" i="15"/>
  <c r="G924" i="15"/>
  <c r="H924" i="15"/>
  <c r="G925" i="15"/>
  <c r="H925" i="15"/>
  <c r="G926" i="15"/>
  <c r="H926" i="15"/>
  <c r="G927" i="15"/>
  <c r="H927" i="15"/>
  <c r="G928" i="15"/>
  <c r="H928" i="15"/>
  <c r="G929" i="15"/>
  <c r="H929" i="15"/>
  <c r="G930" i="15"/>
  <c r="H930" i="15"/>
  <c r="G931" i="15"/>
  <c r="H931" i="15"/>
  <c r="G932" i="15"/>
  <c r="H932" i="15"/>
  <c r="G933" i="15"/>
  <c r="H933" i="15"/>
  <c r="G934" i="15"/>
  <c r="H934" i="15"/>
  <c r="G935" i="15"/>
  <c r="H935" i="15"/>
  <c r="G936" i="15"/>
  <c r="H936" i="15"/>
  <c r="G937" i="15"/>
  <c r="H937" i="15"/>
  <c r="G938" i="15"/>
  <c r="H938" i="15"/>
  <c r="G939" i="15"/>
  <c r="H939" i="15"/>
  <c r="G940" i="15"/>
  <c r="H940" i="15"/>
  <c r="G941" i="15"/>
  <c r="H941" i="15"/>
  <c r="G942" i="15"/>
  <c r="H942" i="15"/>
  <c r="G943" i="15"/>
  <c r="H943" i="15"/>
  <c r="G944" i="15"/>
  <c r="H944" i="15"/>
  <c r="G945" i="15"/>
  <c r="H945" i="15"/>
  <c r="G946" i="15"/>
  <c r="H946" i="15"/>
  <c r="G947" i="15"/>
  <c r="H947" i="15"/>
  <c r="G948" i="15"/>
  <c r="H948" i="15"/>
  <c r="G949" i="15"/>
  <c r="H949" i="15"/>
  <c r="G950" i="15"/>
  <c r="H950" i="15"/>
  <c r="G951" i="15"/>
  <c r="H951" i="15"/>
  <c r="G952" i="15"/>
  <c r="H952" i="15"/>
  <c r="G953" i="15"/>
  <c r="H953" i="15"/>
  <c r="G954" i="15"/>
  <c r="H954" i="15"/>
  <c r="G955" i="15"/>
  <c r="H955" i="15"/>
  <c r="G956" i="15"/>
  <c r="H956" i="15"/>
  <c r="G957" i="15"/>
  <c r="H957" i="15"/>
  <c r="G958" i="15"/>
  <c r="H958" i="15"/>
  <c r="G959" i="15"/>
  <c r="H959" i="15"/>
  <c r="G960" i="15"/>
  <c r="H960" i="15"/>
  <c r="G961" i="15"/>
  <c r="H961" i="15"/>
  <c r="G962" i="15"/>
  <c r="H962" i="15"/>
  <c r="G963" i="15"/>
  <c r="H963" i="15"/>
  <c r="G964" i="15"/>
  <c r="H964" i="15"/>
  <c r="G965" i="15"/>
  <c r="H965" i="15"/>
  <c r="G966" i="15"/>
  <c r="H966" i="15"/>
  <c r="G967" i="15"/>
  <c r="H967" i="15"/>
  <c r="G968" i="15"/>
  <c r="H968" i="15"/>
  <c r="G969" i="15"/>
  <c r="H969" i="15"/>
  <c r="G970" i="15"/>
  <c r="H970" i="15"/>
  <c r="G971" i="15"/>
  <c r="H971" i="15"/>
  <c r="G972" i="15"/>
  <c r="H972" i="15"/>
  <c r="G973" i="15"/>
  <c r="H973" i="15"/>
  <c r="G974" i="15"/>
  <c r="H974" i="15"/>
  <c r="G975" i="15"/>
  <c r="H975" i="15"/>
  <c r="G976" i="15"/>
  <c r="H976" i="15"/>
  <c r="G977" i="15"/>
  <c r="H977" i="15"/>
  <c r="G978" i="15"/>
  <c r="H978" i="15"/>
  <c r="G979" i="15"/>
  <c r="H979" i="15"/>
  <c r="G980" i="15"/>
  <c r="H980" i="15"/>
  <c r="G981" i="15"/>
  <c r="H981" i="15"/>
  <c r="G982" i="15"/>
  <c r="H982" i="15"/>
  <c r="G983" i="15"/>
  <c r="H983" i="15"/>
  <c r="G984" i="15"/>
  <c r="H984" i="15"/>
  <c r="G985" i="15"/>
  <c r="H985" i="15"/>
  <c r="G986" i="15"/>
  <c r="H986" i="15"/>
  <c r="G987" i="15"/>
  <c r="H987" i="15"/>
  <c r="G988" i="15"/>
  <c r="H988" i="15"/>
  <c r="G989" i="15"/>
  <c r="H989" i="15"/>
  <c r="G990" i="15"/>
  <c r="H990" i="15"/>
  <c r="G991" i="15"/>
  <c r="H991" i="15"/>
  <c r="G992" i="15"/>
  <c r="H992" i="15"/>
  <c r="G993" i="15"/>
  <c r="H993" i="15"/>
  <c r="G994" i="15"/>
  <c r="H994" i="15"/>
  <c r="G995" i="15"/>
  <c r="H995" i="15"/>
  <c r="G996" i="15"/>
  <c r="H996" i="15"/>
  <c r="G997" i="15"/>
  <c r="H997" i="15"/>
  <c r="G998" i="15"/>
  <c r="H998" i="15"/>
  <c r="G999" i="15"/>
  <c r="H999" i="15"/>
  <c r="G1000" i="15"/>
  <c r="H1000" i="15"/>
  <c r="G1001" i="15"/>
  <c r="H1001" i="15"/>
  <c r="G1002" i="15"/>
  <c r="H1002" i="15"/>
  <c r="G1003" i="15"/>
  <c r="H1003" i="15"/>
  <c r="G1004" i="15"/>
  <c r="H1004" i="15"/>
  <c r="G1005" i="15"/>
  <c r="H1005" i="15"/>
  <c r="G1006" i="15"/>
  <c r="H1006" i="15"/>
  <c r="G1007" i="15"/>
  <c r="H1007" i="15"/>
  <c r="G1008" i="15"/>
  <c r="H1008" i="15"/>
  <c r="G1009" i="15"/>
  <c r="H1009" i="15"/>
  <c r="G1010" i="15"/>
  <c r="H1010" i="15"/>
  <c r="G1011" i="15"/>
  <c r="H1011" i="15"/>
  <c r="G1012" i="15"/>
  <c r="H1012" i="15"/>
  <c r="G1013" i="15"/>
  <c r="H1013" i="15"/>
  <c r="G1014" i="15"/>
  <c r="H1014" i="15"/>
  <c r="G1015" i="15"/>
  <c r="H1015" i="15"/>
  <c r="G1016" i="15"/>
  <c r="H1016" i="15"/>
  <c r="G1017" i="15"/>
  <c r="H1017" i="15"/>
  <c r="G1018" i="15"/>
  <c r="H1018" i="15"/>
  <c r="G1019" i="15"/>
  <c r="H1019" i="15"/>
  <c r="G1020" i="15"/>
  <c r="H1020" i="15"/>
  <c r="G1021" i="15"/>
  <c r="H1021" i="15"/>
  <c r="G1022" i="15"/>
  <c r="H1022" i="15"/>
  <c r="G1023" i="15"/>
  <c r="H1023" i="15"/>
  <c r="G1024" i="15"/>
  <c r="H1024" i="15"/>
  <c r="G1025" i="15"/>
  <c r="H1025" i="15"/>
  <c r="G1026" i="15"/>
  <c r="H1026" i="15"/>
  <c r="G1027" i="15"/>
  <c r="H1027" i="15"/>
  <c r="G1028" i="15"/>
  <c r="H1028" i="15"/>
  <c r="G1029" i="15"/>
  <c r="H1029" i="15"/>
  <c r="G1030" i="15"/>
  <c r="H1030" i="15"/>
  <c r="G1031" i="15"/>
  <c r="H1031" i="15"/>
  <c r="G1032" i="15"/>
  <c r="H1032" i="15"/>
  <c r="G1033" i="15"/>
  <c r="H1033" i="15"/>
  <c r="G1034" i="15"/>
  <c r="H1034" i="15"/>
  <c r="G1035" i="15"/>
  <c r="H1035" i="15"/>
  <c r="G1036" i="15"/>
  <c r="H1036" i="15"/>
  <c r="G1037" i="15"/>
  <c r="H1037" i="15"/>
  <c r="G1038" i="15"/>
  <c r="H1038" i="15"/>
  <c r="G1039" i="15"/>
  <c r="H1039" i="15"/>
  <c r="G1040" i="15"/>
  <c r="H1040" i="15"/>
  <c r="G1041" i="15"/>
  <c r="H1041" i="15"/>
  <c r="G1042" i="15"/>
  <c r="H1042" i="15"/>
  <c r="G1043" i="15"/>
  <c r="H1043" i="15"/>
  <c r="G1044" i="15"/>
  <c r="H1044" i="15"/>
  <c r="G1045" i="15"/>
  <c r="H1045" i="15"/>
  <c r="G1046" i="15"/>
  <c r="H1046" i="15"/>
  <c r="G1047" i="15"/>
  <c r="H1047" i="15"/>
  <c r="G1048" i="15"/>
  <c r="H1048" i="15"/>
  <c r="G1049" i="15"/>
  <c r="H1049" i="15"/>
  <c r="G1050" i="15"/>
  <c r="H1050" i="15"/>
  <c r="G1051" i="15"/>
  <c r="H1051" i="15"/>
  <c r="G1052" i="15"/>
  <c r="H1052" i="15"/>
  <c r="G1053" i="15"/>
  <c r="H1053" i="15"/>
  <c r="G1054" i="15"/>
  <c r="H1054" i="15"/>
  <c r="G1055" i="15"/>
  <c r="H1055" i="15"/>
  <c r="G1056" i="15"/>
  <c r="H1056" i="15"/>
  <c r="G1057" i="15"/>
  <c r="H1057" i="15"/>
  <c r="G1058" i="15"/>
  <c r="H1058" i="15"/>
  <c r="G1059" i="15"/>
  <c r="H1059" i="15"/>
  <c r="G1060" i="15"/>
  <c r="H1060" i="15"/>
  <c r="G1061" i="15"/>
  <c r="H1061" i="15"/>
  <c r="G1062" i="15"/>
  <c r="H1062" i="15"/>
  <c r="G1063" i="15"/>
  <c r="H1063" i="15"/>
  <c r="G1064" i="15"/>
  <c r="H1064" i="15"/>
  <c r="G1065" i="15"/>
  <c r="H1065" i="15"/>
  <c r="G1066" i="15"/>
  <c r="H1066" i="15"/>
  <c r="G1067" i="15"/>
  <c r="H1067" i="15"/>
  <c r="G1068" i="15"/>
  <c r="H1068" i="15"/>
  <c r="G1069" i="15"/>
  <c r="H1069" i="15"/>
  <c r="G1070" i="15"/>
  <c r="H1070" i="15"/>
  <c r="G1071" i="15"/>
  <c r="H1071" i="15"/>
  <c r="G1072" i="15"/>
  <c r="H1072" i="15"/>
  <c r="G1073" i="15"/>
  <c r="H1073" i="15"/>
  <c r="G1074" i="15"/>
  <c r="H1074" i="15"/>
  <c r="G1075" i="15"/>
  <c r="H1075" i="15"/>
  <c r="G1076" i="15"/>
  <c r="H1076" i="15"/>
  <c r="G1077" i="15"/>
  <c r="H1077" i="15"/>
  <c r="G1078" i="15"/>
  <c r="H1078" i="15"/>
  <c r="G1079" i="15"/>
  <c r="H1079" i="15"/>
  <c r="G1080" i="15"/>
  <c r="H1080" i="15"/>
  <c r="G1081" i="15"/>
  <c r="H1081" i="15"/>
  <c r="G1082" i="15"/>
  <c r="H1082" i="15"/>
  <c r="G1083" i="15"/>
  <c r="H1083" i="15"/>
  <c r="G1084" i="15"/>
  <c r="H1084" i="15"/>
  <c r="G1085" i="15"/>
  <c r="H1085" i="15"/>
  <c r="G1086" i="15"/>
  <c r="H1086" i="15"/>
  <c r="G1087" i="15"/>
  <c r="H1087" i="15"/>
  <c r="G1088" i="15"/>
  <c r="H1088" i="15"/>
  <c r="G1089" i="15"/>
  <c r="H1089" i="15"/>
  <c r="G1090" i="15"/>
  <c r="H1090" i="15"/>
  <c r="G1091" i="15"/>
  <c r="H1091" i="15"/>
  <c r="G1092" i="15"/>
  <c r="H1092" i="15"/>
  <c r="G1093" i="15"/>
  <c r="H1093" i="15"/>
  <c r="G1094" i="15"/>
  <c r="H1094" i="15"/>
  <c r="G1095" i="15"/>
  <c r="H1095" i="15"/>
  <c r="G1096" i="15"/>
  <c r="H1096" i="15"/>
  <c r="G1097" i="15"/>
  <c r="H1097" i="15"/>
  <c r="G1098" i="15"/>
  <c r="H1098" i="15"/>
  <c r="G1099" i="15"/>
  <c r="H1099" i="15"/>
  <c r="G1100" i="15"/>
  <c r="H1100" i="15"/>
  <c r="G1101" i="15"/>
  <c r="H1101" i="15"/>
  <c r="G1102" i="15"/>
  <c r="H1102" i="15"/>
  <c r="G1103" i="15"/>
  <c r="H1103" i="15"/>
  <c r="G1104" i="15"/>
  <c r="H1104" i="15"/>
  <c r="G1105" i="15"/>
  <c r="H1105" i="15"/>
  <c r="G1106" i="15"/>
  <c r="H1106" i="15"/>
  <c r="G1107" i="15"/>
  <c r="H1107" i="15"/>
  <c r="G1108" i="15"/>
  <c r="H1108" i="15"/>
  <c r="G1109" i="15"/>
  <c r="H1109" i="15"/>
  <c r="G1110" i="15"/>
  <c r="H1110" i="15"/>
  <c r="G1111" i="15"/>
  <c r="H1111" i="15"/>
  <c r="G1112" i="15"/>
  <c r="H1112" i="15"/>
  <c r="G1113" i="15"/>
  <c r="H1113" i="15"/>
  <c r="G1114" i="15"/>
  <c r="H1114" i="15"/>
  <c r="G1115" i="15"/>
  <c r="H1115" i="15"/>
  <c r="G1116" i="15"/>
  <c r="H1116" i="15"/>
  <c r="G1117" i="15"/>
  <c r="H1117" i="15"/>
  <c r="G1118" i="15"/>
  <c r="H1118" i="15"/>
  <c r="G1119" i="15"/>
  <c r="H1119" i="15"/>
  <c r="G1120" i="15"/>
  <c r="H1120" i="15"/>
  <c r="G1121" i="15"/>
  <c r="H1121" i="15"/>
  <c r="G1122" i="15"/>
  <c r="H1122" i="15"/>
  <c r="G1123" i="15"/>
  <c r="H1123" i="15"/>
  <c r="G1124" i="15"/>
  <c r="H1124" i="15"/>
  <c r="G1125" i="15"/>
  <c r="H1125" i="15"/>
  <c r="G1126" i="15"/>
  <c r="H1126" i="15"/>
  <c r="G1127" i="15"/>
  <c r="H1127" i="15"/>
  <c r="G1128" i="15"/>
  <c r="H1128" i="15"/>
  <c r="G1129" i="15"/>
  <c r="H1129" i="15"/>
  <c r="G1130" i="15"/>
  <c r="H1130" i="15"/>
  <c r="G1131" i="15"/>
  <c r="H1131" i="15"/>
  <c r="G1132" i="15"/>
  <c r="H1132" i="15"/>
  <c r="G1133" i="15"/>
  <c r="H1133" i="15"/>
  <c r="G1134" i="15"/>
  <c r="H1134" i="15"/>
  <c r="G1135" i="15"/>
  <c r="H1135" i="15"/>
  <c r="G1136" i="15"/>
  <c r="H1136" i="15"/>
  <c r="G1137" i="15"/>
  <c r="H1137" i="15"/>
  <c r="G1138" i="15"/>
  <c r="H1138" i="15"/>
  <c r="G1139" i="15"/>
  <c r="H1139" i="15"/>
  <c r="G1140" i="15"/>
  <c r="H1140" i="15"/>
  <c r="G1141" i="15"/>
  <c r="H1141" i="15"/>
  <c r="G1142" i="15"/>
  <c r="H1142" i="15"/>
  <c r="G1143" i="15"/>
  <c r="H1143" i="15"/>
  <c r="G1144" i="15"/>
  <c r="H1144" i="15"/>
  <c r="G1145" i="15"/>
  <c r="H1145" i="15"/>
  <c r="G1146" i="15"/>
  <c r="H1146" i="15"/>
  <c r="G1147" i="15"/>
  <c r="H1147" i="15"/>
  <c r="G1148" i="15"/>
  <c r="H1148" i="15"/>
  <c r="G1149" i="15"/>
  <c r="H1149" i="15"/>
  <c r="G1150" i="15"/>
  <c r="H1150" i="15"/>
  <c r="G1151" i="15"/>
  <c r="H1151" i="15"/>
  <c r="G1152" i="15"/>
  <c r="H1152" i="15"/>
  <c r="G1153" i="15"/>
  <c r="H1153" i="15"/>
  <c r="G1154" i="15"/>
  <c r="H1154" i="15"/>
  <c r="G1155" i="15"/>
  <c r="H1155" i="15"/>
  <c r="G1156" i="15"/>
  <c r="H1156" i="15"/>
  <c r="G1157" i="15"/>
  <c r="H1157" i="15"/>
  <c r="G1158" i="15"/>
  <c r="H1158" i="15"/>
  <c r="G1159" i="15"/>
  <c r="H1159" i="15"/>
  <c r="G1160" i="15"/>
  <c r="H1160" i="15"/>
  <c r="G1161" i="15"/>
  <c r="H1161" i="15"/>
  <c r="G1162" i="15"/>
  <c r="H1162" i="15"/>
  <c r="G1163" i="15"/>
  <c r="H1163" i="15"/>
  <c r="G1164" i="15"/>
  <c r="H1164" i="15"/>
  <c r="G1165" i="15"/>
  <c r="H1165" i="15"/>
  <c r="G1166" i="15"/>
  <c r="H1166" i="15"/>
  <c r="G1167" i="15"/>
  <c r="H1167" i="15"/>
  <c r="G1168" i="15"/>
  <c r="H1168" i="15"/>
  <c r="G1169" i="15"/>
  <c r="H1169" i="15"/>
  <c r="G1170" i="15"/>
  <c r="H1170" i="15"/>
  <c r="G1171" i="15"/>
  <c r="H1171" i="15"/>
  <c r="G1172" i="15"/>
  <c r="H1172" i="15"/>
  <c r="G1173" i="15"/>
  <c r="H1173" i="15"/>
  <c r="G1174" i="15"/>
  <c r="H1174" i="15"/>
  <c r="G1175" i="15"/>
  <c r="H1175" i="15"/>
  <c r="G1176" i="15"/>
  <c r="H1176" i="15"/>
  <c r="G1177" i="15"/>
  <c r="H1177" i="15"/>
  <c r="G1178" i="15"/>
  <c r="H1178" i="15"/>
  <c r="G1179" i="15"/>
  <c r="H1179" i="15"/>
  <c r="G1180" i="15"/>
  <c r="H1180" i="15"/>
  <c r="G1181" i="15"/>
  <c r="H1181" i="15"/>
  <c r="G1182" i="15"/>
  <c r="H1182" i="15"/>
  <c r="G1183" i="15"/>
  <c r="H1183" i="15"/>
  <c r="G1184" i="15"/>
  <c r="H1184" i="15"/>
  <c r="G1185" i="15"/>
  <c r="H1185" i="15"/>
  <c r="G1186" i="15"/>
  <c r="H1186" i="15"/>
  <c r="G1187" i="15"/>
  <c r="H1187" i="15"/>
  <c r="G1188" i="15"/>
  <c r="H1188" i="15"/>
  <c r="G1189" i="15"/>
  <c r="H1189" i="15"/>
  <c r="G1190" i="15"/>
  <c r="H1190" i="15"/>
  <c r="G1191" i="15"/>
  <c r="H1191" i="15"/>
  <c r="G1192" i="15"/>
  <c r="H1192" i="15"/>
  <c r="G1193" i="15"/>
  <c r="H1193" i="15"/>
  <c r="G1194" i="15"/>
  <c r="H1194" i="15"/>
  <c r="G1195" i="15"/>
  <c r="H1195" i="15"/>
  <c r="G1196" i="15"/>
  <c r="H1196" i="15"/>
  <c r="G1197" i="15"/>
  <c r="H1197" i="15"/>
  <c r="G1198" i="15"/>
  <c r="H1198" i="15"/>
  <c r="G1199" i="15"/>
  <c r="H1199" i="15"/>
  <c r="G1200" i="15"/>
  <c r="H1200" i="15"/>
  <c r="G1201" i="15"/>
  <c r="H1201" i="15"/>
  <c r="G1202" i="15"/>
  <c r="H1202" i="15"/>
  <c r="G1203" i="15"/>
  <c r="H1203" i="15"/>
  <c r="G1204" i="15"/>
  <c r="H1204" i="15"/>
  <c r="G1205" i="15"/>
  <c r="H1205" i="15"/>
  <c r="G1206" i="15"/>
  <c r="H1206" i="15"/>
  <c r="G1207" i="15"/>
  <c r="H1207" i="15"/>
  <c r="G1208" i="15"/>
  <c r="H1208" i="15"/>
  <c r="G1209" i="15"/>
  <c r="H1209" i="15"/>
  <c r="G1210" i="15"/>
  <c r="H1210" i="15"/>
  <c r="G1211" i="15"/>
  <c r="H1211" i="15"/>
  <c r="G1212" i="15"/>
  <c r="H1212" i="15"/>
  <c r="G1213" i="15"/>
  <c r="H1213" i="15"/>
  <c r="G1214" i="15"/>
  <c r="H1214" i="15"/>
  <c r="G1215" i="15"/>
  <c r="H1215" i="15"/>
  <c r="G1216" i="15"/>
  <c r="H1216" i="15"/>
  <c r="G1217" i="15"/>
  <c r="H1217" i="15"/>
  <c r="G1218" i="15"/>
  <c r="H1218" i="15"/>
  <c r="G1219" i="15"/>
  <c r="H1219" i="15"/>
  <c r="G1220" i="15"/>
  <c r="H1220" i="15"/>
  <c r="G1221" i="15"/>
  <c r="H1221" i="15"/>
  <c r="G1222" i="15"/>
  <c r="H1222" i="15"/>
  <c r="G1223" i="15"/>
  <c r="H1223" i="15"/>
  <c r="G1224" i="15"/>
  <c r="H1224" i="15"/>
  <c r="G1225" i="15"/>
  <c r="H1225" i="15"/>
  <c r="G1226" i="15"/>
  <c r="H1226" i="15"/>
  <c r="G1227" i="15"/>
  <c r="H1227" i="15"/>
  <c r="G1228" i="15"/>
  <c r="H1228" i="15"/>
  <c r="G1229" i="15"/>
  <c r="H1229" i="15"/>
  <c r="G1230" i="15"/>
  <c r="H1230" i="15"/>
  <c r="G1231" i="15"/>
  <c r="H1231" i="15"/>
  <c r="G1232" i="15"/>
  <c r="H1232" i="15"/>
  <c r="G1233" i="15"/>
  <c r="H1233" i="15"/>
  <c r="G1234" i="15"/>
  <c r="H1234" i="15"/>
  <c r="G1235" i="15"/>
  <c r="H1235" i="15"/>
  <c r="G1236" i="15"/>
  <c r="H1236" i="15"/>
  <c r="G1237" i="15"/>
  <c r="H1237" i="15"/>
  <c r="G1238" i="15"/>
  <c r="H1238" i="15"/>
  <c r="G1239" i="15"/>
  <c r="H1239" i="15"/>
  <c r="G1240" i="15"/>
  <c r="H1240" i="15"/>
  <c r="G1241" i="15"/>
  <c r="H1241" i="15"/>
  <c r="G1242" i="15"/>
  <c r="H1242" i="15"/>
  <c r="G1243" i="15"/>
  <c r="H1243" i="15"/>
  <c r="G1244" i="15"/>
  <c r="H1244" i="15"/>
  <c r="G1245" i="15"/>
  <c r="H1245" i="15"/>
  <c r="G1246" i="15"/>
  <c r="H1246" i="15"/>
  <c r="G1247" i="15"/>
  <c r="H1247" i="15"/>
  <c r="G1248" i="15"/>
  <c r="H1248" i="15"/>
  <c r="G1249" i="15"/>
  <c r="H1249" i="15"/>
  <c r="G1250" i="15"/>
  <c r="H1250" i="15"/>
  <c r="G1251" i="15"/>
  <c r="H1251" i="15"/>
  <c r="G1252" i="15"/>
  <c r="H1252" i="15"/>
  <c r="G1253" i="15"/>
  <c r="H1253" i="15"/>
  <c r="G1254" i="15"/>
  <c r="H1254" i="15"/>
  <c r="G1255" i="15"/>
  <c r="H1255" i="15"/>
  <c r="G1256" i="15"/>
  <c r="H1256" i="15"/>
  <c r="G1257" i="15"/>
  <c r="H1257" i="15"/>
  <c r="G1258" i="15"/>
  <c r="H1258" i="15"/>
  <c r="G1259" i="15"/>
  <c r="H1259" i="15"/>
  <c r="G1260" i="15"/>
  <c r="H1260" i="15"/>
  <c r="G1261" i="15"/>
  <c r="H1261" i="15"/>
  <c r="G1262" i="15"/>
  <c r="H1262" i="15"/>
  <c r="G1263" i="15"/>
  <c r="H1263" i="15"/>
  <c r="G1264" i="15"/>
  <c r="H1264" i="15"/>
  <c r="G1265" i="15"/>
  <c r="H1265" i="15"/>
  <c r="G1266" i="15"/>
  <c r="H1266" i="15"/>
  <c r="G1267" i="15"/>
  <c r="H1267" i="15"/>
  <c r="G1268" i="15"/>
  <c r="H1268" i="15"/>
  <c r="G1269" i="15"/>
  <c r="H1269" i="15"/>
  <c r="G1270" i="15"/>
  <c r="H1270" i="15"/>
  <c r="G1271" i="15"/>
  <c r="H1271" i="15"/>
  <c r="G1272" i="15"/>
  <c r="H1272" i="15"/>
  <c r="G1273" i="15"/>
  <c r="H1273" i="15"/>
  <c r="G1274" i="15"/>
  <c r="H1274" i="15"/>
  <c r="G1275" i="15"/>
  <c r="H1275" i="15"/>
  <c r="G1276" i="15"/>
  <c r="H1276" i="15"/>
  <c r="G1277" i="15"/>
  <c r="H1277" i="15"/>
  <c r="G1278" i="15"/>
  <c r="H1278" i="15"/>
  <c r="G1279" i="15"/>
  <c r="H1279" i="15"/>
  <c r="G1280" i="15"/>
  <c r="H1280" i="15"/>
  <c r="G1281" i="15"/>
  <c r="H1281" i="15"/>
  <c r="G1282" i="15"/>
  <c r="H1282" i="15"/>
  <c r="G1283" i="15"/>
  <c r="H1283" i="15"/>
  <c r="G1284" i="15"/>
  <c r="H1284" i="15"/>
  <c r="G1285" i="15"/>
  <c r="H1285" i="15"/>
  <c r="G1286" i="15"/>
  <c r="H1286" i="15"/>
  <c r="G1287" i="15"/>
  <c r="H1287" i="15"/>
  <c r="G1288" i="15"/>
  <c r="H1288" i="15"/>
  <c r="G1289" i="15"/>
  <c r="H1289" i="15"/>
  <c r="G1290" i="15"/>
  <c r="H1290" i="15"/>
  <c r="G1291" i="15"/>
  <c r="H1291" i="15"/>
  <c r="G1292" i="15"/>
  <c r="H1292" i="15"/>
  <c r="G1293" i="15"/>
  <c r="H1293" i="15"/>
  <c r="G1294" i="15"/>
  <c r="H1294" i="15"/>
  <c r="G1295" i="15"/>
  <c r="H1295" i="15"/>
  <c r="G1296" i="15"/>
  <c r="H1296" i="15"/>
  <c r="G1297" i="15"/>
  <c r="H1297" i="15"/>
  <c r="G1298" i="15"/>
  <c r="H1298" i="15"/>
  <c r="G1299" i="15"/>
  <c r="H1299" i="15"/>
  <c r="G1300" i="15"/>
  <c r="H1300" i="15"/>
  <c r="G1301" i="15"/>
  <c r="H1301" i="15"/>
  <c r="G1302" i="15"/>
  <c r="H1302" i="15"/>
  <c r="G1303" i="15"/>
  <c r="H1303" i="15"/>
  <c r="G1304" i="15"/>
  <c r="H1304" i="15"/>
  <c r="G1305" i="15"/>
  <c r="H1305" i="15"/>
  <c r="G1306" i="15"/>
  <c r="H1306" i="15"/>
  <c r="G1307" i="15"/>
  <c r="H1307" i="15"/>
  <c r="G1308" i="15"/>
  <c r="H1308" i="15"/>
  <c r="G1309" i="15"/>
  <c r="H1309" i="15"/>
  <c r="G1310" i="15"/>
  <c r="H1310" i="15"/>
  <c r="G1311" i="15"/>
  <c r="H1311" i="15"/>
  <c r="G1312" i="15"/>
  <c r="H1312" i="15"/>
  <c r="G1313" i="15"/>
  <c r="H1313" i="15"/>
  <c r="G1314" i="15"/>
  <c r="H1314" i="15"/>
  <c r="G1315" i="15"/>
  <c r="H1315" i="15"/>
  <c r="G1316" i="15"/>
  <c r="H1316" i="15"/>
  <c r="G1317" i="15"/>
  <c r="H1317" i="15"/>
  <c r="G1318" i="15"/>
  <c r="H1318" i="15"/>
  <c r="G1319" i="15"/>
  <c r="H1319" i="15"/>
  <c r="G1320" i="15"/>
  <c r="H1320" i="15"/>
  <c r="G1321" i="15"/>
  <c r="H1321" i="15"/>
  <c r="G1322" i="15"/>
  <c r="H1322" i="15"/>
  <c r="G1323" i="15"/>
  <c r="H1323" i="15"/>
  <c r="G1324" i="15"/>
  <c r="H1324" i="15"/>
  <c r="G1325" i="15"/>
  <c r="H1325" i="15"/>
  <c r="G1326" i="15"/>
  <c r="H1326" i="15"/>
  <c r="G1327" i="15"/>
  <c r="H1327" i="15"/>
  <c r="G1328" i="15"/>
  <c r="H1328" i="15"/>
  <c r="G1329" i="15"/>
  <c r="H1329" i="15"/>
  <c r="G1330" i="15"/>
  <c r="H1330" i="15"/>
  <c r="G1331" i="15"/>
  <c r="H1331" i="15"/>
  <c r="G1332" i="15"/>
  <c r="H1332" i="15"/>
  <c r="G1333" i="15"/>
  <c r="H1333" i="15"/>
  <c r="G1334" i="15"/>
  <c r="H1334" i="15"/>
  <c r="G1335" i="15"/>
  <c r="H1335" i="15"/>
  <c r="G1336" i="15"/>
  <c r="H1336" i="15"/>
  <c r="G1337" i="15"/>
  <c r="H1337" i="15"/>
  <c r="G1338" i="15"/>
  <c r="H1338" i="15"/>
  <c r="G1339" i="15"/>
  <c r="H1339" i="15"/>
  <c r="G1340" i="15"/>
  <c r="H1340" i="15"/>
  <c r="G1341" i="15"/>
  <c r="H1341" i="15"/>
  <c r="G1342" i="15"/>
  <c r="H1342" i="15"/>
  <c r="G1343" i="15"/>
  <c r="H1343" i="15"/>
  <c r="G1344" i="15"/>
  <c r="H1344" i="15"/>
  <c r="G1345" i="15"/>
  <c r="H1345" i="15"/>
  <c r="G1346" i="15"/>
  <c r="H1346" i="15"/>
  <c r="G1347" i="15"/>
  <c r="H1347" i="15"/>
  <c r="G1348" i="15"/>
  <c r="H1348" i="15"/>
  <c r="G1349" i="15"/>
  <c r="H1349" i="15"/>
  <c r="G1350" i="15"/>
  <c r="H1350" i="15"/>
  <c r="G1351" i="15"/>
  <c r="H1351" i="15"/>
  <c r="G1352" i="15"/>
  <c r="H1352" i="15"/>
  <c r="G1353" i="15"/>
  <c r="H1353" i="15"/>
  <c r="G1354" i="15"/>
  <c r="H1354" i="15"/>
  <c r="G1355" i="15"/>
  <c r="H1355" i="15"/>
  <c r="G1356" i="15"/>
  <c r="H1356" i="15"/>
  <c r="G1357" i="15"/>
  <c r="H1357" i="15"/>
  <c r="G1358" i="15"/>
  <c r="H1358" i="15"/>
  <c r="G1359" i="15"/>
  <c r="H1359" i="15"/>
  <c r="G1360" i="15"/>
  <c r="H1360" i="15"/>
  <c r="G1361" i="15"/>
  <c r="H1361" i="15"/>
  <c r="G1362" i="15"/>
  <c r="H1362" i="15"/>
  <c r="G1363" i="15"/>
  <c r="H1363" i="15"/>
  <c r="G1364" i="15"/>
  <c r="H1364" i="15"/>
  <c r="G1365" i="15"/>
  <c r="H1365" i="15"/>
  <c r="G1366" i="15"/>
  <c r="H1366" i="15"/>
  <c r="G1367" i="15"/>
  <c r="H1367" i="15"/>
  <c r="G1368" i="15"/>
  <c r="H1368" i="15"/>
  <c r="G1369" i="15"/>
  <c r="H1369" i="15"/>
  <c r="G1370" i="15"/>
  <c r="H1370" i="15"/>
  <c r="G1371" i="15"/>
  <c r="H1371" i="15"/>
  <c r="G1372" i="15"/>
  <c r="H1372" i="15"/>
  <c r="G1373" i="15"/>
  <c r="H1373" i="15"/>
  <c r="G1374" i="15"/>
  <c r="H1374" i="15"/>
  <c r="G1375" i="15"/>
  <c r="H1375" i="15"/>
  <c r="G1376" i="15"/>
  <c r="H1376" i="15"/>
  <c r="G1377" i="15"/>
  <c r="H1377" i="15"/>
  <c r="G1378" i="15"/>
  <c r="H1378" i="15"/>
  <c r="G1379" i="15"/>
  <c r="H1379" i="15"/>
  <c r="G1380" i="15"/>
  <c r="H1380" i="15"/>
  <c r="G1381" i="15"/>
  <c r="H1381" i="15"/>
  <c r="G1382" i="15"/>
  <c r="H1382" i="15"/>
  <c r="G1383" i="15"/>
  <c r="H1383" i="15"/>
  <c r="G1384" i="15"/>
  <c r="H1384" i="15"/>
  <c r="G1385" i="15"/>
  <c r="H1385" i="15"/>
  <c r="G1386" i="15"/>
  <c r="H1386" i="15"/>
  <c r="G1387" i="15"/>
  <c r="H1387" i="15"/>
  <c r="G1388" i="15"/>
  <c r="H1388" i="15"/>
  <c r="G1389" i="15"/>
  <c r="H1389" i="15"/>
  <c r="G1390" i="15"/>
  <c r="H1390" i="15"/>
  <c r="G1391" i="15"/>
  <c r="H1391" i="15"/>
  <c r="G1392" i="15"/>
  <c r="H1392" i="15"/>
  <c r="G1393" i="15"/>
  <c r="H1393" i="15"/>
  <c r="G1394" i="15"/>
  <c r="H1394" i="15"/>
  <c r="G1395" i="15"/>
  <c r="H1395" i="15"/>
  <c r="G1396" i="15"/>
  <c r="H1396" i="15"/>
  <c r="G1397" i="15"/>
  <c r="H1397" i="15"/>
  <c r="G1398" i="15"/>
  <c r="H1398" i="15"/>
  <c r="G1399" i="15"/>
  <c r="H1399" i="15"/>
  <c r="G1400" i="15"/>
  <c r="H1400" i="15"/>
  <c r="G1401" i="15"/>
  <c r="H1401" i="15"/>
  <c r="G1402" i="15"/>
  <c r="H1402" i="15"/>
  <c r="G1403" i="15"/>
  <c r="H1403" i="15"/>
  <c r="G1404" i="15"/>
  <c r="H1404" i="15"/>
  <c r="G1405" i="15"/>
  <c r="H1405" i="15"/>
  <c r="G1406" i="15"/>
  <c r="H1406" i="15"/>
  <c r="G1407" i="15"/>
  <c r="H1407" i="15"/>
  <c r="G1408" i="15"/>
  <c r="H1408" i="15"/>
  <c r="G1409" i="15"/>
  <c r="H1409" i="15"/>
  <c r="G1410" i="15"/>
  <c r="H1410" i="15"/>
  <c r="G1411" i="15"/>
  <c r="H1411" i="15"/>
  <c r="G1412" i="15"/>
  <c r="H1412" i="15"/>
  <c r="G1413" i="15"/>
  <c r="H1413" i="15"/>
  <c r="G1414" i="15"/>
  <c r="H1414" i="15"/>
  <c r="G1415" i="15"/>
  <c r="H1415" i="15"/>
  <c r="G1416" i="15"/>
  <c r="H1416" i="15"/>
  <c r="G1417" i="15"/>
  <c r="H1417" i="15"/>
  <c r="G1418" i="15"/>
  <c r="H1418" i="15"/>
  <c r="G1419" i="15"/>
  <c r="H1419" i="15"/>
  <c r="G1420" i="15"/>
  <c r="H1420" i="15"/>
  <c r="G1421" i="15"/>
  <c r="H1421" i="15"/>
  <c r="G1422" i="15"/>
  <c r="H1422" i="15"/>
  <c r="G1423" i="15"/>
  <c r="H1423" i="15"/>
  <c r="G1424" i="15"/>
  <c r="H1424" i="15"/>
  <c r="G1425" i="15"/>
  <c r="H1425" i="15"/>
  <c r="G1426" i="15"/>
  <c r="H1426" i="15"/>
  <c r="G1427" i="15"/>
  <c r="H1427" i="15"/>
  <c r="G1428" i="15"/>
  <c r="H1428" i="15"/>
  <c r="G1429" i="15"/>
  <c r="H1429" i="15"/>
  <c r="G1430" i="15"/>
  <c r="H1430" i="15"/>
  <c r="G1431" i="15"/>
  <c r="H1431" i="15"/>
  <c r="G1432" i="15"/>
  <c r="H1432" i="15"/>
  <c r="G1433" i="15"/>
  <c r="H1433" i="15"/>
  <c r="G1434" i="15"/>
  <c r="H1434" i="15"/>
  <c r="G1435" i="15"/>
  <c r="H1435" i="15"/>
  <c r="G1436" i="15"/>
  <c r="H1436" i="15"/>
  <c r="G1437" i="15"/>
  <c r="H1437" i="15"/>
  <c r="G1438" i="15"/>
  <c r="H1438" i="15"/>
  <c r="G1439" i="15"/>
  <c r="H1439" i="15"/>
  <c r="G1440" i="15"/>
  <c r="H1440" i="15"/>
  <c r="G1441" i="15"/>
  <c r="H1441" i="15"/>
  <c r="G1442" i="15"/>
  <c r="H1442" i="15"/>
  <c r="G1443" i="15"/>
  <c r="H1443" i="15"/>
  <c r="G1444" i="15"/>
  <c r="H1444" i="15"/>
  <c r="G1445" i="15"/>
  <c r="H1445" i="15"/>
  <c r="G1446" i="15"/>
  <c r="H1446" i="15"/>
  <c r="G1447" i="15"/>
  <c r="H1447" i="15"/>
  <c r="G1448" i="15"/>
  <c r="H1448" i="15"/>
  <c r="G1449" i="15"/>
  <c r="H1449" i="15"/>
  <c r="G1450" i="15"/>
  <c r="H1450" i="15"/>
  <c r="G1451" i="15"/>
  <c r="H1451" i="15"/>
  <c r="G1452" i="15"/>
  <c r="H1452" i="15"/>
  <c r="G1453" i="15"/>
  <c r="H1453" i="15"/>
  <c r="G1454" i="15"/>
  <c r="H1454" i="15"/>
  <c r="G1455" i="15"/>
  <c r="H1455" i="15"/>
  <c r="G1456" i="15"/>
  <c r="H1456" i="15"/>
  <c r="G1457" i="15"/>
  <c r="H1457" i="15"/>
  <c r="G1458" i="15"/>
  <c r="H1458" i="15"/>
  <c r="G1459" i="15"/>
  <c r="H1459" i="15"/>
  <c r="G1460" i="15"/>
  <c r="H1460" i="15"/>
  <c r="G1461" i="15"/>
  <c r="H1461" i="15"/>
  <c r="G1462" i="15"/>
  <c r="H1462" i="15"/>
  <c r="G1463" i="15"/>
  <c r="H1463" i="15"/>
  <c r="G1464" i="15"/>
  <c r="H1464" i="15"/>
  <c r="G1465" i="15"/>
  <c r="H1465" i="15"/>
  <c r="G1466" i="15"/>
  <c r="H1466" i="15"/>
  <c r="H2" i="15"/>
  <c r="G2" i="15"/>
  <c r="B1109" i="15"/>
  <c r="A1109" i="15" s="1"/>
  <c r="B1110" i="15"/>
  <c r="A1110" i="15" s="1"/>
  <c r="B1111" i="15"/>
  <c r="A1111" i="15" s="1"/>
  <c r="B1112" i="15"/>
  <c r="A1112" i="15" s="1"/>
  <c r="B1113" i="15"/>
  <c r="A1113" i="15" s="1"/>
  <c r="B1114" i="15"/>
  <c r="A1114" i="15" s="1"/>
  <c r="B1115" i="15"/>
  <c r="A1115" i="15" s="1"/>
  <c r="B1116" i="15"/>
  <c r="A1116" i="15" s="1"/>
  <c r="B1117" i="15"/>
  <c r="A1117" i="15" s="1"/>
  <c r="B1118" i="15"/>
  <c r="A1118" i="15" s="1"/>
  <c r="B1119" i="15"/>
  <c r="A1119" i="15" s="1"/>
  <c r="B1120" i="15"/>
  <c r="A1120" i="15" s="1"/>
  <c r="B1121" i="15"/>
  <c r="A1121" i="15" s="1"/>
  <c r="B1122" i="15"/>
  <c r="A1122" i="15" s="1"/>
  <c r="B1123" i="15"/>
  <c r="A1123" i="15" s="1"/>
  <c r="B1124" i="15"/>
  <c r="A1124" i="15" s="1"/>
  <c r="B1125" i="15"/>
  <c r="A1125" i="15" s="1"/>
  <c r="B1126" i="15"/>
  <c r="A1126" i="15" s="1"/>
  <c r="B1127" i="15"/>
  <c r="A1127" i="15" s="1"/>
  <c r="B1128" i="15"/>
  <c r="A1128" i="15" s="1"/>
  <c r="B1129" i="15"/>
  <c r="A1129" i="15" s="1"/>
  <c r="B1130" i="15"/>
  <c r="A1130" i="15" s="1"/>
  <c r="B1131" i="15"/>
  <c r="A1131" i="15" s="1"/>
  <c r="B1132" i="15"/>
  <c r="A1132" i="15" s="1"/>
  <c r="B1133" i="15"/>
  <c r="A1133" i="15" s="1"/>
  <c r="B1134" i="15"/>
  <c r="A1134" i="15" s="1"/>
  <c r="B1135" i="15"/>
  <c r="A1135" i="15" s="1"/>
  <c r="B1136" i="15"/>
  <c r="A1136" i="15" s="1"/>
  <c r="B1137" i="15"/>
  <c r="A1137" i="15" s="1"/>
  <c r="B1138" i="15"/>
  <c r="A1138" i="15" s="1"/>
  <c r="B1139" i="15"/>
  <c r="A1139" i="15" s="1"/>
  <c r="B1140" i="15"/>
  <c r="A1140" i="15" s="1"/>
  <c r="B1141" i="15"/>
  <c r="A1141" i="15" s="1"/>
  <c r="B1142" i="15"/>
  <c r="A1142" i="15" s="1"/>
  <c r="B1143" i="15"/>
  <c r="A1143" i="15" s="1"/>
  <c r="B1144" i="15"/>
  <c r="A1144" i="15" s="1"/>
  <c r="B1145" i="15"/>
  <c r="A1145" i="15" s="1"/>
  <c r="B1146" i="15"/>
  <c r="A1146" i="15" s="1"/>
  <c r="B1147" i="15"/>
  <c r="A1147" i="15" s="1"/>
  <c r="B1148" i="15"/>
  <c r="A1148" i="15" s="1"/>
  <c r="B1149" i="15"/>
  <c r="A1149" i="15" s="1"/>
  <c r="B1150" i="15"/>
  <c r="A1150" i="15" s="1"/>
  <c r="B1151" i="15"/>
  <c r="A1151" i="15" s="1"/>
  <c r="B1152" i="15"/>
  <c r="A1152" i="15" s="1"/>
  <c r="B1153" i="15"/>
  <c r="A1153" i="15" s="1"/>
  <c r="B1154" i="15"/>
  <c r="A1154" i="15" s="1"/>
  <c r="B1155" i="15"/>
  <c r="A1155" i="15" s="1"/>
  <c r="B1156" i="15"/>
  <c r="A1156" i="15" s="1"/>
  <c r="B1157" i="15"/>
  <c r="A1157" i="15" s="1"/>
  <c r="B1158" i="15"/>
  <c r="A1158" i="15" s="1"/>
  <c r="B1159" i="15"/>
  <c r="A1159" i="15" s="1"/>
  <c r="B1160" i="15"/>
  <c r="A1160" i="15" s="1"/>
  <c r="B1161" i="15"/>
  <c r="A1161" i="15" s="1"/>
  <c r="B1162" i="15"/>
  <c r="A1162" i="15" s="1"/>
  <c r="B1163" i="15"/>
  <c r="A1163" i="15" s="1"/>
  <c r="B1164" i="15"/>
  <c r="A1164" i="15" s="1"/>
  <c r="B1165" i="15"/>
  <c r="A1165" i="15" s="1"/>
  <c r="B1166" i="15"/>
  <c r="A1166" i="15" s="1"/>
  <c r="B1167" i="15"/>
  <c r="A1167" i="15" s="1"/>
  <c r="B1168" i="15"/>
  <c r="A1168" i="15" s="1"/>
  <c r="B1169" i="15"/>
  <c r="A1169" i="15" s="1"/>
  <c r="B1170" i="15"/>
  <c r="A1170" i="15" s="1"/>
  <c r="B1171" i="15"/>
  <c r="A1171" i="15" s="1"/>
  <c r="B1172" i="15"/>
  <c r="A1172" i="15" s="1"/>
  <c r="B1173" i="15"/>
  <c r="A1173" i="15" s="1"/>
  <c r="B1174" i="15"/>
  <c r="A1174" i="15" s="1"/>
  <c r="B1175" i="15"/>
  <c r="A1175" i="15" s="1"/>
  <c r="B1176" i="15"/>
  <c r="A1176" i="15" s="1"/>
  <c r="B1177" i="15"/>
  <c r="A1177" i="15" s="1"/>
  <c r="B1178" i="15"/>
  <c r="A1178" i="15" s="1"/>
  <c r="B1179" i="15"/>
  <c r="A1179" i="15" s="1"/>
  <c r="B1180" i="15"/>
  <c r="A1180" i="15" s="1"/>
  <c r="B1181" i="15"/>
  <c r="A1181" i="15" s="1"/>
  <c r="B1182" i="15"/>
  <c r="A1182" i="15" s="1"/>
  <c r="B1183" i="15"/>
  <c r="A1183" i="15" s="1"/>
  <c r="B1184" i="15"/>
  <c r="A1184" i="15" s="1"/>
  <c r="B1185" i="15"/>
  <c r="A1185" i="15" s="1"/>
  <c r="B1186" i="15"/>
  <c r="A1186" i="15" s="1"/>
  <c r="B1187" i="15"/>
  <c r="A1187" i="15" s="1"/>
  <c r="B1188" i="15"/>
  <c r="A1188" i="15" s="1"/>
  <c r="B1189" i="15"/>
  <c r="A1189" i="15" s="1"/>
  <c r="B1190" i="15"/>
  <c r="A1190" i="15" s="1"/>
  <c r="B1191" i="15"/>
  <c r="A1191" i="15" s="1"/>
  <c r="B1192" i="15"/>
  <c r="A1192" i="15" s="1"/>
  <c r="B1193" i="15"/>
  <c r="A1193" i="15" s="1"/>
  <c r="B1194" i="15"/>
  <c r="A1194" i="15" s="1"/>
  <c r="B1195" i="15"/>
  <c r="A1195" i="15" s="1"/>
  <c r="B1196" i="15"/>
  <c r="A1196" i="15" s="1"/>
  <c r="B1197" i="15"/>
  <c r="A1197" i="15" s="1"/>
  <c r="B1198" i="15"/>
  <c r="A1198" i="15" s="1"/>
  <c r="B1199" i="15"/>
  <c r="A1199" i="15" s="1"/>
  <c r="B1200" i="15"/>
  <c r="A1200" i="15" s="1"/>
  <c r="B1201" i="15"/>
  <c r="A1201" i="15" s="1"/>
  <c r="B1202" i="15"/>
  <c r="A1202" i="15" s="1"/>
  <c r="B1203" i="15"/>
  <c r="A1203" i="15" s="1"/>
  <c r="B1204" i="15"/>
  <c r="A1204" i="15" s="1"/>
  <c r="B1205" i="15"/>
  <c r="A1205" i="15" s="1"/>
  <c r="B1206" i="15"/>
  <c r="A1206" i="15" s="1"/>
  <c r="B1207" i="15"/>
  <c r="A1207" i="15" s="1"/>
  <c r="B1208" i="15"/>
  <c r="A1208" i="15" s="1"/>
  <c r="B1209" i="15"/>
  <c r="A1209" i="15" s="1"/>
  <c r="B1210" i="15"/>
  <c r="A1210" i="15" s="1"/>
  <c r="B1211" i="15"/>
  <c r="A1211" i="15" s="1"/>
  <c r="B1212" i="15"/>
  <c r="A1212" i="15" s="1"/>
  <c r="B1213" i="15"/>
  <c r="A1213" i="15" s="1"/>
  <c r="B1214" i="15"/>
  <c r="A1214" i="15" s="1"/>
  <c r="B1215" i="15"/>
  <c r="A1215" i="15" s="1"/>
  <c r="B1216" i="15"/>
  <c r="A1216" i="15" s="1"/>
  <c r="B1217" i="15"/>
  <c r="A1217" i="15" s="1"/>
  <c r="B1218" i="15"/>
  <c r="A1218" i="15" s="1"/>
  <c r="B1219" i="15"/>
  <c r="A1219" i="15" s="1"/>
  <c r="B1220" i="15"/>
  <c r="A1220" i="15" s="1"/>
  <c r="B1221" i="15"/>
  <c r="A1221" i="15" s="1"/>
  <c r="B1222" i="15"/>
  <c r="A1222" i="15" s="1"/>
  <c r="B1223" i="15"/>
  <c r="A1223" i="15" s="1"/>
  <c r="B1224" i="15"/>
  <c r="A1224" i="15" s="1"/>
  <c r="B1225" i="15"/>
  <c r="A1225" i="15" s="1"/>
  <c r="B1226" i="15"/>
  <c r="A1226" i="15" s="1"/>
  <c r="B1227" i="15"/>
  <c r="A1227" i="15" s="1"/>
  <c r="B1228" i="15"/>
  <c r="A1228" i="15" s="1"/>
  <c r="B1229" i="15"/>
  <c r="A1229" i="15" s="1"/>
  <c r="B1230" i="15"/>
  <c r="A1230" i="15" s="1"/>
  <c r="B1231" i="15"/>
  <c r="A1231" i="15" s="1"/>
  <c r="B1232" i="15"/>
  <c r="A1232" i="15" s="1"/>
  <c r="B1233" i="15"/>
  <c r="A1233" i="15" s="1"/>
  <c r="B1234" i="15"/>
  <c r="A1234" i="15" s="1"/>
  <c r="B1235" i="15"/>
  <c r="A1235" i="15" s="1"/>
  <c r="B1236" i="15"/>
  <c r="A1236" i="15" s="1"/>
  <c r="B1237" i="15"/>
  <c r="A1237" i="15" s="1"/>
  <c r="B1238" i="15"/>
  <c r="A1238" i="15" s="1"/>
  <c r="B1239" i="15"/>
  <c r="A1239" i="15" s="1"/>
  <c r="B1240" i="15"/>
  <c r="A1240" i="15" s="1"/>
  <c r="B1241" i="15"/>
  <c r="A1241" i="15" s="1"/>
  <c r="B1242" i="15"/>
  <c r="A1242" i="15" s="1"/>
  <c r="B1243" i="15"/>
  <c r="A1243" i="15" s="1"/>
  <c r="B1244" i="15"/>
  <c r="A1244" i="15" s="1"/>
  <c r="B1245" i="15"/>
  <c r="A1245" i="15" s="1"/>
  <c r="B1246" i="15"/>
  <c r="A1246" i="15" s="1"/>
  <c r="B1247" i="15"/>
  <c r="A1247" i="15" s="1"/>
  <c r="B1248" i="15"/>
  <c r="A1248" i="15" s="1"/>
  <c r="B1249" i="15"/>
  <c r="A1249" i="15" s="1"/>
  <c r="B1250" i="15"/>
  <c r="A1250" i="15" s="1"/>
  <c r="B1251" i="15"/>
  <c r="A1251" i="15" s="1"/>
  <c r="B1252" i="15"/>
  <c r="A1252" i="15" s="1"/>
  <c r="B1253" i="15"/>
  <c r="A1253" i="15" s="1"/>
  <c r="B1254" i="15"/>
  <c r="A1254" i="15" s="1"/>
  <c r="B1255" i="15"/>
  <c r="A1255" i="15" s="1"/>
  <c r="B1256" i="15"/>
  <c r="A1256" i="15" s="1"/>
  <c r="B1257" i="15"/>
  <c r="A1257" i="15" s="1"/>
  <c r="B1258" i="15"/>
  <c r="A1258" i="15" s="1"/>
  <c r="B1259" i="15"/>
  <c r="A1259" i="15" s="1"/>
  <c r="B1260" i="15"/>
  <c r="A1260" i="15" s="1"/>
  <c r="B1261" i="15"/>
  <c r="B1262" i="15"/>
  <c r="A1262" i="15" s="1"/>
  <c r="B1263" i="15"/>
  <c r="A1263" i="15" s="1"/>
  <c r="B1264" i="15"/>
  <c r="A1264" i="15" s="1"/>
  <c r="B1265" i="15"/>
  <c r="A1265" i="15" s="1"/>
  <c r="B1266" i="15"/>
  <c r="A1266" i="15" s="1"/>
  <c r="B1267" i="15"/>
  <c r="A1267" i="15" s="1"/>
  <c r="B1268" i="15"/>
  <c r="A1268" i="15" s="1"/>
  <c r="B1269" i="15"/>
  <c r="A1269" i="15" s="1"/>
  <c r="B1270" i="15"/>
  <c r="A1270" i="15" s="1"/>
  <c r="B1271" i="15"/>
  <c r="A1271" i="15" s="1"/>
  <c r="B1272" i="15"/>
  <c r="A1272" i="15" s="1"/>
  <c r="B1273" i="15"/>
  <c r="A1273" i="15" s="1"/>
  <c r="B1274" i="15"/>
  <c r="A1274" i="15" s="1"/>
  <c r="B1275" i="15"/>
  <c r="A1275" i="15" s="1"/>
  <c r="B1276" i="15"/>
  <c r="A1276" i="15" s="1"/>
  <c r="B1277" i="15"/>
  <c r="A1277" i="15" s="1"/>
  <c r="B1278" i="15"/>
  <c r="A1278" i="15" s="1"/>
  <c r="B1279" i="15"/>
  <c r="A1279" i="15" s="1"/>
  <c r="B1280" i="15"/>
  <c r="A1280" i="15" s="1"/>
  <c r="B1281" i="15"/>
  <c r="A1281" i="15" s="1"/>
  <c r="B1282" i="15"/>
  <c r="A1282" i="15" s="1"/>
  <c r="B1283" i="15"/>
  <c r="A1283" i="15" s="1"/>
  <c r="B1284" i="15"/>
  <c r="A1284" i="15" s="1"/>
  <c r="B1285" i="15"/>
  <c r="A1285" i="15" s="1"/>
  <c r="B1286" i="15"/>
  <c r="A1286" i="15" s="1"/>
  <c r="B1287" i="15"/>
  <c r="A1287" i="15" s="1"/>
  <c r="B1288" i="15"/>
  <c r="A1288" i="15" s="1"/>
  <c r="B1289" i="15"/>
  <c r="A1289" i="15" s="1"/>
  <c r="B1290" i="15"/>
  <c r="A1290" i="15" s="1"/>
  <c r="B1291" i="15"/>
  <c r="A1291" i="15" s="1"/>
  <c r="B1292" i="15"/>
  <c r="A1292" i="15" s="1"/>
  <c r="B1293" i="15"/>
  <c r="A1293" i="15" s="1"/>
  <c r="B1294" i="15"/>
  <c r="A1294" i="15" s="1"/>
  <c r="B1295" i="15"/>
  <c r="A1295" i="15" s="1"/>
  <c r="B1296" i="15"/>
  <c r="A1296" i="15" s="1"/>
  <c r="B1297" i="15"/>
  <c r="A1297" i="15" s="1"/>
  <c r="B1298" i="15"/>
  <c r="A1298" i="15" s="1"/>
  <c r="B1299" i="15"/>
  <c r="A1299" i="15" s="1"/>
  <c r="B1300" i="15"/>
  <c r="A1300" i="15" s="1"/>
  <c r="B1301" i="15"/>
  <c r="A1301" i="15" s="1"/>
  <c r="B1302" i="15"/>
  <c r="B1303" i="15"/>
  <c r="A1303" i="15" s="1"/>
  <c r="B1304" i="15"/>
  <c r="A1304" i="15" s="1"/>
  <c r="B1305" i="15"/>
  <c r="A1305" i="15" s="1"/>
  <c r="B1306" i="15"/>
  <c r="A1306" i="15" s="1"/>
  <c r="B1307" i="15"/>
  <c r="A1307" i="15" s="1"/>
  <c r="B1308" i="15"/>
  <c r="A1308" i="15" s="1"/>
  <c r="B1309" i="15"/>
  <c r="A1309" i="15" s="1"/>
  <c r="B1310" i="15"/>
  <c r="A1310" i="15" s="1"/>
  <c r="B1311" i="15"/>
  <c r="A1311" i="15" s="1"/>
  <c r="B1312" i="15"/>
  <c r="A1312" i="15" s="1"/>
  <c r="B1313" i="15"/>
  <c r="A1313" i="15" s="1"/>
  <c r="B1314" i="15"/>
  <c r="A1314" i="15" s="1"/>
  <c r="B1315" i="15"/>
  <c r="A1315" i="15" s="1"/>
  <c r="B1316" i="15"/>
  <c r="A1316" i="15" s="1"/>
  <c r="B1317" i="15"/>
  <c r="A1317" i="15" s="1"/>
  <c r="B1318" i="15"/>
  <c r="A1318" i="15" s="1"/>
  <c r="B1319" i="15"/>
  <c r="A1319" i="15" s="1"/>
  <c r="B1320" i="15"/>
  <c r="A1320" i="15" s="1"/>
  <c r="B1321" i="15"/>
  <c r="A1321" i="15" s="1"/>
  <c r="B1322" i="15"/>
  <c r="A1322" i="15" s="1"/>
  <c r="B1323" i="15"/>
  <c r="A1323" i="15" s="1"/>
  <c r="B1324" i="15"/>
  <c r="A1324" i="15" s="1"/>
  <c r="B1325" i="15"/>
  <c r="A1325" i="15" s="1"/>
  <c r="B1326" i="15"/>
  <c r="A1326" i="15" s="1"/>
  <c r="B1327" i="15"/>
  <c r="A1327" i="15" s="1"/>
  <c r="B1328" i="15"/>
  <c r="A1328" i="15" s="1"/>
  <c r="B1329" i="15"/>
  <c r="A1329" i="15" s="1"/>
  <c r="B1330" i="15"/>
  <c r="A1330" i="15" s="1"/>
  <c r="B1331" i="15"/>
  <c r="A1331" i="15" s="1"/>
  <c r="B1332" i="15"/>
  <c r="A1332" i="15" s="1"/>
  <c r="B1333" i="15"/>
  <c r="A1333" i="15" s="1"/>
  <c r="B1334" i="15"/>
  <c r="A1334" i="15" s="1"/>
  <c r="B1335" i="15"/>
  <c r="B1336" i="15"/>
  <c r="A1336" i="15" s="1"/>
  <c r="B1337" i="15"/>
  <c r="A1337" i="15" s="1"/>
  <c r="B1338" i="15"/>
  <c r="A1338" i="15" s="1"/>
  <c r="B1339" i="15"/>
  <c r="A1339" i="15" s="1"/>
  <c r="B1340" i="15"/>
  <c r="A1340" i="15" s="1"/>
  <c r="B1341" i="15"/>
  <c r="A1341" i="15" s="1"/>
  <c r="B1342" i="15"/>
  <c r="B1343" i="15"/>
  <c r="B1344" i="15"/>
  <c r="B1345" i="15"/>
  <c r="B1346" i="15"/>
  <c r="B1347" i="15"/>
  <c r="B1348" i="15"/>
  <c r="B1349" i="15"/>
  <c r="B1350" i="15"/>
  <c r="B1351" i="15"/>
  <c r="B1352" i="15"/>
  <c r="B1353" i="15"/>
  <c r="B1354" i="15"/>
  <c r="B1355" i="15"/>
  <c r="A1355" i="15" s="1"/>
  <c r="B1356" i="15"/>
  <c r="A1356" i="15" s="1"/>
  <c r="B1357" i="15"/>
  <c r="A1357" i="15" s="1"/>
  <c r="B1358" i="15"/>
  <c r="A1358" i="15" s="1"/>
  <c r="B1359" i="15"/>
  <c r="A1359" i="15" s="1"/>
  <c r="B1360" i="15"/>
  <c r="A1360" i="15" s="1"/>
  <c r="B1361" i="15"/>
  <c r="A1361" i="15" s="1"/>
  <c r="B1362" i="15"/>
  <c r="A1362" i="15" s="1"/>
  <c r="B1363" i="15"/>
  <c r="A1363" i="15" s="1"/>
  <c r="B1364" i="15"/>
  <c r="A1364" i="15" s="1"/>
  <c r="B1365" i="15"/>
  <c r="A1365" i="15" s="1"/>
  <c r="B1366" i="15"/>
  <c r="A1366" i="15" s="1"/>
  <c r="B1367" i="15"/>
  <c r="A1367" i="15" s="1"/>
  <c r="B1368" i="15"/>
  <c r="A1368" i="15" s="1"/>
  <c r="B1369" i="15"/>
  <c r="A1369" i="15" s="1"/>
  <c r="B1370" i="15"/>
  <c r="A1370" i="15" s="1"/>
  <c r="B1371" i="15"/>
  <c r="A1371" i="15" s="1"/>
  <c r="B1372" i="15"/>
  <c r="A1372" i="15" s="1"/>
  <c r="B1373" i="15"/>
  <c r="A1373" i="15" s="1"/>
  <c r="B1374" i="15"/>
  <c r="A1374" i="15" s="1"/>
  <c r="B1375" i="15"/>
  <c r="A1375" i="15" s="1"/>
  <c r="B1376" i="15"/>
  <c r="A1376" i="15" s="1"/>
  <c r="B1377" i="15"/>
  <c r="A1377" i="15" s="1"/>
  <c r="B1378" i="15"/>
  <c r="A1378" i="15" s="1"/>
  <c r="B1379" i="15"/>
  <c r="A1379" i="15" s="1"/>
  <c r="B1380" i="15"/>
  <c r="A1380" i="15" s="1"/>
  <c r="B1381" i="15"/>
  <c r="A1381" i="15" s="1"/>
  <c r="B1382" i="15"/>
  <c r="A1382" i="15" s="1"/>
  <c r="B1383" i="15"/>
  <c r="A1383" i="15" s="1"/>
  <c r="B1384" i="15"/>
  <c r="A1384" i="15" s="1"/>
  <c r="B1385" i="15"/>
  <c r="A1385" i="15" s="1"/>
  <c r="B1386" i="15"/>
  <c r="A1386" i="15" s="1"/>
  <c r="B1387" i="15"/>
  <c r="A1387" i="15" s="1"/>
  <c r="B1388" i="15"/>
  <c r="A1388" i="15" s="1"/>
  <c r="B1389" i="15"/>
  <c r="A1389" i="15" s="1"/>
  <c r="B1390" i="15"/>
  <c r="A1390" i="15" s="1"/>
  <c r="B1391" i="15"/>
  <c r="A1391" i="15" s="1"/>
  <c r="B1392" i="15"/>
  <c r="A1392" i="15" s="1"/>
  <c r="B1393" i="15"/>
  <c r="A1393" i="15" s="1"/>
  <c r="B1394" i="15"/>
  <c r="A1394" i="15" s="1"/>
  <c r="B1395" i="15"/>
  <c r="A1395" i="15" s="1"/>
  <c r="B1396" i="15"/>
  <c r="A1396" i="15" s="1"/>
  <c r="B1397" i="15"/>
  <c r="A1397" i="15" s="1"/>
  <c r="B1398" i="15"/>
  <c r="A1398" i="15" s="1"/>
  <c r="B1399" i="15"/>
  <c r="A1399" i="15" s="1"/>
  <c r="B1400" i="15"/>
  <c r="A1400" i="15" s="1"/>
  <c r="B1401" i="15"/>
  <c r="A1401" i="15" s="1"/>
  <c r="B1402" i="15"/>
  <c r="A1402" i="15" s="1"/>
  <c r="B1403" i="15"/>
  <c r="A1403" i="15" s="1"/>
  <c r="B1404" i="15"/>
  <c r="A1404" i="15" s="1"/>
  <c r="B1405" i="15"/>
  <c r="A1405" i="15" s="1"/>
  <c r="B1406" i="15"/>
  <c r="A1406" i="15" s="1"/>
  <c r="B1407" i="15"/>
  <c r="A1407" i="15" s="1"/>
  <c r="B1408" i="15"/>
  <c r="A1408" i="15" s="1"/>
  <c r="B1409" i="15"/>
  <c r="A1409" i="15" s="1"/>
  <c r="B1410" i="15"/>
  <c r="A1410" i="15" s="1"/>
  <c r="B1411" i="15"/>
  <c r="A1411" i="15" s="1"/>
  <c r="B1412" i="15"/>
  <c r="A1412" i="15" s="1"/>
  <c r="B1413" i="15"/>
  <c r="A1413" i="15" s="1"/>
  <c r="B1414" i="15"/>
  <c r="A1414" i="15" s="1"/>
  <c r="B1415" i="15"/>
  <c r="A1415" i="15" s="1"/>
  <c r="B1416" i="15"/>
  <c r="A1416" i="15" s="1"/>
  <c r="B1417" i="15"/>
  <c r="A1417" i="15" s="1"/>
  <c r="B1418" i="15"/>
  <c r="A1418" i="15" s="1"/>
  <c r="B1419" i="15"/>
  <c r="A1419" i="15" s="1"/>
  <c r="B1420" i="15"/>
  <c r="A1420" i="15" s="1"/>
  <c r="B1421" i="15"/>
  <c r="A1421" i="15" s="1"/>
  <c r="B1422" i="15"/>
  <c r="A1422" i="15" s="1"/>
  <c r="B1423" i="15"/>
  <c r="A1423" i="15" s="1"/>
  <c r="B1424" i="15"/>
  <c r="A1424" i="15" s="1"/>
  <c r="B1425" i="15"/>
  <c r="A1425" i="15" s="1"/>
  <c r="B1426" i="15"/>
  <c r="A1426" i="15" s="1"/>
  <c r="B1427" i="15"/>
  <c r="A1427" i="15" s="1"/>
  <c r="B1428" i="15"/>
  <c r="A1428" i="15" s="1"/>
  <c r="B1429" i="15"/>
  <c r="A1429" i="15" s="1"/>
  <c r="B1430" i="15"/>
  <c r="A1430" i="15" s="1"/>
  <c r="B1431" i="15"/>
  <c r="A1431" i="15" s="1"/>
  <c r="B1432" i="15"/>
  <c r="A1432" i="15" s="1"/>
  <c r="B1433" i="15"/>
  <c r="A1433" i="15" s="1"/>
  <c r="B1434" i="15"/>
  <c r="A1434" i="15" s="1"/>
  <c r="B1435" i="15"/>
  <c r="A1435" i="15" s="1"/>
  <c r="B1436" i="15"/>
  <c r="A1436" i="15" s="1"/>
  <c r="B1437" i="15"/>
  <c r="A1437" i="15" s="1"/>
  <c r="B1438" i="15"/>
  <c r="A1438" i="15" s="1"/>
  <c r="B1439" i="15"/>
  <c r="A1439" i="15" s="1"/>
  <c r="B1440" i="15"/>
  <c r="A1440" i="15" s="1"/>
  <c r="B1441" i="15"/>
  <c r="A1441" i="15" s="1"/>
  <c r="B1442" i="15"/>
  <c r="A1442" i="15" s="1"/>
  <c r="B1443" i="15"/>
  <c r="A1443" i="15" s="1"/>
  <c r="B1444" i="15"/>
  <c r="A1444" i="15" s="1"/>
  <c r="B1445" i="15"/>
  <c r="A1445" i="15" s="1"/>
  <c r="B1446" i="15"/>
  <c r="A1446" i="15" s="1"/>
  <c r="B1447" i="15"/>
  <c r="A1447" i="15" s="1"/>
  <c r="B1448" i="15"/>
  <c r="A1448" i="15" s="1"/>
  <c r="B1449" i="15"/>
  <c r="A1449" i="15" s="1"/>
  <c r="B1450" i="15"/>
  <c r="A1450" i="15" s="1"/>
  <c r="B1451" i="15"/>
  <c r="A1451" i="15" s="1"/>
  <c r="B1452" i="15"/>
  <c r="A1452" i="15" s="1"/>
  <c r="B1453" i="15"/>
  <c r="A1453" i="15" s="1"/>
  <c r="B1454" i="15"/>
  <c r="A1454" i="15" s="1"/>
  <c r="B1455" i="15"/>
  <c r="A1455" i="15" s="1"/>
  <c r="B1456" i="15"/>
  <c r="A1456" i="15" s="1"/>
  <c r="B1457" i="15"/>
  <c r="A1457" i="15" s="1"/>
  <c r="B1458" i="15"/>
  <c r="A1458" i="15" s="1"/>
  <c r="B1459" i="15"/>
  <c r="A1459" i="15" s="1"/>
  <c r="B1460" i="15"/>
  <c r="A1460" i="15" s="1"/>
  <c r="B1461" i="15"/>
  <c r="A1461" i="15" s="1"/>
  <c r="B1462" i="15"/>
  <c r="A1462" i="15" s="1"/>
  <c r="B1463" i="15"/>
  <c r="A1463" i="15" s="1"/>
  <c r="B1464" i="15"/>
  <c r="A1464" i="15" s="1"/>
  <c r="B1465" i="15"/>
  <c r="A1465" i="15" s="1"/>
  <c r="B1466" i="15"/>
  <c r="A1466" i="15" s="1"/>
  <c r="B3" i="15"/>
  <c r="A3" i="15" s="1"/>
  <c r="B4" i="15"/>
  <c r="A4" i="15" s="1"/>
  <c r="B5" i="15"/>
  <c r="A5" i="15" s="1"/>
  <c r="B6" i="15"/>
  <c r="A6" i="15" s="1"/>
  <c r="B7" i="15"/>
  <c r="A7" i="15" s="1"/>
  <c r="B8" i="15"/>
  <c r="A8" i="15" s="1"/>
  <c r="B9" i="15"/>
  <c r="A9" i="15" s="1"/>
  <c r="B10" i="15"/>
  <c r="A10" i="15" s="1"/>
  <c r="B11" i="15"/>
  <c r="A11" i="15" s="1"/>
  <c r="B12" i="15"/>
  <c r="A12" i="15" s="1"/>
  <c r="B13" i="15"/>
  <c r="A13" i="15" s="1"/>
  <c r="B14" i="15"/>
  <c r="A14" i="15" s="1"/>
  <c r="B15" i="15"/>
  <c r="A15" i="15" s="1"/>
  <c r="B16" i="15"/>
  <c r="A16" i="15" s="1"/>
  <c r="B17" i="15"/>
  <c r="A17" i="15" s="1"/>
  <c r="B18" i="15"/>
  <c r="A18" i="15" s="1"/>
  <c r="B19" i="15"/>
  <c r="A19" i="15" s="1"/>
  <c r="B20" i="15"/>
  <c r="A20" i="15" s="1"/>
  <c r="B21" i="15"/>
  <c r="A21" i="15" s="1"/>
  <c r="B22" i="15"/>
  <c r="A22" i="15" s="1"/>
  <c r="B23" i="15"/>
  <c r="A23" i="15" s="1"/>
  <c r="B24" i="15"/>
  <c r="A24" i="15" s="1"/>
  <c r="B25" i="15"/>
  <c r="A25" i="15" s="1"/>
  <c r="B26" i="15"/>
  <c r="A26" i="15" s="1"/>
  <c r="B27" i="15"/>
  <c r="A27" i="15" s="1"/>
  <c r="B28" i="15"/>
  <c r="A28" i="15" s="1"/>
  <c r="B29" i="15"/>
  <c r="A29" i="15" s="1"/>
  <c r="B30" i="15"/>
  <c r="A30" i="15" s="1"/>
  <c r="B31" i="15"/>
  <c r="A31" i="15" s="1"/>
  <c r="B32" i="15"/>
  <c r="A32" i="15" s="1"/>
  <c r="B33" i="15"/>
  <c r="A33" i="15" s="1"/>
  <c r="B34" i="15"/>
  <c r="A34" i="15" s="1"/>
  <c r="B35" i="15"/>
  <c r="A35" i="15" s="1"/>
  <c r="B36" i="15"/>
  <c r="A36" i="15" s="1"/>
  <c r="B37" i="15"/>
  <c r="A37" i="15" s="1"/>
  <c r="B38" i="15"/>
  <c r="A38" i="15" s="1"/>
  <c r="B39" i="15"/>
  <c r="A39" i="15" s="1"/>
  <c r="B40" i="15"/>
  <c r="A40" i="15" s="1"/>
  <c r="B41" i="15"/>
  <c r="A41" i="15" s="1"/>
  <c r="B42" i="15"/>
  <c r="A42" i="15" s="1"/>
  <c r="B43" i="15"/>
  <c r="A43" i="15" s="1"/>
  <c r="B44" i="15"/>
  <c r="A44" i="15" s="1"/>
  <c r="B45" i="15"/>
  <c r="A45" i="15" s="1"/>
  <c r="B46" i="15"/>
  <c r="A46" i="15" s="1"/>
  <c r="B47" i="15"/>
  <c r="A47" i="15" s="1"/>
  <c r="B48" i="15"/>
  <c r="A48" i="15" s="1"/>
  <c r="B49" i="15"/>
  <c r="A49" i="15" s="1"/>
  <c r="B50" i="15"/>
  <c r="A50" i="15" s="1"/>
  <c r="B51" i="15"/>
  <c r="A51" i="15" s="1"/>
  <c r="B52" i="15"/>
  <c r="A52" i="15" s="1"/>
  <c r="B53" i="15"/>
  <c r="A53" i="15" s="1"/>
  <c r="B54" i="15"/>
  <c r="A54" i="15" s="1"/>
  <c r="B55" i="15"/>
  <c r="A55" i="15" s="1"/>
  <c r="B56" i="15"/>
  <c r="A56" i="15" s="1"/>
  <c r="B57" i="15"/>
  <c r="A57" i="15" s="1"/>
  <c r="B58" i="15"/>
  <c r="A58" i="15" s="1"/>
  <c r="B59" i="15"/>
  <c r="A59" i="15" s="1"/>
  <c r="B60" i="15"/>
  <c r="A60" i="15" s="1"/>
  <c r="B61" i="15"/>
  <c r="A61" i="15" s="1"/>
  <c r="B62" i="15"/>
  <c r="A62" i="15" s="1"/>
  <c r="B63" i="15"/>
  <c r="A63" i="15" s="1"/>
  <c r="B64" i="15"/>
  <c r="A64" i="15" s="1"/>
  <c r="B65" i="15"/>
  <c r="A65" i="15" s="1"/>
  <c r="B66" i="15"/>
  <c r="A66" i="15" s="1"/>
  <c r="B67" i="15"/>
  <c r="A67" i="15" s="1"/>
  <c r="B68" i="15"/>
  <c r="A68" i="15" s="1"/>
  <c r="B69" i="15"/>
  <c r="A69" i="15" s="1"/>
  <c r="B70" i="15"/>
  <c r="A70" i="15" s="1"/>
  <c r="B71" i="15"/>
  <c r="A71" i="15" s="1"/>
  <c r="B72" i="15"/>
  <c r="A72" i="15" s="1"/>
  <c r="B73" i="15"/>
  <c r="A73" i="15" s="1"/>
  <c r="B74" i="15"/>
  <c r="A74" i="15" s="1"/>
  <c r="B75" i="15"/>
  <c r="A75" i="15" s="1"/>
  <c r="B76" i="15"/>
  <c r="A76" i="15" s="1"/>
  <c r="B77" i="15"/>
  <c r="A77" i="15" s="1"/>
  <c r="B78" i="15"/>
  <c r="A78" i="15" s="1"/>
  <c r="B79" i="15"/>
  <c r="A79" i="15" s="1"/>
  <c r="B80" i="15"/>
  <c r="A80" i="15" s="1"/>
  <c r="B81" i="15"/>
  <c r="A81" i="15" s="1"/>
  <c r="B82" i="15"/>
  <c r="A82" i="15" s="1"/>
  <c r="B83" i="15"/>
  <c r="A83" i="15" s="1"/>
  <c r="B84" i="15"/>
  <c r="A84" i="15" s="1"/>
  <c r="B85" i="15"/>
  <c r="A85" i="15" s="1"/>
  <c r="B86" i="15"/>
  <c r="A86" i="15" s="1"/>
  <c r="B87" i="15"/>
  <c r="A87" i="15" s="1"/>
  <c r="B88" i="15"/>
  <c r="A88" i="15" s="1"/>
  <c r="B89" i="15"/>
  <c r="A89" i="15" s="1"/>
  <c r="B90" i="15"/>
  <c r="A90" i="15" s="1"/>
  <c r="B91" i="15"/>
  <c r="A91" i="15" s="1"/>
  <c r="B92" i="15"/>
  <c r="A92" i="15" s="1"/>
  <c r="B93" i="15"/>
  <c r="A93" i="15" s="1"/>
  <c r="B94" i="15"/>
  <c r="A94" i="15" s="1"/>
  <c r="B95" i="15"/>
  <c r="A95" i="15" s="1"/>
  <c r="B96" i="15"/>
  <c r="A96" i="15" s="1"/>
  <c r="B97" i="15"/>
  <c r="A97" i="15" s="1"/>
  <c r="B98" i="15"/>
  <c r="A98" i="15" s="1"/>
  <c r="B99" i="15"/>
  <c r="A99" i="15" s="1"/>
  <c r="B100" i="15"/>
  <c r="A100" i="15" s="1"/>
  <c r="B101" i="15"/>
  <c r="A101" i="15" s="1"/>
  <c r="B102" i="15"/>
  <c r="A102" i="15" s="1"/>
  <c r="B103" i="15"/>
  <c r="A103" i="15" s="1"/>
  <c r="B104" i="15"/>
  <c r="A104" i="15" s="1"/>
  <c r="B105" i="15"/>
  <c r="A105" i="15" s="1"/>
  <c r="B106" i="15"/>
  <c r="A106" i="15" s="1"/>
  <c r="B107" i="15"/>
  <c r="A107" i="15" s="1"/>
  <c r="B108" i="15"/>
  <c r="A108" i="15" s="1"/>
  <c r="B109" i="15"/>
  <c r="A109" i="15" s="1"/>
  <c r="B110" i="15"/>
  <c r="A110" i="15" s="1"/>
  <c r="B111" i="15"/>
  <c r="A111" i="15" s="1"/>
  <c r="B112" i="15"/>
  <c r="A112" i="15" s="1"/>
  <c r="B113" i="15"/>
  <c r="A113" i="15" s="1"/>
  <c r="B114" i="15"/>
  <c r="A114" i="15" s="1"/>
  <c r="B115" i="15"/>
  <c r="A115" i="15" s="1"/>
  <c r="B116" i="15"/>
  <c r="A116" i="15" s="1"/>
  <c r="B117" i="15"/>
  <c r="A117" i="15" s="1"/>
  <c r="B118" i="15"/>
  <c r="A118" i="15" s="1"/>
  <c r="B119" i="15"/>
  <c r="A119" i="15" s="1"/>
  <c r="B120" i="15"/>
  <c r="A120" i="15" s="1"/>
  <c r="B121" i="15"/>
  <c r="A121" i="15" s="1"/>
  <c r="B122" i="15"/>
  <c r="A122" i="15" s="1"/>
  <c r="B123" i="15"/>
  <c r="A123" i="15" s="1"/>
  <c r="B124" i="15"/>
  <c r="A124" i="15" s="1"/>
  <c r="B125" i="15"/>
  <c r="A125" i="15" s="1"/>
  <c r="B126" i="15"/>
  <c r="A126" i="15" s="1"/>
  <c r="B127" i="15"/>
  <c r="A127" i="15" s="1"/>
  <c r="B128" i="15"/>
  <c r="A128" i="15" s="1"/>
  <c r="B129" i="15"/>
  <c r="A129" i="15" s="1"/>
  <c r="B130" i="15"/>
  <c r="A130" i="15" s="1"/>
  <c r="B131" i="15"/>
  <c r="A131" i="15" s="1"/>
  <c r="B132" i="15"/>
  <c r="A132" i="15" s="1"/>
  <c r="B133" i="15"/>
  <c r="A133" i="15" s="1"/>
  <c r="B134" i="15"/>
  <c r="A134" i="15" s="1"/>
  <c r="B135" i="15"/>
  <c r="A135" i="15" s="1"/>
  <c r="B136" i="15"/>
  <c r="A136" i="15" s="1"/>
  <c r="B137" i="15"/>
  <c r="A137" i="15" s="1"/>
  <c r="B138" i="15"/>
  <c r="A138" i="15" s="1"/>
  <c r="B139" i="15"/>
  <c r="A139" i="15" s="1"/>
  <c r="B140" i="15"/>
  <c r="A140" i="15" s="1"/>
  <c r="B141" i="15"/>
  <c r="A141" i="15" s="1"/>
  <c r="B142" i="15"/>
  <c r="A142" i="15" s="1"/>
  <c r="B143" i="15"/>
  <c r="A143" i="15" s="1"/>
  <c r="B144" i="15"/>
  <c r="A144" i="15" s="1"/>
  <c r="B145" i="15"/>
  <c r="A145" i="15" s="1"/>
  <c r="B146" i="15"/>
  <c r="A146" i="15" s="1"/>
  <c r="B147" i="15"/>
  <c r="A147" i="15" s="1"/>
  <c r="B148" i="15"/>
  <c r="A148" i="15" s="1"/>
  <c r="B149" i="15"/>
  <c r="B150" i="15"/>
  <c r="A150" i="15" s="1"/>
  <c r="B151" i="15"/>
  <c r="A151" i="15" s="1"/>
  <c r="B152" i="15"/>
  <c r="A152" i="15" s="1"/>
  <c r="B153" i="15"/>
  <c r="A153" i="15" s="1"/>
  <c r="B154" i="15"/>
  <c r="A154" i="15" s="1"/>
  <c r="B155" i="15"/>
  <c r="A155" i="15" s="1"/>
  <c r="B156" i="15"/>
  <c r="A156" i="15" s="1"/>
  <c r="B157" i="15"/>
  <c r="A157" i="15" s="1"/>
  <c r="B158" i="15"/>
  <c r="A158" i="15" s="1"/>
  <c r="B159" i="15"/>
  <c r="A159" i="15" s="1"/>
  <c r="B160" i="15"/>
  <c r="A160" i="15" s="1"/>
  <c r="B161" i="15"/>
  <c r="A161" i="15" s="1"/>
  <c r="B162" i="15"/>
  <c r="A162" i="15" s="1"/>
  <c r="B163" i="15"/>
  <c r="A163" i="15" s="1"/>
  <c r="B164" i="15"/>
  <c r="A164" i="15" s="1"/>
  <c r="B165" i="15"/>
  <c r="A165" i="15" s="1"/>
  <c r="B166" i="15"/>
  <c r="A166" i="15" s="1"/>
  <c r="B167" i="15"/>
  <c r="A167" i="15" s="1"/>
  <c r="B168" i="15"/>
  <c r="A168" i="15" s="1"/>
  <c r="B169" i="15"/>
  <c r="A169" i="15" s="1"/>
  <c r="B170" i="15"/>
  <c r="A170" i="15" s="1"/>
  <c r="B171" i="15"/>
  <c r="A171" i="15" s="1"/>
  <c r="B172" i="15"/>
  <c r="A172" i="15" s="1"/>
  <c r="B173" i="15"/>
  <c r="A173" i="15" s="1"/>
  <c r="B174" i="15"/>
  <c r="A174" i="15" s="1"/>
  <c r="B175" i="15"/>
  <c r="A175" i="15" s="1"/>
  <c r="B176" i="15"/>
  <c r="A176" i="15" s="1"/>
  <c r="B177" i="15"/>
  <c r="A177" i="15" s="1"/>
  <c r="B178" i="15"/>
  <c r="A178" i="15" s="1"/>
  <c r="B179" i="15"/>
  <c r="A179" i="15" s="1"/>
  <c r="B180" i="15"/>
  <c r="A180" i="15" s="1"/>
  <c r="B181" i="15"/>
  <c r="A181" i="15" s="1"/>
  <c r="B182" i="15"/>
  <c r="A182" i="15" s="1"/>
  <c r="B183" i="15"/>
  <c r="A183" i="15" s="1"/>
  <c r="B184" i="15"/>
  <c r="A184" i="15" s="1"/>
  <c r="B185" i="15"/>
  <c r="A185" i="15" s="1"/>
  <c r="B186" i="15"/>
  <c r="A186" i="15" s="1"/>
  <c r="B187" i="15"/>
  <c r="A187" i="15" s="1"/>
  <c r="B188" i="15"/>
  <c r="A188" i="15" s="1"/>
  <c r="B189" i="15"/>
  <c r="A189" i="15" s="1"/>
  <c r="B190" i="15"/>
  <c r="A190" i="15" s="1"/>
  <c r="B191" i="15"/>
  <c r="A191" i="15" s="1"/>
  <c r="B192" i="15"/>
  <c r="A192" i="15" s="1"/>
  <c r="B193" i="15"/>
  <c r="A193" i="15" s="1"/>
  <c r="B194" i="15"/>
  <c r="A194" i="15" s="1"/>
  <c r="B195" i="15"/>
  <c r="A195" i="15" s="1"/>
  <c r="B196" i="15"/>
  <c r="A196" i="15" s="1"/>
  <c r="B197" i="15"/>
  <c r="A197" i="15" s="1"/>
  <c r="B198" i="15"/>
  <c r="A198" i="15" s="1"/>
  <c r="B199" i="15"/>
  <c r="A199" i="15" s="1"/>
  <c r="B200" i="15"/>
  <c r="A200" i="15" s="1"/>
  <c r="B201" i="15"/>
  <c r="A201" i="15" s="1"/>
  <c r="B202" i="15"/>
  <c r="A202" i="15" s="1"/>
  <c r="B203" i="15"/>
  <c r="A203" i="15" s="1"/>
  <c r="B204" i="15"/>
  <c r="A204" i="15" s="1"/>
  <c r="B205" i="15"/>
  <c r="A205" i="15" s="1"/>
  <c r="B206" i="15"/>
  <c r="A206" i="15" s="1"/>
  <c r="B207" i="15"/>
  <c r="A207" i="15" s="1"/>
  <c r="B208" i="15"/>
  <c r="A208" i="15" s="1"/>
  <c r="B209" i="15"/>
  <c r="A209" i="15" s="1"/>
  <c r="B210" i="15"/>
  <c r="A210" i="15" s="1"/>
  <c r="B211" i="15"/>
  <c r="A211" i="15" s="1"/>
  <c r="B212" i="15"/>
  <c r="A212" i="15" s="1"/>
  <c r="B213" i="15"/>
  <c r="A213" i="15" s="1"/>
  <c r="B214" i="15"/>
  <c r="A214" i="15" s="1"/>
  <c r="B215" i="15"/>
  <c r="A215" i="15" s="1"/>
  <c r="B216" i="15"/>
  <c r="A216" i="15" s="1"/>
  <c r="B217" i="15"/>
  <c r="A217" i="15" s="1"/>
  <c r="B218" i="15"/>
  <c r="A218" i="15" s="1"/>
  <c r="B219" i="15"/>
  <c r="A219" i="15" s="1"/>
  <c r="B220" i="15"/>
  <c r="A220" i="15" s="1"/>
  <c r="B221" i="15"/>
  <c r="A221" i="15" s="1"/>
  <c r="B222" i="15"/>
  <c r="A222" i="15" s="1"/>
  <c r="B223" i="15"/>
  <c r="A223" i="15" s="1"/>
  <c r="B224" i="15"/>
  <c r="A224" i="15" s="1"/>
  <c r="B225" i="15"/>
  <c r="A225" i="15" s="1"/>
  <c r="B226" i="15"/>
  <c r="A226" i="15" s="1"/>
  <c r="B227" i="15"/>
  <c r="A227" i="15" s="1"/>
  <c r="B228" i="15"/>
  <c r="A228" i="15" s="1"/>
  <c r="B229" i="15"/>
  <c r="A229" i="15" s="1"/>
  <c r="B230" i="15"/>
  <c r="A230" i="15" s="1"/>
  <c r="B231" i="15"/>
  <c r="A231" i="15" s="1"/>
  <c r="B232" i="15"/>
  <c r="A232" i="15" s="1"/>
  <c r="B233" i="15"/>
  <c r="A233" i="15" s="1"/>
  <c r="B234" i="15"/>
  <c r="A234" i="15" s="1"/>
  <c r="B235" i="15"/>
  <c r="A235" i="15" s="1"/>
  <c r="B236" i="15"/>
  <c r="A236" i="15" s="1"/>
  <c r="B237" i="15"/>
  <c r="A237" i="15" s="1"/>
  <c r="B238" i="15"/>
  <c r="A238" i="15" s="1"/>
  <c r="B239" i="15"/>
  <c r="A239" i="15" s="1"/>
  <c r="B240" i="15"/>
  <c r="A240" i="15" s="1"/>
  <c r="B241" i="15"/>
  <c r="A241" i="15" s="1"/>
  <c r="B242" i="15"/>
  <c r="A242" i="15" s="1"/>
  <c r="B243" i="15"/>
  <c r="A243" i="15" s="1"/>
  <c r="B244" i="15"/>
  <c r="A244" i="15" s="1"/>
  <c r="B245" i="15"/>
  <c r="A245" i="15" s="1"/>
  <c r="B246" i="15"/>
  <c r="A246" i="15" s="1"/>
  <c r="B247" i="15"/>
  <c r="A247" i="15" s="1"/>
  <c r="B248" i="15"/>
  <c r="A248" i="15" s="1"/>
  <c r="B249" i="15"/>
  <c r="A249" i="15" s="1"/>
  <c r="B250" i="15"/>
  <c r="A250" i="15" s="1"/>
  <c r="B251" i="15"/>
  <c r="A251" i="15" s="1"/>
  <c r="B252" i="15"/>
  <c r="A252" i="15" s="1"/>
  <c r="B253" i="15"/>
  <c r="A253" i="15" s="1"/>
  <c r="B254" i="15"/>
  <c r="A254" i="15" s="1"/>
  <c r="B255" i="15"/>
  <c r="A255" i="15" s="1"/>
  <c r="B256" i="15"/>
  <c r="A256" i="15" s="1"/>
  <c r="B257" i="15"/>
  <c r="A257" i="15" s="1"/>
  <c r="B258" i="15"/>
  <c r="A258" i="15" s="1"/>
  <c r="B259" i="15"/>
  <c r="A259" i="15" s="1"/>
  <c r="B260" i="15"/>
  <c r="A260" i="15" s="1"/>
  <c r="B261" i="15"/>
  <c r="A261" i="15" s="1"/>
  <c r="B262" i="15"/>
  <c r="A262" i="15" s="1"/>
  <c r="B263" i="15"/>
  <c r="A263" i="15" s="1"/>
  <c r="B264" i="15"/>
  <c r="A264" i="15" s="1"/>
  <c r="B265" i="15"/>
  <c r="A265" i="15" s="1"/>
  <c r="B266" i="15"/>
  <c r="A266" i="15" s="1"/>
  <c r="B267" i="15"/>
  <c r="A267" i="15" s="1"/>
  <c r="B268" i="15"/>
  <c r="A268" i="15" s="1"/>
  <c r="B269" i="15"/>
  <c r="A269" i="15" s="1"/>
  <c r="B270" i="15"/>
  <c r="A270" i="15" s="1"/>
  <c r="B271" i="15"/>
  <c r="A271" i="15" s="1"/>
  <c r="B272" i="15"/>
  <c r="A272" i="15" s="1"/>
  <c r="B273" i="15"/>
  <c r="A273" i="15" s="1"/>
  <c r="B274" i="15"/>
  <c r="A274" i="15" s="1"/>
  <c r="B275" i="15"/>
  <c r="A275" i="15" s="1"/>
  <c r="B276" i="15"/>
  <c r="A276" i="15" s="1"/>
  <c r="B277" i="15"/>
  <c r="A277" i="15" s="1"/>
  <c r="B278" i="15"/>
  <c r="A278" i="15" s="1"/>
  <c r="B279" i="15"/>
  <c r="A279" i="15" s="1"/>
  <c r="B280" i="15"/>
  <c r="A280" i="15" s="1"/>
  <c r="B281" i="15"/>
  <c r="A281" i="15" s="1"/>
  <c r="B282" i="15"/>
  <c r="A282" i="15" s="1"/>
  <c r="B283" i="15"/>
  <c r="A283" i="15" s="1"/>
  <c r="B284" i="15"/>
  <c r="A284" i="15" s="1"/>
  <c r="B285" i="15"/>
  <c r="A285" i="15" s="1"/>
  <c r="B286" i="15"/>
  <c r="A286" i="15" s="1"/>
  <c r="B287" i="15"/>
  <c r="A287" i="15" s="1"/>
  <c r="B288" i="15"/>
  <c r="A288" i="15" s="1"/>
  <c r="B289" i="15"/>
  <c r="A289" i="15" s="1"/>
  <c r="B290" i="15"/>
  <c r="A290" i="15" s="1"/>
  <c r="B291" i="15"/>
  <c r="A291" i="15" s="1"/>
  <c r="B292" i="15"/>
  <c r="A292" i="15" s="1"/>
  <c r="B293" i="15"/>
  <c r="A293" i="15" s="1"/>
  <c r="B294" i="15"/>
  <c r="A294" i="15" s="1"/>
  <c r="B295" i="15"/>
  <c r="A295" i="15" s="1"/>
  <c r="B296" i="15"/>
  <c r="A296" i="15" s="1"/>
  <c r="B297" i="15"/>
  <c r="A297" i="15" s="1"/>
  <c r="B298" i="15"/>
  <c r="A298" i="15" s="1"/>
  <c r="B299" i="15"/>
  <c r="A299" i="15" s="1"/>
  <c r="B300" i="15"/>
  <c r="A300" i="15" s="1"/>
  <c r="B301" i="15"/>
  <c r="A301" i="15" s="1"/>
  <c r="B302" i="15"/>
  <c r="A302" i="15" s="1"/>
  <c r="B303" i="15"/>
  <c r="A303" i="15" s="1"/>
  <c r="B304" i="15"/>
  <c r="A304" i="15" s="1"/>
  <c r="B305" i="15"/>
  <c r="A305" i="15" s="1"/>
  <c r="B306" i="15"/>
  <c r="A306" i="15" s="1"/>
  <c r="B307" i="15"/>
  <c r="A307" i="15" s="1"/>
  <c r="B308" i="15"/>
  <c r="A308" i="15" s="1"/>
  <c r="B309" i="15"/>
  <c r="A309" i="15" s="1"/>
  <c r="B310" i="15"/>
  <c r="A310" i="15" s="1"/>
  <c r="B311" i="15"/>
  <c r="A311" i="15" s="1"/>
  <c r="B312" i="15"/>
  <c r="A312" i="15" s="1"/>
  <c r="B313" i="15"/>
  <c r="A313" i="15" s="1"/>
  <c r="B314" i="15"/>
  <c r="A314" i="15" s="1"/>
  <c r="B315" i="15"/>
  <c r="A315" i="15" s="1"/>
  <c r="B316" i="15"/>
  <c r="A316" i="15" s="1"/>
  <c r="B317" i="15"/>
  <c r="A317" i="15" s="1"/>
  <c r="B318" i="15"/>
  <c r="A318" i="15" s="1"/>
  <c r="B319" i="15"/>
  <c r="A319" i="15" s="1"/>
  <c r="B320" i="15"/>
  <c r="A320" i="15" s="1"/>
  <c r="B321" i="15"/>
  <c r="A321" i="15" s="1"/>
  <c r="B322" i="15"/>
  <c r="A322" i="15" s="1"/>
  <c r="B323" i="15"/>
  <c r="A323" i="15" s="1"/>
  <c r="B324" i="15"/>
  <c r="A324" i="15" s="1"/>
  <c r="B325" i="15"/>
  <c r="A325" i="15" s="1"/>
  <c r="B326" i="15"/>
  <c r="A326" i="15" s="1"/>
  <c r="B327" i="15"/>
  <c r="A327" i="15" s="1"/>
  <c r="B328" i="15"/>
  <c r="A328" i="15" s="1"/>
  <c r="B329" i="15"/>
  <c r="A329" i="15" s="1"/>
  <c r="B330" i="15"/>
  <c r="A330" i="15" s="1"/>
  <c r="B331" i="15"/>
  <c r="A331" i="15" s="1"/>
  <c r="B332" i="15"/>
  <c r="A332" i="15" s="1"/>
  <c r="B333" i="15"/>
  <c r="A333" i="15" s="1"/>
  <c r="B334" i="15"/>
  <c r="A334" i="15" s="1"/>
  <c r="B335" i="15"/>
  <c r="A335" i="15" s="1"/>
  <c r="B336" i="15"/>
  <c r="A336" i="15" s="1"/>
  <c r="B337" i="15"/>
  <c r="A337" i="15" s="1"/>
  <c r="B338" i="15"/>
  <c r="A338" i="15" s="1"/>
  <c r="B339" i="15"/>
  <c r="A339" i="15" s="1"/>
  <c r="B340" i="15"/>
  <c r="A340" i="15" s="1"/>
  <c r="B341" i="15"/>
  <c r="A341" i="15" s="1"/>
  <c r="B342" i="15"/>
  <c r="A342" i="15" s="1"/>
  <c r="B343" i="15"/>
  <c r="A343" i="15" s="1"/>
  <c r="B344" i="15"/>
  <c r="A344" i="15" s="1"/>
  <c r="B345" i="15"/>
  <c r="A345" i="15" s="1"/>
  <c r="B346" i="15"/>
  <c r="A346" i="15" s="1"/>
  <c r="B347" i="15"/>
  <c r="A347" i="15" s="1"/>
  <c r="B348" i="15"/>
  <c r="A348" i="15" s="1"/>
  <c r="B349" i="15"/>
  <c r="A349" i="15" s="1"/>
  <c r="B350" i="15"/>
  <c r="A350" i="15" s="1"/>
  <c r="B351" i="15"/>
  <c r="A351" i="15" s="1"/>
  <c r="B352" i="15"/>
  <c r="A352" i="15" s="1"/>
  <c r="B353" i="15"/>
  <c r="A353" i="15" s="1"/>
  <c r="B354" i="15"/>
  <c r="A354" i="15" s="1"/>
  <c r="B355" i="15"/>
  <c r="A355" i="15" s="1"/>
  <c r="B356" i="15"/>
  <c r="A356" i="15" s="1"/>
  <c r="B357" i="15"/>
  <c r="A357" i="15" s="1"/>
  <c r="B358" i="15"/>
  <c r="A358" i="15" s="1"/>
  <c r="B359" i="15"/>
  <c r="A359" i="15" s="1"/>
  <c r="B360" i="15"/>
  <c r="A360" i="15" s="1"/>
  <c r="B361" i="15"/>
  <c r="A361" i="15" s="1"/>
  <c r="B362" i="15"/>
  <c r="A362" i="15" s="1"/>
  <c r="B363" i="15"/>
  <c r="A363" i="15" s="1"/>
  <c r="B364" i="15"/>
  <c r="A364" i="15" s="1"/>
  <c r="B365" i="15"/>
  <c r="A365" i="15" s="1"/>
  <c r="B366" i="15"/>
  <c r="A366" i="15" s="1"/>
  <c r="B367" i="15"/>
  <c r="A367" i="15" s="1"/>
  <c r="B368" i="15"/>
  <c r="A368" i="15" s="1"/>
  <c r="B369" i="15"/>
  <c r="A369" i="15" s="1"/>
  <c r="B370" i="15"/>
  <c r="A370" i="15" s="1"/>
  <c r="B371" i="15"/>
  <c r="A371" i="15" s="1"/>
  <c r="B372" i="15"/>
  <c r="A372" i="15" s="1"/>
  <c r="B373" i="15"/>
  <c r="A373" i="15" s="1"/>
  <c r="B374" i="15"/>
  <c r="A374" i="15" s="1"/>
  <c r="B375" i="15"/>
  <c r="A375" i="15" s="1"/>
  <c r="B376" i="15"/>
  <c r="A376" i="15" s="1"/>
  <c r="B377" i="15"/>
  <c r="A377" i="15" s="1"/>
  <c r="B378" i="15"/>
  <c r="A378" i="15" s="1"/>
  <c r="B379" i="15"/>
  <c r="A379" i="15" s="1"/>
  <c r="B380" i="15"/>
  <c r="A380" i="15" s="1"/>
  <c r="B381" i="15"/>
  <c r="A381" i="15" s="1"/>
  <c r="B382" i="15"/>
  <c r="A382" i="15" s="1"/>
  <c r="B383" i="15"/>
  <c r="A383" i="15" s="1"/>
  <c r="B384" i="15"/>
  <c r="A384" i="15" s="1"/>
  <c r="B385" i="15"/>
  <c r="A385" i="15" s="1"/>
  <c r="B386" i="15"/>
  <c r="A386" i="15" s="1"/>
  <c r="B387" i="15"/>
  <c r="A387" i="15" s="1"/>
  <c r="B388" i="15"/>
  <c r="A388" i="15" s="1"/>
  <c r="B389" i="15"/>
  <c r="A389" i="15" s="1"/>
  <c r="B390" i="15"/>
  <c r="A390" i="15" s="1"/>
  <c r="B391" i="15"/>
  <c r="A391" i="15" s="1"/>
  <c r="B392" i="15"/>
  <c r="A392" i="15" s="1"/>
  <c r="B393" i="15"/>
  <c r="A393" i="15" s="1"/>
  <c r="B394" i="15"/>
  <c r="A394" i="15" s="1"/>
  <c r="B395" i="15"/>
  <c r="A395" i="15" s="1"/>
  <c r="B396" i="15"/>
  <c r="A396" i="15" s="1"/>
  <c r="B397" i="15"/>
  <c r="A397" i="15" s="1"/>
  <c r="B398" i="15"/>
  <c r="A398" i="15" s="1"/>
  <c r="B399" i="15"/>
  <c r="A399" i="15" s="1"/>
  <c r="B400" i="15"/>
  <c r="A400" i="15" s="1"/>
  <c r="B401" i="15"/>
  <c r="A401" i="15" s="1"/>
  <c r="B402" i="15"/>
  <c r="A402" i="15" s="1"/>
  <c r="B403" i="15"/>
  <c r="A403" i="15" s="1"/>
  <c r="B404" i="15"/>
  <c r="A404" i="15" s="1"/>
  <c r="B405" i="15"/>
  <c r="A405" i="15" s="1"/>
  <c r="B406" i="15"/>
  <c r="A406" i="15" s="1"/>
  <c r="B407" i="15"/>
  <c r="A407" i="15" s="1"/>
  <c r="B408" i="15"/>
  <c r="A408" i="15" s="1"/>
  <c r="B409" i="15"/>
  <c r="A409" i="15" s="1"/>
  <c r="B410" i="15"/>
  <c r="A410" i="15" s="1"/>
  <c r="B411" i="15"/>
  <c r="A411" i="15" s="1"/>
  <c r="B412" i="15"/>
  <c r="A412" i="15" s="1"/>
  <c r="B413" i="15"/>
  <c r="A413" i="15" s="1"/>
  <c r="B414" i="15"/>
  <c r="A414" i="15" s="1"/>
  <c r="B415" i="15"/>
  <c r="A415" i="15" s="1"/>
  <c r="B416" i="15"/>
  <c r="A416" i="15" s="1"/>
  <c r="B417" i="15"/>
  <c r="A417" i="15" s="1"/>
  <c r="B418" i="15"/>
  <c r="A418" i="15" s="1"/>
  <c r="B419" i="15"/>
  <c r="A419" i="15" s="1"/>
  <c r="B420" i="15"/>
  <c r="A420" i="15" s="1"/>
  <c r="B421" i="15"/>
  <c r="A421" i="15" s="1"/>
  <c r="B422" i="15"/>
  <c r="A422" i="15" s="1"/>
  <c r="B423" i="15"/>
  <c r="A423" i="15" s="1"/>
  <c r="B424" i="15"/>
  <c r="A424" i="15" s="1"/>
  <c r="B425" i="15"/>
  <c r="A425" i="15" s="1"/>
  <c r="B426" i="15"/>
  <c r="A426" i="15" s="1"/>
  <c r="B427" i="15"/>
  <c r="A427" i="15" s="1"/>
  <c r="B428" i="15"/>
  <c r="A428" i="15" s="1"/>
  <c r="B429" i="15"/>
  <c r="A429" i="15" s="1"/>
  <c r="B430" i="15"/>
  <c r="A430" i="15" s="1"/>
  <c r="B431" i="15"/>
  <c r="A431" i="15" s="1"/>
  <c r="B432" i="15"/>
  <c r="A432" i="15" s="1"/>
  <c r="B433" i="15"/>
  <c r="A433" i="15" s="1"/>
  <c r="B434" i="15"/>
  <c r="A434" i="15" s="1"/>
  <c r="B435" i="15"/>
  <c r="A435" i="15" s="1"/>
  <c r="B436" i="15"/>
  <c r="A436" i="15" s="1"/>
  <c r="B437" i="15"/>
  <c r="A437" i="15" s="1"/>
  <c r="B438" i="15"/>
  <c r="A438" i="15" s="1"/>
  <c r="B439" i="15"/>
  <c r="A439" i="15" s="1"/>
  <c r="B440" i="15"/>
  <c r="A440" i="15" s="1"/>
  <c r="B441" i="15"/>
  <c r="A441" i="15" s="1"/>
  <c r="B442" i="15"/>
  <c r="A442" i="15" s="1"/>
  <c r="B443" i="15"/>
  <c r="A443" i="15" s="1"/>
  <c r="B444" i="15"/>
  <c r="A444" i="15" s="1"/>
  <c r="B445" i="15"/>
  <c r="A445" i="15" s="1"/>
  <c r="B446" i="15"/>
  <c r="A446" i="15" s="1"/>
  <c r="B447" i="15"/>
  <c r="A447" i="15" s="1"/>
  <c r="B448" i="15"/>
  <c r="A448" i="15" s="1"/>
  <c r="B449" i="15"/>
  <c r="A449" i="15" s="1"/>
  <c r="B450" i="15"/>
  <c r="A450" i="15" s="1"/>
  <c r="B451" i="15"/>
  <c r="A451" i="15" s="1"/>
  <c r="B452" i="15"/>
  <c r="A452" i="15" s="1"/>
  <c r="B453" i="15"/>
  <c r="A453" i="15" s="1"/>
  <c r="B454" i="15"/>
  <c r="A454" i="15" s="1"/>
  <c r="B455" i="15"/>
  <c r="A455" i="15" s="1"/>
  <c r="B456" i="15"/>
  <c r="A456" i="15" s="1"/>
  <c r="B457" i="15"/>
  <c r="A457" i="15" s="1"/>
  <c r="B458" i="15"/>
  <c r="A458" i="15" s="1"/>
  <c r="B459" i="15"/>
  <c r="A459" i="15" s="1"/>
  <c r="B460" i="15"/>
  <c r="A460" i="15" s="1"/>
  <c r="B461" i="15"/>
  <c r="A461" i="15" s="1"/>
  <c r="B462" i="15"/>
  <c r="A462" i="15" s="1"/>
  <c r="B463" i="15"/>
  <c r="A463" i="15" s="1"/>
  <c r="B464" i="15"/>
  <c r="A464" i="15" s="1"/>
  <c r="B465" i="15"/>
  <c r="A465" i="15" s="1"/>
  <c r="B466" i="15"/>
  <c r="A466" i="15" s="1"/>
  <c r="B467" i="15"/>
  <c r="A467" i="15" s="1"/>
  <c r="B468" i="15"/>
  <c r="A468" i="15" s="1"/>
  <c r="B469" i="15"/>
  <c r="A469" i="15" s="1"/>
  <c r="B470" i="15"/>
  <c r="A470" i="15" s="1"/>
  <c r="B471" i="15"/>
  <c r="A471" i="15" s="1"/>
  <c r="B472" i="15"/>
  <c r="A472" i="15" s="1"/>
  <c r="B473" i="15"/>
  <c r="A473" i="15" s="1"/>
  <c r="B474" i="15"/>
  <c r="A474" i="15" s="1"/>
  <c r="B475" i="15"/>
  <c r="A475" i="15" s="1"/>
  <c r="B476" i="15"/>
  <c r="A476" i="15" s="1"/>
  <c r="B477" i="15"/>
  <c r="A477" i="15" s="1"/>
  <c r="B478" i="15"/>
  <c r="A478" i="15" s="1"/>
  <c r="B479" i="15"/>
  <c r="A479" i="15" s="1"/>
  <c r="B480" i="15"/>
  <c r="A480" i="15" s="1"/>
  <c r="B481" i="15"/>
  <c r="A481" i="15" s="1"/>
  <c r="B482" i="15"/>
  <c r="A482" i="15" s="1"/>
  <c r="B483" i="15"/>
  <c r="A483" i="15" s="1"/>
  <c r="B484" i="15"/>
  <c r="A484" i="15" s="1"/>
  <c r="B485" i="15"/>
  <c r="A485" i="15" s="1"/>
  <c r="B486" i="15"/>
  <c r="A486" i="15" s="1"/>
  <c r="B487" i="15"/>
  <c r="A487" i="15" s="1"/>
  <c r="B488" i="15"/>
  <c r="A488" i="15" s="1"/>
  <c r="B489" i="15"/>
  <c r="A489" i="15" s="1"/>
  <c r="B490" i="15"/>
  <c r="A490" i="15" s="1"/>
  <c r="B491" i="15"/>
  <c r="A491" i="15" s="1"/>
  <c r="B492" i="15"/>
  <c r="A492" i="15" s="1"/>
  <c r="B493" i="15"/>
  <c r="A493" i="15" s="1"/>
  <c r="B494" i="15"/>
  <c r="A494" i="15" s="1"/>
  <c r="B495" i="15"/>
  <c r="A495" i="15" s="1"/>
  <c r="B496" i="15"/>
  <c r="A496" i="15" s="1"/>
  <c r="B497" i="15"/>
  <c r="A497" i="15" s="1"/>
  <c r="B498" i="15"/>
  <c r="A498" i="15" s="1"/>
  <c r="B499" i="15"/>
  <c r="A499" i="15" s="1"/>
  <c r="B500" i="15"/>
  <c r="A500" i="15" s="1"/>
  <c r="B501" i="15"/>
  <c r="A501" i="15" s="1"/>
  <c r="B502" i="15"/>
  <c r="A502" i="15" s="1"/>
  <c r="B503" i="15"/>
  <c r="A503" i="15" s="1"/>
  <c r="B504" i="15"/>
  <c r="A504" i="15" s="1"/>
  <c r="B505" i="15"/>
  <c r="A505" i="15" s="1"/>
  <c r="B506" i="15"/>
  <c r="A506" i="15" s="1"/>
  <c r="B507" i="15"/>
  <c r="A507" i="15" s="1"/>
  <c r="B508" i="15"/>
  <c r="A508" i="15" s="1"/>
  <c r="B509" i="15"/>
  <c r="A509" i="15" s="1"/>
  <c r="B510" i="15"/>
  <c r="A510" i="15" s="1"/>
  <c r="B511" i="15"/>
  <c r="A511" i="15" s="1"/>
  <c r="B512" i="15"/>
  <c r="A512" i="15" s="1"/>
  <c r="B513" i="15"/>
  <c r="A513" i="15" s="1"/>
  <c r="B514" i="15"/>
  <c r="A514" i="15" s="1"/>
  <c r="B515" i="15"/>
  <c r="A515" i="15" s="1"/>
  <c r="B516" i="15"/>
  <c r="A516" i="15" s="1"/>
  <c r="B517" i="15"/>
  <c r="A517" i="15" s="1"/>
  <c r="B518" i="15"/>
  <c r="A518" i="15" s="1"/>
  <c r="B519" i="15"/>
  <c r="A519" i="15" s="1"/>
  <c r="B520" i="15"/>
  <c r="A520" i="15" s="1"/>
  <c r="B521" i="15"/>
  <c r="A521" i="15" s="1"/>
  <c r="B522" i="15"/>
  <c r="A522" i="15" s="1"/>
  <c r="B523" i="15"/>
  <c r="A523" i="15" s="1"/>
  <c r="B524" i="15"/>
  <c r="A524" i="15" s="1"/>
  <c r="B525" i="15"/>
  <c r="A525" i="15" s="1"/>
  <c r="B526" i="15"/>
  <c r="A526" i="15" s="1"/>
  <c r="B527" i="15"/>
  <c r="A527" i="15" s="1"/>
  <c r="B528" i="15"/>
  <c r="A528" i="15" s="1"/>
  <c r="B529" i="15"/>
  <c r="A529" i="15" s="1"/>
  <c r="B530" i="15"/>
  <c r="A530" i="15" s="1"/>
  <c r="B531" i="15"/>
  <c r="A531" i="15" s="1"/>
  <c r="B532" i="15"/>
  <c r="A532" i="15" s="1"/>
  <c r="B533" i="15"/>
  <c r="A533" i="15" s="1"/>
  <c r="B534" i="15"/>
  <c r="A534" i="15" s="1"/>
  <c r="B535" i="15"/>
  <c r="A535" i="15" s="1"/>
  <c r="B536" i="15"/>
  <c r="A536" i="15" s="1"/>
  <c r="B537" i="15"/>
  <c r="A537" i="15" s="1"/>
  <c r="B538" i="15"/>
  <c r="A538" i="15" s="1"/>
  <c r="B539" i="15"/>
  <c r="A539" i="15" s="1"/>
  <c r="B540" i="15"/>
  <c r="A540" i="15" s="1"/>
  <c r="B541" i="15"/>
  <c r="A541" i="15" s="1"/>
  <c r="B542" i="15"/>
  <c r="A542" i="15" s="1"/>
  <c r="B543" i="15"/>
  <c r="A543" i="15" s="1"/>
  <c r="B544" i="15"/>
  <c r="A544" i="15" s="1"/>
  <c r="B545" i="15"/>
  <c r="A545" i="15" s="1"/>
  <c r="B546" i="15"/>
  <c r="A546" i="15" s="1"/>
  <c r="B547" i="15"/>
  <c r="A547" i="15" s="1"/>
  <c r="B548" i="15"/>
  <c r="A548" i="15" s="1"/>
  <c r="B549" i="15"/>
  <c r="A549" i="15" s="1"/>
  <c r="B550" i="15"/>
  <c r="A550" i="15" s="1"/>
  <c r="B551" i="15"/>
  <c r="A551" i="15" s="1"/>
  <c r="B552" i="15"/>
  <c r="A552" i="15" s="1"/>
  <c r="B553" i="15"/>
  <c r="A553" i="15" s="1"/>
  <c r="B554" i="15"/>
  <c r="A554" i="15" s="1"/>
  <c r="B555" i="15"/>
  <c r="A555" i="15" s="1"/>
  <c r="B556" i="15"/>
  <c r="A556" i="15" s="1"/>
  <c r="B557" i="15"/>
  <c r="A557" i="15" s="1"/>
  <c r="B558" i="15"/>
  <c r="A558" i="15" s="1"/>
  <c r="B559" i="15"/>
  <c r="A559" i="15" s="1"/>
  <c r="B560" i="15"/>
  <c r="A560" i="15" s="1"/>
  <c r="B561" i="15"/>
  <c r="A561" i="15" s="1"/>
  <c r="B562" i="15"/>
  <c r="A562" i="15" s="1"/>
  <c r="B563" i="15"/>
  <c r="A563" i="15" s="1"/>
  <c r="B564" i="15"/>
  <c r="A564" i="15" s="1"/>
  <c r="B565" i="15"/>
  <c r="A565" i="15" s="1"/>
  <c r="B566" i="15"/>
  <c r="A566" i="15" s="1"/>
  <c r="B567" i="15"/>
  <c r="A567" i="15" s="1"/>
  <c r="B568" i="15"/>
  <c r="A568" i="15" s="1"/>
  <c r="B569" i="15"/>
  <c r="A569" i="15" s="1"/>
  <c r="B570" i="15"/>
  <c r="A570" i="15" s="1"/>
  <c r="B571" i="15"/>
  <c r="A571" i="15" s="1"/>
  <c r="B572" i="15"/>
  <c r="A572" i="15" s="1"/>
  <c r="B573" i="15"/>
  <c r="A573" i="15" s="1"/>
  <c r="B574" i="15"/>
  <c r="A574" i="15" s="1"/>
  <c r="B575" i="15"/>
  <c r="A575" i="15" s="1"/>
  <c r="B576" i="15"/>
  <c r="A576" i="15" s="1"/>
  <c r="B577" i="15"/>
  <c r="A577" i="15" s="1"/>
  <c r="B578" i="15"/>
  <c r="A578" i="15" s="1"/>
  <c r="B579" i="15"/>
  <c r="A579" i="15" s="1"/>
  <c r="B580" i="15"/>
  <c r="A580" i="15" s="1"/>
  <c r="B581" i="15"/>
  <c r="A581" i="15" s="1"/>
  <c r="B582" i="15"/>
  <c r="A582" i="15" s="1"/>
  <c r="B583" i="15"/>
  <c r="A583" i="15" s="1"/>
  <c r="B584" i="15"/>
  <c r="A584" i="15" s="1"/>
  <c r="B585" i="15"/>
  <c r="A585" i="15" s="1"/>
  <c r="B586" i="15"/>
  <c r="A586" i="15" s="1"/>
  <c r="B587" i="15"/>
  <c r="A587" i="15" s="1"/>
  <c r="B588" i="15"/>
  <c r="A588" i="15" s="1"/>
  <c r="B589" i="15"/>
  <c r="A589" i="15" s="1"/>
  <c r="B590" i="15"/>
  <c r="A590" i="15" s="1"/>
  <c r="B591" i="15"/>
  <c r="A591" i="15" s="1"/>
  <c r="B592" i="15"/>
  <c r="A592" i="15" s="1"/>
  <c r="B593" i="15"/>
  <c r="A593" i="15" s="1"/>
  <c r="B594" i="15"/>
  <c r="A594" i="15" s="1"/>
  <c r="B595" i="15"/>
  <c r="A595" i="15" s="1"/>
  <c r="B596" i="15"/>
  <c r="A596" i="15" s="1"/>
  <c r="B597" i="15"/>
  <c r="A597" i="15" s="1"/>
  <c r="B598" i="15"/>
  <c r="A598" i="15" s="1"/>
  <c r="B599" i="15"/>
  <c r="A599" i="15" s="1"/>
  <c r="B600" i="15"/>
  <c r="A600" i="15" s="1"/>
  <c r="B601" i="15"/>
  <c r="A601" i="15" s="1"/>
  <c r="B602" i="15"/>
  <c r="A602" i="15" s="1"/>
  <c r="B603" i="15"/>
  <c r="A603" i="15" s="1"/>
  <c r="B604" i="15"/>
  <c r="A604" i="15" s="1"/>
  <c r="B605" i="15"/>
  <c r="A605" i="15" s="1"/>
  <c r="B606" i="15"/>
  <c r="A606" i="15" s="1"/>
  <c r="B607" i="15"/>
  <c r="A607" i="15" s="1"/>
  <c r="B608" i="15"/>
  <c r="A608" i="15" s="1"/>
  <c r="B609" i="15"/>
  <c r="A609" i="15" s="1"/>
  <c r="B610" i="15"/>
  <c r="A610" i="15" s="1"/>
  <c r="B611" i="15"/>
  <c r="A611" i="15" s="1"/>
  <c r="B612" i="15"/>
  <c r="A612" i="15" s="1"/>
  <c r="B613" i="15"/>
  <c r="A613" i="15" s="1"/>
  <c r="B614" i="15"/>
  <c r="A614" i="15" s="1"/>
  <c r="B615" i="15"/>
  <c r="A615" i="15" s="1"/>
  <c r="B616" i="15"/>
  <c r="A616" i="15" s="1"/>
  <c r="B617" i="15"/>
  <c r="A617" i="15" s="1"/>
  <c r="B618" i="15"/>
  <c r="A618" i="15" s="1"/>
  <c r="B619" i="15"/>
  <c r="A619" i="15" s="1"/>
  <c r="B620" i="15"/>
  <c r="A620" i="15" s="1"/>
  <c r="B621" i="15"/>
  <c r="A621" i="15" s="1"/>
  <c r="B622" i="15"/>
  <c r="A622" i="15" s="1"/>
  <c r="B623" i="15"/>
  <c r="A623" i="15" s="1"/>
  <c r="B624" i="15"/>
  <c r="A624" i="15" s="1"/>
  <c r="B625" i="15"/>
  <c r="A625" i="15" s="1"/>
  <c r="B626" i="15"/>
  <c r="A626" i="15" s="1"/>
  <c r="B627" i="15"/>
  <c r="A627" i="15" s="1"/>
  <c r="B628" i="15"/>
  <c r="A628" i="15" s="1"/>
  <c r="B629" i="15"/>
  <c r="A629" i="15" s="1"/>
  <c r="B630" i="15"/>
  <c r="A630" i="15" s="1"/>
  <c r="B631" i="15"/>
  <c r="A631" i="15" s="1"/>
  <c r="B632" i="15"/>
  <c r="A632" i="15" s="1"/>
  <c r="B633" i="15"/>
  <c r="A633" i="15" s="1"/>
  <c r="B634" i="15"/>
  <c r="A634" i="15" s="1"/>
  <c r="B635" i="15"/>
  <c r="A635" i="15" s="1"/>
  <c r="B636" i="15"/>
  <c r="A636" i="15" s="1"/>
  <c r="B637" i="15"/>
  <c r="A637" i="15" s="1"/>
  <c r="B638" i="15"/>
  <c r="A638" i="15" s="1"/>
  <c r="B639" i="15"/>
  <c r="A639" i="15" s="1"/>
  <c r="B640" i="15"/>
  <c r="A640" i="15" s="1"/>
  <c r="B641" i="15"/>
  <c r="A641" i="15" s="1"/>
  <c r="B642" i="15"/>
  <c r="A642" i="15" s="1"/>
  <c r="B643" i="15"/>
  <c r="A643" i="15" s="1"/>
  <c r="B644" i="15"/>
  <c r="A644" i="15" s="1"/>
  <c r="B645" i="15"/>
  <c r="A645" i="15" s="1"/>
  <c r="B646" i="15"/>
  <c r="A646" i="15" s="1"/>
  <c r="B647" i="15"/>
  <c r="A647" i="15" s="1"/>
  <c r="B648" i="15"/>
  <c r="A648" i="15" s="1"/>
  <c r="B649" i="15"/>
  <c r="A649" i="15" s="1"/>
  <c r="B650" i="15"/>
  <c r="A650" i="15" s="1"/>
  <c r="B651" i="15"/>
  <c r="A651" i="15" s="1"/>
  <c r="B652" i="15"/>
  <c r="A652" i="15" s="1"/>
  <c r="B653" i="15"/>
  <c r="A653" i="15" s="1"/>
  <c r="B654" i="15"/>
  <c r="A654" i="15" s="1"/>
  <c r="B655" i="15"/>
  <c r="A655" i="15" s="1"/>
  <c r="B656" i="15"/>
  <c r="A656" i="15" s="1"/>
  <c r="B657" i="15"/>
  <c r="A657" i="15" s="1"/>
  <c r="B658" i="15"/>
  <c r="A658" i="15" s="1"/>
  <c r="B659" i="15"/>
  <c r="A659" i="15" s="1"/>
  <c r="B660" i="15"/>
  <c r="A660" i="15" s="1"/>
  <c r="B661" i="15"/>
  <c r="A661" i="15" s="1"/>
  <c r="B662" i="15"/>
  <c r="A662" i="15" s="1"/>
  <c r="B663" i="15"/>
  <c r="A663" i="15" s="1"/>
  <c r="B664" i="15"/>
  <c r="A664" i="15" s="1"/>
  <c r="B665" i="15"/>
  <c r="A665" i="15" s="1"/>
  <c r="B666" i="15"/>
  <c r="A666" i="15" s="1"/>
  <c r="B667" i="15"/>
  <c r="A667" i="15" s="1"/>
  <c r="B668" i="15"/>
  <c r="A668" i="15" s="1"/>
  <c r="B669" i="15"/>
  <c r="A669" i="15" s="1"/>
  <c r="B670" i="15"/>
  <c r="A670" i="15" s="1"/>
  <c r="B671" i="15"/>
  <c r="A671" i="15" s="1"/>
  <c r="B672" i="15"/>
  <c r="A672" i="15" s="1"/>
  <c r="B673" i="15"/>
  <c r="A673" i="15" s="1"/>
  <c r="B674" i="15"/>
  <c r="A674" i="15" s="1"/>
  <c r="B675" i="15"/>
  <c r="A675" i="15" s="1"/>
  <c r="B676" i="15"/>
  <c r="A676" i="15" s="1"/>
  <c r="B677" i="15"/>
  <c r="A677" i="15" s="1"/>
  <c r="B678" i="15"/>
  <c r="A678" i="15" s="1"/>
  <c r="B679" i="15"/>
  <c r="A679" i="15" s="1"/>
  <c r="B680" i="15"/>
  <c r="A680" i="15" s="1"/>
  <c r="B681" i="15"/>
  <c r="A681" i="15" s="1"/>
  <c r="B682" i="15"/>
  <c r="A682" i="15" s="1"/>
  <c r="B683" i="15"/>
  <c r="A683" i="15" s="1"/>
  <c r="B684" i="15"/>
  <c r="A684" i="15" s="1"/>
  <c r="B685" i="15"/>
  <c r="A685" i="15" s="1"/>
  <c r="B686" i="15"/>
  <c r="A686" i="15" s="1"/>
  <c r="B687" i="15"/>
  <c r="A687" i="15" s="1"/>
  <c r="B688" i="15"/>
  <c r="A688" i="15" s="1"/>
  <c r="B689" i="15"/>
  <c r="A689" i="15" s="1"/>
  <c r="B690" i="15"/>
  <c r="A690" i="15" s="1"/>
  <c r="B691" i="15"/>
  <c r="A691" i="15" s="1"/>
  <c r="B692" i="15"/>
  <c r="A692" i="15" s="1"/>
  <c r="B693" i="15"/>
  <c r="A693" i="15" s="1"/>
  <c r="B694" i="15"/>
  <c r="A694" i="15" s="1"/>
  <c r="B695" i="15"/>
  <c r="A695" i="15" s="1"/>
  <c r="B696" i="15"/>
  <c r="A696" i="15" s="1"/>
  <c r="B697" i="15"/>
  <c r="A697" i="15" s="1"/>
  <c r="B698" i="15"/>
  <c r="A698" i="15" s="1"/>
  <c r="B699" i="15"/>
  <c r="A699" i="15" s="1"/>
  <c r="B700" i="15"/>
  <c r="A700" i="15" s="1"/>
  <c r="B701" i="15"/>
  <c r="A701" i="15" s="1"/>
  <c r="B702" i="15"/>
  <c r="B703" i="15"/>
  <c r="B704" i="15"/>
  <c r="B705" i="15"/>
  <c r="B706" i="15"/>
  <c r="B707" i="15"/>
  <c r="A707" i="15" s="1"/>
  <c r="B708" i="15"/>
  <c r="A708" i="15" s="1"/>
  <c r="B709" i="15"/>
  <c r="A709" i="15" s="1"/>
  <c r="B710" i="15"/>
  <c r="A710" i="15" s="1"/>
  <c r="B711" i="15"/>
  <c r="A711" i="15" s="1"/>
  <c r="B712" i="15"/>
  <c r="A712" i="15" s="1"/>
  <c r="B713" i="15"/>
  <c r="A713" i="15" s="1"/>
  <c r="B714" i="15"/>
  <c r="A714" i="15" s="1"/>
  <c r="B715" i="15"/>
  <c r="A715" i="15" s="1"/>
  <c r="B716" i="15"/>
  <c r="A716" i="15" s="1"/>
  <c r="B717" i="15"/>
  <c r="A717" i="15" s="1"/>
  <c r="B718" i="15"/>
  <c r="A718" i="15" s="1"/>
  <c r="B719" i="15"/>
  <c r="A719" i="15" s="1"/>
  <c r="B720" i="15"/>
  <c r="A720" i="15" s="1"/>
  <c r="B721" i="15"/>
  <c r="A721" i="15" s="1"/>
  <c r="B722" i="15"/>
  <c r="A722" i="15" s="1"/>
  <c r="B723" i="15"/>
  <c r="A723" i="15" s="1"/>
  <c r="B724" i="15"/>
  <c r="A724" i="15" s="1"/>
  <c r="B725" i="15"/>
  <c r="A725" i="15" s="1"/>
  <c r="B726" i="15"/>
  <c r="A726" i="15" s="1"/>
  <c r="B727" i="15"/>
  <c r="A727" i="15" s="1"/>
  <c r="B728" i="15"/>
  <c r="A728" i="15" s="1"/>
  <c r="B729" i="15"/>
  <c r="A729" i="15" s="1"/>
  <c r="B730" i="15"/>
  <c r="A730" i="15" s="1"/>
  <c r="B731" i="15"/>
  <c r="A731" i="15" s="1"/>
  <c r="B732" i="15"/>
  <c r="A732" i="15" s="1"/>
  <c r="B733" i="15"/>
  <c r="A733" i="15" s="1"/>
  <c r="B734" i="15"/>
  <c r="A734" i="15" s="1"/>
  <c r="B735" i="15"/>
  <c r="A735" i="15" s="1"/>
  <c r="B736" i="15"/>
  <c r="A736" i="15" s="1"/>
  <c r="B737" i="15"/>
  <c r="A737" i="15" s="1"/>
  <c r="B738" i="15"/>
  <c r="A738" i="15" s="1"/>
  <c r="B739" i="15"/>
  <c r="A739" i="15" s="1"/>
  <c r="B740" i="15"/>
  <c r="A740" i="15" s="1"/>
  <c r="B741" i="15"/>
  <c r="A741" i="15" s="1"/>
  <c r="B742" i="15"/>
  <c r="A742" i="15" s="1"/>
  <c r="B743" i="15"/>
  <c r="A743" i="15" s="1"/>
  <c r="B744" i="15"/>
  <c r="A744" i="15" s="1"/>
  <c r="B745" i="15"/>
  <c r="A745" i="15" s="1"/>
  <c r="B746" i="15"/>
  <c r="A746" i="15" s="1"/>
  <c r="B747" i="15"/>
  <c r="A747" i="15" s="1"/>
  <c r="B748" i="15"/>
  <c r="A748" i="15" s="1"/>
  <c r="B749" i="15"/>
  <c r="A749" i="15" s="1"/>
  <c r="B750" i="15"/>
  <c r="A750" i="15" s="1"/>
  <c r="B751" i="15"/>
  <c r="A751" i="15" s="1"/>
  <c r="B752" i="15"/>
  <c r="A752" i="15" s="1"/>
  <c r="B753" i="15"/>
  <c r="A753" i="15" s="1"/>
  <c r="B754" i="15"/>
  <c r="A754" i="15" s="1"/>
  <c r="B755" i="15"/>
  <c r="A755" i="15" s="1"/>
  <c r="B756" i="15"/>
  <c r="A756" i="15" s="1"/>
  <c r="B757" i="15"/>
  <c r="A757" i="15" s="1"/>
  <c r="B758" i="15"/>
  <c r="A758" i="15" s="1"/>
  <c r="B759" i="15"/>
  <c r="A759" i="15" s="1"/>
  <c r="B760" i="15"/>
  <c r="A760" i="15" s="1"/>
  <c r="B761" i="15"/>
  <c r="A761" i="15" s="1"/>
  <c r="B762" i="15"/>
  <c r="A762" i="15" s="1"/>
  <c r="B763" i="15"/>
  <c r="A763" i="15" s="1"/>
  <c r="B764" i="15"/>
  <c r="A764" i="15" s="1"/>
  <c r="B765" i="15"/>
  <c r="A765" i="15" s="1"/>
  <c r="B766" i="15"/>
  <c r="A766" i="15" s="1"/>
  <c r="B767" i="15"/>
  <c r="A767" i="15" s="1"/>
  <c r="B768" i="15"/>
  <c r="A768" i="15" s="1"/>
  <c r="B769" i="15"/>
  <c r="A769" i="15" s="1"/>
  <c r="B770" i="15"/>
  <c r="A770" i="15" s="1"/>
  <c r="B771" i="15"/>
  <c r="A771" i="15" s="1"/>
  <c r="B772" i="15"/>
  <c r="A772" i="15" s="1"/>
  <c r="B773" i="15"/>
  <c r="A773" i="15" s="1"/>
  <c r="B774" i="15"/>
  <c r="A774" i="15" s="1"/>
  <c r="B775" i="15"/>
  <c r="A775" i="15" s="1"/>
  <c r="B776" i="15"/>
  <c r="A776" i="15" s="1"/>
  <c r="B777" i="15"/>
  <c r="A777" i="15" s="1"/>
  <c r="B778" i="15"/>
  <c r="A778" i="15" s="1"/>
  <c r="B779" i="15"/>
  <c r="A779" i="15" s="1"/>
  <c r="B780" i="15"/>
  <c r="A780" i="15" s="1"/>
  <c r="B781" i="15"/>
  <c r="A781" i="15" s="1"/>
  <c r="B782" i="15"/>
  <c r="A782" i="15" s="1"/>
  <c r="B783" i="15"/>
  <c r="A783" i="15" s="1"/>
  <c r="B784" i="15"/>
  <c r="A784" i="15" s="1"/>
  <c r="B785" i="15"/>
  <c r="A785" i="15" s="1"/>
  <c r="B786" i="15"/>
  <c r="A786" i="15" s="1"/>
  <c r="B787" i="15"/>
  <c r="A787" i="15" s="1"/>
  <c r="B788" i="15"/>
  <c r="A788" i="15" s="1"/>
  <c r="B789" i="15"/>
  <c r="A789" i="15" s="1"/>
  <c r="B790" i="15"/>
  <c r="A790" i="15" s="1"/>
  <c r="B791" i="15"/>
  <c r="A791" i="15" s="1"/>
  <c r="B792" i="15"/>
  <c r="A792" i="15" s="1"/>
  <c r="B793" i="15"/>
  <c r="A793" i="15" s="1"/>
  <c r="B794" i="15"/>
  <c r="A794" i="15" s="1"/>
  <c r="B795" i="15"/>
  <c r="A795" i="15" s="1"/>
  <c r="B796" i="15"/>
  <c r="A796" i="15" s="1"/>
  <c r="B797" i="15"/>
  <c r="A797" i="15" s="1"/>
  <c r="B798" i="15"/>
  <c r="A798" i="15" s="1"/>
  <c r="B799" i="15"/>
  <c r="A799" i="15" s="1"/>
  <c r="B800" i="15"/>
  <c r="A800" i="15" s="1"/>
  <c r="B801" i="15"/>
  <c r="A801" i="15" s="1"/>
  <c r="B802" i="15"/>
  <c r="A802" i="15" s="1"/>
  <c r="B803" i="15"/>
  <c r="A803" i="15" s="1"/>
  <c r="B804" i="15"/>
  <c r="A804" i="15" s="1"/>
  <c r="B805" i="15"/>
  <c r="A805" i="15" s="1"/>
  <c r="B806" i="15"/>
  <c r="A806" i="15" s="1"/>
  <c r="B807" i="15"/>
  <c r="A807" i="15" s="1"/>
  <c r="B808" i="15"/>
  <c r="A808" i="15" s="1"/>
  <c r="B809" i="15"/>
  <c r="A809" i="15" s="1"/>
  <c r="B810" i="15"/>
  <c r="A810" i="15" s="1"/>
  <c r="B811" i="15"/>
  <c r="A811" i="15" s="1"/>
  <c r="B812" i="15"/>
  <c r="A812" i="15" s="1"/>
  <c r="B813" i="15"/>
  <c r="A813" i="15" s="1"/>
  <c r="B814" i="15"/>
  <c r="A814" i="15" s="1"/>
  <c r="B815" i="15"/>
  <c r="A815" i="15" s="1"/>
  <c r="B816" i="15"/>
  <c r="A816" i="15" s="1"/>
  <c r="B817" i="15"/>
  <c r="A817" i="15" s="1"/>
  <c r="B818" i="15"/>
  <c r="A818" i="15" s="1"/>
  <c r="B819" i="15"/>
  <c r="A819" i="15" s="1"/>
  <c r="B820" i="15"/>
  <c r="A820" i="15" s="1"/>
  <c r="B821" i="15"/>
  <c r="A821" i="15" s="1"/>
  <c r="B822" i="15"/>
  <c r="A822" i="15" s="1"/>
  <c r="B823" i="15"/>
  <c r="A823" i="15" s="1"/>
  <c r="B824" i="15"/>
  <c r="A824" i="15" s="1"/>
  <c r="B825" i="15"/>
  <c r="A825" i="15" s="1"/>
  <c r="B826" i="15"/>
  <c r="A826" i="15" s="1"/>
  <c r="B827" i="15"/>
  <c r="A827" i="15" s="1"/>
  <c r="B828" i="15"/>
  <c r="A828" i="15" s="1"/>
  <c r="B829" i="15"/>
  <c r="A829" i="15" s="1"/>
  <c r="B830" i="15"/>
  <c r="A830" i="15" s="1"/>
  <c r="B831" i="15"/>
  <c r="A831" i="15" s="1"/>
  <c r="B832" i="15"/>
  <c r="A832" i="15" s="1"/>
  <c r="B833" i="15"/>
  <c r="A833" i="15" s="1"/>
  <c r="B834" i="15"/>
  <c r="A834" i="15" s="1"/>
  <c r="B835" i="15"/>
  <c r="A835" i="15" s="1"/>
  <c r="B836" i="15"/>
  <c r="A836" i="15" s="1"/>
  <c r="B837" i="15"/>
  <c r="A837" i="15" s="1"/>
  <c r="B838" i="15"/>
  <c r="A838" i="15" s="1"/>
  <c r="B839" i="15"/>
  <c r="A839" i="15" s="1"/>
  <c r="B840" i="15"/>
  <c r="A840" i="15" s="1"/>
  <c r="B841" i="15"/>
  <c r="A841" i="15" s="1"/>
  <c r="B842" i="15"/>
  <c r="A842" i="15" s="1"/>
  <c r="B843" i="15"/>
  <c r="A843" i="15" s="1"/>
  <c r="B844" i="15"/>
  <c r="A844" i="15" s="1"/>
  <c r="B845" i="15"/>
  <c r="A845" i="15" s="1"/>
  <c r="B846" i="15"/>
  <c r="A846" i="15" s="1"/>
  <c r="B847" i="15"/>
  <c r="A847" i="15" s="1"/>
  <c r="B848" i="15"/>
  <c r="A848" i="15" s="1"/>
  <c r="B849" i="15"/>
  <c r="A849" i="15" s="1"/>
  <c r="B850" i="15"/>
  <c r="A850" i="15" s="1"/>
  <c r="B851" i="15"/>
  <c r="A851" i="15" s="1"/>
  <c r="B852" i="15"/>
  <c r="A852" i="15" s="1"/>
  <c r="B853" i="15"/>
  <c r="A853" i="15" s="1"/>
  <c r="B854" i="15"/>
  <c r="A854" i="15" s="1"/>
  <c r="B855" i="15"/>
  <c r="A855" i="15" s="1"/>
  <c r="B856" i="15"/>
  <c r="A856" i="15" s="1"/>
  <c r="B857" i="15"/>
  <c r="A857" i="15" s="1"/>
  <c r="B858" i="15"/>
  <c r="A858" i="15" s="1"/>
  <c r="B859" i="15"/>
  <c r="A859" i="15" s="1"/>
  <c r="B860" i="15"/>
  <c r="A860" i="15" s="1"/>
  <c r="B861" i="15"/>
  <c r="A861" i="15" s="1"/>
  <c r="B862" i="15"/>
  <c r="A862" i="15" s="1"/>
  <c r="B863" i="15"/>
  <c r="A863" i="15" s="1"/>
  <c r="B864" i="15"/>
  <c r="A864" i="15" s="1"/>
  <c r="B865" i="15"/>
  <c r="A865" i="15" s="1"/>
  <c r="B866" i="15"/>
  <c r="A866" i="15" s="1"/>
  <c r="B867" i="15"/>
  <c r="A867" i="15" s="1"/>
  <c r="B868" i="15"/>
  <c r="A868" i="15" s="1"/>
  <c r="B869" i="15"/>
  <c r="A869" i="15" s="1"/>
  <c r="B870" i="15"/>
  <c r="A870" i="15" s="1"/>
  <c r="B871" i="15"/>
  <c r="A871" i="15" s="1"/>
  <c r="B872" i="15"/>
  <c r="A872" i="15" s="1"/>
  <c r="B873" i="15"/>
  <c r="A873" i="15" s="1"/>
  <c r="B874" i="15"/>
  <c r="A874" i="15" s="1"/>
  <c r="B875" i="15"/>
  <c r="A875" i="15" s="1"/>
  <c r="B876" i="15"/>
  <c r="A876" i="15" s="1"/>
  <c r="B877" i="15"/>
  <c r="A877" i="15" s="1"/>
  <c r="B878" i="15"/>
  <c r="A878" i="15" s="1"/>
  <c r="B879" i="15"/>
  <c r="A879" i="15" s="1"/>
  <c r="B880" i="15"/>
  <c r="A880" i="15" s="1"/>
  <c r="B881" i="15"/>
  <c r="A881" i="15" s="1"/>
  <c r="B882" i="15"/>
  <c r="A882" i="15" s="1"/>
  <c r="B883" i="15"/>
  <c r="A883" i="15" s="1"/>
  <c r="B884" i="15"/>
  <c r="A884" i="15" s="1"/>
  <c r="B885" i="15"/>
  <c r="A885" i="15" s="1"/>
  <c r="B886" i="15"/>
  <c r="A886" i="15" s="1"/>
  <c r="B887" i="15"/>
  <c r="A887" i="15" s="1"/>
  <c r="B888" i="15"/>
  <c r="A888" i="15" s="1"/>
  <c r="B889" i="15"/>
  <c r="A889" i="15" s="1"/>
  <c r="B890" i="15"/>
  <c r="A890" i="15" s="1"/>
  <c r="B891" i="15"/>
  <c r="A891" i="15" s="1"/>
  <c r="B892" i="15"/>
  <c r="A892" i="15" s="1"/>
  <c r="B893" i="15"/>
  <c r="A893" i="15" s="1"/>
  <c r="B894" i="15"/>
  <c r="A894" i="15" s="1"/>
  <c r="B895" i="15"/>
  <c r="A895" i="15" s="1"/>
  <c r="B896" i="15"/>
  <c r="A896" i="15" s="1"/>
  <c r="B897" i="15"/>
  <c r="A897" i="15" s="1"/>
  <c r="B898" i="15"/>
  <c r="A898" i="15" s="1"/>
  <c r="B899" i="15"/>
  <c r="A899" i="15" s="1"/>
  <c r="B900" i="15"/>
  <c r="A900" i="15" s="1"/>
  <c r="B901" i="15"/>
  <c r="A901" i="15" s="1"/>
  <c r="B902" i="15"/>
  <c r="A902" i="15" s="1"/>
  <c r="B903" i="15"/>
  <c r="A903" i="15" s="1"/>
  <c r="B904" i="15"/>
  <c r="A904" i="15" s="1"/>
  <c r="B905" i="15"/>
  <c r="A905" i="15" s="1"/>
  <c r="B906" i="15"/>
  <c r="A906" i="15" s="1"/>
  <c r="B907" i="15"/>
  <c r="A907" i="15" s="1"/>
  <c r="B908" i="15"/>
  <c r="A908" i="15" s="1"/>
  <c r="B909" i="15"/>
  <c r="A909" i="15" s="1"/>
  <c r="B910" i="15"/>
  <c r="A910" i="15" s="1"/>
  <c r="B911" i="15"/>
  <c r="A911" i="15" s="1"/>
  <c r="B912" i="15"/>
  <c r="A912" i="15" s="1"/>
  <c r="B913" i="15"/>
  <c r="A913" i="15" s="1"/>
  <c r="B914" i="15"/>
  <c r="A914" i="15" s="1"/>
  <c r="B915" i="15"/>
  <c r="A915" i="15" s="1"/>
  <c r="B916" i="15"/>
  <c r="A916" i="15" s="1"/>
  <c r="B917" i="15"/>
  <c r="A917" i="15" s="1"/>
  <c r="B918" i="15"/>
  <c r="A918" i="15" s="1"/>
  <c r="B919" i="15"/>
  <c r="A919" i="15" s="1"/>
  <c r="B920" i="15"/>
  <c r="A920" i="15" s="1"/>
  <c r="B921" i="15"/>
  <c r="A921" i="15" s="1"/>
  <c r="B922" i="15"/>
  <c r="A922" i="15" s="1"/>
  <c r="B923" i="15"/>
  <c r="A923" i="15" s="1"/>
  <c r="B924" i="15"/>
  <c r="A924" i="15" s="1"/>
  <c r="B925" i="15"/>
  <c r="A925" i="15" s="1"/>
  <c r="B926" i="15"/>
  <c r="A926" i="15" s="1"/>
  <c r="B927" i="15"/>
  <c r="A927" i="15" s="1"/>
  <c r="B928" i="15"/>
  <c r="A928" i="15" s="1"/>
  <c r="B929" i="15"/>
  <c r="A929" i="15" s="1"/>
  <c r="B930" i="15"/>
  <c r="A930" i="15" s="1"/>
  <c r="B931" i="15"/>
  <c r="A931" i="15" s="1"/>
  <c r="B932" i="15"/>
  <c r="A932" i="15" s="1"/>
  <c r="B933" i="15"/>
  <c r="A933" i="15" s="1"/>
  <c r="B934" i="15"/>
  <c r="A934" i="15" s="1"/>
  <c r="B935" i="15"/>
  <c r="A935" i="15" s="1"/>
  <c r="B936" i="15"/>
  <c r="A936" i="15" s="1"/>
  <c r="B937" i="15"/>
  <c r="A937" i="15" s="1"/>
  <c r="B938" i="15"/>
  <c r="A938" i="15" s="1"/>
  <c r="B939" i="15"/>
  <c r="A939" i="15" s="1"/>
  <c r="B940" i="15"/>
  <c r="A940" i="15" s="1"/>
  <c r="B941" i="15"/>
  <c r="A941" i="15" s="1"/>
  <c r="B942" i="15"/>
  <c r="A942" i="15" s="1"/>
  <c r="B943" i="15"/>
  <c r="A943" i="15" s="1"/>
  <c r="B944" i="15"/>
  <c r="A944" i="15" s="1"/>
  <c r="B945" i="15"/>
  <c r="A945" i="15" s="1"/>
  <c r="B946" i="15"/>
  <c r="A946" i="15" s="1"/>
  <c r="B947" i="15"/>
  <c r="A947" i="15" s="1"/>
  <c r="B948" i="15"/>
  <c r="A948" i="15" s="1"/>
  <c r="B949" i="15"/>
  <c r="A949" i="15" s="1"/>
  <c r="B950" i="15"/>
  <c r="A950" i="15" s="1"/>
  <c r="B951" i="15"/>
  <c r="A951" i="15" s="1"/>
  <c r="B952" i="15"/>
  <c r="A952" i="15" s="1"/>
  <c r="B953" i="15"/>
  <c r="A953" i="15" s="1"/>
  <c r="B954" i="15"/>
  <c r="A954" i="15" s="1"/>
  <c r="B955" i="15"/>
  <c r="A955" i="15" s="1"/>
  <c r="B956" i="15"/>
  <c r="A956" i="15" s="1"/>
  <c r="B957" i="15"/>
  <c r="A957" i="15" s="1"/>
  <c r="B958" i="15"/>
  <c r="A958" i="15" s="1"/>
  <c r="B959" i="15"/>
  <c r="A959" i="15" s="1"/>
  <c r="B960" i="15"/>
  <c r="A960" i="15" s="1"/>
  <c r="B961" i="15"/>
  <c r="A961" i="15" s="1"/>
  <c r="B962" i="15"/>
  <c r="A962" i="15" s="1"/>
  <c r="B963" i="15"/>
  <c r="A963" i="15" s="1"/>
  <c r="B964" i="15"/>
  <c r="A964" i="15" s="1"/>
  <c r="B965" i="15"/>
  <c r="A965" i="15" s="1"/>
  <c r="B966" i="15"/>
  <c r="B967" i="15"/>
  <c r="A967" i="15" s="1"/>
  <c r="B968" i="15"/>
  <c r="A968" i="15" s="1"/>
  <c r="B969" i="15"/>
  <c r="A969" i="15" s="1"/>
  <c r="B970" i="15"/>
  <c r="A970" i="15" s="1"/>
  <c r="B971" i="15"/>
  <c r="A971" i="15" s="1"/>
  <c r="B972" i="15"/>
  <c r="A972" i="15" s="1"/>
  <c r="B973" i="15"/>
  <c r="A973" i="15" s="1"/>
  <c r="B974" i="15"/>
  <c r="A974" i="15" s="1"/>
  <c r="B975" i="15"/>
  <c r="A975" i="15" s="1"/>
  <c r="B976" i="15"/>
  <c r="A976" i="15" s="1"/>
  <c r="B977" i="15"/>
  <c r="A977" i="15" s="1"/>
  <c r="B978" i="15"/>
  <c r="A978" i="15" s="1"/>
  <c r="B979" i="15"/>
  <c r="A979" i="15" s="1"/>
  <c r="B980" i="15"/>
  <c r="A980" i="15" s="1"/>
  <c r="B981" i="15"/>
  <c r="A981" i="15" s="1"/>
  <c r="B982" i="15"/>
  <c r="A982" i="15" s="1"/>
  <c r="B983" i="15"/>
  <c r="A983" i="15" s="1"/>
  <c r="B984" i="15"/>
  <c r="A984" i="15" s="1"/>
  <c r="B985" i="15"/>
  <c r="A985" i="15" s="1"/>
  <c r="B986" i="15"/>
  <c r="A986" i="15" s="1"/>
  <c r="B987" i="15"/>
  <c r="A987" i="15" s="1"/>
  <c r="B988" i="15"/>
  <c r="A988" i="15" s="1"/>
  <c r="B989" i="15"/>
  <c r="A989" i="15" s="1"/>
  <c r="B990" i="15"/>
  <c r="A990" i="15" s="1"/>
  <c r="B991" i="15"/>
  <c r="A991" i="15" s="1"/>
  <c r="B992" i="15"/>
  <c r="A992" i="15" s="1"/>
  <c r="B993" i="15"/>
  <c r="A993" i="15" s="1"/>
  <c r="B994" i="15"/>
  <c r="A994" i="15" s="1"/>
  <c r="B995" i="15"/>
  <c r="A995" i="15" s="1"/>
  <c r="B996" i="15"/>
  <c r="A996" i="15" s="1"/>
  <c r="B997" i="15"/>
  <c r="A997" i="15" s="1"/>
  <c r="B998" i="15"/>
  <c r="A998" i="15" s="1"/>
  <c r="B999" i="15"/>
  <c r="A999" i="15" s="1"/>
  <c r="B1000" i="15"/>
  <c r="A1000" i="15" s="1"/>
  <c r="B1001" i="15"/>
  <c r="A1001" i="15" s="1"/>
  <c r="B1002" i="15"/>
  <c r="A1002" i="15" s="1"/>
  <c r="B1003" i="15"/>
  <c r="A1003" i="15" s="1"/>
  <c r="B1004" i="15"/>
  <c r="A1004" i="15" s="1"/>
  <c r="B1005" i="15"/>
  <c r="A1005" i="15" s="1"/>
  <c r="B1006" i="15"/>
  <c r="A1006" i="15" s="1"/>
  <c r="B1007" i="15"/>
  <c r="A1007" i="15" s="1"/>
  <c r="B1008" i="15"/>
  <c r="A1008" i="15" s="1"/>
  <c r="B1009" i="15"/>
  <c r="A1009" i="15" s="1"/>
  <c r="B1010" i="15"/>
  <c r="A1010" i="15" s="1"/>
  <c r="B1011" i="15"/>
  <c r="A1011" i="15" s="1"/>
  <c r="B1012" i="15"/>
  <c r="A1012" i="15" s="1"/>
  <c r="B1013" i="15"/>
  <c r="A1013" i="15" s="1"/>
  <c r="B1014" i="15"/>
  <c r="A1014" i="15" s="1"/>
  <c r="B1015" i="15"/>
  <c r="A1015" i="15" s="1"/>
  <c r="B1016" i="15"/>
  <c r="A1016" i="15" s="1"/>
  <c r="B1017" i="15"/>
  <c r="A1017" i="15" s="1"/>
  <c r="B1018" i="15"/>
  <c r="A1018" i="15" s="1"/>
  <c r="B1019" i="15"/>
  <c r="A1019" i="15" s="1"/>
  <c r="B1020" i="15"/>
  <c r="A1020" i="15" s="1"/>
  <c r="B1021" i="15"/>
  <c r="A1021" i="15" s="1"/>
  <c r="B1022" i="15"/>
  <c r="A1022" i="15" s="1"/>
  <c r="B1023" i="15"/>
  <c r="A1023" i="15" s="1"/>
  <c r="B1024" i="15"/>
  <c r="A1024" i="15" s="1"/>
  <c r="B1025" i="15"/>
  <c r="A1025" i="15" s="1"/>
  <c r="B1026" i="15"/>
  <c r="A1026" i="15" s="1"/>
  <c r="B1027" i="15"/>
  <c r="A1027" i="15" s="1"/>
  <c r="B1028" i="15"/>
  <c r="A1028" i="15" s="1"/>
  <c r="B1029" i="15"/>
  <c r="A1029" i="15" s="1"/>
  <c r="B1030" i="15"/>
  <c r="A1030" i="15" s="1"/>
  <c r="B1031" i="15"/>
  <c r="A1031" i="15" s="1"/>
  <c r="B1032" i="15"/>
  <c r="A1032" i="15" s="1"/>
  <c r="B1033" i="15"/>
  <c r="A1033" i="15" s="1"/>
  <c r="B1034" i="15"/>
  <c r="A1034" i="15" s="1"/>
  <c r="B1035" i="15"/>
  <c r="A1035" i="15" s="1"/>
  <c r="B1036" i="15"/>
  <c r="A1036" i="15" s="1"/>
  <c r="B1037" i="15"/>
  <c r="A1037" i="15" s="1"/>
  <c r="B1038" i="15"/>
  <c r="A1038" i="15" s="1"/>
  <c r="B1039" i="15"/>
  <c r="A1039" i="15" s="1"/>
  <c r="B1040" i="15"/>
  <c r="A1040" i="15" s="1"/>
  <c r="B1041" i="15"/>
  <c r="A1041" i="15" s="1"/>
  <c r="B1042" i="15"/>
  <c r="A1042" i="15" s="1"/>
  <c r="B1043" i="15"/>
  <c r="A1043" i="15" s="1"/>
  <c r="B1044" i="15"/>
  <c r="A1044" i="15" s="1"/>
  <c r="B1045" i="15"/>
  <c r="A1045" i="15" s="1"/>
  <c r="B1046" i="15"/>
  <c r="A1046" i="15" s="1"/>
  <c r="B1047" i="15"/>
  <c r="A1047" i="15" s="1"/>
  <c r="B1048" i="15"/>
  <c r="A1048" i="15" s="1"/>
  <c r="B1049" i="15"/>
  <c r="A1049" i="15" s="1"/>
  <c r="B1050" i="15"/>
  <c r="A1050" i="15" s="1"/>
  <c r="B1051" i="15"/>
  <c r="A1051" i="15" s="1"/>
  <c r="B1052" i="15"/>
  <c r="A1052" i="15" s="1"/>
  <c r="B1053" i="15"/>
  <c r="A1053" i="15" s="1"/>
  <c r="B1054" i="15"/>
  <c r="A1054" i="15" s="1"/>
  <c r="B1055" i="15"/>
  <c r="A1055" i="15" s="1"/>
  <c r="B1056" i="15"/>
  <c r="A1056" i="15" s="1"/>
  <c r="B1057" i="15"/>
  <c r="A1057" i="15" s="1"/>
  <c r="B1058" i="15"/>
  <c r="A1058" i="15" s="1"/>
  <c r="B1059" i="15"/>
  <c r="A1059" i="15" s="1"/>
  <c r="B1060" i="15"/>
  <c r="A1060" i="15" s="1"/>
  <c r="B1061" i="15"/>
  <c r="A1061" i="15" s="1"/>
  <c r="B1062" i="15"/>
  <c r="A1062" i="15" s="1"/>
  <c r="B1063" i="15"/>
  <c r="A1063" i="15" s="1"/>
  <c r="B1064" i="15"/>
  <c r="A1064" i="15" s="1"/>
  <c r="B1065" i="15"/>
  <c r="A1065" i="15" s="1"/>
  <c r="B1066" i="15"/>
  <c r="A1066" i="15" s="1"/>
  <c r="B1067" i="15"/>
  <c r="A1067" i="15" s="1"/>
  <c r="B1068" i="15"/>
  <c r="A1068" i="15" s="1"/>
  <c r="B1069" i="15"/>
  <c r="A1069" i="15" s="1"/>
  <c r="B1070" i="15"/>
  <c r="A1070" i="15" s="1"/>
  <c r="B1071" i="15"/>
  <c r="A1071" i="15" s="1"/>
  <c r="B1072" i="15"/>
  <c r="A1072" i="15" s="1"/>
  <c r="B1073" i="15"/>
  <c r="A1073" i="15" s="1"/>
  <c r="B1074" i="15"/>
  <c r="A1074" i="15" s="1"/>
  <c r="B1075" i="15"/>
  <c r="A1075" i="15" s="1"/>
  <c r="B1076" i="15"/>
  <c r="A1076" i="15" s="1"/>
  <c r="B1077" i="15"/>
  <c r="A1077" i="15" s="1"/>
  <c r="B1078" i="15"/>
  <c r="A1078" i="15" s="1"/>
  <c r="B1079" i="15"/>
  <c r="A1079" i="15" s="1"/>
  <c r="B1080" i="15"/>
  <c r="A1080" i="15" s="1"/>
  <c r="B1081" i="15"/>
  <c r="A1081" i="15" s="1"/>
  <c r="B1082" i="15"/>
  <c r="A1082" i="15" s="1"/>
  <c r="B1083" i="15"/>
  <c r="A1083" i="15" s="1"/>
  <c r="B1084" i="15"/>
  <c r="A1084" i="15" s="1"/>
  <c r="B1085" i="15"/>
  <c r="A1085" i="15" s="1"/>
  <c r="B1086" i="15"/>
  <c r="A1086" i="15" s="1"/>
  <c r="B1087" i="15"/>
  <c r="A1087" i="15" s="1"/>
  <c r="B1088" i="15"/>
  <c r="A1088" i="15" s="1"/>
  <c r="B1089" i="15"/>
  <c r="A1089" i="15" s="1"/>
  <c r="B1090" i="15"/>
  <c r="A1090" i="15" s="1"/>
  <c r="B1091" i="15"/>
  <c r="A1091" i="15" s="1"/>
  <c r="B1092" i="15"/>
  <c r="A1092" i="15" s="1"/>
  <c r="B1093" i="15"/>
  <c r="A1093" i="15" s="1"/>
  <c r="B1094" i="15"/>
  <c r="A1094" i="15" s="1"/>
  <c r="B1095" i="15"/>
  <c r="A1095" i="15" s="1"/>
  <c r="B1096" i="15"/>
  <c r="A1096" i="15" s="1"/>
  <c r="B1097" i="15"/>
  <c r="A1097" i="15" s="1"/>
  <c r="B1098" i="15"/>
  <c r="A1098" i="15" s="1"/>
  <c r="B1099" i="15"/>
  <c r="A1099" i="15" s="1"/>
  <c r="B1100" i="15"/>
  <c r="A1100" i="15" s="1"/>
  <c r="B1101" i="15"/>
  <c r="A1101" i="15" s="1"/>
  <c r="B1102" i="15"/>
  <c r="A1102" i="15" s="1"/>
  <c r="B1103" i="15"/>
  <c r="A1103" i="15" s="1"/>
  <c r="B1104" i="15"/>
  <c r="A1104" i="15" s="1"/>
  <c r="B1105" i="15"/>
  <c r="A1105" i="15" s="1"/>
  <c r="B1106" i="15"/>
  <c r="A1106" i="15" s="1"/>
  <c r="B1107" i="15"/>
  <c r="A1107" i="15" s="1"/>
  <c r="B1108" i="15"/>
  <c r="A1108" i="15" s="1"/>
  <c r="B2" i="15"/>
  <c r="A2" i="15" s="1"/>
  <c r="B41" i="4"/>
  <c r="A41" i="4" s="1"/>
  <c r="A44" i="4"/>
  <c r="B42" i="4"/>
  <c r="A42" i="4" s="1"/>
  <c r="B43" i="4"/>
  <c r="A43" i="4" s="1"/>
  <c r="B44" i="4"/>
  <c r="B45" i="4"/>
  <c r="A45" i="4" s="1"/>
  <c r="B46" i="4"/>
  <c r="A46" i="4" s="1"/>
  <c r="B47" i="4"/>
  <c r="A47" i="4" s="1"/>
  <c r="B48" i="4"/>
  <c r="A48" i="4" s="1"/>
  <c r="B49" i="4"/>
  <c r="A49" i="4" s="1"/>
  <c r="B50" i="4"/>
  <c r="A50" i="4" s="1"/>
  <c r="B51" i="4"/>
  <c r="A51" i="4" s="1"/>
  <c r="B52" i="4"/>
  <c r="A52" i="4" s="1"/>
  <c r="B53" i="4"/>
  <c r="A53" i="4" s="1"/>
  <c r="B54" i="4"/>
  <c r="A54" i="4" s="1"/>
  <c r="B55" i="4"/>
  <c r="A55" i="4" s="1"/>
  <c r="B56" i="4"/>
  <c r="A56" i="4" s="1"/>
  <c r="B57" i="4"/>
  <c r="A57" i="4" s="1"/>
  <c r="B58" i="4"/>
  <c r="A58" i="4" s="1"/>
  <c r="B59" i="4"/>
  <c r="A59" i="4" s="1"/>
  <c r="B60" i="4"/>
  <c r="A60" i="4" s="1"/>
  <c r="B61" i="4"/>
  <c r="A61" i="4" s="1"/>
  <c r="B62" i="4"/>
  <c r="A62" i="4" s="1"/>
  <c r="B63" i="4"/>
  <c r="A63" i="4" s="1"/>
  <c r="B64" i="4"/>
  <c r="A64" i="4" s="1"/>
  <c r="B65" i="4"/>
  <c r="A65" i="4" s="1"/>
  <c r="B66" i="4"/>
  <c r="A66" i="4" s="1"/>
  <c r="B67" i="4"/>
  <c r="A67" i="4" s="1"/>
  <c r="B68" i="4"/>
  <c r="A68" i="4" s="1"/>
  <c r="B69" i="4"/>
  <c r="A69" i="4" s="1"/>
  <c r="B70" i="4"/>
  <c r="A70" i="4" s="1"/>
  <c r="B71" i="4"/>
  <c r="A71" i="4" s="1"/>
  <c r="B72" i="4"/>
  <c r="A72" i="4" s="1"/>
  <c r="B73" i="4"/>
  <c r="A73" i="4" s="1"/>
  <c r="B74" i="4"/>
  <c r="A74" i="4" s="1"/>
  <c r="B75" i="4"/>
  <c r="A75" i="4" s="1"/>
  <c r="B76" i="4"/>
  <c r="A76" i="4" s="1"/>
  <c r="B77" i="4"/>
  <c r="A77" i="4" s="1"/>
  <c r="B78" i="4"/>
  <c r="A78" i="4" s="1"/>
  <c r="B79" i="4"/>
  <c r="A79" i="4" s="1"/>
  <c r="B80" i="4"/>
  <c r="A80" i="4" s="1"/>
  <c r="B81" i="4"/>
  <c r="A81" i="4" s="1"/>
  <c r="B82" i="4"/>
  <c r="A82" i="4" s="1"/>
  <c r="B83" i="4"/>
  <c r="A83" i="4" s="1"/>
  <c r="B84" i="4"/>
  <c r="A84" i="4" s="1"/>
  <c r="B85" i="4"/>
  <c r="A85" i="4" s="1"/>
  <c r="B86" i="4"/>
  <c r="A86" i="4" s="1"/>
  <c r="B87" i="4"/>
  <c r="A87" i="4" s="1"/>
  <c r="B88" i="4"/>
  <c r="A88" i="4" s="1"/>
  <c r="B89" i="4"/>
  <c r="A89" i="4" s="1"/>
  <c r="B90" i="4"/>
  <c r="A90" i="4" s="1"/>
  <c r="B91" i="4"/>
  <c r="A91" i="4" s="1"/>
  <c r="B92" i="4"/>
  <c r="A92" i="4" s="1"/>
  <c r="B93" i="4"/>
  <c r="A93" i="4" s="1"/>
  <c r="B94" i="4"/>
  <c r="A94" i="4" s="1"/>
  <c r="B95" i="4"/>
  <c r="A95" i="4" s="1"/>
  <c r="B96" i="4"/>
  <c r="A96" i="4" s="1"/>
  <c r="B97" i="4"/>
  <c r="A97" i="4" s="1"/>
  <c r="B98" i="4"/>
  <c r="A98" i="4" s="1"/>
  <c r="B99" i="4"/>
  <c r="A99" i="4" s="1"/>
  <c r="B100" i="4"/>
  <c r="A100" i="4" s="1"/>
  <c r="B101" i="4"/>
  <c r="A101" i="4" s="1"/>
  <c r="B102" i="4"/>
  <c r="A102" i="4" s="1"/>
  <c r="B103" i="4"/>
  <c r="A103" i="4" s="1"/>
  <c r="B104" i="4"/>
  <c r="A104" i="4" s="1"/>
  <c r="B105" i="4"/>
  <c r="A105" i="4" s="1"/>
  <c r="B106" i="4"/>
  <c r="A106" i="4" s="1"/>
  <c r="B107" i="4"/>
  <c r="A107" i="4" s="1"/>
  <c r="B108" i="4"/>
  <c r="A108" i="4" s="1"/>
  <c r="B109" i="4"/>
  <c r="A109" i="4" s="1"/>
  <c r="B110" i="4"/>
  <c r="A110" i="4" s="1"/>
  <c r="B111" i="4"/>
  <c r="A111" i="4" s="1"/>
  <c r="B112" i="4"/>
  <c r="A112" i="4" s="1"/>
  <c r="B113" i="4"/>
  <c r="A113" i="4" s="1"/>
  <c r="B114" i="4"/>
  <c r="A114" i="4" s="1"/>
  <c r="B115" i="4"/>
  <c r="A115" i="4" s="1"/>
  <c r="B116" i="4"/>
  <c r="A116" i="4" s="1"/>
  <c r="B117" i="4"/>
  <c r="A117" i="4" s="1"/>
  <c r="B118" i="4"/>
  <c r="A118" i="4" s="1"/>
  <c r="B119" i="4"/>
  <c r="A119" i="4" s="1"/>
  <c r="B120" i="4"/>
  <c r="A120" i="4" s="1"/>
  <c r="B121" i="4"/>
  <c r="A121" i="4" s="1"/>
  <c r="B122" i="4"/>
  <c r="A122" i="4" s="1"/>
  <c r="B123" i="4"/>
  <c r="A123" i="4" s="1"/>
  <c r="B124" i="4"/>
  <c r="A124" i="4" s="1"/>
  <c r="B125" i="4"/>
  <c r="A125" i="4" s="1"/>
  <c r="B126" i="4"/>
  <c r="A126" i="4" s="1"/>
  <c r="B127" i="4"/>
  <c r="A127" i="4" s="1"/>
  <c r="B128" i="4"/>
  <c r="A128" i="4" s="1"/>
  <c r="B129" i="4"/>
  <c r="A129" i="4" s="1"/>
  <c r="B130" i="4"/>
  <c r="A130" i="4" s="1"/>
  <c r="B131" i="4"/>
  <c r="A131" i="4" s="1"/>
  <c r="B132" i="4"/>
  <c r="A132" i="4" s="1"/>
  <c r="B133" i="4"/>
  <c r="A133" i="4" s="1"/>
  <c r="B134" i="4"/>
  <c r="A134" i="4" s="1"/>
  <c r="B135" i="4"/>
  <c r="A135" i="4" s="1"/>
  <c r="B136" i="4"/>
  <c r="A136" i="4" s="1"/>
  <c r="B137" i="4"/>
  <c r="A137" i="4" s="1"/>
  <c r="B138" i="4"/>
  <c r="A138" i="4" s="1"/>
  <c r="B139" i="4"/>
  <c r="A139" i="4" s="1"/>
  <c r="B140" i="4"/>
  <c r="A140" i="4" s="1"/>
  <c r="B141" i="4"/>
  <c r="A141" i="4" s="1"/>
  <c r="B142" i="4"/>
  <c r="A142" i="4" s="1"/>
  <c r="B143" i="4"/>
  <c r="A143" i="4" s="1"/>
  <c r="B144" i="4"/>
  <c r="A144" i="4" s="1"/>
  <c r="B145" i="4"/>
  <c r="A145" i="4" s="1"/>
  <c r="B146" i="4"/>
  <c r="A146" i="4" s="1"/>
  <c r="B147" i="4"/>
  <c r="A147" i="4" s="1"/>
  <c r="B148" i="4"/>
  <c r="A148" i="4" s="1"/>
  <c r="B149" i="4"/>
  <c r="A149" i="4" s="1"/>
  <c r="B150" i="4"/>
  <c r="A150" i="4" s="1"/>
  <c r="B151" i="4"/>
  <c r="A151" i="4" s="1"/>
  <c r="B152" i="4"/>
  <c r="A152" i="4" s="1"/>
  <c r="B153" i="4"/>
  <c r="A153" i="4" s="1"/>
  <c r="B154" i="4"/>
  <c r="A154" i="4" s="1"/>
  <c r="B155" i="4"/>
  <c r="A155" i="4" s="1"/>
  <c r="B156" i="4"/>
  <c r="A156" i="4" s="1"/>
  <c r="B157" i="4"/>
  <c r="A157" i="4" s="1"/>
  <c r="B158" i="4"/>
  <c r="A158" i="4" s="1"/>
  <c r="B159" i="4"/>
  <c r="A159" i="4" s="1"/>
  <c r="B160" i="4"/>
  <c r="A160" i="4" s="1"/>
  <c r="B161" i="4"/>
  <c r="A161" i="4" s="1"/>
  <c r="B162" i="4"/>
  <c r="A162" i="4" s="1"/>
  <c r="B163" i="4"/>
  <c r="A163" i="4" s="1"/>
  <c r="B164" i="4"/>
  <c r="A164" i="4" s="1"/>
  <c r="B165" i="4"/>
  <c r="A165" i="4" s="1"/>
  <c r="B166" i="4"/>
  <c r="A166" i="4" s="1"/>
  <c r="B167" i="4"/>
  <c r="A167" i="4" s="1"/>
  <c r="B168" i="4"/>
  <c r="A168" i="4" s="1"/>
  <c r="B169" i="4"/>
  <c r="A169" i="4" s="1"/>
  <c r="B170" i="4"/>
  <c r="A170" i="4" s="1"/>
  <c r="B171" i="4"/>
  <c r="A171" i="4" s="1"/>
  <c r="B172" i="4"/>
  <c r="A172" i="4" s="1"/>
  <c r="B173" i="4"/>
  <c r="A173" i="4" s="1"/>
  <c r="B174" i="4"/>
  <c r="A174" i="4" s="1"/>
  <c r="B175" i="4"/>
  <c r="A175" i="4" s="1"/>
  <c r="B176" i="4"/>
  <c r="A176" i="4" s="1"/>
  <c r="B177" i="4"/>
  <c r="A177" i="4" s="1"/>
  <c r="B178" i="4"/>
  <c r="A178" i="4" s="1"/>
  <c r="B179" i="4"/>
  <c r="A179" i="4" s="1"/>
  <c r="B180" i="4"/>
  <c r="A180" i="4" s="1"/>
  <c r="B181" i="4"/>
  <c r="A181" i="4" s="1"/>
  <c r="B182" i="4"/>
  <c r="A182" i="4" s="1"/>
  <c r="B183" i="4"/>
  <c r="A183" i="4" s="1"/>
  <c r="B184" i="4"/>
  <c r="A184" i="4" s="1"/>
  <c r="B185" i="4"/>
  <c r="A185" i="4" s="1"/>
  <c r="B186" i="4"/>
  <c r="A186" i="4" s="1"/>
  <c r="B187" i="4"/>
  <c r="A187" i="4" s="1"/>
  <c r="B188" i="4"/>
  <c r="A188" i="4" s="1"/>
  <c r="B189" i="4"/>
  <c r="A189" i="4" s="1"/>
  <c r="B190" i="4"/>
  <c r="A190" i="4" s="1"/>
  <c r="B191" i="4"/>
  <c r="A191" i="4" s="1"/>
  <c r="B192" i="4"/>
  <c r="A192" i="4" s="1"/>
  <c r="B193" i="4"/>
  <c r="A193" i="4" s="1"/>
  <c r="B194" i="4"/>
  <c r="A194" i="4" s="1"/>
  <c r="B195" i="4"/>
  <c r="A195" i="4" s="1"/>
  <c r="B196" i="4"/>
  <c r="A196" i="4" s="1"/>
  <c r="B197" i="4"/>
  <c r="A197" i="4" s="1"/>
  <c r="B198" i="4"/>
  <c r="A198" i="4" s="1"/>
  <c r="B199" i="4"/>
  <c r="A199" i="4" s="1"/>
  <c r="B200" i="4"/>
  <c r="A200" i="4" s="1"/>
  <c r="B201" i="4"/>
  <c r="A201" i="4" s="1"/>
  <c r="B202" i="4"/>
  <c r="A202" i="4" s="1"/>
  <c r="B203" i="4"/>
  <c r="A203" i="4" s="1"/>
  <c r="B204" i="4"/>
  <c r="A204" i="4" s="1"/>
  <c r="B205" i="4"/>
  <c r="A205" i="4" s="1"/>
  <c r="B206" i="4"/>
  <c r="A206" i="4" s="1"/>
  <c r="B207" i="4"/>
  <c r="A207" i="4" s="1"/>
  <c r="B208" i="4"/>
  <c r="A208" i="4" s="1"/>
  <c r="B209" i="4"/>
  <c r="A209" i="4" s="1"/>
  <c r="B210" i="4"/>
  <c r="A210" i="4" s="1"/>
  <c r="B211" i="4"/>
  <c r="A211" i="4" s="1"/>
  <c r="B212" i="4"/>
  <c r="A212" i="4" s="1"/>
  <c r="B213" i="4"/>
  <c r="A213" i="4" s="1"/>
  <c r="B214" i="4"/>
  <c r="A214" i="4" s="1"/>
  <c r="B215" i="4"/>
  <c r="A215" i="4" s="1"/>
  <c r="B216" i="4"/>
  <c r="A216" i="4" s="1"/>
  <c r="B217" i="4"/>
  <c r="A217" i="4" s="1"/>
  <c r="B218" i="4"/>
  <c r="A218" i="4" s="1"/>
  <c r="B219" i="4"/>
  <c r="A219" i="4" s="1"/>
  <c r="B220" i="4"/>
  <c r="A220" i="4" s="1"/>
  <c r="B221" i="4"/>
  <c r="A221" i="4" s="1"/>
  <c r="B222" i="4"/>
  <c r="A222" i="4" s="1"/>
  <c r="B223" i="4"/>
  <c r="A223" i="4" s="1"/>
  <c r="B224" i="4"/>
  <c r="A224" i="4" s="1"/>
  <c r="B225" i="4"/>
  <c r="A225" i="4" s="1"/>
  <c r="B226" i="4"/>
  <c r="A226" i="4" s="1"/>
  <c r="B227" i="4"/>
  <c r="A227" i="4" s="1"/>
  <c r="B228" i="4"/>
  <c r="A228" i="4" s="1"/>
  <c r="B229" i="4"/>
  <c r="A229" i="4" s="1"/>
  <c r="B230" i="4"/>
  <c r="A230" i="4" s="1"/>
  <c r="B231" i="4"/>
  <c r="A231" i="4" s="1"/>
  <c r="B232" i="4"/>
  <c r="A232" i="4" s="1"/>
  <c r="B233" i="4"/>
  <c r="A233" i="4" s="1"/>
  <c r="B234" i="4"/>
  <c r="A234" i="4" s="1"/>
  <c r="B235" i="4"/>
  <c r="A235" i="4" s="1"/>
  <c r="B236" i="4"/>
  <c r="A236" i="4" s="1"/>
  <c r="B237" i="4"/>
  <c r="A237" i="4" s="1"/>
  <c r="B238" i="4"/>
  <c r="A238" i="4" s="1"/>
  <c r="B239" i="4"/>
  <c r="A239" i="4" s="1"/>
  <c r="B240" i="4"/>
  <c r="A240" i="4" s="1"/>
  <c r="B241" i="4"/>
  <c r="A241" i="4" s="1"/>
  <c r="B242" i="4"/>
  <c r="A242" i="4" s="1"/>
  <c r="B243" i="4"/>
  <c r="A243" i="4" s="1"/>
  <c r="B244" i="4"/>
  <c r="A244" i="4" s="1"/>
  <c r="B245" i="4"/>
  <c r="A245" i="4" s="1"/>
  <c r="B246" i="4"/>
  <c r="A246" i="4" s="1"/>
  <c r="B247" i="4"/>
  <c r="A247" i="4" s="1"/>
  <c r="B248" i="4"/>
  <c r="A248" i="4" s="1"/>
  <c r="B249" i="4"/>
  <c r="A249" i="4" s="1"/>
  <c r="B250" i="4"/>
  <c r="A250" i="4" s="1"/>
  <c r="B251" i="4"/>
  <c r="A251" i="4" s="1"/>
  <c r="B252" i="4"/>
  <c r="A252" i="4" s="1"/>
  <c r="B253" i="4"/>
  <c r="A253" i="4" s="1"/>
  <c r="B254" i="4"/>
  <c r="A254" i="4" s="1"/>
  <c r="B255" i="4"/>
  <c r="A255" i="4" s="1"/>
  <c r="B256" i="4"/>
  <c r="A256" i="4" s="1"/>
  <c r="B257" i="4"/>
  <c r="A257" i="4" s="1"/>
  <c r="B258" i="4"/>
  <c r="A258" i="4" s="1"/>
  <c r="B259" i="4"/>
  <c r="A259" i="4" s="1"/>
  <c r="B260" i="4"/>
  <c r="A260" i="4" s="1"/>
  <c r="B261" i="4"/>
  <c r="A261" i="4" s="1"/>
  <c r="B262" i="4"/>
  <c r="A262" i="4" s="1"/>
  <c r="B263" i="4"/>
  <c r="A263" i="4" s="1"/>
  <c r="B264" i="4"/>
  <c r="A264" i="4" s="1"/>
  <c r="B265" i="4"/>
  <c r="A265" i="4" s="1"/>
  <c r="B266" i="4"/>
  <c r="A266" i="4" s="1"/>
  <c r="B267" i="4"/>
  <c r="A267" i="4" s="1"/>
  <c r="B268" i="4"/>
  <c r="A268" i="4" s="1"/>
  <c r="B269" i="4"/>
  <c r="A269" i="4" s="1"/>
  <c r="B270" i="4"/>
  <c r="A270" i="4" s="1"/>
  <c r="B271" i="4"/>
  <c r="A271" i="4" s="1"/>
  <c r="B272" i="4"/>
  <c r="A272" i="4" s="1"/>
  <c r="B273" i="4"/>
  <c r="A273" i="4" s="1"/>
  <c r="B274" i="4"/>
  <c r="A274" i="4" s="1"/>
  <c r="B275" i="4"/>
  <c r="A275" i="4" s="1"/>
  <c r="B276" i="4"/>
  <c r="A276" i="4" s="1"/>
  <c r="B277" i="4"/>
  <c r="A277" i="4" s="1"/>
  <c r="B278" i="4"/>
  <c r="A278" i="4" s="1"/>
  <c r="B279" i="4"/>
  <c r="A279" i="4" s="1"/>
  <c r="B280" i="4"/>
  <c r="A280" i="4" s="1"/>
  <c r="B281" i="4"/>
  <c r="A281" i="4" s="1"/>
  <c r="B282" i="4"/>
  <c r="A282" i="4" s="1"/>
  <c r="B283" i="4"/>
  <c r="A283" i="4" s="1"/>
  <c r="B284" i="4"/>
  <c r="A284" i="4" s="1"/>
  <c r="B285" i="4"/>
  <c r="A285" i="4" s="1"/>
  <c r="B286" i="4"/>
  <c r="A286" i="4" s="1"/>
  <c r="B287" i="4"/>
  <c r="A287" i="4" s="1"/>
  <c r="B288" i="4"/>
  <c r="A288" i="4" s="1"/>
  <c r="B289" i="4"/>
  <c r="A289" i="4" s="1"/>
  <c r="B290" i="4"/>
  <c r="A290" i="4" s="1"/>
  <c r="B291" i="4"/>
  <c r="A291" i="4" s="1"/>
  <c r="B292" i="4"/>
  <c r="A292" i="4" s="1"/>
  <c r="B293" i="4"/>
  <c r="A293" i="4" s="1"/>
  <c r="B294" i="4"/>
  <c r="A294" i="4" s="1"/>
  <c r="B295" i="4"/>
  <c r="A295" i="4" s="1"/>
  <c r="B296" i="4"/>
  <c r="A296" i="4" s="1"/>
  <c r="B297" i="4"/>
  <c r="A297" i="4" s="1"/>
  <c r="B298" i="4"/>
  <c r="A298" i="4" s="1"/>
  <c r="B299" i="4"/>
  <c r="A299" i="4" s="1"/>
  <c r="B300" i="4"/>
  <c r="A300" i="4" s="1"/>
  <c r="B301" i="4"/>
  <c r="A301" i="4" s="1"/>
  <c r="B302" i="4"/>
  <c r="A302" i="4" s="1"/>
  <c r="B303" i="4"/>
  <c r="A303" i="4" s="1"/>
  <c r="B304" i="4"/>
  <c r="A304" i="4" s="1"/>
  <c r="B305" i="4"/>
  <c r="A305" i="4" s="1"/>
  <c r="B306" i="4"/>
  <c r="A306" i="4" s="1"/>
  <c r="B307" i="4"/>
  <c r="A307" i="4" s="1"/>
  <c r="B308" i="4"/>
  <c r="A308" i="4" s="1"/>
  <c r="B309" i="4"/>
  <c r="A309" i="4" s="1"/>
  <c r="B310" i="4"/>
  <c r="A310" i="4" s="1"/>
  <c r="B311" i="4"/>
  <c r="A311" i="4" s="1"/>
  <c r="B312" i="4"/>
  <c r="A312" i="4" s="1"/>
  <c r="B313" i="4"/>
  <c r="A313" i="4" s="1"/>
  <c r="B314" i="4"/>
  <c r="A314" i="4" s="1"/>
  <c r="B315" i="4"/>
  <c r="A315" i="4" s="1"/>
  <c r="B316" i="4"/>
  <c r="A316" i="4" s="1"/>
  <c r="B317" i="4"/>
  <c r="A317" i="4" s="1"/>
  <c r="B318" i="4"/>
  <c r="A318" i="4" s="1"/>
  <c r="B319" i="4"/>
  <c r="A319" i="4" s="1"/>
  <c r="B320" i="4"/>
  <c r="A320" i="4" s="1"/>
  <c r="B321" i="4"/>
  <c r="A321" i="4" s="1"/>
  <c r="B322" i="4"/>
  <c r="A322" i="4" s="1"/>
  <c r="B323" i="4"/>
  <c r="A323" i="4" s="1"/>
  <c r="B324" i="4"/>
  <c r="A324" i="4" s="1"/>
  <c r="B325" i="4"/>
  <c r="A325" i="4" s="1"/>
  <c r="B326" i="4"/>
  <c r="A326" i="4" s="1"/>
  <c r="B327" i="4"/>
  <c r="A327" i="4" s="1"/>
  <c r="B328" i="4"/>
  <c r="A328" i="4" s="1"/>
  <c r="B329" i="4"/>
  <c r="A329" i="4" s="1"/>
  <c r="B330" i="4"/>
  <c r="A330" i="4" s="1"/>
  <c r="B331" i="4"/>
  <c r="A331" i="4" s="1"/>
  <c r="B332" i="4"/>
  <c r="A332" i="4" s="1"/>
  <c r="B333" i="4"/>
  <c r="A333" i="4" s="1"/>
  <c r="B334" i="4"/>
  <c r="A334" i="4" s="1"/>
  <c r="B335" i="4"/>
  <c r="A335" i="4" s="1"/>
  <c r="B336" i="4"/>
  <c r="A336" i="4" s="1"/>
  <c r="B337" i="4"/>
  <c r="A337" i="4" s="1"/>
  <c r="B338" i="4"/>
  <c r="A338" i="4" s="1"/>
  <c r="B339" i="4"/>
  <c r="A339" i="4" s="1"/>
  <c r="B340" i="4"/>
  <c r="A340" i="4" s="1"/>
  <c r="B341" i="4"/>
  <c r="A341" i="4" s="1"/>
  <c r="B342" i="4"/>
  <c r="A342" i="4" s="1"/>
  <c r="B343" i="4"/>
  <c r="A343" i="4" s="1"/>
  <c r="B344" i="4"/>
  <c r="A344" i="4" s="1"/>
  <c r="B345" i="4"/>
  <c r="A345" i="4" s="1"/>
  <c r="B346" i="4"/>
  <c r="A346" i="4" s="1"/>
  <c r="B347" i="4"/>
  <c r="A347" i="4" s="1"/>
  <c r="B348" i="4"/>
  <c r="A348" i="4" s="1"/>
  <c r="B349" i="4"/>
  <c r="A349" i="4" s="1"/>
  <c r="B350" i="4"/>
  <c r="A350" i="4" s="1"/>
  <c r="B351" i="4"/>
  <c r="A351" i="4" s="1"/>
  <c r="B352" i="4"/>
  <c r="A352" i="4" s="1"/>
  <c r="B353" i="4"/>
  <c r="A353" i="4" s="1"/>
  <c r="B354" i="4"/>
  <c r="A354" i="4" s="1"/>
  <c r="B355" i="4"/>
  <c r="A355" i="4" s="1"/>
  <c r="B356" i="4"/>
  <c r="A356" i="4" s="1"/>
  <c r="B357" i="4"/>
  <c r="A357" i="4" s="1"/>
  <c r="B358" i="4"/>
  <c r="A358" i="4" s="1"/>
  <c r="B359" i="4"/>
  <c r="A359" i="4" s="1"/>
  <c r="B3" i="4"/>
  <c r="A3" i="4" s="1"/>
  <c r="B4" i="4"/>
  <c r="A4" i="4" s="1"/>
  <c r="B5" i="4"/>
  <c r="A5" i="4" s="1"/>
  <c r="B6" i="4"/>
  <c r="A6" i="4" s="1"/>
  <c r="B7" i="4"/>
  <c r="A7" i="4" s="1"/>
  <c r="B8" i="4"/>
  <c r="A8" i="4" s="1"/>
  <c r="B9" i="4"/>
  <c r="A9" i="4" s="1"/>
  <c r="B10" i="4"/>
  <c r="A10" i="4" s="1"/>
  <c r="B11" i="4"/>
  <c r="A11" i="4" s="1"/>
  <c r="B12" i="4"/>
  <c r="A12" i="4" s="1"/>
  <c r="B13" i="4"/>
  <c r="A13" i="4" s="1"/>
  <c r="B14" i="4"/>
  <c r="A14" i="4" s="1"/>
  <c r="B15" i="4"/>
  <c r="A15" i="4" s="1"/>
  <c r="B16" i="4"/>
  <c r="A16" i="4" s="1"/>
  <c r="B17" i="4"/>
  <c r="A17" i="4" s="1"/>
  <c r="B18" i="4"/>
  <c r="A18" i="4" s="1"/>
  <c r="B19" i="4"/>
  <c r="A19" i="4" s="1"/>
  <c r="B20" i="4"/>
  <c r="A20" i="4" s="1"/>
  <c r="B21" i="4"/>
  <c r="A21" i="4" s="1"/>
  <c r="B22" i="4"/>
  <c r="A22" i="4" s="1"/>
  <c r="B23" i="4"/>
  <c r="A23" i="4" s="1"/>
  <c r="B24" i="4"/>
  <c r="A24" i="4" s="1"/>
  <c r="B25" i="4"/>
  <c r="A25" i="4" s="1"/>
  <c r="B26" i="4"/>
  <c r="A26" i="4" s="1"/>
  <c r="B27" i="4"/>
  <c r="A27" i="4" s="1"/>
  <c r="B28" i="4"/>
  <c r="A28" i="4" s="1"/>
  <c r="B29" i="4"/>
  <c r="A29" i="4" s="1"/>
  <c r="B30" i="4"/>
  <c r="A30" i="4" s="1"/>
  <c r="B31" i="4"/>
  <c r="A31" i="4" s="1"/>
  <c r="B32" i="4"/>
  <c r="A32" i="4" s="1"/>
  <c r="B33" i="4"/>
  <c r="A33" i="4" s="1"/>
  <c r="B34" i="4"/>
  <c r="A34" i="4" s="1"/>
  <c r="B35" i="4"/>
  <c r="A35" i="4" s="1"/>
  <c r="B36" i="4"/>
  <c r="A36" i="4" s="1"/>
  <c r="B37" i="4"/>
  <c r="A37" i="4" s="1"/>
  <c r="B38" i="4"/>
  <c r="A38" i="4" s="1"/>
  <c r="B39" i="4"/>
  <c r="A39" i="4" s="1"/>
  <c r="B40" i="4"/>
  <c r="A40" i="4" s="1"/>
  <c r="A2" i="4"/>
  <c r="M3" i="9"/>
  <c r="N3" i="9"/>
  <c r="O3" i="9"/>
  <c r="M4" i="9"/>
  <c r="N4" i="9"/>
  <c r="O4" i="9"/>
  <c r="M5" i="9"/>
  <c r="N5" i="9"/>
  <c r="O5" i="9"/>
  <c r="M6" i="9"/>
  <c r="N6" i="9"/>
  <c r="O6" i="9"/>
  <c r="M7" i="9"/>
  <c r="N7" i="9"/>
  <c r="O7" i="9"/>
  <c r="M8" i="9"/>
  <c r="N8" i="9"/>
  <c r="O8" i="9"/>
  <c r="M9" i="9"/>
  <c r="N9" i="9"/>
  <c r="O9" i="9"/>
  <c r="M10" i="9"/>
  <c r="N10" i="9"/>
  <c r="O10" i="9"/>
  <c r="M11" i="9"/>
  <c r="N11" i="9"/>
  <c r="O11" i="9"/>
  <c r="M12" i="9"/>
  <c r="N12" i="9"/>
  <c r="O12" i="9"/>
  <c r="M13" i="9"/>
  <c r="N13" i="9"/>
  <c r="O13" i="9"/>
  <c r="M14" i="9"/>
  <c r="N14" i="9"/>
  <c r="O14" i="9"/>
  <c r="M15" i="9"/>
  <c r="N15" i="9"/>
  <c r="O15" i="9"/>
  <c r="M16" i="9"/>
  <c r="N16" i="9"/>
  <c r="O16" i="9"/>
  <c r="M17" i="9"/>
  <c r="N17" i="9"/>
  <c r="O17" i="9"/>
  <c r="M18" i="9"/>
  <c r="N18" i="9"/>
  <c r="O18" i="9"/>
  <c r="M19" i="9"/>
  <c r="N19" i="9"/>
  <c r="O19" i="9"/>
  <c r="M20" i="9"/>
  <c r="N20" i="9"/>
  <c r="O20" i="9"/>
  <c r="M21" i="9"/>
  <c r="N21" i="9"/>
  <c r="O21" i="9"/>
  <c r="M22" i="9"/>
  <c r="N22" i="9"/>
  <c r="O22" i="9"/>
  <c r="M23" i="9"/>
  <c r="N23" i="9"/>
  <c r="O23" i="9"/>
  <c r="M24" i="9"/>
  <c r="N24" i="9"/>
  <c r="O24" i="9"/>
  <c r="M25" i="9"/>
  <c r="N25" i="9"/>
  <c r="O25" i="9"/>
  <c r="M26" i="9"/>
  <c r="N26" i="9"/>
  <c r="O26" i="9"/>
  <c r="M27" i="9"/>
  <c r="N27" i="9"/>
  <c r="O27" i="9"/>
  <c r="M28" i="9"/>
  <c r="N28" i="9"/>
  <c r="O28" i="9"/>
  <c r="M29" i="9"/>
  <c r="N29" i="9"/>
  <c r="O29" i="9"/>
  <c r="M30" i="9"/>
  <c r="N30" i="9"/>
  <c r="O30" i="9"/>
  <c r="M31" i="9"/>
  <c r="N31" i="9"/>
  <c r="O31" i="9"/>
  <c r="M32" i="9"/>
  <c r="N32" i="9"/>
  <c r="O32" i="9"/>
  <c r="M33" i="9"/>
  <c r="N33" i="9"/>
  <c r="O33" i="9"/>
  <c r="M34" i="9"/>
  <c r="N34" i="9"/>
  <c r="O34" i="9"/>
  <c r="M35" i="9"/>
  <c r="N35" i="9"/>
  <c r="O35" i="9"/>
  <c r="M36" i="9"/>
  <c r="N36" i="9"/>
  <c r="O36" i="9"/>
  <c r="M37" i="9"/>
  <c r="N37" i="9"/>
  <c r="O37" i="9"/>
  <c r="M38" i="9"/>
  <c r="N38" i="9"/>
  <c r="O38" i="9"/>
  <c r="M39" i="9"/>
  <c r="N39" i="9"/>
  <c r="O39" i="9"/>
  <c r="M40" i="9"/>
  <c r="N40" i="9"/>
  <c r="O40" i="9"/>
  <c r="M41" i="9"/>
  <c r="N41" i="9"/>
  <c r="O41" i="9"/>
  <c r="M42" i="9"/>
  <c r="N42" i="9"/>
  <c r="O42" i="9"/>
  <c r="M43" i="9"/>
  <c r="N43" i="9"/>
  <c r="O43" i="9"/>
  <c r="M44" i="9"/>
  <c r="N44" i="9"/>
  <c r="O44" i="9"/>
  <c r="M45" i="9"/>
  <c r="N45" i="9"/>
  <c r="O45" i="9"/>
  <c r="M46" i="9"/>
  <c r="N46" i="9"/>
  <c r="O46" i="9"/>
  <c r="M47" i="9"/>
  <c r="N47" i="9"/>
  <c r="O47" i="9"/>
  <c r="M48" i="9"/>
  <c r="N48" i="9"/>
  <c r="O48" i="9"/>
  <c r="M49" i="9"/>
  <c r="N49" i="9"/>
  <c r="O49" i="9"/>
  <c r="M50" i="9"/>
  <c r="N50" i="9"/>
  <c r="O50" i="9"/>
  <c r="M51" i="9"/>
  <c r="N51" i="9"/>
  <c r="O51" i="9"/>
  <c r="M52" i="9"/>
  <c r="N52" i="9"/>
  <c r="O52" i="9"/>
  <c r="M53" i="9"/>
  <c r="N53" i="9"/>
  <c r="O53" i="9"/>
  <c r="M54" i="9"/>
  <c r="N54" i="9"/>
  <c r="O54" i="9"/>
  <c r="M55" i="9"/>
  <c r="N55" i="9"/>
  <c r="O55" i="9"/>
  <c r="M56" i="9"/>
  <c r="N56" i="9"/>
  <c r="O56" i="9"/>
  <c r="M57" i="9"/>
  <c r="N57" i="9"/>
  <c r="O57" i="9"/>
  <c r="M58" i="9"/>
  <c r="N58" i="9"/>
  <c r="O58" i="9"/>
  <c r="M59" i="9"/>
  <c r="N59" i="9"/>
  <c r="O59" i="9"/>
  <c r="M60" i="9"/>
  <c r="N60" i="9"/>
  <c r="O60" i="9"/>
  <c r="M61" i="9"/>
  <c r="N61" i="9"/>
  <c r="O61" i="9"/>
  <c r="M62" i="9"/>
  <c r="N62" i="9"/>
  <c r="O62" i="9"/>
  <c r="M63" i="9"/>
  <c r="N63" i="9"/>
  <c r="O63" i="9"/>
  <c r="M64" i="9"/>
  <c r="N64" i="9"/>
  <c r="O64" i="9"/>
  <c r="M65" i="9"/>
  <c r="N65" i="9"/>
  <c r="O65" i="9"/>
  <c r="M66" i="9"/>
  <c r="N66" i="9"/>
  <c r="O66" i="9"/>
  <c r="M67" i="9"/>
  <c r="N67" i="9"/>
  <c r="O67" i="9"/>
  <c r="M68" i="9"/>
  <c r="N68" i="9"/>
  <c r="O68" i="9"/>
  <c r="M69" i="9"/>
  <c r="N69" i="9"/>
  <c r="O69" i="9"/>
  <c r="M70" i="9"/>
  <c r="N70" i="9"/>
  <c r="O70" i="9"/>
  <c r="M71" i="9"/>
  <c r="N71" i="9"/>
  <c r="O71" i="9"/>
  <c r="M72" i="9"/>
  <c r="N72" i="9"/>
  <c r="O72" i="9"/>
  <c r="M73" i="9"/>
  <c r="N73" i="9"/>
  <c r="O73" i="9"/>
  <c r="M74" i="9"/>
  <c r="N74" i="9"/>
  <c r="O74" i="9"/>
  <c r="M75" i="9"/>
  <c r="N75" i="9"/>
  <c r="O75" i="9"/>
  <c r="M76" i="9"/>
  <c r="N76" i="9"/>
  <c r="O76" i="9"/>
  <c r="M77" i="9"/>
  <c r="N77" i="9"/>
  <c r="O77" i="9"/>
  <c r="M78" i="9"/>
  <c r="N78" i="9"/>
  <c r="O78" i="9"/>
  <c r="M79" i="9"/>
  <c r="N79" i="9"/>
  <c r="O79" i="9"/>
  <c r="M80" i="9"/>
  <c r="N80" i="9"/>
  <c r="O80" i="9"/>
  <c r="M81" i="9"/>
  <c r="N81" i="9"/>
  <c r="O81" i="9"/>
  <c r="M82" i="9"/>
  <c r="N82" i="9"/>
  <c r="O82" i="9"/>
  <c r="M83" i="9"/>
  <c r="N83" i="9"/>
  <c r="O83" i="9"/>
  <c r="M84" i="9"/>
  <c r="N84" i="9"/>
  <c r="O84" i="9"/>
  <c r="N2" i="9"/>
  <c r="O2" i="9"/>
  <c r="L3" i="1"/>
  <c r="M3" i="1"/>
  <c r="N3" i="1"/>
  <c r="L4" i="1"/>
  <c r="K4" i="1" s="1"/>
  <c r="M4" i="1"/>
  <c r="N4" i="1"/>
  <c r="L5" i="1"/>
  <c r="K5" i="1" s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K13" i="1" s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K21" i="1" s="1"/>
  <c r="M21" i="1"/>
  <c r="N21" i="1"/>
  <c r="L22" i="1"/>
  <c r="M22" i="1"/>
  <c r="N22" i="1"/>
  <c r="L23" i="1"/>
  <c r="K23" i="1" s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K29" i="1" s="1"/>
  <c r="M29" i="1"/>
  <c r="N29" i="1"/>
  <c r="L30" i="1"/>
  <c r="M30" i="1"/>
  <c r="N30" i="1"/>
  <c r="L31" i="1"/>
  <c r="K31" i="1" s="1"/>
  <c r="M31" i="1"/>
  <c r="N31" i="1"/>
  <c r="L32" i="1"/>
  <c r="M32" i="1"/>
  <c r="N32" i="1"/>
  <c r="L33" i="1"/>
  <c r="M33" i="1"/>
  <c r="N33" i="1"/>
  <c r="L34" i="1"/>
  <c r="M34" i="1"/>
  <c r="N34" i="1"/>
  <c r="L2" i="1"/>
  <c r="N2" i="1"/>
  <c r="M2" i="1"/>
  <c r="K10" i="1" l="1"/>
  <c r="K15" i="1"/>
  <c r="K7" i="1"/>
  <c r="K28" i="1"/>
  <c r="K20" i="1"/>
  <c r="K12" i="1"/>
  <c r="K33" i="1"/>
  <c r="P33" i="1" s="1"/>
  <c r="K30" i="1"/>
  <c r="Q30" i="1" s="1"/>
  <c r="K25" i="1"/>
  <c r="K22" i="1"/>
  <c r="K17" i="1"/>
  <c r="Q17" i="1" s="1"/>
  <c r="K14" i="1"/>
  <c r="K9" i="1"/>
  <c r="K6" i="1"/>
  <c r="K2" i="1"/>
  <c r="P2" i="1" s="1"/>
  <c r="K27" i="1"/>
  <c r="K19" i="1"/>
  <c r="K11" i="1"/>
  <c r="P11" i="1" s="1"/>
  <c r="K3" i="1"/>
  <c r="Q3" i="1" s="1"/>
  <c r="K32" i="1"/>
  <c r="P32" i="1" s="1"/>
  <c r="K24" i="1"/>
  <c r="K16" i="1"/>
  <c r="K8" i="1"/>
  <c r="Q8" i="1" s="1"/>
  <c r="K34" i="1"/>
  <c r="K26" i="1"/>
  <c r="K18" i="1"/>
  <c r="Q18" i="1" s="1"/>
  <c r="P25" i="1"/>
  <c r="P13" i="1"/>
  <c r="P5" i="1"/>
  <c r="Q25" i="1"/>
  <c r="Q23" i="1"/>
  <c r="Q7" i="1"/>
  <c r="P27" i="1"/>
  <c r="P21" i="1"/>
  <c r="P29" i="1"/>
  <c r="Q22" i="1"/>
  <c r="P26" i="1"/>
  <c r="P3" i="1"/>
  <c r="Q28" i="1"/>
  <c r="P19" i="1"/>
  <c r="P23" i="1"/>
  <c r="P22" i="1"/>
  <c r="Q26" i="1"/>
  <c r="P28" i="1"/>
  <c r="P20" i="1"/>
  <c r="P12" i="1"/>
  <c r="P4" i="1"/>
  <c r="Q29" i="1"/>
  <c r="P34" i="1"/>
  <c r="P18" i="1"/>
  <c r="P10" i="1"/>
  <c r="Q2" i="1"/>
  <c r="Q27" i="1"/>
  <c r="Q16" i="1"/>
  <c r="P17" i="1"/>
  <c r="P9" i="1"/>
  <c r="Q34" i="1"/>
  <c r="Q15" i="1"/>
  <c r="P24" i="1"/>
  <c r="P16" i="1"/>
  <c r="P8" i="1"/>
  <c r="Q33" i="1"/>
  <c r="Q10" i="1"/>
  <c r="P31" i="1"/>
  <c r="P15" i="1"/>
  <c r="P7" i="1"/>
  <c r="Q24" i="1"/>
  <c r="Q9" i="1"/>
  <c r="P30" i="1"/>
  <c r="P14" i="1"/>
  <c r="P6" i="1"/>
  <c r="Q31" i="1"/>
  <c r="Q14" i="1"/>
  <c r="Q6" i="1"/>
  <c r="Q21" i="1"/>
  <c r="Q13" i="1"/>
  <c r="Q5" i="1"/>
  <c r="Q20" i="1"/>
  <c r="Q12" i="1"/>
  <c r="Q4" i="1"/>
  <c r="Q19" i="1"/>
  <c r="Q11" i="1"/>
  <c r="Q32" i="1" l="1"/>
</calcChain>
</file>

<file path=xl/sharedStrings.xml><?xml version="1.0" encoding="utf-8"?>
<sst xmlns="http://schemas.openxmlformats.org/spreadsheetml/2006/main" count="8877" uniqueCount="2244">
  <si>
    <t>Year</t>
  </si>
  <si>
    <t>Fanatic</t>
  </si>
  <si>
    <t>ID</t>
  </si>
  <si>
    <t>Brand</t>
  </si>
  <si>
    <t>Type</t>
  </si>
  <si>
    <t>Size</t>
  </si>
  <si>
    <t>Volume</t>
  </si>
  <si>
    <t>Class</t>
  </si>
  <si>
    <t>Sessions</t>
  </si>
  <si>
    <t>66 x 232 cm</t>
  </si>
  <si>
    <t>115 l</t>
  </si>
  <si>
    <t>Slalom Medium</t>
  </si>
  <si>
    <t>Blast 100 LTD</t>
  </si>
  <si>
    <t>62 x 231 cm</t>
  </si>
  <si>
    <t>100 l</t>
  </si>
  <si>
    <t>Fanatic Blast 100 LTD</t>
  </si>
  <si>
    <t>Blast 115 LTD</t>
  </si>
  <si>
    <t>Fanatic Blast 115 LTD</t>
  </si>
  <si>
    <t>Blast 130 LTD</t>
  </si>
  <si>
    <t>70 x 233 cm</t>
  </si>
  <si>
    <t>130 l</t>
  </si>
  <si>
    <t>Slalom Large</t>
  </si>
  <si>
    <t>Fanatic Blast 130 LTD</t>
  </si>
  <si>
    <t>Blast 145 LTD</t>
  </si>
  <si>
    <t>77 x 235 cm</t>
  </si>
  <si>
    <t>145 l</t>
  </si>
  <si>
    <t>Fanatic Blast 145 LTD</t>
  </si>
  <si>
    <t>Falcon 114 TE</t>
  </si>
  <si>
    <t>71 x 230 cm</t>
  </si>
  <si>
    <t>114 l</t>
  </si>
  <si>
    <t>Fanatic Falcon 114 TE</t>
  </si>
  <si>
    <t>Falcon 129</t>
  </si>
  <si>
    <t>80 x 230 cm</t>
  </si>
  <si>
    <t>129 l</t>
  </si>
  <si>
    <t>Fanatic Falcon 129</t>
  </si>
  <si>
    <t>Falcon 89</t>
  </si>
  <si>
    <t>60 x 235 cm</t>
  </si>
  <si>
    <t>89 l</t>
  </si>
  <si>
    <t>Speed/Slalom Small</t>
  </si>
  <si>
    <t>Fanatic Falcon 89</t>
  </si>
  <si>
    <t>Falcon Lightwind</t>
  </si>
  <si>
    <t>90 x 230 cm</t>
  </si>
  <si>
    <t>159 l</t>
  </si>
  <si>
    <t>Slalom Xtra Large</t>
  </si>
  <si>
    <t>Fanatic Falcon Lightwind</t>
  </si>
  <si>
    <t>Falcon Speed 40</t>
  </si>
  <si>
    <t>40 x 228 cm</t>
  </si>
  <si>
    <t>55 l</t>
  </si>
  <si>
    <t>Speedboard</t>
  </si>
  <si>
    <t>Fanatic Falcon Speed 40</t>
  </si>
  <si>
    <t>Falcon Speed 52.5</t>
  </si>
  <si>
    <t>525 x 235 cm</t>
  </si>
  <si>
    <t>70 l</t>
  </si>
  <si>
    <t>Fanatic Falcon Speed 52.5</t>
  </si>
  <si>
    <t>FALCON SPEED EDITION 52.5</t>
  </si>
  <si>
    <t>52 x 230 cm</t>
  </si>
  <si>
    <t>Fanatic FALCON SPEED EDITION 52.5</t>
  </si>
  <si>
    <t>Falcon TE 121</t>
  </si>
  <si>
    <t>75 x 230 cm</t>
  </si>
  <si>
    <t>121 l</t>
  </si>
  <si>
    <t>Fanatic Falcon TE 121</t>
  </si>
  <si>
    <t>Falcon TE 136</t>
  </si>
  <si>
    <t>85 x 225 cm</t>
  </si>
  <si>
    <t>136 l</t>
  </si>
  <si>
    <t>Fanatic Falcon TE 136</t>
  </si>
  <si>
    <t>Falcon TE 98</t>
  </si>
  <si>
    <t>98 l</t>
  </si>
  <si>
    <t>Fanatic Falcon TE 98</t>
  </si>
  <si>
    <t>Falcon TE 99</t>
  </si>
  <si>
    <t>63 x 235 cm</t>
  </si>
  <si>
    <t>99 l</t>
  </si>
  <si>
    <t>Fanatic Falcon TE 99</t>
  </si>
  <si>
    <t>Freewave</t>
  </si>
  <si>
    <t>66 x 235 cm</t>
  </si>
  <si>
    <t>116 l</t>
  </si>
  <si>
    <t>Wave / Freestyle</t>
  </si>
  <si>
    <t>Fanatic Freewave</t>
  </si>
  <si>
    <t>106 l</t>
  </si>
  <si>
    <t>58 x 225 cm</t>
  </si>
  <si>
    <t>85 l</t>
  </si>
  <si>
    <t>Gecko</t>
  </si>
  <si>
    <t>78 x 246 cm</t>
  </si>
  <si>
    <t>133 l</t>
  </si>
  <si>
    <t>Fanatic Gecko</t>
  </si>
  <si>
    <t>76 x 242 cm</t>
  </si>
  <si>
    <t>120 l</t>
  </si>
  <si>
    <t>Gecko Foil Edition</t>
  </si>
  <si>
    <t>76 x 245 cm</t>
  </si>
  <si>
    <t>Fanatic Gecko Foil Edition</t>
  </si>
  <si>
    <t>58 x 224 cm</t>
  </si>
  <si>
    <t>82 l</t>
  </si>
  <si>
    <t>Grip 99</t>
  </si>
  <si>
    <t>62 x 229 cm</t>
  </si>
  <si>
    <t>Fanatic Grip 99</t>
  </si>
  <si>
    <t>Jag 125</t>
  </si>
  <si>
    <t>75 x 235 cm</t>
  </si>
  <si>
    <t>125 l</t>
  </si>
  <si>
    <t>Fanatic Jag 125</t>
  </si>
  <si>
    <t>Lüderitz Speed 44</t>
  </si>
  <si>
    <t>44 x 230 cm</t>
  </si>
  <si>
    <t>50 l</t>
  </si>
  <si>
    <t>Fanatic Lüderitz Speed 44</t>
  </si>
  <si>
    <t>Shark</t>
  </si>
  <si>
    <t>70 x 295 cm</t>
  </si>
  <si>
    <t>Fanatic Shark</t>
  </si>
  <si>
    <t>Slalom TE 136</t>
  </si>
  <si>
    <t>85 x 235 cm</t>
  </si>
  <si>
    <t>Fanatic Slalom TE 136</t>
  </si>
  <si>
    <t>Slalom TE 98</t>
  </si>
  <si>
    <t>Fanatic Slalom TE 98</t>
  </si>
  <si>
    <t>Stubby TE 99</t>
  </si>
  <si>
    <t>60 x 218 cm</t>
  </si>
  <si>
    <t>Fanatic Stubby TE 99</t>
  </si>
  <si>
    <t>Viper</t>
  </si>
  <si>
    <t>85 x 285 cm</t>
  </si>
  <si>
    <t>220 l</t>
  </si>
  <si>
    <t>Fanatic Viper</t>
  </si>
  <si>
    <t>Wave</t>
  </si>
  <si>
    <t>64 x 232 cm</t>
  </si>
  <si>
    <t>103 l</t>
  </si>
  <si>
    <t>Fanatic Wave</t>
  </si>
  <si>
    <t>MODELS</t>
  </si>
  <si>
    <t>VOLUME</t>
  </si>
  <si>
    <t>WIDTH</t>
  </si>
  <si>
    <t>LENGTH</t>
  </si>
  <si>
    <t>TECHNOLOGY</t>
  </si>
  <si>
    <t>FIN BOXES</t>
  </si>
  <si>
    <t>FINS</t>
  </si>
  <si>
    <t>REC. SAIL SIZES</t>
  </si>
  <si>
    <t>Stubby TE 76</t>
  </si>
  <si>
    <t>BXIC</t>
  </si>
  <si>
    <t>2 × Slot Box,_x000D_Center US Box</t>
  </si>
  <si>
    <t>CF 2 × 12cm, 17cm</t>
  </si>
  <si>
    <t>Up to 5.3 m2</t>
  </si>
  <si>
    <t>Stubby TE 82</t>
  </si>
  <si>
    <t>Up to 5.8 m2</t>
  </si>
  <si>
    <t>Stubby TE 89</t>
  </si>
  <si>
    <t>CF 2 × 12cm, 18cm</t>
  </si>
  <si>
    <t>Up to 6.2 m2</t>
  </si>
  <si>
    <t>Up to 6.5 m2</t>
  </si>
  <si>
    <t>Grip TE 68</t>
  </si>
  <si>
    <t>4 × Slot Box</t>
  </si>
  <si>
    <t>CF 2 × 9 cm, 2 × 14cm</t>
  </si>
  <si>
    <t>Up to 5.0 m2</t>
  </si>
  <si>
    <t>Grip TE 76</t>
  </si>
  <si>
    <t>5 × Slot Box</t>
  </si>
  <si>
    <t>CF 2 × 9.5 cm, 2 × 14.5 cm</t>
  </si>
  <si>
    <t>Grip TE 82</t>
  </si>
  <si>
    <t>Grip TE 89</t>
  </si>
  <si>
    <t>CF 2 × 10 cm, 2 × 14.5 cm</t>
  </si>
  <si>
    <t>Grip TE 99</t>
  </si>
  <si>
    <t>2 × Slot Box, C. US Box</t>
  </si>
  <si>
    <t>MFC TF Black 2 × 12cm, 19 cm</t>
  </si>
  <si>
    <t/>
  </si>
  <si>
    <t>FreeWave STB TXTR 85</t>
  </si>
  <si>
    <t>TXTR / BXIC</t>
  </si>
  <si>
    <t>2 × Slot Box,_x000D_Power Box</t>
  </si>
  <si>
    <t>MFC TF Black 2 × 12 cm, 18 cm</t>
  </si>
  <si>
    <t>Up to 6.0 m2</t>
  </si>
  <si>
    <t>FreeWave STB TXTR 95</t>
  </si>
  <si>
    <t>MFC TF Black 2 × 12 cm, 19 cm</t>
  </si>
  <si>
    <t>FreeWave STB TXTR 105</t>
  </si>
  <si>
    <t>MFC TF Black 2 × 12 cm, 20 cm</t>
  </si>
  <si>
    <t>Up to 6.8 m2</t>
  </si>
  <si>
    <t>FreeWave STB TXTR 115</t>
  </si>
  <si>
    <t>MFC 30 cm</t>
  </si>
  <si>
    <t>Up to 7.5 m2</t>
  </si>
  <si>
    <t>FreeWave STB TE 85</t>
  </si>
  <si>
    <t>FreeWave STB TE 95</t>
  </si>
  <si>
    <t>FreeWave STB TE 105</t>
  </si>
  <si>
    <t>FreeWave STB TE 115</t>
  </si>
  <si>
    <t>FreeWave STB 85</t>
  </si>
  <si>
    <t>BXF</t>
  </si>
  <si>
    <t>CF 26 cm</t>
  </si>
  <si>
    <t>FreeWave STB 95</t>
  </si>
  <si>
    <t>CF 28 cm</t>
  </si>
  <si>
    <t>FreeWave STB 105</t>
  </si>
  <si>
    <t>CF 30 cm</t>
  </si>
  <si>
    <t>Skate TE 86</t>
  </si>
  <si>
    <t>Power Box</t>
  </si>
  <si>
    <t>CF Composite Innegra 17.5 cm</t>
  </si>
  <si>
    <t>Skate TE 93</t>
  </si>
  <si>
    <t>CF Composite Innegra 18.5 cm</t>
  </si>
  <si>
    <t>Up to 5.9 m2</t>
  </si>
  <si>
    <t>Skate TE 100</t>
  </si>
  <si>
    <t>CF Composite Innegra 20 cm</t>
  </si>
  <si>
    <t>Skate TE 108</t>
  </si>
  <si>
    <t>CF Composite Innegra 22 cm</t>
  </si>
  <si>
    <t>Up to 6.7 m2</t>
  </si>
  <si>
    <t>Gecko LTD 98</t>
  </si>
  <si>
    <t>CF Composite Black 34 cm</t>
  </si>
  <si>
    <t>Gecko LTD 105</t>
  </si>
  <si>
    <t>CF Composite Black 36 cm</t>
  </si>
  <si>
    <t>Up to 8.0 m2</t>
  </si>
  <si>
    <t>Gecko LTD 112</t>
  </si>
  <si>
    <t>CF Composite Black 38 cm</t>
  </si>
  <si>
    <t>Up to 8.5 m2</t>
  </si>
  <si>
    <t>Gecko LTD 120</t>
  </si>
  <si>
    <t>CF Composite Black 40 cm</t>
  </si>
  <si>
    <t>Up to 9.0 m2</t>
  </si>
  <si>
    <t>Gecko LTD 133</t>
  </si>
  <si>
    <t>CF Composite Black 42 cm</t>
  </si>
  <si>
    <t>Up to 9.5 m2</t>
  </si>
  <si>
    <t>Gecko LTD 146</t>
  </si>
  <si>
    <t>CF Composite Black 46 cm</t>
  </si>
  <si>
    <t>Up to 10 m2</t>
  </si>
  <si>
    <t>Gecko Foil Edition 120</t>
  </si>
  <si>
    <t>FOIL Tuttle Box</t>
  </si>
  <si>
    <t>Gecko Foil Edition 133</t>
  </si>
  <si>
    <t>CF Composite Black 44 cm</t>
  </si>
  <si>
    <t>Gecko Eco 112</t>
  </si>
  <si>
    <t>CBC</t>
  </si>
  <si>
    <t>Gecko HRS 98</t>
  </si>
  <si>
    <t>HRS</t>
  </si>
  <si>
    <t>CF White 34 cm</t>
  </si>
  <si>
    <t>Gecko HRS 105</t>
  </si>
  <si>
    <t>CF White 36 cm</t>
  </si>
  <si>
    <t>Gecko HRS 112</t>
  </si>
  <si>
    <t>CF White 38 cm</t>
  </si>
  <si>
    <t>Gecko HRS 120</t>
  </si>
  <si>
    <t>CF White 40 cm</t>
  </si>
  <si>
    <t>Gecko HRS 133</t>
  </si>
  <si>
    <t>CF White 42 cm</t>
  </si>
  <si>
    <t>Gecko HRS 146</t>
  </si>
  <si>
    <t>CF White 46 cm</t>
  </si>
  <si>
    <t>Gecko HRS 156 +</t>
  </si>
  <si>
    <t>CF White 48 cm</t>
  </si>
  <si>
    <t>Up to 11 m2</t>
  </si>
  <si>
    <t>Gecko HRS 156 + Daggerboard</t>
  </si>
  <si>
    <t>Fanatic Viper 34 &amp; Daggerboard</t>
  </si>
  <si>
    <t>Blast TXTR 100</t>
  </si>
  <si>
    <t>TXTR / BXC</t>
  </si>
  <si>
    <t>Tuttle Box</t>
  </si>
  <si>
    <t>Up to 7.8 m2</t>
  </si>
  <si>
    <t>Blast TXTR 115</t>
  </si>
  <si>
    <t>Up to 8.4 m2</t>
  </si>
  <si>
    <t>Blast TXTR 130</t>
  </si>
  <si>
    <t>Blast TXTR 145</t>
  </si>
  <si>
    <t>Up to 10.0 m2</t>
  </si>
  <si>
    <t>Blast LTD 100</t>
  </si>
  <si>
    <t>Blast LTD 115</t>
  </si>
  <si>
    <t>Blast LTD 130</t>
  </si>
  <si>
    <t>Blast LTD 145</t>
  </si>
  <si>
    <t>Falcon TE 89</t>
  </si>
  <si>
    <t>BXC</t>
  </si>
  <si>
    <t>Short Tuttle Box</t>
  </si>
  <si>
    <t>No Fin</t>
  </si>
  <si>
    <t>Up to 8.2 m2</t>
  </si>
  <si>
    <t>Falcon TE 114</t>
  </si>
  <si>
    <t>FULL BXC</t>
  </si>
  <si>
    <t>Medium Tuttle Box</t>
  </si>
  <si>
    <t>Up to 8.6 m2</t>
  </si>
  <si>
    <t>Up to 9.2 m2</t>
  </si>
  <si>
    <t>Falcon TE129</t>
  </si>
  <si>
    <t>Falcon Lightwind 159</t>
  </si>
  <si>
    <t>CF Composite Black 50 cm</t>
  </si>
  <si>
    <t>Falcon Speed 44 Lüderitz</t>
  </si>
  <si>
    <t>Up to 7.0 m2</t>
  </si>
  <si>
    <t>Falcon Speed 56</t>
  </si>
  <si>
    <t>Falcon Formula 172</t>
  </si>
  <si>
    <t>Deep Tuttle Box</t>
  </si>
  <si>
    <t>Up to 12.5 m2</t>
  </si>
  <si>
    <t>Viper 75</t>
  </si>
  <si>
    <t>Fanatic Viper 34, Daggerboard</t>
  </si>
  <si>
    <t>Viper 80</t>
  </si>
  <si>
    <t>Viper 85</t>
  </si>
  <si>
    <t>Viper 91</t>
  </si>
  <si>
    <t>Viper Air Windsurf 355</t>
  </si>
  <si>
    <t>DL HD</t>
  </si>
  <si>
    <t>2 × US Box 10 cm</t>
  </si>
  <si>
    <t>1 × Fly 19.5 cm, 1 × Fly Race 22 cm</t>
  </si>
  <si>
    <t>–</t>
  </si>
  <si>
    <t>Viper Air Windsurf 355 Pure</t>
  </si>
  <si>
    <t>Pure</t>
  </si>
  <si>
    <t>Ripper 112</t>
  </si>
  <si>
    <t>Fanatic Ripper 30 &amp; 39</t>
  </si>
  <si>
    <t>Ripper Air Windsurf 187</t>
  </si>
  <si>
    <t>Tandem Air Premium</t>
  </si>
  <si>
    <t>2 × Fly 19.5 cm</t>
  </si>
  <si>
    <t>YEAR</t>
  </si>
  <si>
    <t>5x Slot Box</t>
  </si>
  <si>
    <t>3x Slot Box</t>
  </si>
  <si>
    <t>Power Box + 2x Slot</t>
  </si>
  <si>
    <t>Foil Tuttle Box</t>
  </si>
  <si>
    <t>4-Way Track + Tuttle</t>
  </si>
  <si>
    <t>Grip TE 69</t>
  </si>
  <si>
    <t>Grip TE 81</t>
  </si>
  <si>
    <t>Grip TE 87</t>
  </si>
  <si>
    <t>Grip TE 93</t>
  </si>
  <si>
    <t>Grip TE 107</t>
  </si>
  <si>
    <t>Mamba TE 78</t>
  </si>
  <si>
    <t>Mamba TE 84</t>
  </si>
  <si>
    <t>Mamba TE 94</t>
  </si>
  <si>
    <t>Mamba TE 104</t>
  </si>
  <si>
    <t>Skate TE 85</t>
  </si>
  <si>
    <t>Skate TE 91</t>
  </si>
  <si>
    <t>Skate TE 99</t>
  </si>
  <si>
    <t>FreeWave TE/LTD 75</t>
  </si>
  <si>
    <t>FreeWave TE/LTD 85</t>
  </si>
  <si>
    <t>FreeWave TE/LTD 95</t>
  </si>
  <si>
    <t>FreeWave TE/LTD 105</t>
  </si>
  <si>
    <t>FreeWave TE/LTD 115</t>
  </si>
  <si>
    <t>FreeWave TE/LTD 125</t>
  </si>
  <si>
    <t>Blast LTD/HRS 100</t>
  </si>
  <si>
    <t>Blast LTD/HRS 117</t>
  </si>
  <si>
    <t>Blast LTD/HRS 132</t>
  </si>
  <si>
    <t>Blast LTD/HRS 147</t>
  </si>
  <si>
    <t>Gecko LTD/HRS 100</t>
  </si>
  <si>
    <t>Gecko LTD/HRS 110</t>
  </si>
  <si>
    <t>Gecko LTD/HRS 122</t>
  </si>
  <si>
    <t>Gecko LTD/HRS 135</t>
  </si>
  <si>
    <t>Gecko LTD/HRS 148</t>
  </si>
  <si>
    <t>Gecko LTD/HRS 156</t>
  </si>
  <si>
    <t>Eagle LTD/HRS 130</t>
  </si>
  <si>
    <t>Eagle LTD/HRS 150</t>
  </si>
  <si>
    <t>Jag LTD 94</t>
  </si>
  <si>
    <t>Jag LTD 110</t>
  </si>
  <si>
    <t>Jag LTD 128</t>
  </si>
  <si>
    <t>Jag LTD 138</t>
  </si>
  <si>
    <t>Jag LTD 158</t>
  </si>
  <si>
    <t>Falcon TE 80</t>
  </si>
  <si>
    <t>Falcon TE 90</t>
  </si>
  <si>
    <t>Falcon TE 97</t>
  </si>
  <si>
    <t>Falcon TE 107</t>
  </si>
  <si>
    <t>Falcon TE 116</t>
  </si>
  <si>
    <t>Falcon TE 130</t>
  </si>
  <si>
    <t>Falcon TE 140</t>
  </si>
  <si>
    <t>Stingray LTD 115</t>
  </si>
  <si>
    <t>Stingray LTD 130</t>
  </si>
  <si>
    <t>Falcon Foil 140</t>
  </si>
  <si>
    <t>Falcon Foil 170</t>
  </si>
  <si>
    <t>Falcon Foil 180</t>
  </si>
  <si>
    <t>Tiga Box</t>
  </si>
  <si>
    <t>Tuttlebox</t>
  </si>
  <si>
    <t>&lt; 6.5</t>
  </si>
  <si>
    <t>&lt; 7.4</t>
  </si>
  <si>
    <t>Foil-Tuttlebox</t>
  </si>
  <si>
    <t>6.5 – 8.2</t>
  </si>
  <si>
    <t>&gt; 8.2</t>
  </si>
  <si>
    <t>Tiga</t>
  </si>
  <si>
    <t>260 ACR</t>
  </si>
  <si>
    <t>Slalom 55</t>
  </si>
  <si>
    <t>Slalom 62.5</t>
  </si>
  <si>
    <t>Slalom 72</t>
  </si>
  <si>
    <t>Slalom 85</t>
  </si>
  <si>
    <t>JP</t>
  </si>
  <si>
    <t>S-TEC</t>
  </si>
  <si>
    <t>&lt; 7.4 (Ideal: 5.0–7.0)</t>
  </si>
  <si>
    <t>5.5–8.2 (Ideal: 5.6–7.8)</t>
  </si>
  <si>
    <t>6.5–8.6 (Ideal: 7.0–8.2)</t>
  </si>
  <si>
    <t>7.0–9.0 (Ideal: 7.4–8.6)</t>
  </si>
  <si>
    <t>&gt; 7.4 (Ideal: 7.6–9.0)</t>
  </si>
  <si>
    <t>Slalom 66</t>
  </si>
  <si>
    <t>Slalom 76</t>
  </si>
  <si>
    <t>ID2</t>
  </si>
  <si>
    <t>Length</t>
  </si>
  <si>
    <t>Width</t>
  </si>
  <si>
    <t>Vol</t>
  </si>
  <si>
    <t>XMATCH</t>
  </si>
  <si>
    <t>XLookUp "-1"</t>
  </si>
  <si>
    <t>Quad TE 69 NEW SHAPE</t>
  </si>
  <si>
    <t>IC / LF</t>
  </si>
  <si>
    <t>3.3 – 5.0 m2</t>
  </si>
  <si>
    <t>Quad TE 75 NEW SHAPE</t>
  </si>
  <si>
    <t>3.7 – 5.3 m2</t>
  </si>
  <si>
    <t>Quad TE 81 NEW SHAPE</t>
  </si>
  <si>
    <t>4.0 – 5.8 m2</t>
  </si>
  <si>
    <t>Quad TE 90 NEW SHAPE</t>
  </si>
  <si>
    <t>4.2 – 6.5 m2</t>
  </si>
  <si>
    <t>Stubby TE 77 NEW SHAPE</t>
  </si>
  <si>
    <t>3.3 – 5.3 m2</t>
  </si>
  <si>
    <t>Stubby TE 88 NEW SHAPE</t>
  </si>
  <si>
    <t>TriWave TE 74 NEW SHAPE</t>
  </si>
  <si>
    <t>3.5 – 5.3 m2</t>
  </si>
  <si>
    <t>TriWave TE 82 NEW SHAPE</t>
  </si>
  <si>
    <t>TriWave TE 89 NEW SHAPE</t>
  </si>
  <si>
    <t>4.2 – 6.2 m2</t>
  </si>
  <si>
    <t>TriWave TE 99 NEW SHAPE</t>
  </si>
  <si>
    <t>4.5 – 6.7 m2</t>
  </si>
  <si>
    <t>FreeWave TE 76; FreeWave CWS 76</t>
  </si>
  <si>
    <t>IC / LF; CWS</t>
  </si>
  <si>
    <t>3.7 – 6.0 m2</t>
  </si>
  <si>
    <t>TeXtreme® IC / LF; IC / LF; CWS</t>
  </si>
  <si>
    <t>4.7 – 7.0 m2</t>
  </si>
  <si>
    <t>5.0 – 7.3 m2</t>
  </si>
  <si>
    <t>3.7 – 5.9 m2</t>
  </si>
  <si>
    <t>4.2 – 6.4 m2</t>
  </si>
  <si>
    <t>4.5 – 7.0 m2</t>
  </si>
  <si>
    <t>5.0 – 7.5 m2</t>
  </si>
  <si>
    <t>Skate 100</t>
  </si>
  <si>
    <t>BGS / LF</t>
  </si>
  <si>
    <t>Skate 110</t>
  </si>
  <si>
    <t>IC / BSLT / LF; BOS / LF</t>
  </si>
  <si>
    <t>4.5 – 7.5 m2</t>
  </si>
  <si>
    <t>5.0 – 8.0 m2</t>
  </si>
  <si>
    <t>5.5 – 8.5 m2</t>
  </si>
  <si>
    <t>IC / BSLT / LF; BOS / LF; HRS</t>
  </si>
  <si>
    <t>6.0 – 9.0 m2</t>
  </si>
  <si>
    <t>7.5 – 9.5 m2</t>
  </si>
  <si>
    <t>7.0 – 10.0 m2</t>
  </si>
  <si>
    <t>BOS / LF; HRS</t>
  </si>
  <si>
    <t>8.0 – 11.0 m2</t>
  </si>
  <si>
    <t>Falcon Slalom TE 90</t>
  </si>
  <si>
    <t>BCS / LF</t>
  </si>
  <si>
    <t>5.0 – 7.8 m2</t>
  </si>
  <si>
    <t>BCS / LF; BGS / LF</t>
  </si>
  <si>
    <t>5.5 – 8.2 m2</t>
  </si>
  <si>
    <t>Full BCS / LF (Deck &amp; Bottom); BGS / LF</t>
  </si>
  <si>
    <t>6.0 – 8.6 m2</t>
  </si>
  <si>
    <t>6.5 – 9.2 m2</t>
  </si>
  <si>
    <t>Full BCS / LF (Deck &amp; Bottom)</t>
  </si>
  <si>
    <t>6.8 – 9.5 m2</t>
  </si>
  <si>
    <t>Falcon Slalom TE 138</t>
  </si>
  <si>
    <t>Falcon Slalom TE 152</t>
  </si>
  <si>
    <t>7.5 – 11.0+ m2</t>
  </si>
  <si>
    <t>8.0 – 12.5+ m2</t>
  </si>
  <si>
    <t>4.0 – 6.5 m2</t>
  </si>
  <si>
    <t>Falcon Speed 50</t>
  </si>
  <si>
    <t>Viper 70</t>
  </si>
  <si>
    <t>HRS – Softdeck</t>
  </si>
  <si>
    <t>2.0 – 8.0 m2</t>
  </si>
  <si>
    <t>2.0 – 10.0 m2</t>
  </si>
  <si>
    <t>2.0 – 11.0 m2</t>
  </si>
  <si>
    <t>Ripper 102</t>
  </si>
  <si>
    <t>1.5 – 8.0 m2</t>
  </si>
  <si>
    <t>Ripper 120</t>
  </si>
  <si>
    <t>Double Layer Heavy Duty</t>
  </si>
  <si>
    <t>1.5 – 8.5 m2</t>
  </si>
  <si>
    <t>1.0 – 6.5 m2</t>
  </si>
  <si>
    <t>Falcon Slalom TE 99</t>
  </si>
  <si>
    <t>Falcon Slalom TE 129</t>
  </si>
  <si>
    <t>Falcon Slalom TE 121</t>
  </si>
  <si>
    <t>Falcon Slalom TE 112</t>
  </si>
  <si>
    <t>FreeWave 86</t>
  </si>
  <si>
    <t>FreeWave 96</t>
  </si>
  <si>
    <t>FreeWave 106</t>
  </si>
  <si>
    <t>FreeWave 116</t>
  </si>
  <si>
    <t>Skate TE 94</t>
  </si>
  <si>
    <t>Hawk 99</t>
  </si>
  <si>
    <t>Hawk 113</t>
  </si>
  <si>
    <t>Hawk 124</t>
  </si>
  <si>
    <t>Gecko 98</t>
  </si>
  <si>
    <t>Gecko 105</t>
  </si>
  <si>
    <t>Gecko 112</t>
  </si>
  <si>
    <t>Gecko 120</t>
  </si>
  <si>
    <t>Gecko 133</t>
  </si>
  <si>
    <t>Gecko 146</t>
  </si>
  <si>
    <t>Gecko 156+</t>
  </si>
  <si>
    <t>Viper Air 315</t>
  </si>
  <si>
    <t>Ripper Air WS 187</t>
  </si>
  <si>
    <t>Blast 115</t>
  </si>
  <si>
    <t>Fanatic Blast 115</t>
  </si>
  <si>
    <t>Fanatic FreeWave STB 85</t>
  </si>
  <si>
    <t>Fanatic Gecko 120</t>
  </si>
  <si>
    <t>Grip 82</t>
  </si>
  <si>
    <t>Fanatic Grip 82</t>
  </si>
  <si>
    <t>Temp Notes</t>
  </si>
  <si>
    <t>TECHNORA KEVLAR DOUBLE SANDWICH / LF</t>
  </si>
  <si>
    <t>FANATIC NEWWAVE 21,5 G10</t>
  </si>
  <si>
    <t>FANATIC NEWWAVE 22,5 G10</t>
  </si>
  <si>
    <t>FANATIC NEWWAVE 23,5 G10</t>
  </si>
  <si>
    <t>TECHNORA KEVLAR DOUBLE SANDWICH / ULF</t>
  </si>
  <si>
    <t>GLASS DOUBLE SANDWICH</t>
  </si>
  <si>
    <t>FANATIC ALLWAVE 22 G10</t>
  </si>
  <si>
    <t>FANATIC ALLWAVE 23,5 G10</t>
  </si>
  <si>
    <t>AW 92</t>
  </si>
  <si>
    <t>FANATIC ALLWAVE 25 G10</t>
  </si>
  <si>
    <t>FANATIC FREEWAVE 23 G10</t>
  </si>
  <si>
    <t>FANATIC FREEWAVE 25 G10</t>
  </si>
  <si>
    <t>FANATIC FREEWAVE 27 G10</t>
  </si>
  <si>
    <t>FW 104</t>
  </si>
  <si>
    <t>FANATIC FREEWAVE 29 G10</t>
  </si>
  <si>
    <t>SKATE 97</t>
  </si>
  <si>
    <t>TECHNORA KEVLAR SANDWICH / LF</t>
  </si>
  <si>
    <t>FANATIC SKATE 25 G10</t>
  </si>
  <si>
    <t>SKATE 107</t>
  </si>
  <si>
    <t>FANATIC SKATE 27 G10</t>
  </si>
  <si>
    <t>SKATE TE 97</t>
  </si>
  <si>
    <t>TECHNORA KEVLAR SANDWICH / ULF</t>
  </si>
  <si>
    <t>SKATE TE 107</t>
  </si>
  <si>
    <t>HAWK 93</t>
  </si>
  <si>
    <t>HYBRID SANDWICH</t>
  </si>
  <si>
    <t>FANATIC HAWK 28 G10</t>
  </si>
  <si>
    <t>HAWK 108</t>
  </si>
  <si>
    <t>FANATIC HAWK 34 G10</t>
  </si>
  <si>
    <t>HAWK 123</t>
  </si>
  <si>
    <t>FANATIC HAWK 38 G10</t>
  </si>
  <si>
    <t>EAGLE 100</t>
  </si>
  <si>
    <t>FANATIC EAGLE 36 G10</t>
  </si>
  <si>
    <t>EAGLE 113</t>
  </si>
  <si>
    <t>FANATIC EAGLE 39 G10</t>
  </si>
  <si>
    <t>EAGLE 126</t>
  </si>
  <si>
    <t>FANATIC EAGLE 42 G10</t>
  </si>
  <si>
    <t>SHARK 130 LTD</t>
  </si>
  <si>
    <t>FANATIC FREERIDE 46 G10</t>
  </si>
  <si>
    <t>SHARK 145 LTD</t>
  </si>
  <si>
    <t>FANATIC FREERIDE 50 G10</t>
  </si>
  <si>
    <t>SHARK 130</t>
  </si>
  <si>
    <t>HIGH RESISTANCE SKIN</t>
  </si>
  <si>
    <t>FANATIC FREERIDE 46</t>
  </si>
  <si>
    <t>SHARK 145</t>
  </si>
  <si>
    <t>FANATIC FREERIDE 50</t>
  </si>
  <si>
    <t>SHARK 160</t>
  </si>
  <si>
    <t>FANATIC FREERIDE 52</t>
  </si>
  <si>
    <t>FALCON SPEED</t>
  </si>
  <si>
    <t>CARBON SANDWICH</t>
  </si>
  <si>
    <t>FANATIC SPEED 28 G10</t>
  </si>
  <si>
    <t>FALCON SL 79</t>
  </si>
  <si>
    <t>FALCON SL 89</t>
  </si>
  <si>
    <t>FALCON SL 104</t>
  </si>
  <si>
    <t>FALCON SL 124</t>
  </si>
  <si>
    <t>FALCON SL 145</t>
  </si>
  <si>
    <t>Fanatic Slalom 54 G10</t>
  </si>
  <si>
    <t>VIPER 75</t>
  </si>
  <si>
    <t>HIGH RESISTANCE SKIN – SOFTDECK</t>
  </si>
  <si>
    <t>FANATIC VIPER 34, DAGGERBOARD</t>
  </si>
  <si>
    <t>VIPER 80</t>
  </si>
  <si>
    <t>VIPER 85</t>
  </si>
  <si>
    <t>RIPPER 102</t>
  </si>
  <si>
    <t>FANATIC RIPPER 30 &amp; 39</t>
  </si>
  <si>
    <t>Newwave TE 69</t>
  </si>
  <si>
    <t>Carbon Kevlar Light TE</t>
  </si>
  <si>
    <t>Fanatic Newwave 20.5 Prepreg</t>
  </si>
  <si>
    <t>Us Box</t>
  </si>
  <si>
    <t>3.3 – 5.4 M2</t>
  </si>
  <si>
    <t>Newwave TE 76</t>
  </si>
  <si>
    <t>Fanatic Newwave 21.5 Prepreg</t>
  </si>
  <si>
    <t>3.5 – 5.8 M2</t>
  </si>
  <si>
    <t>Newwave TE 83</t>
  </si>
  <si>
    <t>Fanatic Newwave 22 Prepreg</t>
  </si>
  <si>
    <t>3.7 – 6.0 M2</t>
  </si>
  <si>
    <t>Newwave TE 91</t>
  </si>
  <si>
    <t>Fanatic Newwave 23 Prepreg</t>
  </si>
  <si>
    <t>4.2 – 6.4 M2</t>
  </si>
  <si>
    <t>Newwave Twin TE 72</t>
  </si>
  <si>
    <t>2 X Fanatic Newwave 15.5 G10</t>
  </si>
  <si>
    <t>3.7 – 5.3 M2</t>
  </si>
  <si>
    <t>Newwave Twin TE 79</t>
  </si>
  <si>
    <t>2 X Fanatic Newwave 16 G10</t>
  </si>
  <si>
    <t>4.0 – 5.8 M2</t>
  </si>
  <si>
    <t>Newwave Twin TE 86</t>
  </si>
  <si>
    <t>2 X Fanatic Newwave 16.5 G10</t>
  </si>
  <si>
    <t>4.2 – 6.2 M2</t>
  </si>
  <si>
    <t>Newwave Twin TE 93</t>
  </si>
  <si>
    <t>2 X Fanatic Newwave 17 G10</t>
  </si>
  <si>
    <t>4.5 – 6.6 M2</t>
  </si>
  <si>
    <t>Freewave 75</t>
  </si>
  <si>
    <t>Custom Wood Sandwich Light</t>
  </si>
  <si>
    <t>Fanatic Freewave 23 G10</t>
  </si>
  <si>
    <t>Freewave 85</t>
  </si>
  <si>
    <t>Fanatic Freewave 25 G10</t>
  </si>
  <si>
    <t>4.2 – 6.5 M2</t>
  </si>
  <si>
    <t>Freewave 95</t>
  </si>
  <si>
    <t>Fanatic Freewave 27 G10</t>
  </si>
  <si>
    <t>4.5 – 6.7 M2</t>
  </si>
  <si>
    <t>Freewave 105</t>
  </si>
  <si>
    <t>Fanatic Freewave 29 G10</t>
  </si>
  <si>
    <t>4.7 –7.0 M2</t>
  </si>
  <si>
    <t>Freewave 115</t>
  </si>
  <si>
    <t>5.0 – 7.3 M2</t>
  </si>
  <si>
    <t>Freewave TE 75</t>
  </si>
  <si>
    <t>Freewave TE 85</t>
  </si>
  <si>
    <t>Freewave TE 95</t>
  </si>
  <si>
    <t>Freewave TE 105</t>
  </si>
  <si>
    <t>4.7 – 7.0 M2</t>
  </si>
  <si>
    <t>Freewave TE 115</t>
  </si>
  <si>
    <t>Biax Glass Sandwich Light</t>
  </si>
  <si>
    <t>Fanatic Freestyle 22 Prepreg</t>
  </si>
  <si>
    <t>4.5 – 7.0 M2</t>
  </si>
  <si>
    <t>Fanatic Freestyle 24 Prepreg</t>
  </si>
  <si>
    <t>5.0 – 7.5 M2</t>
  </si>
  <si>
    <t>Skate TE 90</t>
  </si>
  <si>
    <t>Fanatic Freestyle 20 Prepreg</t>
  </si>
  <si>
    <t>4.0 – 6.6 M2</t>
  </si>
  <si>
    <t>Skate TE 110</t>
  </si>
  <si>
    <t>Hawk 100</t>
  </si>
  <si>
    <t>Wood Sandwich Light</t>
  </si>
  <si>
    <t>Fanatic Hawk 34 Gfk</t>
  </si>
  <si>
    <t>5.0 – 8.0 M2</t>
  </si>
  <si>
    <t>Hawk 120</t>
  </si>
  <si>
    <t>Fanatic Hawk 39 Gfk</t>
  </si>
  <si>
    <t>5.5 – 8.5 M2</t>
  </si>
  <si>
    <t>Hawk 135</t>
  </si>
  <si>
    <t>Fanatic Hawk 46 Gfk</t>
  </si>
  <si>
    <t>6.0 – 9.0 M2</t>
  </si>
  <si>
    <t>Hawk Ltd 100</t>
  </si>
  <si>
    <t>Aramid Carbon Sandwich Light</t>
  </si>
  <si>
    <t>Fanatic Hawk 34 G10</t>
  </si>
  <si>
    <t>Hawk Ltd 120</t>
  </si>
  <si>
    <t>Fanatic Hawk 39 G10</t>
  </si>
  <si>
    <t>Hawk Ltd 135</t>
  </si>
  <si>
    <t>Fanatic Hawk 46 G10</t>
  </si>
  <si>
    <t>Shark 100</t>
  </si>
  <si>
    <t>High Resistance Skin</t>
  </si>
  <si>
    <t>Fanatic Freeride 36 Gfk</t>
  </si>
  <si>
    <t>Shark 115</t>
  </si>
  <si>
    <t>Fanatic Freeride 39 Gfk</t>
  </si>
  <si>
    <t>Shark 125</t>
  </si>
  <si>
    <t>Fanatic Freeride 42 Gfk</t>
  </si>
  <si>
    <t>5.5 – 8.0 M2</t>
  </si>
  <si>
    <t>Shark 135</t>
  </si>
  <si>
    <t>Fanatic Freeride 48 Gfk</t>
  </si>
  <si>
    <t>Shark 150</t>
  </si>
  <si>
    <t>Fanatic Freeride 50 Gfk</t>
  </si>
  <si>
    <t>6.5 – 9.5 M2</t>
  </si>
  <si>
    <t>Shark 165</t>
  </si>
  <si>
    <t>Fanatic Freeride 54 Gfk</t>
  </si>
  <si>
    <t>7.0 – 10.0 M”</t>
  </si>
  <si>
    <t>Shark 135 Ltd</t>
  </si>
  <si>
    <t>Fanatic Freeride 48 G10</t>
  </si>
  <si>
    <t>Shark 150 Ltd</t>
  </si>
  <si>
    <t>Fanatic Freeride 52 G10</t>
  </si>
  <si>
    <t>Ray 95 Ltd</t>
  </si>
  <si>
    <t>Ray 34 G10</t>
  </si>
  <si>
    <t>Ray 110 Ltd</t>
  </si>
  <si>
    <t>Ray 37 G10</t>
  </si>
  <si>
    <t>6.0 – 8.5 M2</t>
  </si>
  <si>
    <t>Ray 125 Ltd</t>
  </si>
  <si>
    <t>Ray 43 G10</t>
  </si>
  <si>
    <t>6.5 – 9.0 M2</t>
  </si>
  <si>
    <t>Ray 140 Ltd</t>
  </si>
  <si>
    <t>Ray 49 G10</t>
  </si>
  <si>
    <t>Falcon Speed</t>
  </si>
  <si>
    <t>Carbon Sandwich Light</t>
  </si>
  <si>
    <t>None</t>
  </si>
  <si>
    <t>4.0 – 7.0 M2</t>
  </si>
  <si>
    <t>Falcon Slalom 86</t>
  </si>
  <si>
    <t>Biax Carbon Sandwich Light</t>
  </si>
  <si>
    <t>Falcon Slalom 102</t>
  </si>
  <si>
    <t>Falcon Slalom 112</t>
  </si>
  <si>
    <t>Falcon Slalom 122</t>
  </si>
  <si>
    <t>Falcon Slalom 133</t>
  </si>
  <si>
    <t>6.5 – 10 M2</t>
  </si>
  <si>
    <t>Falcon Slalom 145</t>
  </si>
  <si>
    <t>7.0 – 10 M2 +</t>
  </si>
  <si>
    <t>High Resistance Skin – Softdeck**</t>
  </si>
  <si>
    <t>Fanatic Viper 34</t>
  </si>
  <si>
    <t>2.0 – 8.0 M2</t>
  </si>
  <si>
    <t>2.0 – 10.0 M2</t>
  </si>
  <si>
    <t>High Resistance Skin – Softdeck</t>
  </si>
  <si>
    <t>Grip XS</t>
  </si>
  <si>
    <t>Biax Fibre / Full PVC Sandw. LF</t>
  </si>
  <si>
    <t>CF 2 × 9 cm, 2 × 14 cm</t>
  </si>
  <si>
    <t>Up to 4.7 m2</t>
  </si>
  <si>
    <t>Grip TE</t>
  </si>
  <si>
    <t>Biax Innegra Carbon LF</t>
  </si>
  <si>
    <t>CF 2 × 12 cm, 17 cm</t>
  </si>
  <si>
    <t>Stubby TE</t>
  </si>
  <si>
    <t>2 × Slot Box, Center US Box</t>
  </si>
  <si>
    <t>CF 2 × 12 cm, 18 cm</t>
  </si>
  <si>
    <t>TeXtreme® / Biax Innegra</t>
  </si>
  <si>
    <t>FreeWave TXTR</t>
  </si>
  <si>
    <t>Power Box, 2 × Slot Box</t>
  </si>
  <si>
    <t>Carbon LF</t>
  </si>
  <si>
    <t>MFC TF Black 2 × 12 cm, 21 cm</t>
  </si>
  <si>
    <t>MFC 30 cm G10</t>
  </si>
  <si>
    <t>Freewave TE</t>
  </si>
  <si>
    <t>CF G10 24 cm</t>
  </si>
  <si>
    <t>Biax Fibre /</t>
  </si>
  <si>
    <t>CF G10 26 cm</t>
  </si>
  <si>
    <t>Full PVC Sandwich LF</t>
  </si>
  <si>
    <t>CF G10 28 cm</t>
  </si>
  <si>
    <t>CF G10 30 cm</t>
  </si>
  <si>
    <t>CF Composite Innegra Carbon 17.5 cm</t>
  </si>
  <si>
    <t>CF Composite Innegra Carbon 18.5 cm</t>
  </si>
  <si>
    <t>Skate TE</t>
  </si>
  <si>
    <t>CF Composite Innegra Carbon 20 cm</t>
  </si>
  <si>
    <t>CF Composite Innegra Carbon 22 cm</t>
  </si>
  <si>
    <t>Blast LTD</t>
  </si>
  <si>
    <t>CF Composite White 34 cm</t>
  </si>
  <si>
    <t>CF Composite White 38 cm</t>
  </si>
  <si>
    <t>Blast HRS</t>
  </si>
  <si>
    <t>CF Composite White 42 cm</t>
  </si>
  <si>
    <t>CF Composite White 44 cm</t>
  </si>
  <si>
    <t>Gecko LTD</t>
  </si>
  <si>
    <t>Gecko Eco</t>
  </si>
  <si>
    <t>CF Composite White 36 cm</t>
  </si>
  <si>
    <t>CF Composite White 40 cm</t>
  </si>
  <si>
    <t>Gecko HRS</t>
  </si>
  <si>
    <t>CF Composite White 46 cm</t>
  </si>
  <si>
    <t>CF Composite White 48 cm</t>
  </si>
  <si>
    <t>HRS Soft Top with Noseshield</t>
  </si>
  <si>
    <t>Fanatic Viper 34 cm, Daggerboard</t>
  </si>
  <si>
    <t>Gecko LTD Foil</t>
  </si>
  <si>
    <t>Gecko HRS Foil</t>
  </si>
  <si>
    <t>Short Tuttle</t>
  </si>
  <si>
    <t>CF Carbon Black 34 cm</t>
  </si>
  <si>
    <t>CF Carbon Black 38 cm</t>
  </si>
  <si>
    <t>Jag LTD</t>
  </si>
  <si>
    <t>CF Carbon Black 42 cm</t>
  </si>
  <si>
    <t>CF Carbon Black 46 cm</t>
  </si>
  <si>
    <t>Biax Carbon Sandwich LF</t>
  </si>
  <si>
    <t>Falcon Slalom TE</t>
  </si>
  <si>
    <t>Full Biax Carbon Sandwich LF</t>
  </si>
  <si>
    <t>CF Carbon Black 50 cm</t>
  </si>
  <si>
    <t>Falcon Speed TE</t>
  </si>
  <si>
    <t>Stingray LTD</t>
  </si>
  <si>
    <t>Foil Tuttle Box, 2 × US Box</t>
  </si>
  <si>
    <t>Stingray HRS</t>
  </si>
  <si>
    <t>Falcon Foil</t>
  </si>
  <si>
    <t>High Resistance Skin – Soft Top</t>
  </si>
  <si>
    <t>Ripper</t>
  </si>
  <si>
    <t>Fanatic Ripper 30 cm, 39 cm</t>
  </si>
  <si>
    <t>Viper Air Premium</t>
  </si>
  <si>
    <t>1 × 19.5 cm, 1 × 24 cm</t>
  </si>
  <si>
    <t>—</t>
  </si>
  <si>
    <t>Viper Air Pure</t>
  </si>
  <si>
    <t>Drop Stitch Light</t>
  </si>
  <si>
    <t>Ripper Air WS</t>
  </si>
  <si>
    <t>Cork Flax /Wood Composite LF</t>
  </si>
  <si>
    <t>Biax Fibre / Full PVC Sandwich LF</t>
  </si>
  <si>
    <t>FMX</t>
  </si>
  <si>
    <t>Invictus 74</t>
  </si>
  <si>
    <t>AV</t>
  </si>
  <si>
    <t>Modena Speed 58</t>
  </si>
  <si>
    <t>Custom</t>
  </si>
  <si>
    <t>NewWave TE 69</t>
  </si>
  <si>
    <t>AllWave 82</t>
  </si>
  <si>
    <t>AllWave 72</t>
  </si>
  <si>
    <t>FeeWave 77</t>
  </si>
  <si>
    <t>FreeWave 95</t>
  </si>
  <si>
    <t>NewWave 69</t>
  </si>
  <si>
    <t>NewWave 75</t>
  </si>
  <si>
    <t>NewWave TE 75</t>
  </si>
  <si>
    <t>NewWave 81</t>
  </si>
  <si>
    <t>NewWave TE 81</t>
  </si>
  <si>
    <t>Vol.</t>
  </si>
  <si>
    <t>BRAND</t>
  </si>
  <si>
    <t>MODEL</t>
  </si>
  <si>
    <t>MODEL YEAR</t>
  </si>
  <si>
    <t>REGISTRATION DATE</t>
  </si>
  <si>
    <t>99 International</t>
  </si>
  <si>
    <t>SL 89</t>
  </si>
  <si>
    <t>2014</t>
  </si>
  <si>
    <t>SL 89 NANO</t>
  </si>
  <si>
    <t>SL 109</t>
  </si>
  <si>
    <t>SL 109 NANO</t>
  </si>
  <si>
    <t>SL 119 NANO</t>
  </si>
  <si>
    <t>SL 129</t>
  </si>
  <si>
    <t>SL 129 NANO</t>
  </si>
  <si>
    <t>WC SL 95</t>
  </si>
  <si>
    <t>2015</t>
  </si>
  <si>
    <t>3/6/15</t>
  </si>
  <si>
    <t>WC SL 115</t>
  </si>
  <si>
    <t>WC SL 125</t>
  </si>
  <si>
    <t>WC SL 135</t>
  </si>
  <si>
    <t>WCSL 89</t>
  </si>
  <si>
    <t>2016</t>
  </si>
  <si>
    <t>12/04/2016</t>
  </si>
  <si>
    <t>WCSL 97</t>
  </si>
  <si>
    <t>WCSL 115</t>
  </si>
  <si>
    <t>WCSL 122</t>
  </si>
  <si>
    <t>WCSL 131</t>
  </si>
  <si>
    <t>2017</t>
  </si>
  <si>
    <t>06/04/2017</t>
  </si>
  <si>
    <t>WCSL 99</t>
  </si>
  <si>
    <t>WCSL 109</t>
  </si>
  <si>
    <t>WCSL 119</t>
  </si>
  <si>
    <t>WCSL 129</t>
  </si>
  <si>
    <t>WCSL 139</t>
  </si>
  <si>
    <t>2018</t>
  </si>
  <si>
    <t>13/04/2018</t>
  </si>
  <si>
    <t>I-99</t>
  </si>
  <si>
    <t>2019</t>
  </si>
  <si>
    <t>29/03/2019</t>
  </si>
  <si>
    <t>AERO PRO (FOIL)</t>
  </si>
  <si>
    <t>Squadra Corse 63</t>
  </si>
  <si>
    <t>2020/21</t>
  </si>
  <si>
    <t>23/04/2021</t>
  </si>
  <si>
    <t>Squadra Corse 70</t>
  </si>
  <si>
    <t>Squadra Corse 72</t>
  </si>
  <si>
    <t>Squadra Corse 83</t>
  </si>
  <si>
    <t>Squadra Corse 85</t>
  </si>
  <si>
    <t>Squadra Corse 91</t>
  </si>
  <si>
    <t>I99</t>
  </si>
  <si>
    <t>AMPRO 63</t>
  </si>
  <si>
    <t>2023</t>
  </si>
  <si>
    <t>22/03/2023</t>
  </si>
  <si>
    <t>AMPRO 73</t>
  </si>
  <si>
    <t>AMPRO 85</t>
  </si>
  <si>
    <t>AMPRO X82</t>
  </si>
  <si>
    <t>AB+</t>
  </si>
  <si>
    <t>Speed 46</t>
  </si>
  <si>
    <t>Slalom 54</t>
  </si>
  <si>
    <t>Slalom 59</t>
  </si>
  <si>
    <t>Slalom 67</t>
  </si>
  <si>
    <t>AHD</t>
  </si>
  <si>
    <t>DIAMOND SLALOM 54</t>
  </si>
  <si>
    <t>DIAMOND SLALOM 58</t>
  </si>
  <si>
    <t>DIAMOND RACE 67</t>
  </si>
  <si>
    <t>Weight_x000D_(Kg)</t>
  </si>
  <si>
    <t>Length Straight_x000D_(mm)</t>
  </si>
  <si>
    <t>Width_x000D_(mm)</t>
  </si>
  <si>
    <t>DIAMOND RACE 72</t>
  </si>
  <si>
    <t>1999</t>
  </si>
  <si>
    <t>99</t>
  </si>
  <si>
    <t>DIAMOND RACE 78</t>
  </si>
  <si>
    <t>2000</t>
  </si>
  <si>
    <t>00</t>
  </si>
  <si>
    <t>GT SPECIAL 59</t>
  </si>
  <si>
    <t>2003</t>
  </si>
  <si>
    <t>03</t>
  </si>
  <si>
    <t>GT SPECIAL 54</t>
  </si>
  <si>
    <t>2004</t>
  </si>
  <si>
    <t>04</t>
  </si>
  <si>
    <t>GT SPECIAL 73</t>
  </si>
  <si>
    <t>DIAMOND GT 75</t>
  </si>
  <si>
    <t>2002</t>
  </si>
  <si>
    <t>02</t>
  </si>
  <si>
    <t>DIAMOND GT 85</t>
  </si>
  <si>
    <t>GT SPECIAL 110</t>
  </si>
  <si>
    <t>2005</t>
  </si>
  <si>
    <t>TRACER 68</t>
  </si>
  <si>
    <t>2006</t>
  </si>
  <si>
    <t>06</t>
  </si>
  <si>
    <t>TRACER 79</t>
  </si>
  <si>
    <t>TRACER 90</t>
  </si>
  <si>
    <t>TRACER 113</t>
  </si>
  <si>
    <t>TRACER 125</t>
  </si>
  <si>
    <t>TRACER 103</t>
  </si>
  <si>
    <t>2007</t>
  </si>
  <si>
    <t>07</t>
  </si>
  <si>
    <t>TRACER 104</t>
  </si>
  <si>
    <t>TRACER 140</t>
  </si>
  <si>
    <t>SL1 68</t>
  </si>
  <si>
    <t>2008</t>
  </si>
  <si>
    <t>08</t>
  </si>
  <si>
    <t>SL1 80</t>
  </si>
  <si>
    <t>SL1 95</t>
  </si>
  <si>
    <t>SL1 110</t>
  </si>
  <si>
    <t>SL1 125</t>
  </si>
  <si>
    <t>SL2 112</t>
  </si>
  <si>
    <t>10/7/17</t>
  </si>
  <si>
    <t>SL2 122</t>
  </si>
  <si>
    <t>SL2 132</t>
  </si>
  <si>
    <t>SL3 105</t>
  </si>
  <si>
    <t>SL3 115</t>
  </si>
  <si>
    <t>SL3 128</t>
  </si>
  <si>
    <t>ANGULO</t>
  </si>
  <si>
    <t>Magnum 62</t>
  </si>
  <si>
    <t>2010</t>
  </si>
  <si>
    <t>09</t>
  </si>
  <si>
    <t>Magnum72</t>
  </si>
  <si>
    <t>Magnum 82</t>
  </si>
  <si>
    <t>10</t>
  </si>
  <si>
    <t>Magnum 60</t>
  </si>
  <si>
    <t>2011</t>
  </si>
  <si>
    <t>11</t>
  </si>
  <si>
    <t>98</t>
  </si>
  <si>
    <t>Magnum 71</t>
  </si>
  <si>
    <t>Magnum 84</t>
  </si>
  <si>
    <t>Magnum 90</t>
  </si>
  <si>
    <t>2013</t>
  </si>
  <si>
    <t>13</t>
  </si>
  <si>
    <t>Magnum 112</t>
  </si>
  <si>
    <t>Magnum 132</t>
  </si>
  <si>
    <t>Magnum 95</t>
  </si>
  <si>
    <t>Magnum 115</t>
  </si>
  <si>
    <t>Magnum 135</t>
  </si>
  <si>
    <t>AV BOARDS</t>
  </si>
  <si>
    <t>Modena Slalom 98</t>
  </si>
  <si>
    <t>2020</t>
  </si>
  <si>
    <t>15/06/2020</t>
  </si>
  <si>
    <t>Modena Slalom 118</t>
  </si>
  <si>
    <t>Modena Slalom 138</t>
  </si>
  <si>
    <t>Modena Slalom 88</t>
  </si>
  <si>
    <t>2022</t>
  </si>
  <si>
    <t>01/04/2022</t>
  </si>
  <si>
    <t>Modena Slalom 108</t>
  </si>
  <si>
    <t>Modena Slalom 128</t>
  </si>
  <si>
    <t>Modena Foil 91</t>
  </si>
  <si>
    <t>2024</t>
  </si>
  <si>
    <t>13/06/2024</t>
  </si>
  <si>
    <t>Modena Foil 85</t>
  </si>
  <si>
    <t>2025</t>
  </si>
  <si>
    <t>24/10/2025</t>
  </si>
  <si>
    <t>Nuvolari 119L</t>
  </si>
  <si>
    <t>13/11/2025</t>
  </si>
  <si>
    <t>2026</t>
  </si>
  <si>
    <t>19/02/2026</t>
  </si>
  <si>
    <t>BIC</t>
  </si>
  <si>
    <t>TECHNO 283</t>
  </si>
  <si>
    <t>FV 1 S</t>
  </si>
  <si>
    <t>Techno Pro 64</t>
  </si>
  <si>
    <t>2009</t>
  </si>
  <si>
    <t>Techno Pro 74</t>
  </si>
  <si>
    <t>BLACK COBRA</t>
  </si>
  <si>
    <t>Air Slalom Racing 86</t>
  </si>
  <si>
    <t>16/02/2026</t>
  </si>
  <si>
    <t>BULLET</t>
  </si>
  <si>
    <t>MB-PRO 63</t>
  </si>
  <si>
    <t>07/04/2025</t>
  </si>
  <si>
    <t>MB-PRO 71</t>
  </si>
  <si>
    <t>MB-PRO 85</t>
  </si>
  <si>
    <t>CARBON ART</t>
  </si>
  <si>
    <t>SLALOM 62</t>
  </si>
  <si>
    <t>05</t>
  </si>
  <si>
    <t>SLALOM 52</t>
  </si>
  <si>
    <t>SLALOM 55</t>
  </si>
  <si>
    <t>SLALOM 58</t>
  </si>
  <si>
    <t>97</t>
  </si>
  <si>
    <t>SLALOM 70</t>
  </si>
  <si>
    <t>SLALOM 80</t>
  </si>
  <si>
    <t>SPEED 40</t>
  </si>
  <si>
    <t>SPEED 44</t>
  </si>
  <si>
    <t>SPEED 47</t>
  </si>
  <si>
    <t>SL 87 PRO</t>
  </si>
  <si>
    <t>25/04/2016</t>
  </si>
  <si>
    <t>SL 93 PRO</t>
  </si>
  <si>
    <t>SL 103 PRO</t>
  </si>
  <si>
    <t>SL 112 PRO</t>
  </si>
  <si>
    <t>SL 121 PRO</t>
  </si>
  <si>
    <t>SL 128 PRO</t>
  </si>
  <si>
    <t>DROPS</t>
  </si>
  <si>
    <t>FL11 RACING</t>
  </si>
  <si>
    <t>FL12 RACING</t>
  </si>
  <si>
    <t>RACING J.ONE XL</t>
  </si>
  <si>
    <t>8'10" AA DESIGN</t>
  </si>
  <si>
    <t>1998</t>
  </si>
  <si>
    <t>GLIDER 106</t>
  </si>
  <si>
    <t>GLIDER 116</t>
  </si>
  <si>
    <t>GLIDER 126</t>
  </si>
  <si>
    <t>KRANZ 75</t>
  </si>
  <si>
    <t>KRANZ 85</t>
  </si>
  <si>
    <t>KRANZ 64</t>
  </si>
  <si>
    <t>KRANZ 68</t>
  </si>
  <si>
    <t>KRANZ 58</t>
  </si>
  <si>
    <t>KRANZ 67</t>
  </si>
  <si>
    <t>2012</t>
  </si>
  <si>
    <t>12</t>
  </si>
  <si>
    <t>KRANZ 80</t>
  </si>
  <si>
    <t>Duotone</t>
  </si>
  <si>
    <t>Falcon Foil 169</t>
  </si>
  <si>
    <t>06/02/2024</t>
  </si>
  <si>
    <t>Falcon Slalom 90</t>
  </si>
  <si>
    <t>Falcon Slalom 99</t>
  </si>
  <si>
    <t>Falcon Slalom 107</t>
  </si>
  <si>
    <t>Falcon Slalom 116</t>
  </si>
  <si>
    <t>Falcon Slalom 130</t>
  </si>
  <si>
    <t>Falcon Slalom 140</t>
  </si>
  <si>
    <t>13/03/2025</t>
  </si>
  <si>
    <t>Falcon Fin 89</t>
  </si>
  <si>
    <t>05/08/2025</t>
  </si>
  <si>
    <t>Falcon Fin 98</t>
  </si>
  <si>
    <t>Falcon Fin 111</t>
  </si>
  <si>
    <t>Falcon Fin 118</t>
  </si>
  <si>
    <t>Falcon Fin 124</t>
  </si>
  <si>
    <t>Falcon Fin 129</t>
  </si>
  <si>
    <t>Falcon Fin 139</t>
  </si>
  <si>
    <t>EXOCET</t>
  </si>
  <si>
    <t>RACE 283</t>
  </si>
  <si>
    <t>MAGNUM 170</t>
  </si>
  <si>
    <t>TURBO BOOST2 58</t>
  </si>
  <si>
    <t>TURBO BOOST2 62</t>
  </si>
  <si>
    <t>TURBO BOOST2 67</t>
  </si>
  <si>
    <t>TURBO BOOST 55</t>
  </si>
  <si>
    <t>TURBO BOOST 65</t>
  </si>
  <si>
    <t>TURBO BOOST 75</t>
  </si>
  <si>
    <t>S4</t>
  </si>
  <si>
    <t>S3</t>
  </si>
  <si>
    <t>WARP S 50</t>
  </si>
  <si>
    <t>S311</t>
  </si>
  <si>
    <t>S411</t>
  </si>
  <si>
    <t>WARP SLALOM 58</t>
  </si>
  <si>
    <t>WARP SLALOM 62</t>
  </si>
  <si>
    <t>WARP SLALOM 67</t>
  </si>
  <si>
    <t>WARP SLALOM 73</t>
  </si>
  <si>
    <t>WARP SLALOM 80</t>
  </si>
  <si>
    <t>Warp SL 56 Pro Model</t>
  </si>
  <si>
    <t>Warp SL 61 Pro Model</t>
  </si>
  <si>
    <t>Warp SL 66 Pro Model</t>
  </si>
  <si>
    <t>Warp SL 71 Pro Model</t>
  </si>
  <si>
    <t>Warp S  76 Pro Model</t>
  </si>
  <si>
    <t>Warp S  85 Pro Model</t>
  </si>
  <si>
    <t>Warp SL 50 Pro Model</t>
  </si>
  <si>
    <t>Warp SL 78 Pro Model</t>
  </si>
  <si>
    <t>RS5</t>
  </si>
  <si>
    <t>RS6</t>
  </si>
  <si>
    <t>RS1</t>
  </si>
  <si>
    <t>RS2</t>
  </si>
  <si>
    <t>RS3</t>
  </si>
  <si>
    <t>RS4</t>
  </si>
  <si>
    <t>RS5.5</t>
  </si>
  <si>
    <t>14</t>
  </si>
  <si>
    <t>RS6.5</t>
  </si>
  <si>
    <t>11/04/2016</t>
  </si>
  <si>
    <t>08/06/2018</t>
  </si>
  <si>
    <t>RS 58</t>
  </si>
  <si>
    <t>01/04/2020</t>
  </si>
  <si>
    <t>RS 62</t>
  </si>
  <si>
    <t>RS 71</t>
  </si>
  <si>
    <t>RS 85</t>
  </si>
  <si>
    <t>RS V5 Carbon 58</t>
  </si>
  <si>
    <t>16/01/2024</t>
  </si>
  <si>
    <t>RS V5 Carbon 62</t>
  </si>
  <si>
    <t>RS V5 Carbon 71</t>
  </si>
  <si>
    <t>RS V5 Carbon 85</t>
  </si>
  <si>
    <t>RF FOIL V3 AST 81</t>
  </si>
  <si>
    <t>RF FOIL V3 Carbon 81</t>
  </si>
  <si>
    <t>RF FOIL V3 Carbon 85</t>
  </si>
  <si>
    <t>RF FOIL V3 Carbon 91</t>
  </si>
  <si>
    <t>F2</t>
  </si>
  <si>
    <t>MISSILE</t>
  </si>
  <si>
    <t>T'MEN SL SMALL</t>
  </si>
  <si>
    <t>2001</t>
  </si>
  <si>
    <t>T'MEN SL MED</t>
  </si>
  <si>
    <t>THOMMEN 270-III</t>
  </si>
  <si>
    <t>T'MEN CRSRACE L</t>
  </si>
  <si>
    <t>T'MEN CRSRACE XL</t>
  </si>
  <si>
    <t>T'MEN CRSRACE XL II</t>
  </si>
  <si>
    <t>T'MEN CRSRACE XXL</t>
  </si>
  <si>
    <t>X-SPEED 110</t>
  </si>
  <si>
    <t>01</t>
  </si>
  <si>
    <t>X-SPEED 125</t>
  </si>
  <si>
    <t>X-SPEED 145</t>
  </si>
  <si>
    <t>SX 91</t>
  </si>
  <si>
    <t>SX 140</t>
  </si>
  <si>
    <t>SX 105</t>
  </si>
  <si>
    <t>SX 106</t>
  </si>
  <si>
    <t>SX 110</t>
  </si>
  <si>
    <t>SX 130</t>
  </si>
  <si>
    <t>SX 131</t>
  </si>
  <si>
    <t>SX S</t>
  </si>
  <si>
    <t>SX M</t>
  </si>
  <si>
    <t>SX L</t>
  </si>
  <si>
    <t>MISSILE II</t>
  </si>
  <si>
    <t>MISSILE XS</t>
  </si>
  <si>
    <t>2006/07</t>
  </si>
  <si>
    <t>MISSILE S</t>
  </si>
  <si>
    <t>SX xs</t>
  </si>
  <si>
    <t>SX m</t>
  </si>
  <si>
    <t>2006/2007</t>
  </si>
  <si>
    <t>SX s</t>
  </si>
  <si>
    <t>SX xL</t>
  </si>
  <si>
    <t>SX xxL</t>
  </si>
  <si>
    <t>2007/08</t>
  </si>
  <si>
    <t>MISSILE  XS</t>
  </si>
  <si>
    <t>SX-XS</t>
  </si>
  <si>
    <t>SX-S</t>
  </si>
  <si>
    <t>SX-M</t>
  </si>
  <si>
    <t>SX-L</t>
  </si>
  <si>
    <t>SX-XL</t>
  </si>
  <si>
    <t>SX-XXL</t>
  </si>
  <si>
    <t>SX 56</t>
  </si>
  <si>
    <t>SX 58</t>
  </si>
  <si>
    <t>SX 63</t>
  </si>
  <si>
    <t>SX 68</t>
  </si>
  <si>
    <t>SX 77</t>
  </si>
  <si>
    <t>SX81</t>
  </si>
  <si>
    <t>SX85</t>
  </si>
  <si>
    <t>SX-56</t>
  </si>
  <si>
    <t>SX-58</t>
  </si>
  <si>
    <t>SX-63</t>
  </si>
  <si>
    <t>SX-68</t>
  </si>
  <si>
    <t>SX-77</t>
  </si>
  <si>
    <t>SX-81</t>
  </si>
  <si>
    <t>SX-58 WS</t>
  </si>
  <si>
    <t>SX-69 WS</t>
  </si>
  <si>
    <t>SX-82 WS</t>
  </si>
  <si>
    <t>SX-85 WS</t>
  </si>
  <si>
    <t>SX-58 LTD</t>
  </si>
  <si>
    <t>SX-69-LTD</t>
  </si>
  <si>
    <t>SX-82 LTD</t>
  </si>
  <si>
    <t>SX-85 LTD</t>
  </si>
  <si>
    <t>SX Silberpfeil 77</t>
  </si>
  <si>
    <t>SX Silberpfeil 85</t>
  </si>
  <si>
    <t>FANATIC</t>
  </si>
  <si>
    <t>FALCON 65</t>
  </si>
  <si>
    <t>FALCON 72</t>
  </si>
  <si>
    <t>FALCON 75 (R)</t>
  </si>
  <si>
    <t>FALCON 52</t>
  </si>
  <si>
    <t>FALCON 54</t>
  </si>
  <si>
    <t>FALCON 55 (SL)</t>
  </si>
  <si>
    <t>FALCON 272 HCS</t>
  </si>
  <si>
    <t>1997</t>
  </si>
  <si>
    <t>FALCON SLALOM</t>
  </si>
  <si>
    <t>FALCON SLALOM 120</t>
  </si>
  <si>
    <t>2004/05</t>
  </si>
  <si>
    <t>FALCON SLALOM 90</t>
  </si>
  <si>
    <t>FALCON SLALOM 105</t>
  </si>
  <si>
    <t>FALCON SLALOM 131</t>
  </si>
  <si>
    <t>FALCON SLALOM 111</t>
  </si>
  <si>
    <t>FALCON SLALOM 91</t>
  </si>
  <si>
    <t>FALCON SLALOM 80</t>
  </si>
  <si>
    <t>FALCON SLALOM 125</t>
  </si>
  <si>
    <t>FALCON SLALOM 145</t>
  </si>
  <si>
    <t>FALCON SLALOM 79</t>
  </si>
  <si>
    <t>2007/2008</t>
  </si>
  <si>
    <t>FALCON SLALOM 89</t>
  </si>
  <si>
    <t>FALCON SLALOM 104</t>
  </si>
  <si>
    <t>FALCON SLALOM 124</t>
  </si>
  <si>
    <t>RAY 95</t>
  </si>
  <si>
    <t>2008/09</t>
  </si>
  <si>
    <t>RAY 110</t>
  </si>
  <si>
    <t>RAY 125</t>
  </si>
  <si>
    <t>RAY 140</t>
  </si>
  <si>
    <t>FALCON SLALOM 95</t>
  </si>
  <si>
    <t>FALCON SLALOM 110</t>
  </si>
  <si>
    <t>FALCON SLALOM 140</t>
  </si>
  <si>
    <t>FALCON SLALOM 86</t>
  </si>
  <si>
    <t>2009/10</t>
  </si>
  <si>
    <t>FALCON SLALOM 102</t>
  </si>
  <si>
    <t>FALCON SLALOM 112</t>
  </si>
  <si>
    <t>FALCON SLALOM 122</t>
  </si>
  <si>
    <t>FALCON SLALOM 133</t>
  </si>
  <si>
    <t>FALCON SLALOM 85</t>
  </si>
  <si>
    <t>2010/11</t>
  </si>
  <si>
    <t>FALCON SLALOM 101</t>
  </si>
  <si>
    <t>FALCON SLALOM 121</t>
  </si>
  <si>
    <t>FALCON SLALOM 134</t>
  </si>
  <si>
    <t>FALCON SLALOM 148</t>
  </si>
  <si>
    <t>2011/12</t>
  </si>
  <si>
    <t>FALCON SLALOM 99</t>
  </si>
  <si>
    <t>FALCON SLALOM 113</t>
  </si>
  <si>
    <t>FALCON SLALOM 132</t>
  </si>
  <si>
    <t>FALCON SLALOM 142</t>
  </si>
  <si>
    <t>FALCON SLALOM 152</t>
  </si>
  <si>
    <t>FALCON SLALOM 100</t>
  </si>
  <si>
    <t>FALCON SLALOM 130</t>
  </si>
  <si>
    <t>FALCON SLALOM 138</t>
  </si>
  <si>
    <t>22/01/2016</t>
  </si>
  <si>
    <t>FALCON SLALOM 129</t>
  </si>
  <si>
    <t>04/11/2016</t>
  </si>
  <si>
    <t>FALCON SLALOM 114</t>
  </si>
  <si>
    <t>FALCON SLALOM 136</t>
  </si>
  <si>
    <t>FALCON LIGHT WIND 159</t>
  </si>
  <si>
    <t>FALCON 89</t>
  </si>
  <si>
    <t>04/10/17</t>
  </si>
  <si>
    <t>FALCON 98</t>
  </si>
  <si>
    <t>FALCON 114</t>
  </si>
  <si>
    <t>FALCON 121</t>
  </si>
  <si>
    <t>FALCON 129</t>
  </si>
  <si>
    <t>FALCON 136</t>
  </si>
  <si>
    <t>FALCON LIGTH WIND</t>
  </si>
  <si>
    <t>21/09/18</t>
  </si>
  <si>
    <t>FALCON 106</t>
  </si>
  <si>
    <t>FALCON 115</t>
  </si>
  <si>
    <t>FALCON 130</t>
  </si>
  <si>
    <t>FALCON 140</t>
  </si>
  <si>
    <t>FALCON 159</t>
  </si>
  <si>
    <t>FALCON FOIL 175</t>
  </si>
  <si>
    <t>FALCON FOIL 180</t>
  </si>
  <si>
    <t>20/06/2019</t>
  </si>
  <si>
    <t>Falcon 80</t>
  </si>
  <si>
    <t>01/05/2020</t>
  </si>
  <si>
    <t>Falcon 90</t>
  </si>
  <si>
    <t>Falcon 97</t>
  </si>
  <si>
    <t>Falcon 106</t>
  </si>
  <si>
    <t>Falcon 115</t>
  </si>
  <si>
    <t>Falcon 121</t>
  </si>
  <si>
    <t>Falcon 130</t>
  </si>
  <si>
    <t>Falcon 140</t>
  </si>
  <si>
    <t>2021</t>
  </si>
  <si>
    <t>01/01/2021</t>
  </si>
  <si>
    <t>Falcon 107</t>
  </si>
  <si>
    <t>Falcon Foil 144</t>
  </si>
  <si>
    <t>01/03/2022</t>
  </si>
  <si>
    <t>Falcon Foil 177</t>
  </si>
  <si>
    <t>Falcon Foil 188</t>
  </si>
  <si>
    <t>Falcon Slalom 80</t>
  </si>
  <si>
    <t>Falcon Slalom 97</t>
  </si>
  <si>
    <t>Falcon Slalom 115</t>
  </si>
  <si>
    <t>Falcon Slalom 121</t>
  </si>
  <si>
    <t>17/01/2023</t>
  </si>
  <si>
    <t>INVICTUS 94</t>
  </si>
  <si>
    <t>27/03/2019</t>
  </si>
  <si>
    <t>INVICTUS 114</t>
  </si>
  <si>
    <t>INVICTUS 144</t>
  </si>
  <si>
    <t>HYPERION 184</t>
  </si>
  <si>
    <t>FMX Racing</t>
  </si>
  <si>
    <t>INVICTUS 88</t>
  </si>
  <si>
    <t>09/06/2021</t>
  </si>
  <si>
    <t>INVICTUS 98</t>
  </si>
  <si>
    <t>INVICTUS 104</t>
  </si>
  <si>
    <t>INVICTUS 108</t>
  </si>
  <si>
    <t>INVICTUS 118</t>
  </si>
  <si>
    <t>INVICTUS 128</t>
  </si>
  <si>
    <t>INVICTUS 138</t>
  </si>
  <si>
    <t>HYPERION 178</t>
  </si>
  <si>
    <t>HYPERION 178 LR</t>
  </si>
  <si>
    <t>Invictus 88</t>
  </si>
  <si>
    <t>31-03-2022</t>
  </si>
  <si>
    <t>Invictus 98</t>
  </si>
  <si>
    <t>Invictus 104</t>
  </si>
  <si>
    <t>Invictus 108</t>
  </si>
  <si>
    <t>Invictus 118</t>
  </si>
  <si>
    <t>Invictus 128</t>
  </si>
  <si>
    <t>Invictus 138</t>
  </si>
  <si>
    <t>Hyperion 158</t>
  </si>
  <si>
    <t>Invictus 124</t>
  </si>
  <si>
    <t>30-03-2023</t>
  </si>
  <si>
    <t>Hyperion 138</t>
  </si>
  <si>
    <t>Hyperion 178</t>
  </si>
  <si>
    <t>29-04-2024</t>
  </si>
  <si>
    <t>15-04-2023</t>
  </si>
  <si>
    <t>Hyperion 168</t>
  </si>
  <si>
    <t>07-03-2025</t>
  </si>
  <si>
    <t>Hyperion Pro 154</t>
  </si>
  <si>
    <t>10-02-2026</t>
  </si>
  <si>
    <t>Hyperion Pro 162</t>
  </si>
  <si>
    <t>Invictus Pro 88</t>
  </si>
  <si>
    <t>Invictus Pro 98</t>
  </si>
  <si>
    <t>Invictus Pro 104</t>
  </si>
  <si>
    <t>Invictus Pro 108</t>
  </si>
  <si>
    <t>Invictus Pro 118</t>
  </si>
  <si>
    <t>Invictus Pro 124</t>
  </si>
  <si>
    <t>Invictus Pro 128</t>
  </si>
  <si>
    <t>Invictus Pro 138</t>
  </si>
  <si>
    <t>FUTURE FLY</t>
  </si>
  <si>
    <t>DARK HORSE 97</t>
  </si>
  <si>
    <t>25/03/2019</t>
  </si>
  <si>
    <t>DARK HORSE 107</t>
  </si>
  <si>
    <t>DARK HORSE 117</t>
  </si>
  <si>
    <t>DARK HORSE 122</t>
  </si>
  <si>
    <t>DARK HORSE 132</t>
  </si>
  <si>
    <t>FLYING CAMEL 175</t>
  </si>
  <si>
    <t>15/06/2021</t>
  </si>
  <si>
    <t>FLYING CAMEL 187</t>
  </si>
  <si>
    <t>Dark Horse 97</t>
  </si>
  <si>
    <t>19/05/2022</t>
  </si>
  <si>
    <t>Dark Horse 107</t>
  </si>
  <si>
    <t>Dark Horse 117</t>
  </si>
  <si>
    <t>Dark Horse 122</t>
  </si>
  <si>
    <t>Dark Horse 132</t>
  </si>
  <si>
    <t>Flying Camel 145 Foil</t>
  </si>
  <si>
    <t>06/05/2023</t>
  </si>
  <si>
    <t>Flying Camel 187 Foil</t>
  </si>
  <si>
    <t>12/06/2024</t>
  </si>
  <si>
    <t>Flying Camel 160</t>
  </si>
  <si>
    <t>05/06/2025</t>
  </si>
  <si>
    <t>White Tiger 115</t>
  </si>
  <si>
    <t>18/06/2025</t>
  </si>
  <si>
    <t>White Tiger 125</t>
  </si>
  <si>
    <t>White Tiger 137</t>
  </si>
  <si>
    <t>Flying Camel Foil 160</t>
  </si>
  <si>
    <t>Dark Horse 96</t>
  </si>
  <si>
    <t>10/02/2026</t>
  </si>
  <si>
    <t>Dark Horse 116</t>
  </si>
  <si>
    <t>Dark Horse 136</t>
  </si>
  <si>
    <t>Flying Camel 166</t>
  </si>
  <si>
    <t>G-SAILB'D</t>
  </si>
  <si>
    <t>RED LINE L</t>
  </si>
  <si>
    <t>RED LINE M</t>
  </si>
  <si>
    <t>GOYA</t>
  </si>
  <si>
    <t>Proton 96</t>
  </si>
  <si>
    <t>16/02/17</t>
  </si>
  <si>
    <t>Proton 116</t>
  </si>
  <si>
    <t>Protom 136</t>
  </si>
  <si>
    <t>03/04/18</t>
  </si>
  <si>
    <t>Proton 136</t>
  </si>
  <si>
    <t>Proton 97</t>
  </si>
  <si>
    <t>08/03/19</t>
  </si>
  <si>
    <t>Proton 117</t>
  </si>
  <si>
    <t>Proton 137</t>
  </si>
  <si>
    <t>Proton Pro 97</t>
  </si>
  <si>
    <t>10/05/2022</t>
  </si>
  <si>
    <t>Proton Pro 112</t>
  </si>
  <si>
    <t>Proton Pro 118</t>
  </si>
  <si>
    <t>Proton Pro 137</t>
  </si>
  <si>
    <t>HTS Boards</t>
  </si>
  <si>
    <t>SR49</t>
  </si>
  <si>
    <t>SR59</t>
  </si>
  <si>
    <t>SR69</t>
  </si>
  <si>
    <t>SR85</t>
  </si>
  <si>
    <t>ISSO</t>
  </si>
  <si>
    <t>PEPPER 138</t>
  </si>
  <si>
    <t>01/04/2019</t>
  </si>
  <si>
    <t>XTREME SUPER FOIL 142</t>
  </si>
  <si>
    <t>XTREME SUPER FOIL 172</t>
  </si>
  <si>
    <t>JP-AUS.</t>
  </si>
  <si>
    <t>SLALOM 94</t>
  </si>
  <si>
    <t>SLALOM 114</t>
  </si>
  <si>
    <t>SLALOM 134</t>
  </si>
  <si>
    <t>SLALOM 84 PRO</t>
  </si>
  <si>
    <t>SLALOM 94-II PRO</t>
  </si>
  <si>
    <t>SLALOM 114-II PRO</t>
  </si>
  <si>
    <t>SLALOM 134-II PRO</t>
  </si>
  <si>
    <t>SLALOM III 69 PRO</t>
  </si>
  <si>
    <t>SLALOM III 89 PRO</t>
  </si>
  <si>
    <t>SLALOM III 109 PRO</t>
  </si>
  <si>
    <t>SLALOM III 119 PRO</t>
  </si>
  <si>
    <t>SLALOM IV 54 PRO</t>
  </si>
  <si>
    <t>SLALOM IV 60 PRO</t>
  </si>
  <si>
    <t>SLALOM IV 68 PRO</t>
  </si>
  <si>
    <t>SLALOM IV 76 PRO</t>
  </si>
  <si>
    <t>SLALOM IV 84 PRO</t>
  </si>
  <si>
    <t>Super Sport  91 Pro</t>
  </si>
  <si>
    <t>8</t>
  </si>
  <si>
    <t>Super Sport 100 Pro</t>
  </si>
  <si>
    <t>Super Sport 109 Pro</t>
  </si>
  <si>
    <t>Super Sport 118 Pro</t>
  </si>
  <si>
    <t>Super Sport 127 Pro</t>
  </si>
  <si>
    <t>Super Sport 136 Pro</t>
  </si>
  <si>
    <t>Super Sport  91 FWS</t>
  </si>
  <si>
    <t>Super Sport 100 FWS</t>
  </si>
  <si>
    <t>Super Sport 109 FWS</t>
  </si>
  <si>
    <t>Super Sport 118 FWS</t>
  </si>
  <si>
    <t>Super Sport 127 FWS</t>
  </si>
  <si>
    <t>Super Sport 136 FWS</t>
  </si>
  <si>
    <t>Slalom V 54 Pro</t>
  </si>
  <si>
    <t>Slalom V 60 Pro</t>
  </si>
  <si>
    <t>Slalom V 68 Pro</t>
  </si>
  <si>
    <t>Slalom V 76 Pro</t>
  </si>
  <si>
    <t>Slalom V 82 Pro</t>
  </si>
  <si>
    <t>Super Sport 58 V91 PRO</t>
  </si>
  <si>
    <t>Super Sport 62 V100 PRO</t>
  </si>
  <si>
    <t>Super Sport 65 V109 PRO</t>
  </si>
  <si>
    <t>Super Sport 69 V118 PRO</t>
  </si>
  <si>
    <t>Super Sport 74 V127 PRO</t>
  </si>
  <si>
    <t>Super Sport 79 V136 PRO</t>
  </si>
  <si>
    <t>Funster 180 ASA</t>
  </si>
  <si>
    <t>Speed 45</t>
  </si>
  <si>
    <t>Speed 49</t>
  </si>
  <si>
    <t>Speed 54</t>
  </si>
  <si>
    <t>Slalom VI-PRO 56</t>
  </si>
  <si>
    <t>Slalom VI-PRO 59</t>
  </si>
  <si>
    <t>Slalom VI-PRO 65</t>
  </si>
  <si>
    <t>Slalom VI-PRO 68</t>
  </si>
  <si>
    <t>Slalom VI-PRO 76</t>
  </si>
  <si>
    <t>Slalom VI-PRO 82</t>
  </si>
  <si>
    <t>Slalom VII-PRO 56</t>
  </si>
  <si>
    <t>Slalom VII-PRO 59</t>
  </si>
  <si>
    <t>Slalom VII-PRO 65</t>
  </si>
  <si>
    <t>Slalom VII-PRO 68</t>
  </si>
  <si>
    <t>Slalom VII-PRO 76</t>
  </si>
  <si>
    <t>Slalom VII-PRO 82</t>
  </si>
  <si>
    <t>Slalom VIII-PRO 56</t>
  </si>
  <si>
    <t>Slalom VIII-PRO 59</t>
  </si>
  <si>
    <t>Slalom VIII-PRO 66</t>
  </si>
  <si>
    <t>Slalom VIII-PRO 68</t>
  </si>
  <si>
    <t>Slalom VIII-PRO 78</t>
  </si>
  <si>
    <t>Slalom VIII-PRO 84</t>
  </si>
  <si>
    <t>Speed 50</t>
  </si>
  <si>
    <t>Slalom 56 PRO</t>
  </si>
  <si>
    <t>Speed PRO 45</t>
  </si>
  <si>
    <t>Speed PRO 50</t>
  </si>
  <si>
    <t>Speed PRO 54</t>
  </si>
  <si>
    <t>Slalom 59-IX</t>
  </si>
  <si>
    <t>Slalom 66-IX</t>
  </si>
  <si>
    <t>Slalom 68-IX</t>
  </si>
  <si>
    <t>Slalom 80-IX</t>
  </si>
  <si>
    <t>Slalom 84-IX</t>
  </si>
  <si>
    <t>Slalom 59 PRO</t>
  </si>
  <si>
    <t>Slalom 68 PRO</t>
  </si>
  <si>
    <t>Slalom 84 PRO</t>
  </si>
  <si>
    <t>Slalom 66 PRO</t>
  </si>
  <si>
    <t>Slalom 80 PRO</t>
  </si>
  <si>
    <t>Speed Slalom 55 PRO</t>
  </si>
  <si>
    <t>Slalom PRO 60</t>
  </si>
  <si>
    <t>Slalom PRO 66</t>
  </si>
  <si>
    <t>Slalom PRO 69</t>
  </si>
  <si>
    <t>Slalom PRO 78</t>
  </si>
  <si>
    <t>Slalom PRO 80</t>
  </si>
  <si>
    <t>Slalom PRO 82</t>
  </si>
  <si>
    <t>Slalom PRO 85</t>
  </si>
  <si>
    <t>12/10/15</t>
  </si>
  <si>
    <t>LAR* 2360</t>
  </si>
  <si>
    <t>Slalom PRO 62</t>
  </si>
  <si>
    <t>LAR* 2316</t>
  </si>
  <si>
    <t>Slalom PRO 71</t>
  </si>
  <si>
    <t>LAR* 2279</t>
  </si>
  <si>
    <t>LAR* 2276</t>
  </si>
  <si>
    <t>Slalom 55 PRO</t>
  </si>
  <si>
    <t>17/02/2017</t>
  </si>
  <si>
    <t>Slalom 60 PRO</t>
  </si>
  <si>
    <t>Slalom 62 PRO</t>
  </si>
  <si>
    <t>Slalom 71 PRO</t>
  </si>
  <si>
    <t>Slalom 82 PRO</t>
  </si>
  <si>
    <t>Slalom 85 PRO</t>
  </si>
  <si>
    <t>04/05/2018</t>
  </si>
  <si>
    <t>Hydrofoil 135</t>
  </si>
  <si>
    <t>18/05/18</t>
  </si>
  <si>
    <t>Hydrofoil 150</t>
  </si>
  <si>
    <t>02/04/2019</t>
  </si>
  <si>
    <t>Hydrofoil 105 PRO</t>
  </si>
  <si>
    <t>Hydrofoil 120 PRO</t>
  </si>
  <si>
    <t>Hydrofoil 135 PRO</t>
  </si>
  <si>
    <t>Hydrofoil 150 PRO</t>
  </si>
  <si>
    <t>Hydrofoil 175 PRO</t>
  </si>
  <si>
    <t>Hydrofoil Slalom PRO</t>
  </si>
  <si>
    <t>24/11/2020</t>
  </si>
  <si>
    <t>14/02/2022</t>
  </si>
  <si>
    <t>Slalom 62.5 PRO</t>
  </si>
  <si>
    <t>Slalom 72 PRO</t>
  </si>
  <si>
    <t>Speed 45 PRO</t>
  </si>
  <si>
    <t>Speed 50 PRO</t>
  </si>
  <si>
    <t>Speed 54 PRO</t>
  </si>
  <si>
    <t>Hydrofoil 133 LXT</t>
  </si>
  <si>
    <t>Hydrofoil 155 LXT</t>
  </si>
  <si>
    <t>JP-AUS</t>
  </si>
  <si>
    <t>JP Slalom PRO 55</t>
  </si>
  <si>
    <t>13/02/2023</t>
  </si>
  <si>
    <t>JP Slalom PRO 62</t>
  </si>
  <si>
    <t>JP Slalom PRO 72</t>
  </si>
  <si>
    <t>JP Slalom PRO 85</t>
  </si>
  <si>
    <t>JP HydroFoil Slalom PRO 78</t>
  </si>
  <si>
    <t>JP HydroFoil Slalom PRO 81</t>
  </si>
  <si>
    <t>JP HydroFoil Slalom PRO 85</t>
  </si>
  <si>
    <t>JP HydroFoil Slalom PRO 88</t>
  </si>
  <si>
    <t>JP HydroFoil Slalom PRO 91</t>
  </si>
  <si>
    <t>JP Speed PRO 45</t>
  </si>
  <si>
    <t>JP Speed PRO 50</t>
  </si>
  <si>
    <t>JP Speed PRO 54</t>
  </si>
  <si>
    <t>21/02/2024</t>
  </si>
  <si>
    <t>JP HydroFoil Slalom PRO 80</t>
  </si>
  <si>
    <t>JP Slalom PRO 62.5</t>
  </si>
  <si>
    <t>Speed PRO 40</t>
  </si>
  <si>
    <t>Slalom S-TEC 62.5</t>
  </si>
  <si>
    <t>19/12/2024</t>
  </si>
  <si>
    <t>Slalom S-TEC 66</t>
  </si>
  <si>
    <t>Slalom S-TEC 72</t>
  </si>
  <si>
    <t>Slalom S-TEC 76</t>
  </si>
  <si>
    <t>Slalom S-TEC 85</t>
  </si>
  <si>
    <t>HydroFoil Slalom S-TEC 80</t>
  </si>
  <si>
    <t>HydroFoil Slalom S-TEC 85</t>
  </si>
  <si>
    <t>HydroFoil Slalom S-TEC 88</t>
  </si>
  <si>
    <t>20/02/2026</t>
  </si>
  <si>
    <t>KINETIC</t>
  </si>
  <si>
    <t>ULTRALITE SLALOM 58</t>
  </si>
  <si>
    <t>CENTURION 55</t>
  </si>
  <si>
    <t>02/03</t>
  </si>
  <si>
    <t>LORCH</t>
  </si>
  <si>
    <t>THUNDERBIRD</t>
  </si>
  <si>
    <t>TUNDERBIRD 58</t>
  </si>
  <si>
    <t>THUNDERBIRD 64</t>
  </si>
  <si>
    <t>BREEZE S</t>
  </si>
  <si>
    <t>BREEZE M</t>
  </si>
  <si>
    <t>THUNDERBIRD 75</t>
  </si>
  <si>
    <t>THUNDERBIRD 85</t>
  </si>
  <si>
    <t>Hunter 105</t>
  </si>
  <si>
    <t>Hunter 125</t>
  </si>
  <si>
    <t>Hunter 140</t>
  </si>
  <si>
    <t>MISTRAL</t>
  </si>
  <si>
    <t>RTX COURSE RACE</t>
  </si>
  <si>
    <t>RTX FW M</t>
  </si>
  <si>
    <t>SLE AVS</t>
  </si>
  <si>
    <t>99/00</t>
  </si>
  <si>
    <t>MTX 105 SLALOM</t>
  </si>
  <si>
    <t>MTX 125 SLALOM</t>
  </si>
  <si>
    <t>RTX SLALOM</t>
  </si>
  <si>
    <t>SL-RD 95</t>
  </si>
  <si>
    <t>SL-RD 110</t>
  </si>
  <si>
    <t>SL-RD 125</t>
  </si>
  <si>
    <t>SL-RD 135</t>
  </si>
  <si>
    <t>SL-RD 80</t>
  </si>
  <si>
    <t>2008/2009</t>
  </si>
  <si>
    <t>Mistral 63</t>
  </si>
  <si>
    <t>2010/2011</t>
  </si>
  <si>
    <t>Mistral 78</t>
  </si>
  <si>
    <t>Mistral 95</t>
  </si>
  <si>
    <t>Mistral 110</t>
  </si>
  <si>
    <t>Mistral 123</t>
  </si>
  <si>
    <t>Mistral 140</t>
  </si>
  <si>
    <t>Mistral 47</t>
  </si>
  <si>
    <t>2014/15</t>
  </si>
  <si>
    <t>Mistral 55</t>
  </si>
  <si>
    <t>Mistral 57</t>
  </si>
  <si>
    <t>Mistral 68</t>
  </si>
  <si>
    <t>Mistral 82</t>
  </si>
  <si>
    <t>NAISH</t>
  </si>
  <si>
    <t>SP 60</t>
  </si>
  <si>
    <t>SP 80</t>
  </si>
  <si>
    <t>SP 95</t>
  </si>
  <si>
    <t>SP 110</t>
  </si>
  <si>
    <t>SP 120</t>
  </si>
  <si>
    <t>NEILPRYDE</t>
  </si>
  <si>
    <t>RS:X Convertible</t>
  </si>
  <si>
    <t>RS:One Convertible</t>
  </si>
  <si>
    <t>NoveNove</t>
  </si>
  <si>
    <t>Corsa 90</t>
  </si>
  <si>
    <t>07/04/2022</t>
  </si>
  <si>
    <t>Corsa 106</t>
  </si>
  <si>
    <t>Corsa 112</t>
  </si>
  <si>
    <t>Corsa 127</t>
  </si>
  <si>
    <t>Corsa 138</t>
  </si>
  <si>
    <t>PATRIK DIETHELM</t>
  </si>
  <si>
    <t>Slalom 87</t>
  </si>
  <si>
    <t>Slalom 110</t>
  </si>
  <si>
    <t>Slalom 135</t>
  </si>
  <si>
    <t>Slalom 100</t>
  </si>
  <si>
    <t>2011/2012</t>
  </si>
  <si>
    <t>Slalom 122</t>
  </si>
  <si>
    <t>Slalom 92</t>
  </si>
  <si>
    <t>2012/2013</t>
  </si>
  <si>
    <t>Slalom 115</t>
  </si>
  <si>
    <t>Slalom 135 V2</t>
  </si>
  <si>
    <t>Speed 43</t>
  </si>
  <si>
    <t>Speed 48</t>
  </si>
  <si>
    <t>Speed 53</t>
  </si>
  <si>
    <t>Slalom 128</t>
  </si>
  <si>
    <t>Speed 39</t>
  </si>
  <si>
    <t>SL 115 V2</t>
  </si>
  <si>
    <t>SL 135 V3</t>
  </si>
  <si>
    <t>SL 128 AI</t>
  </si>
  <si>
    <t>23/03/15</t>
  </si>
  <si>
    <t>SL 135 V3 AI</t>
  </si>
  <si>
    <t>SL 87V2</t>
  </si>
  <si>
    <t>2015/16</t>
  </si>
  <si>
    <t>10/04/15</t>
  </si>
  <si>
    <t>SL 92V2</t>
  </si>
  <si>
    <t>SL 100V2</t>
  </si>
  <si>
    <t>SL 110V2</t>
  </si>
  <si>
    <t>SL 122V2</t>
  </si>
  <si>
    <t>SL 115V2</t>
  </si>
  <si>
    <t>SL 128</t>
  </si>
  <si>
    <t>SL 115 V3</t>
  </si>
  <si>
    <t>17/05/16</t>
  </si>
  <si>
    <t>SL 128 V2</t>
  </si>
  <si>
    <t>SL 135 V4</t>
  </si>
  <si>
    <t>Slalom 95</t>
  </si>
  <si>
    <t>10/02/17</t>
  </si>
  <si>
    <t>Slalom 110 Al</t>
  </si>
  <si>
    <t>Slalom 110v3</t>
  </si>
  <si>
    <t>Slalom 115 Al</t>
  </si>
  <si>
    <t>Slalom 115v4</t>
  </si>
  <si>
    <t>Slalom 125</t>
  </si>
  <si>
    <t>Slalom 130</t>
  </si>
  <si>
    <t>Slalom 130 Al</t>
  </si>
  <si>
    <t>Slalom 140</t>
  </si>
  <si>
    <t>Slalom 140 Al</t>
  </si>
  <si>
    <t>Slalom 87 V3 GBM</t>
  </si>
  <si>
    <t>29/03/18</t>
  </si>
  <si>
    <t>Slalom 87 V3 GET</t>
  </si>
  <si>
    <t>Slalom 92 V3 GBM</t>
  </si>
  <si>
    <t>Slalom 92 V3 GET</t>
  </si>
  <si>
    <t>Slalom 95  GET</t>
  </si>
  <si>
    <t>Slalom 100 V3 GBM</t>
  </si>
  <si>
    <t>Slalom 100 V3 GET</t>
  </si>
  <si>
    <t>Slalom 110 V3 GET</t>
  </si>
  <si>
    <t>Slalom 115 V4 GET</t>
  </si>
  <si>
    <t>Slalom 125 GET</t>
  </si>
  <si>
    <t>Slalom 130 GET</t>
  </si>
  <si>
    <t>Slalom 140 GET</t>
  </si>
  <si>
    <t>Foil-Race 91 GBM</t>
  </si>
  <si>
    <t>09/04/2019</t>
  </si>
  <si>
    <t>Foil-Race 185 ABM</t>
  </si>
  <si>
    <t>Slalom 95 ABM</t>
  </si>
  <si>
    <t>Slalom 110v2 ABM</t>
  </si>
  <si>
    <t>Slalom 110v4 GBM</t>
  </si>
  <si>
    <t>Slalom 110v4 GET</t>
  </si>
  <si>
    <t>Slalom 115v2 ABM</t>
  </si>
  <si>
    <t>Slalom 115v5 GBM</t>
  </si>
  <si>
    <t>Slalom 115v5 GET</t>
  </si>
  <si>
    <t>Slalom 125v2 GBM</t>
  </si>
  <si>
    <t>Slalom 125v2 GET</t>
  </si>
  <si>
    <t>Slalom 130v2 ABM</t>
  </si>
  <si>
    <t>Slalom 130v2 GBM</t>
  </si>
  <si>
    <t>Slalom 130v2 GET</t>
  </si>
  <si>
    <t>Slalom 140v2 ABM</t>
  </si>
  <si>
    <t>Slalom 140v2 GBM</t>
  </si>
  <si>
    <t>Slalom 140v2 GET</t>
  </si>
  <si>
    <t>Slalom 150 GBM</t>
  </si>
  <si>
    <t>Slalom 150 GET</t>
  </si>
  <si>
    <t>Slalom fullcore 115</t>
  </si>
  <si>
    <t>21/06/2021</t>
  </si>
  <si>
    <t>Slalom fullcore 125</t>
  </si>
  <si>
    <t>Slalom fullcore 130</t>
  </si>
  <si>
    <t>Slalom fullcore 140</t>
  </si>
  <si>
    <t>Slalom fullcore 150</t>
  </si>
  <si>
    <t>Slalom fullcore 85</t>
  </si>
  <si>
    <t>29/06/2021</t>
  </si>
  <si>
    <t>Slalom fullcore 90</t>
  </si>
  <si>
    <t>Slalom fullcore 95</t>
  </si>
  <si>
    <t>Slalom fullcore 100</t>
  </si>
  <si>
    <t>PATRIK Slalom 90</t>
  </si>
  <si>
    <t>2023/2024</t>
  </si>
  <si>
    <t>15/08/2023</t>
  </si>
  <si>
    <t>PATRIK Slalom 95</t>
  </si>
  <si>
    <t>PATRIK Slalom 100</t>
  </si>
  <si>
    <t>PATRIK Slalom 115</t>
  </si>
  <si>
    <t>PATRIK Slalom 125</t>
  </si>
  <si>
    <t>PATRIK Slalom 130</t>
  </si>
  <si>
    <t>PATRIK Slalom 140</t>
  </si>
  <si>
    <t>PATRIK Foil-Comp GEN3 73</t>
  </si>
  <si>
    <t>2024/2025</t>
  </si>
  <si>
    <t>16/12/2023</t>
  </si>
  <si>
    <t>PATRIK Foil-Comp GEN3 79</t>
  </si>
  <si>
    <t>PATRIK Foil-Comp GEN3 85</t>
  </si>
  <si>
    <t>PATRIK Foil-Comp GEN3 89</t>
  </si>
  <si>
    <t>iQFoil 95 - Carbon Reflex</t>
  </si>
  <si>
    <t>22/02/2024</t>
  </si>
  <si>
    <t>DEFI-LTD 55</t>
  </si>
  <si>
    <t>2025/2026</t>
  </si>
  <si>
    <t>30/04/2025</t>
  </si>
  <si>
    <t>DEFI-LTD 59</t>
  </si>
  <si>
    <t>DEFI-LTD 64</t>
  </si>
  <si>
    <t>DEFI-FRC LTD 59</t>
  </si>
  <si>
    <t>DEFI-FRC LTD 64</t>
  </si>
  <si>
    <t>FOIL-SLALOM 80</t>
  </si>
  <si>
    <t>FOIL-SLALOM 85</t>
  </si>
  <si>
    <t>PATRIK DEFI-FRC LTD 69</t>
  </si>
  <si>
    <t>2026/2027</t>
  </si>
  <si>
    <t>24/03/2026</t>
  </si>
  <si>
    <t>PATRIK DEFI-LTD 69</t>
  </si>
  <si>
    <t>PATRIK SLALOM-X 92</t>
  </si>
  <si>
    <t>PATRIK SLALOM-X 97</t>
  </si>
  <si>
    <t>PATRIK SLALOM-X 115</t>
  </si>
  <si>
    <t>PHANTOM</t>
  </si>
  <si>
    <t>IRIS R 91</t>
  </si>
  <si>
    <t>06/06/2025</t>
  </si>
  <si>
    <t>IRIS R 85</t>
  </si>
  <si>
    <t>07/06/2025</t>
  </si>
  <si>
    <t>IRIS R 78</t>
  </si>
  <si>
    <t>08/06/2025</t>
  </si>
  <si>
    <t>IRIS X85</t>
  </si>
  <si>
    <t>09/06/2025</t>
  </si>
  <si>
    <t>IRIS X78</t>
  </si>
  <si>
    <t>10/06/2025</t>
  </si>
  <si>
    <t>INFINITE 76</t>
  </si>
  <si>
    <t>11/06/2025</t>
  </si>
  <si>
    <t>INFINITE 86</t>
  </si>
  <si>
    <t>12/06/2025</t>
  </si>
  <si>
    <t>ROBERTS</t>
  </si>
  <si>
    <t>ROBERTS 25</t>
  </si>
  <si>
    <t>ROBERTS 28</t>
  </si>
  <si>
    <t>ROBERTS 31</t>
  </si>
  <si>
    <t>RRD</t>
  </si>
  <si>
    <t>270 AVANT RACE</t>
  </si>
  <si>
    <t>280 AVANT RACE</t>
  </si>
  <si>
    <t>313 LUCKYSTRIPE</t>
  </si>
  <si>
    <t>98/99</t>
  </si>
  <si>
    <t>270 FREESTYLE</t>
  </si>
  <si>
    <t>5,8</t>
  </si>
  <si>
    <t>278 AVANT SLALOM</t>
  </si>
  <si>
    <t>SPITFIRE 90</t>
  </si>
  <si>
    <t>SPITFIRE 102</t>
  </si>
  <si>
    <t>SPITFIRE 116</t>
  </si>
  <si>
    <t>SPITFIRE 129</t>
  </si>
  <si>
    <t>SPITFIRE 149</t>
  </si>
  <si>
    <t>X-FIRE LTD 75</t>
  </si>
  <si>
    <t>X-FIRE LTD 90</t>
  </si>
  <si>
    <t>X-FIRE LTD 105</t>
  </si>
  <si>
    <t>X-FIRE LTD 115</t>
  </si>
  <si>
    <t>X-FIRE LTD 130</t>
  </si>
  <si>
    <t>X-FIRE LTD 145</t>
  </si>
  <si>
    <t>X-Fire 90</t>
  </si>
  <si>
    <t>X-Fire 105</t>
  </si>
  <si>
    <t>X-Fire 120</t>
  </si>
  <si>
    <t>X-Fire 135</t>
  </si>
  <si>
    <t>X-Fire 112</t>
  </si>
  <si>
    <t>X Fire 80 V2</t>
  </si>
  <si>
    <t>X Fire 90 V2</t>
  </si>
  <si>
    <t>X Fire 102 V2</t>
  </si>
  <si>
    <t>X Fire 112 V2</t>
  </si>
  <si>
    <t>X Fire 122 V2</t>
  </si>
  <si>
    <t>X Fire 135 V2</t>
  </si>
  <si>
    <t>Firerace W-Tech 105</t>
  </si>
  <si>
    <t>Firerace W-Tech 112</t>
  </si>
  <si>
    <t>Firerace W-Tech 120</t>
  </si>
  <si>
    <t>Firerace W-Tech 135</t>
  </si>
  <si>
    <t>Firerace W-Tech v2 90</t>
  </si>
  <si>
    <t>Firerace W-Tech v2 102</t>
  </si>
  <si>
    <t>Firerace W-Tech v2 112</t>
  </si>
  <si>
    <t>Firerace W-Tech v2 122</t>
  </si>
  <si>
    <t>Firerace W-Tech v2 135</t>
  </si>
  <si>
    <t>X-Fire 80 LTD V3</t>
  </si>
  <si>
    <t>X-Fire 90 LTD V3</t>
  </si>
  <si>
    <t>X-Fire 102 LTD V3</t>
  </si>
  <si>
    <t>X-Fire 112 LTD V3</t>
  </si>
  <si>
    <t>X-Fire 122 LTD V3</t>
  </si>
  <si>
    <t>X-Fire 135 LTD V3</t>
  </si>
  <si>
    <t>X-Fire 90 LTD V4</t>
  </si>
  <si>
    <t>X-Fire 98 LTD V4</t>
  </si>
  <si>
    <t>X-Fire 105 LTD V4</t>
  </si>
  <si>
    <t>X-Fire 114 LTD V4</t>
  </si>
  <si>
    <t>X-Fire 122 LTD V4</t>
  </si>
  <si>
    <t>X-Fire 129 LTD V4</t>
  </si>
  <si>
    <t>Firerace 90 W-Tech V3</t>
  </si>
  <si>
    <t>2380,4</t>
  </si>
  <si>
    <t>570,7</t>
  </si>
  <si>
    <t>Firerace 102 W-Tech V3</t>
  </si>
  <si>
    <t>Firerace 112 W-Tech V3</t>
  </si>
  <si>
    <t>Firerace 122 W-Tech V3</t>
  </si>
  <si>
    <t>Firerace 135 W-Tech V3</t>
  </si>
  <si>
    <t>X-FIRE 90 LTD V5</t>
  </si>
  <si>
    <t>X-FIRE 98 LTD V5</t>
  </si>
  <si>
    <t>X-FIRE 105 LTD V5</t>
  </si>
  <si>
    <t>X-FIRE 114 LTD V5</t>
  </si>
  <si>
    <t>X-FIRE 122 LTD V5</t>
  </si>
  <si>
    <t>X-FIRE 129 LTD V5</t>
  </si>
  <si>
    <t>X-FIRE 90 LTD V6</t>
  </si>
  <si>
    <t>X-FIRE 98 LTD V6</t>
  </si>
  <si>
    <t>X-FIRE 105 LTD V6</t>
  </si>
  <si>
    <t>X-FIRE 114 LTD V6</t>
  </si>
  <si>
    <t>X-FIRE 122 LTD V6</t>
  </si>
  <si>
    <t>X-FIRE 129 LTD V6</t>
  </si>
  <si>
    <t>X-FIRE 80 LTD V7</t>
  </si>
  <si>
    <t>10/3/15</t>
  </si>
  <si>
    <t>X-FIRE 90 LTD V7</t>
  </si>
  <si>
    <t>X-FIRE 98 LTD V7</t>
  </si>
  <si>
    <t>X-FIRE 105 LTD V7</t>
  </si>
  <si>
    <t>X-FIRE 114 LTD V7</t>
  </si>
  <si>
    <t>X-FIRE 122 LTD V7</t>
  </si>
  <si>
    <t>X-FIRE 129 LTD V7</t>
  </si>
  <si>
    <t>X-FIRE 80 Wood V7</t>
  </si>
  <si>
    <t>X-FIRE 90 Wood V7</t>
  </si>
  <si>
    <t>X-FIRE 98 Wood V7</t>
  </si>
  <si>
    <t>X-FIRE 105 Wood V7</t>
  </si>
  <si>
    <t>X-FIRE 114 Wood V7</t>
  </si>
  <si>
    <t>X-FIRE 122 Wood V7</t>
  </si>
  <si>
    <t>X-FIRE 129 Wood V7</t>
  </si>
  <si>
    <t>X-FIRE 90 LTD V8</t>
  </si>
  <si>
    <t>31/03/16</t>
  </si>
  <si>
    <t>X-FIRE 98 LTD V8</t>
  </si>
  <si>
    <t>X-FIRE 108 LTD V8</t>
  </si>
  <si>
    <t>X-FIRE 114 LTD V8</t>
  </si>
  <si>
    <t>X-FIRE 122 LTD V8</t>
  </si>
  <si>
    <t>X-FIRE 129 LTD V8</t>
  </si>
  <si>
    <t>X-FIRE 98 WOOD V8</t>
  </si>
  <si>
    <t>X-FIRE 108 WOOD V8</t>
  </si>
  <si>
    <t>X-FIRE 114 WOOD V8</t>
  </si>
  <si>
    <t>X-FIRE 122 WOOD V8</t>
  </si>
  <si>
    <t>FIRESTORM 101 LTD V3</t>
  </si>
  <si>
    <t>FIRESTORM 123 LTD V3</t>
  </si>
  <si>
    <t>FIRESTORM 112 LTD V3</t>
  </si>
  <si>
    <t>FIRESTORM 101 WOOD V3</t>
  </si>
  <si>
    <t>FIRESTORM 123 WOOD V3</t>
  </si>
  <si>
    <t>FIRESTORM 112 WOOD V3</t>
  </si>
  <si>
    <t>X-FIRE 90 LTD V9</t>
  </si>
  <si>
    <t>06/12/16</t>
  </si>
  <si>
    <t>X-FIRE 98 LTD V9</t>
  </si>
  <si>
    <t>X-FIRE 108 LTD V9</t>
  </si>
  <si>
    <t>X-FIRE 114 LTD V9</t>
  </si>
  <si>
    <t>X-FIRE 122 LTD V9</t>
  </si>
  <si>
    <t>07/12/16</t>
  </si>
  <si>
    <t>X-FIRE 129 LTD V9</t>
  </si>
  <si>
    <t>FIRESTORM 101 LTD V4</t>
  </si>
  <si>
    <t>FIRESTORM 101 WOOD V4</t>
  </si>
  <si>
    <t>FIRESTORM 112 LTD V4</t>
  </si>
  <si>
    <t>FIRESTORM 112 WOOD V4</t>
  </si>
  <si>
    <t>FIRESTORM 123 LTD V4</t>
  </si>
  <si>
    <t>FIRESTORM 123 WOOD V4</t>
  </si>
  <si>
    <t>X-Fire 80 LTD V10</t>
  </si>
  <si>
    <t>06/03/18</t>
  </si>
  <si>
    <t>X-Fire 90 LTD V10</t>
  </si>
  <si>
    <t>X-Fire 98 LTD V10</t>
  </si>
  <si>
    <t>X-Fire 108 LTD V10</t>
  </si>
  <si>
    <t>X-Fire 114 LTD V10</t>
  </si>
  <si>
    <t>X-Fire 122 LTD V10</t>
  </si>
  <si>
    <t>X-Fire 129 LTD V10</t>
  </si>
  <si>
    <t>X-Fire 80 V11</t>
  </si>
  <si>
    <t>28/05/2019</t>
  </si>
  <si>
    <t>X-Fire 90 V11</t>
  </si>
  <si>
    <t>28/05/2020</t>
  </si>
  <si>
    <t>X-Fire 98 V11</t>
  </si>
  <si>
    <t>X-Fire 108 V11</t>
  </si>
  <si>
    <t>X-Fire 114 V11</t>
  </si>
  <si>
    <t>X-Fire 118 V11</t>
  </si>
  <si>
    <t>X-Fire 122 V11</t>
  </si>
  <si>
    <t>X-Fire 129 V11</t>
  </si>
  <si>
    <t>H-Fire PRO 91</t>
  </si>
  <si>
    <t>X-Fire 90 Y25</t>
  </si>
  <si>
    <t>X-Fire 98 Y25</t>
  </si>
  <si>
    <t>X-Fire 108 Y25</t>
  </si>
  <si>
    <t>X-Fire 114 Y25</t>
  </si>
  <si>
    <t>X-Fire 118 Y25</t>
  </si>
  <si>
    <t>X-Fire 122 Y25</t>
  </si>
  <si>
    <t>X-Fire 129 Y25</t>
  </si>
  <si>
    <t>H-Fire PRO 81 LTE</t>
  </si>
  <si>
    <t>13/04/2022</t>
  </si>
  <si>
    <t>H-Fire PRO 81 LTD</t>
  </si>
  <si>
    <t>H-FIRE PRO 86</t>
  </si>
  <si>
    <t>12/04/2024</t>
  </si>
  <si>
    <t>H-FIRE 98 LTD</t>
  </si>
  <si>
    <t>H-FIRE 118 LTD</t>
  </si>
  <si>
    <t>SEATREND</t>
  </si>
  <si>
    <t>ALL STAR 62</t>
  </si>
  <si>
    <t>ALL STAR 70</t>
  </si>
  <si>
    <t>ALL STAR 80</t>
  </si>
  <si>
    <t>SEVERNE</t>
  </si>
  <si>
    <t>Mega 63</t>
  </si>
  <si>
    <t>27/08/25</t>
  </si>
  <si>
    <t>Mega 73</t>
  </si>
  <si>
    <t>Hydro 84</t>
  </si>
  <si>
    <t>SIMMER STYLE</t>
  </si>
  <si>
    <t>Slalom 96</t>
  </si>
  <si>
    <t>Slalom 106</t>
  </si>
  <si>
    <t>Slalom 116</t>
  </si>
  <si>
    <t>Slalom 126</t>
  </si>
  <si>
    <t>Slalom 136</t>
  </si>
  <si>
    <t>Slalom 96 v2</t>
  </si>
  <si>
    <t>01/07/2019</t>
  </si>
  <si>
    <t>Slalom 106 v2</t>
  </si>
  <si>
    <t>Slalom 116 v2</t>
  </si>
  <si>
    <t>Slalom 126 v2</t>
  </si>
  <si>
    <t>Slalom 136 v2</t>
  </si>
  <si>
    <t>STARBOARD</t>
  </si>
  <si>
    <t>W52 (SLALOM)</t>
  </si>
  <si>
    <t>W55 (SLALOM)</t>
  </si>
  <si>
    <t>SONIC W75</t>
  </si>
  <si>
    <t>SONIC W75 LARGE</t>
  </si>
  <si>
    <t>SONIC 275</t>
  </si>
  <si>
    <t>HYPERSONIC 133</t>
  </si>
  <si>
    <t>HYPERSONIC 125</t>
  </si>
  <si>
    <t>HYPERSONIC 111</t>
  </si>
  <si>
    <t>HYPERSONIC 105</t>
  </si>
  <si>
    <t>HYPERSONIC 96</t>
  </si>
  <si>
    <t>GO</t>
  </si>
  <si>
    <t>SONIC 85</t>
  </si>
  <si>
    <t>SONIC 90</t>
  </si>
  <si>
    <t>SONIC 95</t>
  </si>
  <si>
    <t>SONIC 100</t>
  </si>
  <si>
    <t>SONIC 110</t>
  </si>
  <si>
    <t>SONIC 125</t>
  </si>
  <si>
    <t>CARVE 161</t>
  </si>
  <si>
    <t>PROKIDS S-TYPE</t>
  </si>
  <si>
    <t>PROKIDS SONIC</t>
  </si>
  <si>
    <t>ISONIC 105</t>
  </si>
  <si>
    <t>ISONIC 115</t>
  </si>
  <si>
    <t>ISONIC 125</t>
  </si>
  <si>
    <t>ISONIC 135</t>
  </si>
  <si>
    <t>ISONIC 50</t>
  </si>
  <si>
    <t>ISONIC 87</t>
  </si>
  <si>
    <t>ISONIC 94</t>
  </si>
  <si>
    <t>ISONIC 101</t>
  </si>
  <si>
    <t>ISONIC 111</t>
  </si>
  <si>
    <t>ISONIC 122</t>
  </si>
  <si>
    <t>ISONIC 133</t>
  </si>
  <si>
    <t>S-TYPE 137</t>
  </si>
  <si>
    <t>S-TYPE 126</t>
  </si>
  <si>
    <t>S-TYPE 115</t>
  </si>
  <si>
    <t>S-TYPE 104</t>
  </si>
  <si>
    <t>S-TYPE 93</t>
  </si>
  <si>
    <t>ISONIC 76</t>
  </si>
  <si>
    <t>ISONIC 86</t>
  </si>
  <si>
    <t>ISONIC 96</t>
  </si>
  <si>
    <t>ISONIC 144</t>
  </si>
  <si>
    <t>ISONIC SPEED SPECIAL W44</t>
  </si>
  <si>
    <t>ISONIC SPEED SPECIAL W49</t>
  </si>
  <si>
    <t>ISONIC SPEED SPECIAL W53</t>
  </si>
  <si>
    <t>ISONIC 86 SLIM</t>
  </si>
  <si>
    <t>ISONIC 121</t>
  </si>
  <si>
    <t>ISONIC 131</t>
  </si>
  <si>
    <t>ISONIC SPEED SPECIAL W58</t>
  </si>
  <si>
    <t>I-SONIC 80</t>
  </si>
  <si>
    <t>I-SONIC 87</t>
  </si>
  <si>
    <t>I-SONIC 90</t>
  </si>
  <si>
    <t>I-SONIC 97</t>
  </si>
  <si>
    <t>I-SONIC 107</t>
  </si>
  <si>
    <t>I-SONIC 117</t>
  </si>
  <si>
    <t>I-SONIC 117 WIDE</t>
  </si>
  <si>
    <t>I-SONIC 127</t>
  </si>
  <si>
    <t>I-SONIC 137</t>
  </si>
  <si>
    <t>I-SONIC Speed Special w44</t>
  </si>
  <si>
    <t>I-SONIC Speed Special w49</t>
  </si>
  <si>
    <t>I-SONIC Speed Special w54</t>
  </si>
  <si>
    <t>I-SONIC Speed Special w58</t>
  </si>
  <si>
    <t>I-Sonic Carbon 90</t>
  </si>
  <si>
    <t>I-Sonic Carbon 97</t>
  </si>
  <si>
    <t>I-Sonic Carbon 107</t>
  </si>
  <si>
    <t>I-Sonic Carbon 117</t>
  </si>
  <si>
    <t>I-Sonic Carbon 117 Wide</t>
  </si>
  <si>
    <t>I-Sonic Carbon 127 (Wood)</t>
  </si>
  <si>
    <t>I-Sonic 137 (Wood)</t>
  </si>
  <si>
    <t>I-Sonic 90 Carbon</t>
  </si>
  <si>
    <t>I-Sonic 97 Carbon</t>
  </si>
  <si>
    <t>I-Sonic 107 Carbon</t>
  </si>
  <si>
    <t>I-Sonic 110 Carbon</t>
  </si>
  <si>
    <t>I-Sonic 117 Carbon</t>
  </si>
  <si>
    <t>I-Sonic 127 Carbon</t>
  </si>
  <si>
    <t>I-Sonic 80 Carbon</t>
  </si>
  <si>
    <t>I-Sonic 87 Carbon</t>
  </si>
  <si>
    <t>I-Sonic 137 Carbon</t>
  </si>
  <si>
    <t>I-Sonic 80 Wood</t>
  </si>
  <si>
    <t>I-Sonic 87 Wood</t>
  </si>
  <si>
    <t>I-Sonic 90 Wood</t>
  </si>
  <si>
    <t>I-Sonic 97 Wood</t>
  </si>
  <si>
    <t>I-Sonic 107 Wood</t>
  </si>
  <si>
    <t>I-Sonic 110 Wood</t>
  </si>
  <si>
    <t>I-Sonic 117 Wood</t>
  </si>
  <si>
    <t>I-Sonic 130 Carbon</t>
  </si>
  <si>
    <t>I-Sonic 130 Wood</t>
  </si>
  <si>
    <t>I-Sonic 120 Wood</t>
  </si>
  <si>
    <t>I-Sonic 120 Carbon</t>
  </si>
  <si>
    <t>Slalom ONE</t>
  </si>
  <si>
    <t>ISONIC 80</t>
  </si>
  <si>
    <t>ISONIC 90</t>
  </si>
  <si>
    <t>ISONIC 97</t>
  </si>
  <si>
    <t>ISONIC 107</t>
  </si>
  <si>
    <t>ISONIC 114</t>
  </si>
  <si>
    <t>ISONIC 124</t>
  </si>
  <si>
    <t>ISONIC 134</t>
  </si>
  <si>
    <t>ISONIC 70</t>
  </si>
  <si>
    <t>06/01/2017</t>
  </si>
  <si>
    <t>ISONIC 75</t>
  </si>
  <si>
    <t>ISONIC 117</t>
  </si>
  <si>
    <t>ISONIC 127</t>
  </si>
  <si>
    <t>ISONIC 137</t>
  </si>
  <si>
    <t>12/01/2018</t>
  </si>
  <si>
    <t>ISONIC 147</t>
  </si>
  <si>
    <t>ISONIC 44</t>
  </si>
  <si>
    <t>17/01/2019</t>
  </si>
  <si>
    <t>ISONIC 55</t>
  </si>
  <si>
    <t>ISONIC 58</t>
  </si>
  <si>
    <t>ISONIC 60</t>
  </si>
  <si>
    <t>ISONIC 63</t>
  </si>
  <si>
    <t>ISONIC 67</t>
  </si>
  <si>
    <t>ISONIC 72</t>
  </si>
  <si>
    <t>ISONIC 77</t>
  </si>
  <si>
    <t>ISONIC 83</t>
  </si>
  <si>
    <t>ISONIC 85</t>
  </si>
  <si>
    <t>ISONIC 91</t>
  </si>
  <si>
    <t>FOIL 177 CARBON REFLEX</t>
  </si>
  <si>
    <t>28/01/2020</t>
  </si>
  <si>
    <t>FOIL SLALOM 71</t>
  </si>
  <si>
    <t>FOIL SLALOM 81</t>
  </si>
  <si>
    <t>FOIL SLALOM 91</t>
  </si>
  <si>
    <t>iSonic 60</t>
  </si>
  <si>
    <t>iSonic 63</t>
  </si>
  <si>
    <t>iSonic 67</t>
  </si>
  <si>
    <t>iSonic 73</t>
  </si>
  <si>
    <t>iSonic 77</t>
  </si>
  <si>
    <t>iSonic 83</t>
  </si>
  <si>
    <t>iSonic 85</t>
  </si>
  <si>
    <t>Foil Slalom 81</t>
  </si>
  <si>
    <t>04/04/2022</t>
  </si>
  <si>
    <t>Foil Slalom 91</t>
  </si>
  <si>
    <t>X-15 78</t>
  </si>
  <si>
    <t>X-15 85</t>
  </si>
  <si>
    <t>X-15 91</t>
  </si>
  <si>
    <t>21/02/2023</t>
  </si>
  <si>
    <t>X-15 75</t>
  </si>
  <si>
    <t>X-15 79</t>
  </si>
  <si>
    <t>X-15 89</t>
  </si>
  <si>
    <t>iQFoil 85 - Starlite Carbon</t>
  </si>
  <si>
    <t>02/10/2023</t>
  </si>
  <si>
    <t>22/01/2024</t>
  </si>
  <si>
    <t>26/03/2024</t>
  </si>
  <si>
    <t>20/11/2024</t>
  </si>
  <si>
    <t>x-15 85</t>
  </si>
  <si>
    <t>x-15 89</t>
  </si>
  <si>
    <t>x-15 75</t>
  </si>
  <si>
    <t>05/12/2024</t>
  </si>
  <si>
    <t>x-15 79</t>
  </si>
  <si>
    <t>TABOU</t>
  </si>
  <si>
    <t>MANTA 49</t>
  </si>
  <si>
    <t>MANTA 59</t>
  </si>
  <si>
    <t>MANTA 68</t>
  </si>
  <si>
    <t>MANTA 75</t>
  </si>
  <si>
    <t>MANTA 67</t>
  </si>
  <si>
    <t>MANTA 74</t>
  </si>
  <si>
    <t>-</t>
  </si>
  <si>
    <t>MANTA 80</t>
  </si>
  <si>
    <t>MANTA 54</t>
  </si>
  <si>
    <t>MANTA 64</t>
  </si>
  <si>
    <t>MANTA 69</t>
  </si>
  <si>
    <t>MANTA 79</t>
  </si>
  <si>
    <t>MANTA 85</t>
  </si>
  <si>
    <t>MANTA 59 II</t>
  </si>
  <si>
    <t>MANTA 65 Pro Team</t>
  </si>
  <si>
    <t>MANTA 69 Pro Team</t>
  </si>
  <si>
    <t>MANTA 75 Pro Team</t>
  </si>
  <si>
    <t>MANTA 85 Pro Team</t>
  </si>
  <si>
    <t>MANTA 79 Pro Team</t>
  </si>
  <si>
    <t>Manta 49 WS</t>
  </si>
  <si>
    <t>Manta 54 WS</t>
  </si>
  <si>
    <t>Manta 59 WS</t>
  </si>
  <si>
    <t>Manta 65 WS</t>
  </si>
  <si>
    <t>Manta 69 WS</t>
  </si>
  <si>
    <t>Manta 75 WS</t>
  </si>
  <si>
    <t>Manta 79 WS</t>
  </si>
  <si>
    <t>Manta 85 WS</t>
  </si>
  <si>
    <t>Manta 65 Pro Team</t>
  </si>
  <si>
    <t>Manta 69 Pro Team</t>
  </si>
  <si>
    <t>Manta 75 Pro Team</t>
  </si>
  <si>
    <t>Manta 79 Pro Team</t>
  </si>
  <si>
    <t>Manta 85 Pro Team</t>
  </si>
  <si>
    <t>Manta 71 Pro Team</t>
  </si>
  <si>
    <t>Manta 84 Pro Team</t>
  </si>
  <si>
    <t>Manta 61 WS</t>
  </si>
  <si>
    <t>Manta 85 II Pro Team</t>
  </si>
  <si>
    <t>Manta 59 Custom</t>
  </si>
  <si>
    <t>Manta 61 Custom</t>
  </si>
  <si>
    <t>Manta 66 Pro Team</t>
  </si>
  <si>
    <t>Manta 81 Pro Team</t>
  </si>
  <si>
    <t>20/03/15</t>
  </si>
  <si>
    <t>Manta 66 PTE</t>
  </si>
  <si>
    <t>Manta 71 PTE</t>
  </si>
  <si>
    <t>Manta 81 PTE</t>
  </si>
  <si>
    <t>Manta 85 PTE</t>
  </si>
  <si>
    <t>08/04/2016</t>
  </si>
  <si>
    <t>27/01/2017</t>
  </si>
  <si>
    <t>Manta 61</t>
  </si>
  <si>
    <t>Manta 66</t>
  </si>
  <si>
    <t>Manta 71</t>
  </si>
  <si>
    <t>Manta 81</t>
  </si>
  <si>
    <t>Manta85</t>
  </si>
  <si>
    <t>Air Ride 91</t>
  </si>
  <si>
    <t>MANTA 61</t>
  </si>
  <si>
    <t>MANTA 66</t>
  </si>
  <si>
    <t>MANTA 71</t>
  </si>
  <si>
    <t>MANTA 77</t>
  </si>
  <si>
    <t>MANTA 81</t>
  </si>
  <si>
    <t>18/02/2026</t>
  </si>
  <si>
    <t>Air Ride Plus 76</t>
  </si>
  <si>
    <t>16/03/2026</t>
  </si>
  <si>
    <t>Air Ride Plus 86</t>
  </si>
  <si>
    <t>Manta Foil 76</t>
  </si>
  <si>
    <t>Manta Foil 86</t>
  </si>
  <si>
    <t>TAHE</t>
  </si>
  <si>
    <t>Techno Wind Foil 130</t>
  </si>
  <si>
    <t>T1/THOMMEN</t>
  </si>
  <si>
    <t>SR 50</t>
  </si>
  <si>
    <t>RS 60</t>
  </si>
  <si>
    <t>RS 65</t>
  </si>
  <si>
    <t>RS 75</t>
  </si>
  <si>
    <t>RS 54</t>
  </si>
  <si>
    <t>RS 59</t>
  </si>
  <si>
    <t>RS 66</t>
  </si>
  <si>
    <t>RS 74</t>
  </si>
  <si>
    <t>RS 79</t>
  </si>
  <si>
    <t>RS54</t>
  </si>
  <si>
    <t>RS59</t>
  </si>
  <si>
    <t>RS67</t>
  </si>
  <si>
    <t>SR74</t>
  </si>
  <si>
    <t>SR84</t>
  </si>
  <si>
    <t>TIGA</t>
  </si>
  <si>
    <t>HYPER X 85</t>
  </si>
  <si>
    <t>HYPER X 95</t>
  </si>
  <si>
    <t>HYPER X 115</t>
  </si>
  <si>
    <t>HYPER X 130</t>
  </si>
  <si>
    <t>WE ONE</t>
  </si>
  <si>
    <t>WE RACE 59</t>
  </si>
  <si>
    <t>10/04/25</t>
  </si>
  <si>
    <t>WE RACE 63</t>
  </si>
  <si>
    <t>WE RACE 69</t>
  </si>
  <si>
    <t>WE RACE 74</t>
  </si>
  <si>
    <t>WE RACE 84</t>
  </si>
  <si>
    <t>WE FOIL RACE 78</t>
  </si>
  <si>
    <t>WE FOIL RACE 85</t>
  </si>
  <si>
    <t>WE FOIL RACE 88</t>
  </si>
  <si>
    <t>WE RACE 63 V2</t>
  </si>
  <si>
    <t>WE RACE 69 V2</t>
  </si>
  <si>
    <t>WE RACE 74 V2</t>
  </si>
  <si>
    <t>WE RACE 78</t>
  </si>
  <si>
    <t>WE FOIL RACE 85 V2</t>
  </si>
  <si>
    <t>WE RACE 58</t>
  </si>
  <si>
    <t>WE RAVE 63</t>
  </si>
  <si>
    <t>WE RACE 68</t>
  </si>
  <si>
    <t>WE RACE 73</t>
  </si>
  <si>
    <t>WE RACE 83</t>
  </si>
  <si>
    <t>Model</t>
  </si>
  <si>
    <t>Model
Year</t>
  </si>
  <si>
    <t>Weight</t>
  </si>
  <si>
    <t>5.8 Kgs ±5%</t>
  </si>
  <si>
    <t>5.0–7.0</t>
  </si>
  <si>
    <t>6.1 Kgs ±5%</t>
  </si>
  <si>
    <t>5.5–7.5</t>
  </si>
  <si>
    <t>6.4 Kgs ±5%</t>
  </si>
  <si>
    <t>6.0–7.8</t>
  </si>
  <si>
    <t>6.5–8.5</t>
  </si>
  <si>
    <t>6.7 Kgs ±5%</t>
  </si>
  <si>
    <t>8.5–9.5</t>
  </si>
  <si>
    <t>7.3 Kgs ±5%</t>
  </si>
  <si>
    <t>9.0–10.0</t>
  </si>
  <si>
    <t>X-Fire LTD V6 90</t>
  </si>
  <si>
    <t>X-Fire LTD V6 98</t>
  </si>
  <si>
    <t>X-Fire LTD V6 105</t>
  </si>
  <si>
    <t>X-Fire LTD V6 114</t>
  </si>
  <si>
    <t>X-Fire LTD V6 122</t>
  </si>
  <si>
    <t>X-Fire LTD V6 129</t>
  </si>
  <si>
    <t>HARDCORE WAVE LTD V5</t>
  </si>
  <si>
    <t>3.2-4.7</t>
  </si>
  <si>
    <t>14HCW68LV5</t>
  </si>
  <si>
    <t>3.7-5.3</t>
  </si>
  <si>
    <t>14HCW78LV5</t>
  </si>
  <si>
    <t>4.2-5.6</t>
  </si>
  <si>
    <t>14HCW88LV5</t>
  </si>
  <si>
    <t>4.5-5.8</t>
  </si>
  <si>
    <t>14HCW98LV5</t>
  </si>
  <si>
    <t>WAVE CULT LTD V5</t>
  </si>
  <si>
    <t>MFC TQ 16 - PRO Flex + SIDE 8</t>
  </si>
  <si>
    <t>3.7-5.2</t>
  </si>
  <si>
    <t>RD13WC75V5</t>
  </si>
  <si>
    <t>4.0-5.7</t>
  </si>
  <si>
    <t>RD13WC83V5</t>
  </si>
  <si>
    <t>MFC TQ 17 - PRO Flex + SIDE 8</t>
  </si>
  <si>
    <t>4.5-6.2</t>
  </si>
  <si>
    <t>RD13WC92V5</t>
  </si>
  <si>
    <t>4.9-6.6</t>
  </si>
  <si>
    <t>RD13WC100V5</t>
  </si>
  <si>
    <t>FIREWAVE LTD</t>
  </si>
  <si>
    <t>MFC TF SIDE 10 L&amp;R (SB) WL-RED’14-MFC TF CENTER 15 G-10 CNC (US)</t>
  </si>
  <si>
    <t>3.3-5.0</t>
  </si>
  <si>
    <t>14FRW74L</t>
  </si>
  <si>
    <t>MFC TF SIDE 10 L&amp;R (SB) WL-RED’14-MFC TF CENTER 16 G-10 CNC (US)</t>
  </si>
  <si>
    <t>14FRW82L</t>
  </si>
  <si>
    <t>MFC TF SIDE 10 L&amp;R (SB) WL-RED’14-MFC TF CENTER 17 G-10 CNC (US)</t>
  </si>
  <si>
    <t>14FRW92L</t>
  </si>
  <si>
    <t>MFC TF SIDE 11 L&amp;R (SB) WL-RED’14-MFC TF CENTER 18 G-10 CNC (US)</t>
  </si>
  <si>
    <t>14FRW102L</t>
  </si>
  <si>
    <t>MFC TF SIDE 11 L&amp;R (SB) WL-RED’14-MFC TF CENTER 19 G-10 CNC (US)</t>
  </si>
  <si>
    <t>4.7-6.7</t>
  </si>
  <si>
    <t>14FRW112L</t>
  </si>
  <si>
    <t>FIREWAVE WOOD</t>
  </si>
  <si>
    <t>14FRW74W</t>
  </si>
  <si>
    <t>13FRW82W</t>
  </si>
  <si>
    <t>13FRW92W</t>
  </si>
  <si>
    <t>13FRW102W</t>
  </si>
  <si>
    <t>14FRW112W</t>
  </si>
  <si>
    <t>FREESTYLE WAVE LTD V3</t>
  </si>
  <si>
    <t>M FC  FREEWAVE 14 25 G-10</t>
  </si>
  <si>
    <t>4.0-6.2</t>
  </si>
  <si>
    <t>14FWC88</t>
  </si>
  <si>
    <t>M FC  FREEWAVE 14 28 G-10</t>
  </si>
  <si>
    <t>4.2-6.4</t>
  </si>
  <si>
    <t>14FWC94</t>
  </si>
  <si>
    <t>M FC  FREEWAVE 14 29 G-10</t>
  </si>
  <si>
    <t>4.5-6.7</t>
  </si>
  <si>
    <t>14FWC100</t>
  </si>
  <si>
    <t>M FC  FREEWAVE 14 32 G-10</t>
  </si>
  <si>
    <t>4.7-7.2</t>
  </si>
  <si>
    <t>14FWC106</t>
  </si>
  <si>
    <t>FREESTYLE WAVE WOOD V3</t>
  </si>
  <si>
    <t>14FWW88</t>
  </si>
  <si>
    <t>14FWW94</t>
  </si>
  <si>
    <t>14FWW100</t>
  </si>
  <si>
    <t>14FWW106</t>
  </si>
  <si>
    <t>TWINTIP LTD V4</t>
  </si>
  <si>
    <t>MFC GT CARBON MOULDED 18</t>
  </si>
  <si>
    <t>3.7-5.0</t>
  </si>
  <si>
    <t>RD13ST39V2</t>
  </si>
  <si>
    <t>MFC GT CARBON MOULDED 20</t>
  </si>
  <si>
    <t>4.0-5.8</t>
  </si>
  <si>
    <t>RD13ST40V2</t>
  </si>
  <si>
    <t>X-FIRE LTD V7</t>
  </si>
  <si>
    <t>NO FIN DELIVERED</t>
  </si>
  <si>
    <t>5.0-7.8</t>
  </si>
  <si>
    <t>RDXF80V7</t>
  </si>
  <si>
    <t>5.0-7.0</t>
  </si>
  <si>
    <t>RDXF90V7</t>
  </si>
  <si>
    <t>5.5-7.5</t>
  </si>
  <si>
    <t>RDXF98V7</t>
  </si>
  <si>
    <t>6.0-7.8</t>
  </si>
  <si>
    <t>RDXF105V7</t>
  </si>
  <si>
    <t>6.5-8.5</t>
  </si>
  <si>
    <t>RDXF114V7</t>
  </si>
  <si>
    <t>8.5-9.5</t>
  </si>
  <si>
    <t>RDXF122V7</t>
  </si>
  <si>
    <t>9.0-10.0</t>
  </si>
  <si>
    <t>RDXF129V7</t>
  </si>
  <si>
    <t>X-FIRE LIGHTWIND LTD</t>
  </si>
  <si>
    <t>7.5-11.0</t>
  </si>
  <si>
    <t>14XFLW</t>
  </si>
  <si>
    <t>FIRESTORM LTD V2</t>
  </si>
  <si>
    <t>MFC 38 RC 2 CNC G-10</t>
  </si>
  <si>
    <t>5.2-7.2</t>
  </si>
  <si>
    <t>13FS101L</t>
  </si>
  <si>
    <t>MFC 40 RC 2 CNC G-10</t>
  </si>
  <si>
    <t>13FS111L</t>
  </si>
  <si>
    <t>MFC 42 RC 2 CNC G-10</t>
  </si>
  <si>
    <t>7.0-8.5</t>
  </si>
  <si>
    <t>13FS120L</t>
  </si>
  <si>
    <t>MFC 44RC 2 CNC G-10</t>
  </si>
  <si>
    <t>7.0-9.0</t>
  </si>
  <si>
    <t>13FS129L</t>
  </si>
  <si>
    <t>MFC 46 RC 2 CNC G-10</t>
  </si>
  <si>
    <t>7.5-9.5</t>
  </si>
  <si>
    <t>13FS138L</t>
  </si>
  <si>
    <t>FIRESTORM WOOD V2</t>
  </si>
  <si>
    <t>13FS101W</t>
  </si>
  <si>
    <t>13FS111W</t>
  </si>
  <si>
    <t>13FS120W</t>
  </si>
  <si>
    <t>13FS129W</t>
  </si>
  <si>
    <t>13FS138W</t>
  </si>
  <si>
    <t>FIREMOVE LTD V2</t>
  </si>
  <si>
    <t>MFC LIQUID PRO 36 G-10 CNC</t>
  </si>
  <si>
    <t>13FM102L</t>
  </si>
  <si>
    <t>MFC LIQUID PRO 38 G-10 CNC</t>
  </si>
  <si>
    <t>6.0-8.0</t>
  </si>
  <si>
    <t>13FM112L</t>
  </si>
  <si>
    <t>MFC LIQUID PRO 42 G-10 CNC</t>
  </si>
  <si>
    <t>6.8-9.0</t>
  </si>
  <si>
    <t>13FM122L</t>
  </si>
  <si>
    <t>MFC LIQUID PRO 46 G-10 CNC</t>
  </si>
  <si>
    <t>7.2-9.5</t>
  </si>
  <si>
    <t>13FM130L</t>
  </si>
  <si>
    <t>MFC LIQUID PRO 48 G-10 CNC</t>
  </si>
  <si>
    <t>7.5-10</t>
  </si>
  <si>
    <t>13FM140L</t>
  </si>
  <si>
    <t>FIREMOVE WOOD V2</t>
  </si>
  <si>
    <t>13FM102W</t>
  </si>
  <si>
    <t>13FM112W</t>
  </si>
  <si>
    <t>13FM122W</t>
  </si>
  <si>
    <t>13FM130W</t>
  </si>
  <si>
    <t>13FM140W</t>
  </si>
  <si>
    <t>FIREMOVE E-TECH V2</t>
  </si>
  <si>
    <t>RRD ZX 40</t>
  </si>
  <si>
    <t>13FM102E</t>
  </si>
  <si>
    <t>13FM112E</t>
  </si>
  <si>
    <t>RRD ZX 44</t>
  </si>
  <si>
    <t>13FM122E</t>
  </si>
  <si>
    <t>RRD ZX 46</t>
  </si>
  <si>
    <t>13FM130E</t>
  </si>
  <si>
    <t>RRD ZX 48</t>
  </si>
  <si>
    <t>13FM140E</t>
  </si>
  <si>
    <t>360 EVOLUTION DURATECH V3 XS</t>
  </si>
  <si>
    <t>ZX 46 WET LAYUP</t>
  </si>
  <si>
    <t>4.0-7.0</t>
  </si>
  <si>
    <t>RD12XS360DT</t>
  </si>
  <si>
    <t>360 EVOLUTION DURATECH V3 S</t>
  </si>
  <si>
    <t>4.5-7.5</t>
  </si>
  <si>
    <t>RD12S360DT</t>
  </si>
  <si>
    <t>360 EVOLUTION DURATECH V3 M</t>
  </si>
  <si>
    <t>5.0-8.0</t>
  </si>
  <si>
    <t>RD12M360DT</t>
  </si>
  <si>
    <t>360 EVOLUTION SOFTSKIN V2 XS</t>
  </si>
  <si>
    <t>ZX 44 Wet Layup</t>
  </si>
  <si>
    <t>RD12XS360SK</t>
  </si>
  <si>
    <t>360 EVOLUTION SOFTSKIN V2 S</t>
  </si>
  <si>
    <t>ZX 46 Wet Layup</t>
  </si>
  <si>
    <t>RD12S360SK</t>
  </si>
  <si>
    <t>360 EVOLUTION SOFTSKIN V2 M</t>
  </si>
  <si>
    <t>RD12M360SK</t>
  </si>
  <si>
    <t>360 EVOLUTION SOFTSKIN V2 L</t>
  </si>
  <si>
    <t>SLALOM 34 + ALGEIER DAGGERBOARD</t>
  </si>
  <si>
    <t>1.5-8.0</t>
  </si>
  <si>
    <t>RD12L360SK</t>
  </si>
  <si>
    <t>360 EVOLUTION SOFTSKIN V2 L W/O DAGGER</t>
  </si>
  <si>
    <t>ZX 46 WET LAYuP</t>
  </si>
  <si>
    <t>12L360SKND</t>
  </si>
  <si>
    <t>EASYRIDE SOFTSKIN V2  S</t>
  </si>
  <si>
    <t>1.0-7.5</t>
  </si>
  <si>
    <t>RD11ERSSK</t>
  </si>
  <si>
    <t>EASYRIDE SOFTSKIN V2  M</t>
  </si>
  <si>
    <t>1.0-8.0</t>
  </si>
  <si>
    <t>RD11ERMSK</t>
  </si>
  <si>
    <t>EASYRIDE SOFTSKIN V2  L</t>
  </si>
  <si>
    <t>RD11ERLSK</t>
  </si>
  <si>
    <t>EASYJOY V2 SOFTSKIN</t>
  </si>
  <si>
    <t>2X34 SLALOM  PB</t>
  </si>
  <si>
    <t>1.0-6.5</t>
  </si>
  <si>
    <t>13EJSK</t>
  </si>
  <si>
    <t>WAVEJOY V2 X-TECH</t>
  </si>
  <si>
    <t>MFC GOMWAVE 19</t>
  </si>
  <si>
    <t>2.5-5.0</t>
  </si>
  <si>
    <t>13WJV2X</t>
  </si>
  <si>
    <t>LONGRIDER</t>
  </si>
  <si>
    <t>MFC FREEWAVE 34 + LONG ALGEIR DAGGERBOARD</t>
  </si>
  <si>
    <t>3.5-7.5</t>
  </si>
  <si>
    <t>RD11LRV2</t>
  </si>
  <si>
    <t>2 x RRD side Q4A 9cms +  2 x RRD Center Q4A 16.0 G-10 CNC</t>
  </si>
  <si>
    <t>2 x RRD side Q4A 9cms +  2 x RRD Center Q4A 15.5 G-10 CNC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</si>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</sst>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2" borderId="1" xfId="0" applyFill="1" applyBorder="1"/>
    <xf numFmtId="0" fontId="1" fillId="3" borderId="0" xfId="0" applyFont="1" applyFill="1"/>
    <xf numFmtId="0" fontId="0" fillId="0" borderId="0" xfId="0" applyAlignment="1">
      <alignment vertical="center" wrapText="1"/>
    </xf>
    <xf numFmtId="0" fontId="1" fillId="4" borderId="3" xfId="0" applyFont="1" applyFill="1" applyBorder="1"/>
    <xf numFmtId="0" fontId="1" fillId="4" borderId="0" xfId="0" applyFont="1" applyFill="1"/>
    <xf numFmtId="0" fontId="3" fillId="4" borderId="0" xfId="0" applyFont="1" applyFill="1"/>
    <xf numFmtId="0" fontId="4" fillId="0" borderId="0" xfId="0" applyFont="1"/>
    <xf numFmtId="0" fontId="2" fillId="5" borderId="0" xfId="0" applyFont="1" applyFill="1"/>
    <xf numFmtId="0" fontId="0" fillId="5" borderId="0" xfId="0" applyFill="1"/>
    <xf numFmtId="0" fontId="4" fillId="5" borderId="0" xfId="0" applyFont="1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7" fillId="7" borderId="0" xfId="0" applyFont="1" applyFill="1"/>
    <xf numFmtId="0" fontId="7" fillId="8" borderId="0" xfId="0" applyFont="1" applyFill="1"/>
    <xf numFmtId="49" fontId="0" fillId="0" borderId="0" xfId="0" applyNumberFormat="1"/>
    <xf numFmtId="0" fontId="1" fillId="9" borderId="0" xfId="0" applyFont="1" applyFill="1"/>
    <xf numFmtId="49" fontId="1" fillId="9" borderId="0" xfId="0" applyNumberFormat="1" applyFont="1" applyFill="1"/>
    <xf numFmtId="2" fontId="0" fillId="0" borderId="0" xfId="0" applyNumberFormat="1"/>
    <xf numFmtId="0" fontId="0" fillId="10" borderId="0" xfId="0" applyFill="1"/>
    <xf numFmtId="49" fontId="0" fillId="10" borderId="0" xfId="0" applyNumberFormat="1" applyFill="1"/>
    <xf numFmtId="2" fontId="0" fillId="10" borderId="0" xfId="0" applyNumberFormat="1" applyFill="1"/>
    <xf numFmtId="0" fontId="0" fillId="11" borderId="0" xfId="0" applyFill="1"/>
    <xf numFmtId="49" fontId="0" fillId="11" borderId="0" xfId="0" applyNumberFormat="1" applyFill="1"/>
    <xf numFmtId="2" fontId="0" fillId="11" borderId="0" xfId="0" applyNumberFormat="1" applyFill="1"/>
    <xf numFmtId="0" fontId="7" fillId="7" borderId="0" xfId="0" applyFont="1" applyFill="1" applyAlignment="1">
      <alignment wrapText="1"/>
    </xf>
    <xf numFmtId="49" fontId="7" fillId="7" borderId="0" xfId="0" applyNumberFormat="1" applyFont="1" applyFill="1" applyAlignment="1">
      <alignment wrapText="1"/>
    </xf>
    <xf numFmtId="0" fontId="0" fillId="2" borderId="0" xfId="0" applyFill="1"/>
    <xf numFmtId="49" fontId="0" fillId="2" borderId="0" xfId="0" applyNumberFormat="1" applyFill="1"/>
    <xf numFmtId="2" fontId="0" fillId="2" borderId="0" xfId="0" applyNumberFormat="1" applyFill="1"/>
    <xf numFmtId="0" fontId="1" fillId="8" borderId="0" xfId="0" applyFont="1" applyFill="1" applyAlignment="1">
      <alignment horizontal="center"/>
    </xf>
    <xf numFmtId="0" fontId="7" fillId="3" borderId="0" xfId="0" applyFont="1" applyFill="1"/>
    <xf numFmtId="0" fontId="0" fillId="12" borderId="0" xfId="0" applyFill="1"/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231322</xdr:colOff>
      <xdr:row>0</xdr:row>
      <xdr:rowOff>200025</xdr:rowOff>
    </xdr:from>
    <xdr:to>
      <xdr:col>8</xdr:col>
      <xdr:colOff>1983441</xdr:colOff>
      <xdr:row>0</xdr:row>
      <xdr:rowOff>790575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DE1EF-222B-9311-72D2-A69AABD663FB}"/>
            </a:ext>
          </a:extLst>
        </xdr:cNvPr>
        <xdr:cNvSpPr txBox="1"/>
      </xdr:nvSpPr>
      <xdr:spPr>
        <a:xfrm>
          <a:off x="231322" y="200025"/>
          <a:ext cx="12319266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will input at picture with windsurfing board data. Please convert it to a table with the column ordered by Brand, Modell, Volume, Width Length and if available Technology, Fin Boxes, Fins and rec. sail sizes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sv-SE" sz="1100"/>
        </a:p>
      </xdr:txBody>
    </xdr:sp>
    <xdr:clientData/>
  </xdr:twoCellAnchor>
  <xdr:oneCellAnchor>
    <xdr:from>
      <xdr:col>8</xdr:col>
      <xdr:colOff>2286001</xdr:colOff>
      <xdr:row>0</xdr:row>
      <xdr:rowOff>313765</xdr:rowOff>
    </xdr:from>
    <xdr:ext cx="268605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5C7788-AC26-4ED0-ACC9-C9A56B10084E}"/>
            </a:ext>
          </a:extLst>
        </xdr:cNvPr>
        <xdr:cNvSpPr txBox="1"/>
      </xdr:nvSpPr>
      <xdr:spPr>
        <a:xfrm>
          <a:off x="12853148" y="313765"/>
          <a:ext cx="2686050" cy="2645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sv-SE" sz="1100" b="1"/>
            <a:t>=REGEXREPLACE(A1,"[^0-9.]","")+0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0</xdr:row>
      <xdr:rowOff>885825</xdr:rowOff>
    </xdr:from>
    <xdr:ext cx="268605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5FD69C-6359-4AED-9E80-2C8D7B4A6595}"/>
            </a:ext>
          </a:extLst>
        </xdr:cNvPr>
        <xdr:cNvSpPr txBox="1"/>
      </xdr:nvSpPr>
      <xdr:spPr>
        <a:xfrm>
          <a:off x="13296900" y="885825"/>
          <a:ext cx="2686050" cy="2645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sv-SE" sz="1100" b="1"/>
            <a:t>=REGEXREPLACE(A1,"[^0-9.]","")+0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E7DF-6394-4A61-9462-EC4D65F15DB9}">
  <sheetPr>
    <tabColor theme="9"/>
  </sheetPr>
  <dimension ref="A1:N440"/>
  <sheetViews>
    <sheetView tabSelected="1" zoomScaleNormal="100" workbookViewId="0">
      <pane ySplit="1" topLeftCell="A396" activePane="bottomLeft" state="frozen"/>
      <selection pane="bottomLeft" activeCell="A445" sqref="A445"/>
    </sheetView>
  </sheetViews>
  <sheetFormatPr defaultRowHeight="15" x14ac:dyDescent="0.25"/>
  <cols>
    <col min="1" max="1" width="33.7109375" bestFit="1" customWidth="1"/>
    <col min="2" max="2" width="8.85546875" bestFit="1" customWidth="1"/>
    <col min="3" max="3" width="14.42578125" style="18" customWidth="1"/>
    <col min="4" max="4" width="12" customWidth="1"/>
    <col min="5" max="5" width="33.140625" bestFit="1" customWidth="1"/>
    <col min="6" max="6" width="12.42578125" bestFit="1" customWidth="1"/>
    <col min="7" max="7" width="10.85546875" bestFit="1" customWidth="1"/>
    <col min="8" max="8" width="11.7109375" bestFit="1" customWidth="1"/>
    <col min="9" max="9" width="41.42578125" bestFit="1" customWidth="1"/>
    <col min="10" max="10" width="26.7109375" bestFit="1" customWidth="1"/>
    <col min="11" max="11" width="47.85546875" customWidth="1"/>
    <col min="12" max="12" width="24" bestFit="1" customWidth="1"/>
    <col min="13" max="13" width="13.140625" bestFit="1" customWidth="1"/>
  </cols>
  <sheetData>
    <row r="1" spans="1:14" ht="33" customHeight="1" x14ac:dyDescent="0.25">
      <c r="A1" s="17" t="s">
        <v>2</v>
      </c>
      <c r="B1" s="28" t="s">
        <v>279</v>
      </c>
      <c r="C1" s="29" t="s">
        <v>2042</v>
      </c>
      <c r="D1" s="16" t="s">
        <v>3</v>
      </c>
      <c r="E1" s="16" t="s">
        <v>2041</v>
      </c>
      <c r="F1" s="16" t="s">
        <v>726</v>
      </c>
      <c r="G1" s="16" t="s">
        <v>123</v>
      </c>
      <c r="H1" s="16" t="s">
        <v>124</v>
      </c>
      <c r="I1" s="13" t="s">
        <v>125</v>
      </c>
      <c r="J1" s="13" t="s">
        <v>126</v>
      </c>
      <c r="K1" s="13" t="s">
        <v>127</v>
      </c>
      <c r="L1" s="13" t="s">
        <v>128</v>
      </c>
      <c r="M1" s="13" t="s">
        <v>2043</v>
      </c>
      <c r="N1" s="13" t="s">
        <v>2243</v>
      </c>
    </row>
    <row r="2" spans="1:14" x14ac:dyDescent="0.25">
      <c r="A2" s="10" t="str">
        <f t="shared" ref="A2:A65" si="0">_xlfn.CONCAT(B2,"-",LEFT(D2,2),"-",LEFT(E2,3),"-",F2,"-",TRUNC(G2),"-",TRUNC(H2))</f>
        <v>1992-Ti-260-88-55-260</v>
      </c>
      <c r="B2" s="11" t="str">
        <f t="shared" ref="B2:B65" si="1">LEFT(C2,4)</f>
        <v>1992</v>
      </c>
      <c r="C2" s="18">
        <v>1992</v>
      </c>
      <c r="D2" t="s">
        <v>339</v>
      </c>
      <c r="E2" t="s">
        <v>340</v>
      </c>
      <c r="F2">
        <v>88</v>
      </c>
      <c r="G2">
        <v>55</v>
      </c>
      <c r="H2">
        <v>260</v>
      </c>
      <c r="J2" t="s">
        <v>332</v>
      </c>
    </row>
    <row r="3" spans="1:14" x14ac:dyDescent="0.25">
      <c r="A3" s="10" t="str">
        <f t="shared" si="0"/>
        <v>2007-Fa-All-72-54-232</v>
      </c>
      <c r="B3" s="11" t="str">
        <f t="shared" si="1"/>
        <v>2007</v>
      </c>
      <c r="C3" s="18" t="s">
        <v>1087</v>
      </c>
      <c r="D3" t="s">
        <v>1</v>
      </c>
      <c r="E3" t="s">
        <v>718</v>
      </c>
      <c r="F3">
        <v>72</v>
      </c>
      <c r="G3">
        <v>54</v>
      </c>
      <c r="H3">
        <v>232</v>
      </c>
      <c r="I3" t="s">
        <v>462</v>
      </c>
      <c r="K3" t="s">
        <v>463</v>
      </c>
    </row>
    <row r="4" spans="1:14" x14ac:dyDescent="0.25">
      <c r="A4" s="10" t="str">
        <f t="shared" si="0"/>
        <v>2007-Fa-All-82-57-233</v>
      </c>
      <c r="B4" s="11" t="str">
        <f t="shared" si="1"/>
        <v>2007</v>
      </c>
      <c r="C4" s="18" t="s">
        <v>1087</v>
      </c>
      <c r="D4" t="s">
        <v>1</v>
      </c>
      <c r="E4" t="s">
        <v>717</v>
      </c>
      <c r="F4">
        <v>82</v>
      </c>
      <c r="G4">
        <v>57</v>
      </c>
      <c r="H4">
        <v>233</v>
      </c>
      <c r="I4" t="s">
        <v>462</v>
      </c>
      <c r="K4" t="s">
        <v>464</v>
      </c>
    </row>
    <row r="5" spans="1:14" x14ac:dyDescent="0.25">
      <c r="A5" s="10" t="str">
        <f t="shared" si="0"/>
        <v>2007-Fa-AW -92-60-235</v>
      </c>
      <c r="B5" s="11" t="str">
        <f t="shared" si="1"/>
        <v>2007</v>
      </c>
      <c r="C5" s="18" t="s">
        <v>1087</v>
      </c>
      <c r="D5" t="s">
        <v>1</v>
      </c>
      <c r="E5" t="s">
        <v>465</v>
      </c>
      <c r="F5">
        <v>92</v>
      </c>
      <c r="G5">
        <v>60</v>
      </c>
      <c r="H5">
        <v>235</v>
      </c>
      <c r="I5" t="s">
        <v>462</v>
      </c>
      <c r="K5" t="s">
        <v>466</v>
      </c>
    </row>
    <row r="6" spans="1:14" x14ac:dyDescent="0.25">
      <c r="A6" s="10" t="str">
        <f t="shared" si="0"/>
        <v>2007-Fa-EAG-100-63-245</v>
      </c>
      <c r="B6" s="11" t="str">
        <f t="shared" si="1"/>
        <v>2007</v>
      </c>
      <c r="C6" s="18" t="s">
        <v>1087</v>
      </c>
      <c r="D6" t="s">
        <v>1</v>
      </c>
      <c r="E6" t="s">
        <v>487</v>
      </c>
      <c r="F6">
        <v>100</v>
      </c>
      <c r="G6">
        <v>63</v>
      </c>
      <c r="H6">
        <v>245</v>
      </c>
      <c r="I6" t="s">
        <v>481</v>
      </c>
      <c r="K6" t="s">
        <v>488</v>
      </c>
    </row>
    <row r="7" spans="1:14" x14ac:dyDescent="0.25">
      <c r="A7" s="10" t="str">
        <f t="shared" si="0"/>
        <v>2007-Fa-EAG-113-66-246</v>
      </c>
      <c r="B7" s="11" t="str">
        <f t="shared" si="1"/>
        <v>2007</v>
      </c>
      <c r="C7" s="18" t="s">
        <v>1087</v>
      </c>
      <c r="D7" t="s">
        <v>1</v>
      </c>
      <c r="E7" t="s">
        <v>489</v>
      </c>
      <c r="F7">
        <v>113</v>
      </c>
      <c r="G7">
        <v>66</v>
      </c>
      <c r="H7">
        <v>246</v>
      </c>
      <c r="I7" t="s">
        <v>481</v>
      </c>
      <c r="K7" t="s">
        <v>490</v>
      </c>
    </row>
    <row r="8" spans="1:14" x14ac:dyDescent="0.25">
      <c r="A8" s="10" t="str">
        <f t="shared" si="0"/>
        <v>2007-Fa-EAG-126-69-249</v>
      </c>
      <c r="B8" s="11" t="str">
        <f t="shared" si="1"/>
        <v>2007</v>
      </c>
      <c r="C8" s="18" t="s">
        <v>1087</v>
      </c>
      <c r="D8" t="s">
        <v>1</v>
      </c>
      <c r="E8" t="s">
        <v>491</v>
      </c>
      <c r="F8">
        <v>126</v>
      </c>
      <c r="G8">
        <v>69</v>
      </c>
      <c r="H8">
        <v>249</v>
      </c>
      <c r="I8" t="s">
        <v>481</v>
      </c>
      <c r="K8" t="s">
        <v>492</v>
      </c>
    </row>
    <row r="9" spans="1:14" x14ac:dyDescent="0.25">
      <c r="A9" s="10" t="str">
        <f t="shared" si="0"/>
        <v>2007-Fa-FAL-145-85-245</v>
      </c>
      <c r="B9" s="11" t="str">
        <f t="shared" si="1"/>
        <v>2007</v>
      </c>
      <c r="C9" s="18" t="s">
        <v>1087</v>
      </c>
      <c r="D9" t="s">
        <v>1</v>
      </c>
      <c r="E9" t="s">
        <v>511</v>
      </c>
      <c r="F9">
        <v>145</v>
      </c>
      <c r="G9">
        <v>85</v>
      </c>
      <c r="H9">
        <v>245</v>
      </c>
      <c r="I9" t="s">
        <v>505</v>
      </c>
      <c r="K9" t="s">
        <v>512</v>
      </c>
    </row>
    <row r="10" spans="1:14" x14ac:dyDescent="0.25">
      <c r="A10" s="10" t="str">
        <f t="shared" si="0"/>
        <v>2007-Fa-FAL-68-48-242</v>
      </c>
      <c r="B10" s="11" t="str">
        <f t="shared" si="1"/>
        <v>2007</v>
      </c>
      <c r="C10" s="18" t="s">
        <v>1087</v>
      </c>
      <c r="D10" t="s">
        <v>1</v>
      </c>
      <c r="E10" t="s">
        <v>504</v>
      </c>
      <c r="F10">
        <v>68</v>
      </c>
      <c r="G10">
        <v>48</v>
      </c>
      <c r="H10">
        <v>242</v>
      </c>
      <c r="I10" t="s">
        <v>505</v>
      </c>
      <c r="K10" t="s">
        <v>506</v>
      </c>
    </row>
    <row r="11" spans="1:14" x14ac:dyDescent="0.25">
      <c r="A11" s="10" t="str">
        <f t="shared" si="0"/>
        <v>2007-Fa-FW -104-63-241</v>
      </c>
      <c r="B11" s="11" t="str">
        <f t="shared" si="1"/>
        <v>2007</v>
      </c>
      <c r="C11" s="18" t="s">
        <v>1087</v>
      </c>
      <c r="D11" t="s">
        <v>1</v>
      </c>
      <c r="E11" t="s">
        <v>470</v>
      </c>
      <c r="F11">
        <v>104</v>
      </c>
      <c r="G11">
        <v>63.5</v>
      </c>
      <c r="H11">
        <v>241</v>
      </c>
      <c r="I11" t="s">
        <v>457</v>
      </c>
      <c r="K11" t="s">
        <v>471</v>
      </c>
    </row>
    <row r="12" spans="1:14" x14ac:dyDescent="0.25">
      <c r="A12" s="10" t="str">
        <f t="shared" si="0"/>
        <v>2007-Fa-Fee-77-56-237</v>
      </c>
      <c r="B12" s="11" t="str">
        <f t="shared" si="1"/>
        <v>2007</v>
      </c>
      <c r="C12" s="18" t="s">
        <v>1087</v>
      </c>
      <c r="D12" t="s">
        <v>1</v>
      </c>
      <c r="E12" t="s">
        <v>719</v>
      </c>
      <c r="F12">
        <v>77</v>
      </c>
      <c r="G12">
        <v>56</v>
      </c>
      <c r="H12">
        <v>237</v>
      </c>
      <c r="I12" t="s">
        <v>457</v>
      </c>
      <c r="K12" t="s">
        <v>467</v>
      </c>
    </row>
    <row r="13" spans="1:14" x14ac:dyDescent="0.25">
      <c r="A13" s="10" t="str">
        <f t="shared" si="0"/>
        <v>2007-Fa-Fre-86-58-239</v>
      </c>
      <c r="B13" s="11" t="str">
        <f t="shared" si="1"/>
        <v>2007</v>
      </c>
      <c r="C13" s="18" t="s">
        <v>1087</v>
      </c>
      <c r="D13" t="s">
        <v>1</v>
      </c>
      <c r="E13" t="s">
        <v>433</v>
      </c>
      <c r="F13">
        <v>86</v>
      </c>
      <c r="G13">
        <v>58.5</v>
      </c>
      <c r="H13">
        <v>239</v>
      </c>
      <c r="I13" t="s">
        <v>457</v>
      </c>
      <c r="K13" t="s">
        <v>468</v>
      </c>
    </row>
    <row r="14" spans="1:14" x14ac:dyDescent="0.25">
      <c r="A14" s="10" t="str">
        <f t="shared" si="0"/>
        <v>2007-Fa-Fre-95-61-241</v>
      </c>
      <c r="B14" s="11" t="str">
        <f t="shared" si="1"/>
        <v>2007</v>
      </c>
      <c r="C14" s="18" t="s">
        <v>1087</v>
      </c>
      <c r="D14" t="s">
        <v>1</v>
      </c>
      <c r="E14" t="s">
        <v>720</v>
      </c>
      <c r="F14">
        <v>95</v>
      </c>
      <c r="G14">
        <v>61</v>
      </c>
      <c r="H14">
        <v>241</v>
      </c>
      <c r="I14" t="s">
        <v>457</v>
      </c>
      <c r="K14" t="s">
        <v>469</v>
      </c>
    </row>
    <row r="15" spans="1:14" x14ac:dyDescent="0.25">
      <c r="A15" s="10" t="str">
        <f t="shared" si="0"/>
        <v>2007-Fa-HAW-108-62-247</v>
      </c>
      <c r="B15" s="11" t="str">
        <f t="shared" si="1"/>
        <v>2007</v>
      </c>
      <c r="C15" s="18" t="s">
        <v>1087</v>
      </c>
      <c r="D15" t="s">
        <v>1</v>
      </c>
      <c r="E15" t="s">
        <v>483</v>
      </c>
      <c r="F15">
        <v>108</v>
      </c>
      <c r="G15">
        <v>62</v>
      </c>
      <c r="H15">
        <v>247</v>
      </c>
      <c r="I15" t="s">
        <v>481</v>
      </c>
      <c r="K15" t="s">
        <v>484</v>
      </c>
    </row>
    <row r="16" spans="1:14" x14ac:dyDescent="0.25">
      <c r="A16" s="10" t="str">
        <f t="shared" si="0"/>
        <v>2007-Fa-HAW-123-66-249</v>
      </c>
      <c r="B16" s="11" t="str">
        <f t="shared" si="1"/>
        <v>2007</v>
      </c>
      <c r="C16" s="18" t="s">
        <v>1087</v>
      </c>
      <c r="D16" t="s">
        <v>1</v>
      </c>
      <c r="E16" t="s">
        <v>485</v>
      </c>
      <c r="F16">
        <v>123</v>
      </c>
      <c r="G16">
        <v>66</v>
      </c>
      <c r="H16">
        <v>249</v>
      </c>
      <c r="I16" t="s">
        <v>481</v>
      </c>
      <c r="K16" t="s">
        <v>486</v>
      </c>
    </row>
    <row r="17" spans="1:11" x14ac:dyDescent="0.25">
      <c r="A17" s="10" t="str">
        <f t="shared" si="0"/>
        <v>2007-Fa-HAW-93-58-245</v>
      </c>
      <c r="B17" s="11" t="str">
        <f t="shared" si="1"/>
        <v>2007</v>
      </c>
      <c r="C17" s="18" t="s">
        <v>1087</v>
      </c>
      <c r="D17" t="s">
        <v>1</v>
      </c>
      <c r="E17" t="s">
        <v>480</v>
      </c>
      <c r="F17">
        <v>93</v>
      </c>
      <c r="G17">
        <v>58</v>
      </c>
      <c r="H17">
        <v>245</v>
      </c>
      <c r="I17" t="s">
        <v>481</v>
      </c>
      <c r="K17" t="s">
        <v>482</v>
      </c>
    </row>
    <row r="18" spans="1:11" x14ac:dyDescent="0.25">
      <c r="A18" s="10" t="str">
        <f t="shared" si="0"/>
        <v>2007-Fa-New-69-52-237</v>
      </c>
      <c r="B18" s="11" t="str">
        <f t="shared" si="1"/>
        <v>2007</v>
      </c>
      <c r="C18" s="18" t="s">
        <v>1087</v>
      </c>
      <c r="D18" t="s">
        <v>1</v>
      </c>
      <c r="E18" t="s">
        <v>721</v>
      </c>
      <c r="F18">
        <v>69</v>
      </c>
      <c r="G18">
        <v>52.5</v>
      </c>
      <c r="H18">
        <v>237</v>
      </c>
      <c r="I18" t="s">
        <v>457</v>
      </c>
      <c r="K18" t="s">
        <v>458</v>
      </c>
    </row>
    <row r="19" spans="1:11" x14ac:dyDescent="0.25">
      <c r="A19" s="10" t="str">
        <f t="shared" si="0"/>
        <v>2007-Fa-New-69-52-237</v>
      </c>
      <c r="B19" s="11" t="str">
        <f t="shared" si="1"/>
        <v>2007</v>
      </c>
      <c r="C19" s="18" t="s">
        <v>1087</v>
      </c>
      <c r="D19" t="s">
        <v>1</v>
      </c>
      <c r="E19" t="s">
        <v>716</v>
      </c>
      <c r="F19">
        <v>69</v>
      </c>
      <c r="G19">
        <v>52.5</v>
      </c>
      <c r="H19">
        <v>237</v>
      </c>
      <c r="I19" t="s">
        <v>461</v>
      </c>
      <c r="K19" t="s">
        <v>458</v>
      </c>
    </row>
    <row r="20" spans="1:11" x14ac:dyDescent="0.25">
      <c r="A20" s="10" t="str">
        <f t="shared" si="0"/>
        <v>2007-Fa-New-75-54-238</v>
      </c>
      <c r="B20" s="11" t="str">
        <f t="shared" si="1"/>
        <v>2007</v>
      </c>
      <c r="C20" s="18" t="s">
        <v>1087</v>
      </c>
      <c r="D20" t="s">
        <v>1</v>
      </c>
      <c r="E20" t="s">
        <v>722</v>
      </c>
      <c r="F20">
        <v>75</v>
      </c>
      <c r="G20">
        <v>54.5</v>
      </c>
      <c r="H20">
        <v>238</v>
      </c>
      <c r="I20" t="s">
        <v>457</v>
      </c>
      <c r="K20" t="s">
        <v>459</v>
      </c>
    </row>
    <row r="21" spans="1:11" x14ac:dyDescent="0.25">
      <c r="A21" s="10" t="str">
        <f t="shared" si="0"/>
        <v>2007-Fa-New-75-54-238</v>
      </c>
      <c r="B21" s="11" t="str">
        <f t="shared" si="1"/>
        <v>2007</v>
      </c>
      <c r="C21" s="18" t="s">
        <v>1087</v>
      </c>
      <c r="D21" t="s">
        <v>1</v>
      </c>
      <c r="E21" t="s">
        <v>723</v>
      </c>
      <c r="F21">
        <v>75</v>
      </c>
      <c r="G21">
        <v>54.5</v>
      </c>
      <c r="H21">
        <v>238</v>
      </c>
      <c r="I21" t="s">
        <v>461</v>
      </c>
      <c r="K21" t="s">
        <v>459</v>
      </c>
    </row>
    <row r="22" spans="1:11" x14ac:dyDescent="0.25">
      <c r="A22" s="10" t="str">
        <f t="shared" si="0"/>
        <v>2007-Fa-New-81-56-240</v>
      </c>
      <c r="B22" s="11" t="str">
        <f t="shared" si="1"/>
        <v>2007</v>
      </c>
      <c r="C22" s="18" t="s">
        <v>1087</v>
      </c>
      <c r="D22" t="s">
        <v>1</v>
      </c>
      <c r="E22" t="s">
        <v>724</v>
      </c>
      <c r="F22">
        <v>81</v>
      </c>
      <c r="G22">
        <v>56.5</v>
      </c>
      <c r="H22">
        <v>240</v>
      </c>
      <c r="I22" t="s">
        <v>457</v>
      </c>
      <c r="K22" t="s">
        <v>460</v>
      </c>
    </row>
    <row r="23" spans="1:11" x14ac:dyDescent="0.25">
      <c r="A23" s="10" t="str">
        <f t="shared" si="0"/>
        <v>2007-Fa-New-81-56-240</v>
      </c>
      <c r="B23" s="11" t="str">
        <f t="shared" si="1"/>
        <v>2007</v>
      </c>
      <c r="C23" s="18" t="s">
        <v>1087</v>
      </c>
      <c r="D23" t="s">
        <v>1</v>
      </c>
      <c r="E23" t="s">
        <v>725</v>
      </c>
      <c r="F23">
        <v>81</v>
      </c>
      <c r="G23">
        <v>56.5</v>
      </c>
      <c r="H23">
        <v>240</v>
      </c>
      <c r="I23" t="s">
        <v>461</v>
      </c>
      <c r="K23" t="s">
        <v>460</v>
      </c>
    </row>
    <row r="24" spans="1:11" x14ac:dyDescent="0.25">
      <c r="A24" s="10" t="str">
        <f t="shared" si="0"/>
        <v>2007-Fa-RIP-102-69-239</v>
      </c>
      <c r="B24" s="11" t="str">
        <f t="shared" si="1"/>
        <v>2007</v>
      </c>
      <c r="C24" s="18" t="s">
        <v>1087</v>
      </c>
      <c r="D24" t="s">
        <v>1</v>
      </c>
      <c r="E24" t="s">
        <v>518</v>
      </c>
      <c r="F24">
        <v>102</v>
      </c>
      <c r="G24">
        <v>69.5</v>
      </c>
      <c r="H24">
        <v>239</v>
      </c>
      <c r="I24" t="s">
        <v>514</v>
      </c>
      <c r="K24" t="s">
        <v>519</v>
      </c>
    </row>
    <row r="25" spans="1:11" x14ac:dyDescent="0.25">
      <c r="A25" s="10" t="str">
        <f t="shared" si="0"/>
        <v>2007-Fa-SHA-130-70-258</v>
      </c>
      <c r="B25" s="11" t="str">
        <f t="shared" si="1"/>
        <v>2007</v>
      </c>
      <c r="C25" s="18" t="s">
        <v>1087</v>
      </c>
      <c r="D25" t="s">
        <v>1</v>
      </c>
      <c r="E25" t="s">
        <v>493</v>
      </c>
      <c r="F25">
        <v>130</v>
      </c>
      <c r="G25">
        <v>70</v>
      </c>
      <c r="H25">
        <v>258</v>
      </c>
      <c r="I25" t="s">
        <v>481</v>
      </c>
      <c r="K25" t="s">
        <v>494</v>
      </c>
    </row>
    <row r="26" spans="1:11" x14ac:dyDescent="0.25">
      <c r="A26" s="10" t="str">
        <f t="shared" si="0"/>
        <v>2007-Fa-SHA-130-70-258</v>
      </c>
      <c r="B26" s="11" t="str">
        <f t="shared" si="1"/>
        <v>2007</v>
      </c>
      <c r="C26" s="18" t="s">
        <v>1087</v>
      </c>
      <c r="D26" t="s">
        <v>1</v>
      </c>
      <c r="E26" t="s">
        <v>497</v>
      </c>
      <c r="F26">
        <v>130</v>
      </c>
      <c r="G26">
        <v>70</v>
      </c>
      <c r="H26">
        <v>258</v>
      </c>
      <c r="I26" t="s">
        <v>498</v>
      </c>
      <c r="K26" t="s">
        <v>499</v>
      </c>
    </row>
    <row r="27" spans="1:11" x14ac:dyDescent="0.25">
      <c r="A27" s="10" t="str">
        <f t="shared" si="0"/>
        <v>2007-Fa-SHA-145-75-263</v>
      </c>
      <c r="B27" s="11" t="str">
        <f t="shared" si="1"/>
        <v>2007</v>
      </c>
      <c r="C27" s="18" t="s">
        <v>1087</v>
      </c>
      <c r="D27" t="s">
        <v>1</v>
      </c>
      <c r="E27" t="s">
        <v>495</v>
      </c>
      <c r="F27">
        <v>145</v>
      </c>
      <c r="G27">
        <v>75</v>
      </c>
      <c r="H27">
        <v>263</v>
      </c>
      <c r="I27" t="s">
        <v>481</v>
      </c>
      <c r="K27" t="s">
        <v>496</v>
      </c>
    </row>
    <row r="28" spans="1:11" x14ac:dyDescent="0.25">
      <c r="A28" s="10" t="str">
        <f t="shared" si="0"/>
        <v>2007-Fa-SHA-145-75-263</v>
      </c>
      <c r="B28" s="11" t="str">
        <f t="shared" si="1"/>
        <v>2007</v>
      </c>
      <c r="C28" s="18" t="s">
        <v>1087</v>
      </c>
      <c r="D28" t="s">
        <v>1</v>
      </c>
      <c r="E28" t="s">
        <v>500</v>
      </c>
      <c r="F28">
        <v>145</v>
      </c>
      <c r="G28">
        <v>75</v>
      </c>
      <c r="H28">
        <v>263</v>
      </c>
      <c r="I28" t="s">
        <v>498</v>
      </c>
      <c r="K28" t="s">
        <v>501</v>
      </c>
    </row>
    <row r="29" spans="1:11" x14ac:dyDescent="0.25">
      <c r="A29" s="10" t="str">
        <f t="shared" si="0"/>
        <v>2007-Fa-SHA-160-80-268</v>
      </c>
      <c r="B29" s="11" t="str">
        <f t="shared" si="1"/>
        <v>2007</v>
      </c>
      <c r="C29" s="18" t="s">
        <v>1087</v>
      </c>
      <c r="D29" t="s">
        <v>1</v>
      </c>
      <c r="E29" t="s">
        <v>502</v>
      </c>
      <c r="F29">
        <v>160</v>
      </c>
      <c r="G29">
        <v>80</v>
      </c>
      <c r="H29">
        <v>268</v>
      </c>
      <c r="I29" t="s">
        <v>498</v>
      </c>
      <c r="K29" t="s">
        <v>503</v>
      </c>
    </row>
    <row r="30" spans="1:11" x14ac:dyDescent="0.25">
      <c r="A30" s="10" t="str">
        <f t="shared" si="0"/>
        <v>2007-Fa-SKA-107-65-239</v>
      </c>
      <c r="B30" s="11" t="str">
        <f t="shared" si="1"/>
        <v>2007</v>
      </c>
      <c r="C30" s="18" t="s">
        <v>1087</v>
      </c>
      <c r="D30" t="s">
        <v>1</v>
      </c>
      <c r="E30" t="s">
        <v>475</v>
      </c>
      <c r="F30">
        <v>107</v>
      </c>
      <c r="G30">
        <v>65</v>
      </c>
      <c r="H30">
        <v>239</v>
      </c>
      <c r="I30" t="s">
        <v>473</v>
      </c>
      <c r="K30" t="s">
        <v>476</v>
      </c>
    </row>
    <row r="31" spans="1:11" x14ac:dyDescent="0.25">
      <c r="A31" s="10" t="str">
        <f t="shared" si="0"/>
        <v>2007-Fa-SKA-107-65-239</v>
      </c>
      <c r="B31" s="11" t="str">
        <f t="shared" si="1"/>
        <v>2007</v>
      </c>
      <c r="C31" s="18" t="s">
        <v>1087</v>
      </c>
      <c r="D31" t="s">
        <v>1</v>
      </c>
      <c r="E31" t="s">
        <v>479</v>
      </c>
      <c r="F31">
        <v>107</v>
      </c>
      <c r="G31">
        <v>65</v>
      </c>
      <c r="H31">
        <v>239</v>
      </c>
      <c r="I31" t="s">
        <v>478</v>
      </c>
      <c r="K31" t="s">
        <v>476</v>
      </c>
    </row>
    <row r="32" spans="1:11" x14ac:dyDescent="0.25">
      <c r="A32" s="10" t="str">
        <f t="shared" si="0"/>
        <v>2007-Fa-SKA-97-63-237</v>
      </c>
      <c r="B32" s="11" t="str">
        <f t="shared" si="1"/>
        <v>2007</v>
      </c>
      <c r="C32" s="18" t="s">
        <v>1087</v>
      </c>
      <c r="D32" t="s">
        <v>1</v>
      </c>
      <c r="E32" t="s">
        <v>472</v>
      </c>
      <c r="F32">
        <v>97</v>
      </c>
      <c r="G32">
        <v>63</v>
      </c>
      <c r="H32">
        <v>237</v>
      </c>
      <c r="I32" t="s">
        <v>473</v>
      </c>
      <c r="K32" t="s">
        <v>474</v>
      </c>
    </row>
    <row r="33" spans="1:12" x14ac:dyDescent="0.25">
      <c r="A33" s="10" t="str">
        <f t="shared" si="0"/>
        <v>2007-Fa-SKA-97-63-237</v>
      </c>
      <c r="B33" s="11" t="str">
        <f t="shared" si="1"/>
        <v>2007</v>
      </c>
      <c r="C33" s="18" t="s">
        <v>1087</v>
      </c>
      <c r="D33" t="s">
        <v>1</v>
      </c>
      <c r="E33" t="s">
        <v>477</v>
      </c>
      <c r="F33">
        <v>97</v>
      </c>
      <c r="G33">
        <v>63</v>
      </c>
      <c r="H33">
        <v>237</v>
      </c>
      <c r="I33" t="s">
        <v>478</v>
      </c>
      <c r="K33" t="s">
        <v>474</v>
      </c>
    </row>
    <row r="34" spans="1:12" x14ac:dyDescent="0.25">
      <c r="A34" s="10" t="str">
        <f t="shared" si="0"/>
        <v>2007-Fa-VIP-160-75-275</v>
      </c>
      <c r="B34" s="11" t="str">
        <f t="shared" si="1"/>
        <v>2007</v>
      </c>
      <c r="C34" s="18" t="s">
        <v>1087</v>
      </c>
      <c r="D34" t="s">
        <v>1</v>
      </c>
      <c r="E34" t="s">
        <v>513</v>
      </c>
      <c r="F34">
        <v>160</v>
      </c>
      <c r="G34">
        <v>75</v>
      </c>
      <c r="H34">
        <v>275</v>
      </c>
      <c r="I34" t="s">
        <v>514</v>
      </c>
      <c r="K34" t="s">
        <v>515</v>
      </c>
    </row>
    <row r="35" spans="1:12" x14ac:dyDescent="0.25">
      <c r="A35" s="10" t="str">
        <f t="shared" si="0"/>
        <v>2007-Fa-VIP-190-80-280</v>
      </c>
      <c r="B35" s="11" t="str">
        <f t="shared" si="1"/>
        <v>2007</v>
      </c>
      <c r="C35" s="18" t="s">
        <v>1087</v>
      </c>
      <c r="D35" t="s">
        <v>1</v>
      </c>
      <c r="E35" t="s">
        <v>516</v>
      </c>
      <c r="F35">
        <v>190</v>
      </c>
      <c r="G35">
        <v>80</v>
      </c>
      <c r="H35">
        <v>280</v>
      </c>
      <c r="I35" t="s">
        <v>514</v>
      </c>
      <c r="K35" t="s">
        <v>515</v>
      </c>
    </row>
    <row r="36" spans="1:12" x14ac:dyDescent="0.25">
      <c r="A36" s="10" t="str">
        <f t="shared" si="0"/>
        <v>2007-Fa-VIP-220-85-285</v>
      </c>
      <c r="B36" s="11" t="str">
        <f t="shared" si="1"/>
        <v>2007</v>
      </c>
      <c r="C36" s="18" t="s">
        <v>1087</v>
      </c>
      <c r="D36" t="s">
        <v>1</v>
      </c>
      <c r="E36" t="s">
        <v>517</v>
      </c>
      <c r="F36">
        <v>220</v>
      </c>
      <c r="G36">
        <v>85</v>
      </c>
      <c r="H36">
        <v>285</v>
      </c>
      <c r="I36" t="s">
        <v>514</v>
      </c>
      <c r="K36" t="s">
        <v>515</v>
      </c>
    </row>
    <row r="37" spans="1:12" x14ac:dyDescent="0.25">
      <c r="A37" s="10" t="str">
        <f t="shared" si="0"/>
        <v>2007-Fa-FAL-79-55-245</v>
      </c>
      <c r="B37" s="11" t="str">
        <f t="shared" si="1"/>
        <v>2007</v>
      </c>
      <c r="C37" s="18" t="s">
        <v>1087</v>
      </c>
      <c r="D37" t="s">
        <v>1</v>
      </c>
      <c r="E37" t="s">
        <v>507</v>
      </c>
      <c r="F37">
        <v>79</v>
      </c>
      <c r="G37">
        <v>55</v>
      </c>
      <c r="H37">
        <v>245</v>
      </c>
      <c r="I37" t="s">
        <v>505</v>
      </c>
    </row>
    <row r="38" spans="1:12" x14ac:dyDescent="0.25">
      <c r="A38" s="10" t="str">
        <f t="shared" si="0"/>
        <v>2007-Fa-FAL-89-61-244</v>
      </c>
      <c r="B38" s="11" t="str">
        <f t="shared" si="1"/>
        <v>2007</v>
      </c>
      <c r="C38" s="18" t="s">
        <v>1087</v>
      </c>
      <c r="D38" t="s">
        <v>1</v>
      </c>
      <c r="E38" t="s">
        <v>508</v>
      </c>
      <c r="F38">
        <v>89</v>
      </c>
      <c r="G38">
        <v>61</v>
      </c>
      <c r="H38">
        <v>244</v>
      </c>
      <c r="I38" t="s">
        <v>505</v>
      </c>
    </row>
    <row r="39" spans="1:12" x14ac:dyDescent="0.25">
      <c r="A39" s="10" t="str">
        <f t="shared" si="0"/>
        <v>2007-Fa-FAL-104-67-245</v>
      </c>
      <c r="B39" s="11" t="str">
        <f t="shared" si="1"/>
        <v>2007</v>
      </c>
      <c r="C39" s="18" t="s">
        <v>1087</v>
      </c>
      <c r="D39" t="s">
        <v>1</v>
      </c>
      <c r="E39" t="s">
        <v>509</v>
      </c>
      <c r="F39">
        <v>104</v>
      </c>
      <c r="G39">
        <v>67</v>
      </c>
      <c r="H39">
        <v>245</v>
      </c>
      <c r="I39" t="s">
        <v>505</v>
      </c>
    </row>
    <row r="40" spans="1:12" x14ac:dyDescent="0.25">
      <c r="A40" s="10" t="str">
        <f t="shared" si="0"/>
        <v>2007-Fa-FAL-124-76-245</v>
      </c>
      <c r="B40" s="11" t="str">
        <f t="shared" si="1"/>
        <v>2007</v>
      </c>
      <c r="C40" s="18" t="s">
        <v>1087</v>
      </c>
      <c r="D40" t="s">
        <v>1</v>
      </c>
      <c r="E40" t="s">
        <v>510</v>
      </c>
      <c r="F40">
        <v>124</v>
      </c>
      <c r="G40">
        <v>76</v>
      </c>
      <c r="H40">
        <v>245</v>
      </c>
      <c r="I40" t="s">
        <v>505</v>
      </c>
    </row>
    <row r="41" spans="1:12" x14ac:dyDescent="0.25">
      <c r="A41" s="10" t="str">
        <f t="shared" si="0"/>
        <v>2007-Fa-Fal-89-61-244</v>
      </c>
      <c r="B41" s="11" t="str">
        <f t="shared" si="1"/>
        <v>2007</v>
      </c>
      <c r="C41" s="18">
        <v>2007</v>
      </c>
      <c r="D41" t="s">
        <v>1</v>
      </c>
      <c r="E41" t="s">
        <v>1145</v>
      </c>
      <c r="F41">
        <v>89</v>
      </c>
      <c r="G41">
        <v>61</v>
      </c>
      <c r="H41">
        <v>244</v>
      </c>
      <c r="I41" t="s">
        <v>505</v>
      </c>
    </row>
    <row r="42" spans="1:12" x14ac:dyDescent="0.25">
      <c r="A42" s="10" t="str">
        <f t="shared" si="0"/>
        <v>2010-Fa-Fal-102-63-235</v>
      </c>
      <c r="B42" s="11" t="str">
        <f t="shared" si="1"/>
        <v>2010</v>
      </c>
      <c r="C42" s="18">
        <v>2010</v>
      </c>
      <c r="D42" t="s">
        <v>1</v>
      </c>
      <c r="E42" t="s">
        <v>628</v>
      </c>
      <c r="F42">
        <v>102</v>
      </c>
      <c r="G42">
        <v>63</v>
      </c>
      <c r="H42">
        <v>235</v>
      </c>
      <c r="I42" t="s">
        <v>627</v>
      </c>
      <c r="J42" t="s">
        <v>232</v>
      </c>
      <c r="K42" t="s">
        <v>624</v>
      </c>
      <c r="L42" t="s">
        <v>581</v>
      </c>
    </row>
    <row r="43" spans="1:12" x14ac:dyDescent="0.25">
      <c r="A43" s="10" t="str">
        <f t="shared" si="0"/>
        <v>2010-Fa-Fal-112-69-235</v>
      </c>
      <c r="B43" s="11" t="str">
        <f t="shared" si="1"/>
        <v>2010</v>
      </c>
      <c r="C43" s="18">
        <v>2010</v>
      </c>
      <c r="D43" t="s">
        <v>1</v>
      </c>
      <c r="E43" t="s">
        <v>629</v>
      </c>
      <c r="F43">
        <v>112</v>
      </c>
      <c r="G43">
        <v>69</v>
      </c>
      <c r="H43">
        <v>235</v>
      </c>
      <c r="I43" t="s">
        <v>627</v>
      </c>
      <c r="J43" t="s">
        <v>232</v>
      </c>
      <c r="K43" t="s">
        <v>624</v>
      </c>
      <c r="L43" t="s">
        <v>584</v>
      </c>
    </row>
    <row r="44" spans="1:12" x14ac:dyDescent="0.25">
      <c r="A44" s="10" t="str">
        <f t="shared" si="0"/>
        <v>2010-Fa-Fal-122-75-230</v>
      </c>
      <c r="B44" s="11" t="str">
        <f t="shared" si="1"/>
        <v>2010</v>
      </c>
      <c r="C44" s="18">
        <v>2010</v>
      </c>
      <c r="D44" t="s">
        <v>1</v>
      </c>
      <c r="E44" t="s">
        <v>630</v>
      </c>
      <c r="F44">
        <v>122</v>
      </c>
      <c r="G44">
        <v>75</v>
      </c>
      <c r="H44">
        <v>230</v>
      </c>
      <c r="I44" t="s">
        <v>627</v>
      </c>
      <c r="J44" t="s">
        <v>232</v>
      </c>
      <c r="K44" t="s">
        <v>624</v>
      </c>
      <c r="L44" t="s">
        <v>604</v>
      </c>
    </row>
    <row r="45" spans="1:12" x14ac:dyDescent="0.25">
      <c r="A45" s="10" t="str">
        <f t="shared" si="0"/>
        <v>2010-Fa-Fal-133-79-230</v>
      </c>
      <c r="B45" s="11" t="str">
        <f t="shared" si="1"/>
        <v>2010</v>
      </c>
      <c r="C45" s="18">
        <v>2010</v>
      </c>
      <c r="D45" t="s">
        <v>1</v>
      </c>
      <c r="E45" t="s">
        <v>631</v>
      </c>
      <c r="F45">
        <v>133</v>
      </c>
      <c r="G45">
        <v>79</v>
      </c>
      <c r="H45">
        <v>230</v>
      </c>
      <c r="I45" t="s">
        <v>627</v>
      </c>
      <c r="J45" t="s">
        <v>260</v>
      </c>
      <c r="K45" t="s">
        <v>624</v>
      </c>
      <c r="L45" t="s">
        <v>632</v>
      </c>
    </row>
    <row r="46" spans="1:12" x14ac:dyDescent="0.25">
      <c r="A46" s="10" t="str">
        <f t="shared" si="0"/>
        <v>2010-Fa-Fal-145-85-230</v>
      </c>
      <c r="B46" s="11" t="str">
        <f t="shared" si="1"/>
        <v>2010</v>
      </c>
      <c r="C46" s="18">
        <v>2010</v>
      </c>
      <c r="D46" t="s">
        <v>1</v>
      </c>
      <c r="E46" t="s">
        <v>633</v>
      </c>
      <c r="F46">
        <v>145</v>
      </c>
      <c r="G46">
        <v>85</v>
      </c>
      <c r="H46">
        <v>230</v>
      </c>
      <c r="I46" t="s">
        <v>627</v>
      </c>
      <c r="J46" t="s">
        <v>260</v>
      </c>
      <c r="K46" t="s">
        <v>624</v>
      </c>
      <c r="L46" t="s">
        <v>634</v>
      </c>
    </row>
    <row r="47" spans="1:12" x14ac:dyDescent="0.25">
      <c r="A47" s="10" t="str">
        <f t="shared" si="0"/>
        <v>2010-Fa-Fal-68-48-242</v>
      </c>
      <c r="B47" s="11" t="str">
        <f t="shared" si="1"/>
        <v>2010</v>
      </c>
      <c r="C47" s="18">
        <v>2010</v>
      </c>
      <c r="D47" t="s">
        <v>1</v>
      </c>
      <c r="E47" t="s">
        <v>622</v>
      </c>
      <c r="F47">
        <v>68</v>
      </c>
      <c r="G47">
        <v>48</v>
      </c>
      <c r="H47">
        <v>242</v>
      </c>
      <c r="I47" t="s">
        <v>623</v>
      </c>
      <c r="J47" t="s">
        <v>232</v>
      </c>
      <c r="K47" t="s">
        <v>624</v>
      </c>
      <c r="L47" t="s">
        <v>625</v>
      </c>
    </row>
    <row r="48" spans="1:12" x14ac:dyDescent="0.25">
      <c r="A48" s="10" t="str">
        <f t="shared" si="0"/>
        <v>2010-Fa-Fal-86-58-240</v>
      </c>
      <c r="B48" s="11" t="str">
        <f t="shared" si="1"/>
        <v>2010</v>
      </c>
      <c r="C48" s="18">
        <v>2010</v>
      </c>
      <c r="D48" t="s">
        <v>1</v>
      </c>
      <c r="E48" t="s">
        <v>626</v>
      </c>
      <c r="F48">
        <v>86</v>
      </c>
      <c r="G48">
        <v>58</v>
      </c>
      <c r="H48">
        <v>240</v>
      </c>
      <c r="I48" t="s">
        <v>627</v>
      </c>
      <c r="J48" t="s">
        <v>232</v>
      </c>
      <c r="K48" t="s">
        <v>624</v>
      </c>
      <c r="L48" t="s">
        <v>568</v>
      </c>
    </row>
    <row r="49" spans="1:12" x14ac:dyDescent="0.25">
      <c r="A49" s="10" t="str">
        <f t="shared" si="0"/>
        <v>2010-Fa-Fre-105-63-242</v>
      </c>
      <c r="B49" s="11" t="str">
        <f t="shared" si="1"/>
        <v>2010</v>
      </c>
      <c r="C49" s="18">
        <v>2010</v>
      </c>
      <c r="D49" t="s">
        <v>1</v>
      </c>
      <c r="E49" t="s">
        <v>555</v>
      </c>
      <c r="F49">
        <v>105</v>
      </c>
      <c r="G49">
        <v>63.5</v>
      </c>
      <c r="H49">
        <v>242</v>
      </c>
      <c r="I49" t="s">
        <v>547</v>
      </c>
      <c r="J49" t="s">
        <v>179</v>
      </c>
      <c r="K49" t="s">
        <v>556</v>
      </c>
      <c r="L49" t="s">
        <v>557</v>
      </c>
    </row>
    <row r="50" spans="1:12" x14ac:dyDescent="0.25">
      <c r="A50" s="10" t="str">
        <f t="shared" si="0"/>
        <v>2010-Fa-Fre-105-63-242</v>
      </c>
      <c r="B50" s="11" t="str">
        <f t="shared" si="1"/>
        <v>2010</v>
      </c>
      <c r="C50" s="18">
        <v>2010</v>
      </c>
      <c r="D50" t="s">
        <v>1</v>
      </c>
      <c r="E50" t="s">
        <v>563</v>
      </c>
      <c r="F50">
        <v>105</v>
      </c>
      <c r="G50">
        <v>63.5</v>
      </c>
      <c r="H50">
        <v>242</v>
      </c>
      <c r="I50" t="s">
        <v>521</v>
      </c>
      <c r="J50" t="s">
        <v>179</v>
      </c>
      <c r="K50" t="s">
        <v>556</v>
      </c>
      <c r="L50" t="s">
        <v>564</v>
      </c>
    </row>
    <row r="51" spans="1:12" x14ac:dyDescent="0.25">
      <c r="A51" s="10" t="str">
        <f t="shared" si="0"/>
        <v>2010-Fa-Fre-115-66-244</v>
      </c>
      <c r="B51" s="11" t="str">
        <f t="shared" si="1"/>
        <v>2010</v>
      </c>
      <c r="C51" s="18">
        <v>2010</v>
      </c>
      <c r="D51" t="s">
        <v>1</v>
      </c>
      <c r="E51" t="s">
        <v>558</v>
      </c>
      <c r="F51">
        <v>115</v>
      </c>
      <c r="G51">
        <v>66</v>
      </c>
      <c r="H51">
        <v>244</v>
      </c>
      <c r="I51" t="s">
        <v>547</v>
      </c>
      <c r="J51" t="s">
        <v>179</v>
      </c>
      <c r="K51" t="s">
        <v>556</v>
      </c>
      <c r="L51" t="s">
        <v>559</v>
      </c>
    </row>
    <row r="52" spans="1:12" x14ac:dyDescent="0.25">
      <c r="A52" s="10" t="str">
        <f t="shared" si="0"/>
        <v>2010-Fa-Fre-115-66-244</v>
      </c>
      <c r="B52" s="11" t="str">
        <f t="shared" si="1"/>
        <v>2010</v>
      </c>
      <c r="C52" s="18">
        <v>2010</v>
      </c>
      <c r="D52" t="s">
        <v>1</v>
      </c>
      <c r="E52" t="s">
        <v>565</v>
      </c>
      <c r="F52">
        <v>115</v>
      </c>
      <c r="G52">
        <v>66</v>
      </c>
      <c r="H52">
        <v>244</v>
      </c>
      <c r="I52" t="s">
        <v>521</v>
      </c>
      <c r="J52" t="s">
        <v>179</v>
      </c>
      <c r="K52" t="s">
        <v>556</v>
      </c>
      <c r="L52" t="s">
        <v>559</v>
      </c>
    </row>
    <row r="53" spans="1:12" x14ac:dyDescent="0.25">
      <c r="A53" s="10" t="str">
        <f t="shared" si="0"/>
        <v>2010-Fa-Fre-75-56-235</v>
      </c>
      <c r="B53" s="11" t="str">
        <f t="shared" si="1"/>
        <v>2010</v>
      </c>
      <c r="C53" s="18">
        <v>2010</v>
      </c>
      <c r="D53" t="s">
        <v>1</v>
      </c>
      <c r="E53" t="s">
        <v>546</v>
      </c>
      <c r="F53">
        <v>75</v>
      </c>
      <c r="G53">
        <v>56</v>
      </c>
      <c r="H53">
        <v>235</v>
      </c>
      <c r="I53" t="s">
        <v>547</v>
      </c>
      <c r="J53" t="s">
        <v>523</v>
      </c>
      <c r="K53" t="s">
        <v>548</v>
      </c>
      <c r="L53" t="s">
        <v>530</v>
      </c>
    </row>
    <row r="54" spans="1:12" x14ac:dyDescent="0.25">
      <c r="A54" s="10" t="str">
        <f t="shared" si="0"/>
        <v>2010-Fa-Fre-75-56-235</v>
      </c>
      <c r="B54" s="11" t="str">
        <f t="shared" si="1"/>
        <v>2010</v>
      </c>
      <c r="C54" s="18">
        <v>2010</v>
      </c>
      <c r="D54" t="s">
        <v>1</v>
      </c>
      <c r="E54" t="s">
        <v>560</v>
      </c>
      <c r="F54">
        <v>75</v>
      </c>
      <c r="G54">
        <v>56</v>
      </c>
      <c r="H54">
        <v>235</v>
      </c>
      <c r="I54" t="s">
        <v>521</v>
      </c>
      <c r="J54" t="s">
        <v>523</v>
      </c>
      <c r="K54" t="s">
        <v>548</v>
      </c>
      <c r="L54" t="s">
        <v>530</v>
      </c>
    </row>
    <row r="55" spans="1:12" x14ac:dyDescent="0.25">
      <c r="A55" s="10" t="str">
        <f t="shared" si="0"/>
        <v>2010-Fa-Fre-85-58-238</v>
      </c>
      <c r="B55" s="11" t="str">
        <f t="shared" si="1"/>
        <v>2010</v>
      </c>
      <c r="C55" s="18">
        <v>2010</v>
      </c>
      <c r="D55" t="s">
        <v>1</v>
      </c>
      <c r="E55" t="s">
        <v>549</v>
      </c>
      <c r="F55">
        <v>85</v>
      </c>
      <c r="G55">
        <v>58.5</v>
      </c>
      <c r="H55">
        <v>238</v>
      </c>
      <c r="I55" t="s">
        <v>547</v>
      </c>
      <c r="J55" t="s">
        <v>179</v>
      </c>
      <c r="K55" t="s">
        <v>550</v>
      </c>
      <c r="L55" t="s">
        <v>551</v>
      </c>
    </row>
    <row r="56" spans="1:12" x14ac:dyDescent="0.25">
      <c r="A56" s="10" t="str">
        <f t="shared" si="0"/>
        <v>2010-Fa-Fre-85-58-238</v>
      </c>
      <c r="B56" s="11" t="str">
        <f t="shared" si="1"/>
        <v>2010</v>
      </c>
      <c r="C56" s="18">
        <v>2010</v>
      </c>
      <c r="D56" t="s">
        <v>1</v>
      </c>
      <c r="E56" t="s">
        <v>561</v>
      </c>
      <c r="F56">
        <v>85</v>
      </c>
      <c r="G56">
        <v>58.5</v>
      </c>
      <c r="H56">
        <v>238</v>
      </c>
      <c r="I56" t="s">
        <v>521</v>
      </c>
      <c r="J56" t="s">
        <v>179</v>
      </c>
      <c r="K56" t="s">
        <v>550</v>
      </c>
      <c r="L56" t="s">
        <v>551</v>
      </c>
    </row>
    <row r="57" spans="1:12" x14ac:dyDescent="0.25">
      <c r="A57" s="10" t="str">
        <f t="shared" si="0"/>
        <v>2010-Fa-Fre-95-61-240</v>
      </c>
      <c r="B57" s="11" t="str">
        <f t="shared" si="1"/>
        <v>2010</v>
      </c>
      <c r="C57" s="18">
        <v>2010</v>
      </c>
      <c r="D57" t="s">
        <v>1</v>
      </c>
      <c r="E57" t="s">
        <v>552</v>
      </c>
      <c r="F57">
        <v>95</v>
      </c>
      <c r="G57">
        <v>61</v>
      </c>
      <c r="H57">
        <v>240</v>
      </c>
      <c r="I57" t="s">
        <v>547</v>
      </c>
      <c r="J57" t="s">
        <v>179</v>
      </c>
      <c r="K57" t="s">
        <v>553</v>
      </c>
      <c r="L57" t="s">
        <v>554</v>
      </c>
    </row>
    <row r="58" spans="1:12" x14ac:dyDescent="0.25">
      <c r="A58" s="10" t="str">
        <f t="shared" si="0"/>
        <v>2010-Fa-Fre-95-61-240</v>
      </c>
      <c r="B58" s="11" t="str">
        <f t="shared" si="1"/>
        <v>2010</v>
      </c>
      <c r="C58" s="18">
        <v>2010</v>
      </c>
      <c r="D58" t="s">
        <v>1</v>
      </c>
      <c r="E58" t="s">
        <v>562</v>
      </c>
      <c r="F58">
        <v>95</v>
      </c>
      <c r="G58">
        <v>61</v>
      </c>
      <c r="H58">
        <v>240</v>
      </c>
      <c r="I58" t="s">
        <v>521</v>
      </c>
      <c r="J58" t="s">
        <v>179</v>
      </c>
      <c r="K58" t="s">
        <v>553</v>
      </c>
      <c r="L58" t="s">
        <v>554</v>
      </c>
    </row>
    <row r="59" spans="1:12" x14ac:dyDescent="0.25">
      <c r="A59" s="10" t="str">
        <f t="shared" si="0"/>
        <v>2010-Fa-Haw-100-62-245</v>
      </c>
      <c r="B59" s="11" t="str">
        <f t="shared" si="1"/>
        <v>2010</v>
      </c>
      <c r="C59" s="18">
        <v>2010</v>
      </c>
      <c r="D59" t="s">
        <v>1</v>
      </c>
      <c r="E59" t="s">
        <v>575</v>
      </c>
      <c r="F59">
        <v>100</v>
      </c>
      <c r="G59">
        <v>62</v>
      </c>
      <c r="H59">
        <v>245</v>
      </c>
      <c r="I59" t="s">
        <v>576</v>
      </c>
      <c r="J59" t="s">
        <v>179</v>
      </c>
      <c r="K59" t="s">
        <v>577</v>
      </c>
      <c r="L59" t="s">
        <v>578</v>
      </c>
    </row>
    <row r="60" spans="1:12" x14ac:dyDescent="0.25">
      <c r="A60" s="10" t="str">
        <f t="shared" si="0"/>
        <v>2010-Fa-Haw-100-62-245</v>
      </c>
      <c r="B60" s="11" t="str">
        <f t="shared" si="1"/>
        <v>2010</v>
      </c>
      <c r="C60" s="18">
        <v>2010</v>
      </c>
      <c r="D60" t="s">
        <v>1</v>
      </c>
      <c r="E60" t="s">
        <v>585</v>
      </c>
      <c r="F60">
        <v>100</v>
      </c>
      <c r="G60">
        <v>62</v>
      </c>
      <c r="H60">
        <v>245</v>
      </c>
      <c r="I60" t="s">
        <v>586</v>
      </c>
      <c r="J60" t="s">
        <v>179</v>
      </c>
      <c r="K60" t="s">
        <v>587</v>
      </c>
      <c r="L60" t="s">
        <v>578</v>
      </c>
    </row>
    <row r="61" spans="1:12" x14ac:dyDescent="0.25">
      <c r="A61" s="10" t="str">
        <f t="shared" si="0"/>
        <v>2010-Fa-Haw-120-68-249</v>
      </c>
      <c r="B61" s="11" t="str">
        <f t="shared" si="1"/>
        <v>2010</v>
      </c>
      <c r="C61" s="18">
        <v>2010</v>
      </c>
      <c r="D61" t="s">
        <v>1</v>
      </c>
      <c r="E61" t="s">
        <v>579</v>
      </c>
      <c r="F61">
        <v>120</v>
      </c>
      <c r="G61">
        <v>68</v>
      </c>
      <c r="H61">
        <v>249</v>
      </c>
      <c r="I61" t="s">
        <v>576</v>
      </c>
      <c r="J61" t="s">
        <v>179</v>
      </c>
      <c r="K61" t="s">
        <v>580</v>
      </c>
      <c r="L61" t="s">
        <v>581</v>
      </c>
    </row>
    <row r="62" spans="1:12" x14ac:dyDescent="0.25">
      <c r="A62" s="10" t="str">
        <f t="shared" si="0"/>
        <v>2010-Fa-Haw-120-68-249</v>
      </c>
      <c r="B62" s="11" t="str">
        <f t="shared" si="1"/>
        <v>2010</v>
      </c>
      <c r="C62" s="18">
        <v>2010</v>
      </c>
      <c r="D62" t="s">
        <v>1</v>
      </c>
      <c r="E62" t="s">
        <v>588</v>
      </c>
      <c r="F62">
        <v>120</v>
      </c>
      <c r="G62">
        <v>68</v>
      </c>
      <c r="H62">
        <v>249</v>
      </c>
      <c r="I62" t="s">
        <v>586</v>
      </c>
      <c r="J62" t="s">
        <v>179</v>
      </c>
      <c r="K62" t="s">
        <v>589</v>
      </c>
      <c r="L62" t="s">
        <v>581</v>
      </c>
    </row>
    <row r="63" spans="1:12" x14ac:dyDescent="0.25">
      <c r="A63" s="10" t="str">
        <f t="shared" si="0"/>
        <v>2010-Fa-Haw-135-73-249</v>
      </c>
      <c r="B63" s="11" t="str">
        <f t="shared" si="1"/>
        <v>2010</v>
      </c>
      <c r="C63" s="18">
        <v>2010</v>
      </c>
      <c r="D63" t="s">
        <v>1</v>
      </c>
      <c r="E63" t="s">
        <v>582</v>
      </c>
      <c r="F63">
        <v>135</v>
      </c>
      <c r="G63">
        <v>73</v>
      </c>
      <c r="H63">
        <v>249</v>
      </c>
      <c r="I63" t="s">
        <v>576</v>
      </c>
      <c r="J63" t="s">
        <v>179</v>
      </c>
      <c r="K63" t="s">
        <v>583</v>
      </c>
      <c r="L63" t="s">
        <v>584</v>
      </c>
    </row>
    <row r="64" spans="1:12" x14ac:dyDescent="0.25">
      <c r="A64" s="10" t="str">
        <f t="shared" si="0"/>
        <v>2010-Fa-Haw-135-73-249</v>
      </c>
      <c r="B64" s="11" t="str">
        <f t="shared" si="1"/>
        <v>2010</v>
      </c>
      <c r="C64" s="18">
        <v>2010</v>
      </c>
      <c r="D64" t="s">
        <v>1</v>
      </c>
      <c r="E64" t="s">
        <v>590</v>
      </c>
      <c r="F64">
        <v>135</v>
      </c>
      <c r="G64">
        <v>73</v>
      </c>
      <c r="H64">
        <v>249</v>
      </c>
      <c r="I64" t="s">
        <v>586</v>
      </c>
      <c r="J64" t="s">
        <v>179</v>
      </c>
      <c r="K64" t="s">
        <v>591</v>
      </c>
      <c r="L64" t="s">
        <v>584</v>
      </c>
    </row>
    <row r="65" spans="1:12" x14ac:dyDescent="0.25">
      <c r="A65" s="10" t="str">
        <f t="shared" si="0"/>
        <v>2010-Fa-New-69-53-232</v>
      </c>
      <c r="B65" s="11" t="str">
        <f t="shared" si="1"/>
        <v>2010</v>
      </c>
      <c r="C65" s="18">
        <v>2010</v>
      </c>
      <c r="D65" t="s">
        <v>1</v>
      </c>
      <c r="E65" t="s">
        <v>520</v>
      </c>
      <c r="F65">
        <v>69</v>
      </c>
      <c r="G65">
        <v>53</v>
      </c>
      <c r="H65">
        <v>232</v>
      </c>
      <c r="I65" t="s">
        <v>521</v>
      </c>
      <c r="J65" t="s">
        <v>523</v>
      </c>
      <c r="K65" t="s">
        <v>522</v>
      </c>
      <c r="L65" t="s">
        <v>524</v>
      </c>
    </row>
    <row r="66" spans="1:12" x14ac:dyDescent="0.25">
      <c r="A66" s="10" t="str">
        <f t="shared" ref="A66:A129" si="2">_xlfn.CONCAT(B66,"-",LEFT(D66,2),"-",LEFT(E66,3),"-",F66,"-",TRUNC(G66),"-",TRUNC(H66))</f>
        <v>2010-Fa-New-72-53-230</v>
      </c>
      <c r="B66" s="11" t="str">
        <f t="shared" ref="B66:B129" si="3">LEFT(C66,4)</f>
        <v>2010</v>
      </c>
      <c r="C66" s="18">
        <v>2010</v>
      </c>
      <c r="D66" t="s">
        <v>1</v>
      </c>
      <c r="E66" t="s">
        <v>534</v>
      </c>
      <c r="F66">
        <v>72</v>
      </c>
      <c r="G66">
        <v>53.5</v>
      </c>
      <c r="H66">
        <v>230</v>
      </c>
      <c r="I66" t="s">
        <v>521</v>
      </c>
      <c r="J66" t="s">
        <v>523</v>
      </c>
      <c r="K66" t="s">
        <v>535</v>
      </c>
      <c r="L66" t="s">
        <v>536</v>
      </c>
    </row>
    <row r="67" spans="1:12" x14ac:dyDescent="0.25">
      <c r="A67" s="10" t="str">
        <f t="shared" si="2"/>
        <v>2010-Fa-New-76-55-234</v>
      </c>
      <c r="B67" s="11" t="str">
        <f t="shared" si="3"/>
        <v>2010</v>
      </c>
      <c r="C67" s="18">
        <v>2010</v>
      </c>
      <c r="D67" t="s">
        <v>1</v>
      </c>
      <c r="E67" t="s">
        <v>525</v>
      </c>
      <c r="F67">
        <v>76</v>
      </c>
      <c r="G67">
        <v>55</v>
      </c>
      <c r="H67">
        <v>234</v>
      </c>
      <c r="I67" t="s">
        <v>521</v>
      </c>
      <c r="J67" t="s">
        <v>523</v>
      </c>
      <c r="K67" t="s">
        <v>526</v>
      </c>
      <c r="L67" t="s">
        <v>527</v>
      </c>
    </row>
    <row r="68" spans="1:12" x14ac:dyDescent="0.25">
      <c r="A68" s="10" t="str">
        <f t="shared" si="2"/>
        <v>2010-Fa-New-79-55-232</v>
      </c>
      <c r="B68" s="11" t="str">
        <f t="shared" si="3"/>
        <v>2010</v>
      </c>
      <c r="C68" s="18">
        <v>2010</v>
      </c>
      <c r="D68" t="s">
        <v>1</v>
      </c>
      <c r="E68" t="s">
        <v>537</v>
      </c>
      <c r="F68">
        <v>79</v>
      </c>
      <c r="G68">
        <v>55.5</v>
      </c>
      <c r="H68">
        <v>232</v>
      </c>
      <c r="I68" t="s">
        <v>521</v>
      </c>
      <c r="J68" t="s">
        <v>523</v>
      </c>
      <c r="K68" t="s">
        <v>538</v>
      </c>
      <c r="L68" t="s">
        <v>539</v>
      </c>
    </row>
    <row r="69" spans="1:12" x14ac:dyDescent="0.25">
      <c r="A69" s="10" t="str">
        <f t="shared" si="2"/>
        <v>2010-Fa-New-83-57-236</v>
      </c>
      <c r="B69" s="11" t="str">
        <f t="shared" si="3"/>
        <v>2010</v>
      </c>
      <c r="C69" s="18">
        <v>2010</v>
      </c>
      <c r="D69" t="s">
        <v>1</v>
      </c>
      <c r="E69" t="s">
        <v>528</v>
      </c>
      <c r="F69">
        <v>83</v>
      </c>
      <c r="G69">
        <v>57</v>
      </c>
      <c r="H69">
        <v>236</v>
      </c>
      <c r="I69" t="s">
        <v>521</v>
      </c>
      <c r="J69" t="s">
        <v>523</v>
      </c>
      <c r="K69" t="s">
        <v>529</v>
      </c>
      <c r="L69" t="s">
        <v>530</v>
      </c>
    </row>
    <row r="70" spans="1:12" x14ac:dyDescent="0.25">
      <c r="A70" s="10" t="str">
        <f t="shared" si="2"/>
        <v>2010-Fa-New-86-57-234</v>
      </c>
      <c r="B70" s="11" t="str">
        <f t="shared" si="3"/>
        <v>2010</v>
      </c>
      <c r="C70" s="18">
        <v>2010</v>
      </c>
      <c r="D70" t="s">
        <v>1</v>
      </c>
      <c r="E70" t="s">
        <v>540</v>
      </c>
      <c r="F70">
        <v>86</v>
      </c>
      <c r="G70">
        <v>57.5</v>
      </c>
      <c r="H70">
        <v>234</v>
      </c>
      <c r="I70" t="s">
        <v>521</v>
      </c>
      <c r="J70" t="s">
        <v>523</v>
      </c>
      <c r="K70" t="s">
        <v>541</v>
      </c>
      <c r="L70" t="s">
        <v>542</v>
      </c>
    </row>
    <row r="71" spans="1:12" x14ac:dyDescent="0.25">
      <c r="A71" s="10" t="str">
        <f t="shared" si="2"/>
        <v>2010-Fa-New-91-59-243</v>
      </c>
      <c r="B71" s="11" t="str">
        <f t="shared" si="3"/>
        <v>2010</v>
      </c>
      <c r="C71" s="18">
        <v>2010</v>
      </c>
      <c r="D71" t="s">
        <v>1</v>
      </c>
      <c r="E71" t="s">
        <v>531</v>
      </c>
      <c r="F71">
        <v>91</v>
      </c>
      <c r="G71">
        <v>59.5</v>
      </c>
      <c r="H71">
        <v>243</v>
      </c>
      <c r="I71" t="s">
        <v>521</v>
      </c>
      <c r="J71" t="s">
        <v>523</v>
      </c>
      <c r="K71" t="s">
        <v>532</v>
      </c>
      <c r="L71" t="s">
        <v>533</v>
      </c>
    </row>
    <row r="72" spans="1:12" x14ac:dyDescent="0.25">
      <c r="A72" s="10" t="str">
        <f t="shared" si="2"/>
        <v>2010-Fa-New-93-59-236</v>
      </c>
      <c r="B72" s="11" t="str">
        <f t="shared" si="3"/>
        <v>2010</v>
      </c>
      <c r="C72" s="18">
        <v>2010</v>
      </c>
      <c r="D72" t="s">
        <v>1</v>
      </c>
      <c r="E72" t="s">
        <v>543</v>
      </c>
      <c r="F72">
        <v>93</v>
      </c>
      <c r="G72">
        <v>59.5</v>
      </c>
      <c r="H72">
        <v>236</v>
      </c>
      <c r="I72" t="s">
        <v>521</v>
      </c>
      <c r="J72" t="s">
        <v>523</v>
      </c>
      <c r="K72" t="s">
        <v>544</v>
      </c>
      <c r="L72" t="s">
        <v>545</v>
      </c>
    </row>
    <row r="73" spans="1:12" x14ac:dyDescent="0.25">
      <c r="A73" s="10" t="str">
        <f t="shared" si="2"/>
        <v>2010-Fa-Ray-110-65-245</v>
      </c>
      <c r="B73" s="11" t="str">
        <f t="shared" si="3"/>
        <v>2010</v>
      </c>
      <c r="C73" s="18">
        <v>2010</v>
      </c>
      <c r="D73" t="s">
        <v>1</v>
      </c>
      <c r="E73" t="s">
        <v>614</v>
      </c>
      <c r="F73">
        <v>110</v>
      </c>
      <c r="G73">
        <v>65</v>
      </c>
      <c r="H73">
        <v>245</v>
      </c>
      <c r="I73" t="s">
        <v>586</v>
      </c>
      <c r="J73" t="s">
        <v>232</v>
      </c>
      <c r="K73" t="s">
        <v>615</v>
      </c>
      <c r="L73" t="s">
        <v>616</v>
      </c>
    </row>
    <row r="74" spans="1:12" x14ac:dyDescent="0.25">
      <c r="A74" s="10" t="str">
        <f t="shared" si="2"/>
        <v>2010-Fa-Ray-125-70-245</v>
      </c>
      <c r="B74" s="11" t="str">
        <f t="shared" si="3"/>
        <v>2010</v>
      </c>
      <c r="C74" s="18">
        <v>2010</v>
      </c>
      <c r="D74" t="s">
        <v>1</v>
      </c>
      <c r="E74" t="s">
        <v>617</v>
      </c>
      <c r="F74">
        <v>125</v>
      </c>
      <c r="G74">
        <v>70</v>
      </c>
      <c r="H74">
        <v>245</v>
      </c>
      <c r="I74" t="s">
        <v>586</v>
      </c>
      <c r="J74" t="s">
        <v>232</v>
      </c>
      <c r="K74" t="s">
        <v>618</v>
      </c>
      <c r="L74" t="s">
        <v>619</v>
      </c>
    </row>
    <row r="75" spans="1:12" x14ac:dyDescent="0.25">
      <c r="A75" s="10" t="str">
        <f t="shared" si="2"/>
        <v>2010-Fa-Ray-140-77-245</v>
      </c>
      <c r="B75" s="11" t="str">
        <f t="shared" si="3"/>
        <v>2010</v>
      </c>
      <c r="C75" s="18">
        <v>2010</v>
      </c>
      <c r="D75" t="s">
        <v>1</v>
      </c>
      <c r="E75" t="s">
        <v>620</v>
      </c>
      <c r="F75">
        <v>140</v>
      </c>
      <c r="G75">
        <v>77</v>
      </c>
      <c r="H75">
        <v>245</v>
      </c>
      <c r="I75" t="s">
        <v>586</v>
      </c>
      <c r="J75" t="s">
        <v>260</v>
      </c>
      <c r="K75" t="s">
        <v>621</v>
      </c>
      <c r="L75" t="s">
        <v>604</v>
      </c>
    </row>
    <row r="76" spans="1:12" x14ac:dyDescent="0.25">
      <c r="A76" s="10" t="str">
        <f t="shared" si="2"/>
        <v>2010-Fa-Ray-95-59-245</v>
      </c>
      <c r="B76" s="11" t="str">
        <f t="shared" si="3"/>
        <v>2010</v>
      </c>
      <c r="C76" s="18">
        <v>2010</v>
      </c>
      <c r="D76" t="s">
        <v>1</v>
      </c>
      <c r="E76" t="s">
        <v>612</v>
      </c>
      <c r="F76">
        <v>95</v>
      </c>
      <c r="G76">
        <v>59</v>
      </c>
      <c r="H76">
        <v>245</v>
      </c>
      <c r="I76" t="s">
        <v>586</v>
      </c>
      <c r="J76" t="s">
        <v>232</v>
      </c>
      <c r="K76" t="s">
        <v>613</v>
      </c>
      <c r="L76" t="s">
        <v>599</v>
      </c>
    </row>
    <row r="77" spans="1:12" x14ac:dyDescent="0.25">
      <c r="A77" s="10" t="str">
        <f t="shared" si="2"/>
        <v>2010-Fa-Rip-102-69-242</v>
      </c>
      <c r="B77" s="11" t="str">
        <f t="shared" si="3"/>
        <v>2010</v>
      </c>
      <c r="C77" s="18">
        <v>2010</v>
      </c>
      <c r="D77" t="s">
        <v>1</v>
      </c>
      <c r="E77" t="s">
        <v>423</v>
      </c>
      <c r="F77">
        <v>102</v>
      </c>
      <c r="G77">
        <v>69</v>
      </c>
      <c r="H77">
        <v>242</v>
      </c>
      <c r="I77" t="s">
        <v>639</v>
      </c>
      <c r="J77" t="s">
        <v>179</v>
      </c>
      <c r="K77" t="s">
        <v>275</v>
      </c>
      <c r="L77" t="s">
        <v>637</v>
      </c>
    </row>
    <row r="78" spans="1:12" x14ac:dyDescent="0.25">
      <c r="A78" s="10" t="str">
        <f t="shared" si="2"/>
        <v>2010-Fa-Sha-100-63-245</v>
      </c>
      <c r="B78" s="11" t="str">
        <f t="shared" si="3"/>
        <v>2010</v>
      </c>
      <c r="C78" s="18">
        <v>2010</v>
      </c>
      <c r="D78" t="s">
        <v>1</v>
      </c>
      <c r="E78" t="s">
        <v>592</v>
      </c>
      <c r="F78">
        <v>100</v>
      </c>
      <c r="G78">
        <v>63</v>
      </c>
      <c r="H78">
        <v>245</v>
      </c>
      <c r="I78" t="s">
        <v>593</v>
      </c>
      <c r="J78" t="s">
        <v>179</v>
      </c>
      <c r="K78" t="s">
        <v>594</v>
      </c>
      <c r="L78" t="s">
        <v>568</v>
      </c>
    </row>
    <row r="79" spans="1:12" x14ac:dyDescent="0.25">
      <c r="A79" s="10" t="str">
        <f t="shared" si="2"/>
        <v>2010-Fa-Sha-115-66-247</v>
      </c>
      <c r="B79" s="11" t="str">
        <f t="shared" si="3"/>
        <v>2010</v>
      </c>
      <c r="C79" s="18">
        <v>2010</v>
      </c>
      <c r="D79" t="s">
        <v>1</v>
      </c>
      <c r="E79" t="s">
        <v>595</v>
      </c>
      <c r="F79">
        <v>115</v>
      </c>
      <c r="G79">
        <v>66</v>
      </c>
      <c r="H79">
        <v>247</v>
      </c>
      <c r="I79" t="s">
        <v>593</v>
      </c>
      <c r="J79" t="s">
        <v>179</v>
      </c>
      <c r="K79" t="s">
        <v>596</v>
      </c>
      <c r="L79" t="s">
        <v>570</v>
      </c>
    </row>
    <row r="80" spans="1:12" x14ac:dyDescent="0.25">
      <c r="A80" s="10" t="str">
        <f t="shared" si="2"/>
        <v>2010-Fa-Sha-125-69-249</v>
      </c>
      <c r="B80" s="11" t="str">
        <f t="shared" si="3"/>
        <v>2010</v>
      </c>
      <c r="C80" s="18">
        <v>2010</v>
      </c>
      <c r="D80" t="s">
        <v>1</v>
      </c>
      <c r="E80" t="s">
        <v>597</v>
      </c>
      <c r="F80">
        <v>125</v>
      </c>
      <c r="G80">
        <v>69</v>
      </c>
      <c r="H80">
        <v>249</v>
      </c>
      <c r="I80" t="s">
        <v>593</v>
      </c>
      <c r="J80" t="s">
        <v>179</v>
      </c>
      <c r="K80" t="s">
        <v>598</v>
      </c>
      <c r="L80" t="s">
        <v>599</v>
      </c>
    </row>
    <row r="81" spans="1:12" x14ac:dyDescent="0.25">
      <c r="A81" s="10" t="str">
        <f t="shared" si="2"/>
        <v>2010-Fa-Sha-135-73-245</v>
      </c>
      <c r="B81" s="11" t="str">
        <f t="shared" si="3"/>
        <v>2010</v>
      </c>
      <c r="C81" s="18">
        <v>2010</v>
      </c>
      <c r="D81" t="s">
        <v>1</v>
      </c>
      <c r="E81" t="s">
        <v>600</v>
      </c>
      <c r="F81">
        <v>135</v>
      </c>
      <c r="G81">
        <v>73</v>
      </c>
      <c r="H81">
        <v>245</v>
      </c>
      <c r="I81" t="s">
        <v>593</v>
      </c>
      <c r="J81" t="s">
        <v>179</v>
      </c>
      <c r="K81" t="s">
        <v>601</v>
      </c>
      <c r="L81" t="s">
        <v>584</v>
      </c>
    </row>
    <row r="82" spans="1:12" x14ac:dyDescent="0.25">
      <c r="A82" s="10" t="str">
        <f t="shared" si="2"/>
        <v>2010-Fa-Sha-135-73-245</v>
      </c>
      <c r="B82" s="11" t="str">
        <f t="shared" si="3"/>
        <v>2010</v>
      </c>
      <c r="C82" s="18">
        <v>2010</v>
      </c>
      <c r="D82" t="s">
        <v>1</v>
      </c>
      <c r="E82" t="s">
        <v>608</v>
      </c>
      <c r="F82">
        <v>135</v>
      </c>
      <c r="G82">
        <v>73</v>
      </c>
      <c r="H82">
        <v>245</v>
      </c>
      <c r="I82" t="s">
        <v>586</v>
      </c>
      <c r="J82" t="s">
        <v>179</v>
      </c>
      <c r="K82" t="s">
        <v>609</v>
      </c>
      <c r="L82" t="s">
        <v>584</v>
      </c>
    </row>
    <row r="83" spans="1:12" x14ac:dyDescent="0.25">
      <c r="A83" s="10" t="str">
        <f t="shared" si="2"/>
        <v>2010-Fa-Sha-150-78-250</v>
      </c>
      <c r="B83" s="11" t="str">
        <f t="shared" si="3"/>
        <v>2010</v>
      </c>
      <c r="C83" s="18">
        <v>2010</v>
      </c>
      <c r="D83" t="s">
        <v>1</v>
      </c>
      <c r="E83" t="s">
        <v>602</v>
      </c>
      <c r="F83">
        <v>150</v>
      </c>
      <c r="G83">
        <v>78</v>
      </c>
      <c r="H83">
        <v>250</v>
      </c>
      <c r="I83" t="s">
        <v>593</v>
      </c>
      <c r="J83" t="s">
        <v>179</v>
      </c>
      <c r="K83" t="s">
        <v>603</v>
      </c>
      <c r="L83" t="s">
        <v>604</v>
      </c>
    </row>
    <row r="84" spans="1:12" x14ac:dyDescent="0.25">
      <c r="A84" s="10" t="str">
        <f t="shared" si="2"/>
        <v>2010-Fa-Sha-150-78-250</v>
      </c>
      <c r="B84" s="11" t="str">
        <f t="shared" si="3"/>
        <v>2010</v>
      </c>
      <c r="C84" s="18">
        <v>2010</v>
      </c>
      <c r="D84" t="s">
        <v>1</v>
      </c>
      <c r="E84" t="s">
        <v>610</v>
      </c>
      <c r="F84">
        <v>150</v>
      </c>
      <c r="G84">
        <v>78</v>
      </c>
      <c r="H84">
        <v>250</v>
      </c>
      <c r="I84" t="s">
        <v>586</v>
      </c>
      <c r="J84" t="s">
        <v>179</v>
      </c>
      <c r="K84" t="s">
        <v>611</v>
      </c>
      <c r="L84" t="s">
        <v>604</v>
      </c>
    </row>
    <row r="85" spans="1:12" x14ac:dyDescent="0.25">
      <c r="A85" s="10" t="str">
        <f t="shared" si="2"/>
        <v>2010-Fa-Sha-165-83-255</v>
      </c>
      <c r="B85" s="11" t="str">
        <f t="shared" si="3"/>
        <v>2010</v>
      </c>
      <c r="C85" s="18">
        <v>2010</v>
      </c>
      <c r="D85" t="s">
        <v>1</v>
      </c>
      <c r="E85" t="s">
        <v>605</v>
      </c>
      <c r="F85">
        <v>165</v>
      </c>
      <c r="G85">
        <v>83</v>
      </c>
      <c r="H85">
        <v>255</v>
      </c>
      <c r="I85" t="s">
        <v>593</v>
      </c>
      <c r="J85" t="s">
        <v>179</v>
      </c>
      <c r="K85" t="s">
        <v>606</v>
      </c>
      <c r="L85" t="s">
        <v>607</v>
      </c>
    </row>
    <row r="86" spans="1:12" x14ac:dyDescent="0.25">
      <c r="A86" s="10" t="str">
        <f t="shared" si="2"/>
        <v>2010-Fa-Ska-100-63-235</v>
      </c>
      <c r="B86" s="11" t="str">
        <f t="shared" si="3"/>
        <v>2010</v>
      </c>
      <c r="C86" s="18">
        <v>2010</v>
      </c>
      <c r="D86" t="s">
        <v>1</v>
      </c>
      <c r="E86" t="s">
        <v>389</v>
      </c>
      <c r="F86">
        <v>100</v>
      </c>
      <c r="G86">
        <v>63.5</v>
      </c>
      <c r="H86">
        <v>235</v>
      </c>
      <c r="I86" t="s">
        <v>566</v>
      </c>
      <c r="J86" t="s">
        <v>179</v>
      </c>
      <c r="K86" t="s">
        <v>567</v>
      </c>
      <c r="L86" t="s">
        <v>568</v>
      </c>
    </row>
    <row r="87" spans="1:12" x14ac:dyDescent="0.25">
      <c r="A87" s="10" t="str">
        <f t="shared" si="2"/>
        <v>2010-Fa-Ska-100-63-235</v>
      </c>
      <c r="B87" s="11" t="str">
        <f t="shared" si="3"/>
        <v>2010</v>
      </c>
      <c r="C87" s="18">
        <v>2010</v>
      </c>
      <c r="D87" t="s">
        <v>1</v>
      </c>
      <c r="E87" t="s">
        <v>184</v>
      </c>
      <c r="F87">
        <v>100</v>
      </c>
      <c r="G87">
        <v>63.5</v>
      </c>
      <c r="H87">
        <v>235</v>
      </c>
      <c r="I87" t="s">
        <v>521</v>
      </c>
      <c r="J87" t="s">
        <v>179</v>
      </c>
      <c r="K87" t="s">
        <v>567</v>
      </c>
      <c r="L87" t="s">
        <v>568</v>
      </c>
    </row>
    <row r="88" spans="1:12" x14ac:dyDescent="0.25">
      <c r="A88" s="10" t="str">
        <f t="shared" si="2"/>
        <v>2010-Fa-Ska-110-66-237</v>
      </c>
      <c r="B88" s="11" t="str">
        <f t="shared" si="3"/>
        <v>2010</v>
      </c>
      <c r="C88" s="18">
        <v>2010</v>
      </c>
      <c r="D88" t="s">
        <v>1</v>
      </c>
      <c r="E88" t="s">
        <v>391</v>
      </c>
      <c r="F88">
        <v>110</v>
      </c>
      <c r="G88">
        <v>66.5</v>
      </c>
      <c r="H88">
        <v>237</v>
      </c>
      <c r="I88" t="s">
        <v>566</v>
      </c>
      <c r="J88" t="s">
        <v>179</v>
      </c>
      <c r="K88" t="s">
        <v>569</v>
      </c>
      <c r="L88" t="s">
        <v>570</v>
      </c>
    </row>
    <row r="89" spans="1:12" x14ac:dyDescent="0.25">
      <c r="A89" s="10" t="str">
        <f t="shared" si="2"/>
        <v>2010-Fa-Ska-110-66-237</v>
      </c>
      <c r="B89" s="11" t="str">
        <f t="shared" si="3"/>
        <v>2010</v>
      </c>
      <c r="C89" s="18">
        <v>2010</v>
      </c>
      <c r="D89" t="s">
        <v>1</v>
      </c>
      <c r="E89" t="s">
        <v>574</v>
      </c>
      <c r="F89">
        <v>110</v>
      </c>
      <c r="G89">
        <v>66.5</v>
      </c>
      <c r="H89">
        <v>237</v>
      </c>
      <c r="I89" t="s">
        <v>521</v>
      </c>
      <c r="J89" t="s">
        <v>179</v>
      </c>
      <c r="K89" t="s">
        <v>569</v>
      </c>
      <c r="L89" t="s">
        <v>570</v>
      </c>
    </row>
    <row r="90" spans="1:12" x14ac:dyDescent="0.25">
      <c r="A90" s="10" t="str">
        <f t="shared" si="2"/>
        <v>2010-Fa-Ska-90-60-232</v>
      </c>
      <c r="B90" s="11" t="str">
        <f t="shared" si="3"/>
        <v>2010</v>
      </c>
      <c r="C90" s="18">
        <v>2010</v>
      </c>
      <c r="D90" t="s">
        <v>1</v>
      </c>
      <c r="E90" t="s">
        <v>571</v>
      </c>
      <c r="F90">
        <v>90</v>
      </c>
      <c r="G90">
        <v>60</v>
      </c>
      <c r="H90">
        <v>232</v>
      </c>
      <c r="I90" t="s">
        <v>521</v>
      </c>
      <c r="J90" t="s">
        <v>179</v>
      </c>
      <c r="K90" t="s">
        <v>572</v>
      </c>
      <c r="L90" t="s">
        <v>573</v>
      </c>
    </row>
    <row r="91" spans="1:12" x14ac:dyDescent="0.25">
      <c r="A91" s="10" t="str">
        <f t="shared" si="2"/>
        <v>2010-Fa-Vip-150-70-270</v>
      </c>
      <c r="B91" s="11" t="str">
        <f t="shared" si="3"/>
        <v>2010</v>
      </c>
      <c r="C91" s="18">
        <v>2010</v>
      </c>
      <c r="D91" t="s">
        <v>1</v>
      </c>
      <c r="E91" t="s">
        <v>418</v>
      </c>
      <c r="F91">
        <v>150</v>
      </c>
      <c r="G91">
        <v>70</v>
      </c>
      <c r="H91">
        <v>270</v>
      </c>
      <c r="I91" t="s">
        <v>635</v>
      </c>
      <c r="J91" t="s">
        <v>179</v>
      </c>
      <c r="K91" t="s">
        <v>636</v>
      </c>
      <c r="L91" t="s">
        <v>637</v>
      </c>
    </row>
    <row r="92" spans="1:12" x14ac:dyDescent="0.25">
      <c r="A92" s="10" t="str">
        <f t="shared" si="2"/>
        <v>2010-Fa-Vip-160-75-275</v>
      </c>
      <c r="B92" s="11" t="str">
        <f t="shared" si="3"/>
        <v>2010</v>
      </c>
      <c r="C92" s="18">
        <v>2010</v>
      </c>
      <c r="D92" t="s">
        <v>1</v>
      </c>
      <c r="E92" t="s">
        <v>262</v>
      </c>
      <c r="F92">
        <v>160</v>
      </c>
      <c r="G92">
        <v>75</v>
      </c>
      <c r="H92">
        <v>275</v>
      </c>
      <c r="I92" t="s">
        <v>635</v>
      </c>
      <c r="J92" t="s">
        <v>179</v>
      </c>
      <c r="K92" t="s">
        <v>636</v>
      </c>
      <c r="L92" t="s">
        <v>638</v>
      </c>
    </row>
    <row r="93" spans="1:12" x14ac:dyDescent="0.25">
      <c r="A93" s="10" t="str">
        <f t="shared" si="2"/>
        <v>2010-Fa-Vip-190-80-280</v>
      </c>
      <c r="B93" s="11" t="str">
        <f t="shared" si="3"/>
        <v>2010</v>
      </c>
      <c r="C93" s="18">
        <v>2010</v>
      </c>
      <c r="D93" t="s">
        <v>1</v>
      </c>
      <c r="E93" t="s">
        <v>264</v>
      </c>
      <c r="F93">
        <v>190</v>
      </c>
      <c r="G93">
        <v>80</v>
      </c>
      <c r="H93">
        <v>280</v>
      </c>
      <c r="I93" t="s">
        <v>635</v>
      </c>
      <c r="J93" t="s">
        <v>179</v>
      </c>
      <c r="K93" t="s">
        <v>636</v>
      </c>
      <c r="L93" t="s">
        <v>638</v>
      </c>
    </row>
    <row r="94" spans="1:12" x14ac:dyDescent="0.25">
      <c r="A94" s="10" t="str">
        <f t="shared" si="2"/>
        <v>2010-Fa-Vip-220-85-285</v>
      </c>
      <c r="B94" s="11" t="str">
        <f t="shared" si="3"/>
        <v>2010</v>
      </c>
      <c r="C94" s="18">
        <v>2010</v>
      </c>
      <c r="D94" t="s">
        <v>1</v>
      </c>
      <c r="E94" t="s">
        <v>265</v>
      </c>
      <c r="F94">
        <v>220</v>
      </c>
      <c r="G94">
        <v>85</v>
      </c>
      <c r="H94">
        <v>285</v>
      </c>
      <c r="I94" t="s">
        <v>635</v>
      </c>
      <c r="J94" t="s">
        <v>179</v>
      </c>
      <c r="K94" t="s">
        <v>636</v>
      </c>
      <c r="L94" t="s">
        <v>638</v>
      </c>
    </row>
    <row r="95" spans="1:12" x14ac:dyDescent="0.25">
      <c r="A95" s="10" t="str">
        <f t="shared" si="2"/>
        <v>2016-Fa-Fal-112-70-230</v>
      </c>
      <c r="B95" s="11" t="str">
        <f t="shared" si="3"/>
        <v>2016</v>
      </c>
      <c r="C95" s="18">
        <v>2016</v>
      </c>
      <c r="D95" t="s">
        <v>1</v>
      </c>
      <c r="E95" t="s">
        <v>432</v>
      </c>
      <c r="F95">
        <v>112</v>
      </c>
      <c r="G95">
        <v>70</v>
      </c>
      <c r="H95">
        <v>230</v>
      </c>
      <c r="I95" t="s">
        <v>407</v>
      </c>
      <c r="L95" t="s">
        <v>408</v>
      </c>
    </row>
    <row r="96" spans="1:12" x14ac:dyDescent="0.25">
      <c r="A96" s="10" t="str">
        <f t="shared" si="2"/>
        <v>2016-Fa-Fal-121-75-230</v>
      </c>
      <c r="B96" s="11" t="str">
        <f t="shared" si="3"/>
        <v>2016</v>
      </c>
      <c r="C96" s="18">
        <v>2016</v>
      </c>
      <c r="D96" t="s">
        <v>1</v>
      </c>
      <c r="E96" t="s">
        <v>431</v>
      </c>
      <c r="F96">
        <v>121</v>
      </c>
      <c r="G96">
        <v>75</v>
      </c>
      <c r="H96">
        <v>230</v>
      </c>
      <c r="I96" t="s">
        <v>407</v>
      </c>
      <c r="L96" t="s">
        <v>409</v>
      </c>
    </row>
    <row r="97" spans="1:12" x14ac:dyDescent="0.25">
      <c r="A97" s="10" t="str">
        <f t="shared" si="2"/>
        <v>2016-Fa-Fal-129-80-230</v>
      </c>
      <c r="B97" s="11" t="str">
        <f t="shared" si="3"/>
        <v>2016</v>
      </c>
      <c r="C97" s="18">
        <v>2016</v>
      </c>
      <c r="D97" t="s">
        <v>1</v>
      </c>
      <c r="E97" t="s">
        <v>430</v>
      </c>
      <c r="F97">
        <v>129</v>
      </c>
      <c r="G97">
        <v>80</v>
      </c>
      <c r="H97">
        <v>230</v>
      </c>
      <c r="I97" t="s">
        <v>410</v>
      </c>
      <c r="L97" t="s">
        <v>411</v>
      </c>
    </row>
    <row r="98" spans="1:12" x14ac:dyDescent="0.25">
      <c r="A98" s="10" t="str">
        <f t="shared" si="2"/>
        <v>2016-Fa-Fal-138-85-230</v>
      </c>
      <c r="B98" s="11" t="str">
        <f t="shared" si="3"/>
        <v>2016</v>
      </c>
      <c r="C98" s="18">
        <v>2016</v>
      </c>
      <c r="D98" t="s">
        <v>1</v>
      </c>
      <c r="E98" t="s">
        <v>412</v>
      </c>
      <c r="F98">
        <v>138</v>
      </c>
      <c r="G98">
        <v>85</v>
      </c>
      <c r="H98">
        <v>230</v>
      </c>
      <c r="I98" t="s">
        <v>410</v>
      </c>
      <c r="L98" t="s">
        <v>399</v>
      </c>
    </row>
    <row r="99" spans="1:12" x14ac:dyDescent="0.25">
      <c r="A99" s="10" t="str">
        <f t="shared" si="2"/>
        <v>2016-Fa-Fal-152-90-230</v>
      </c>
      <c r="B99" s="11" t="str">
        <f t="shared" si="3"/>
        <v>2016</v>
      </c>
      <c r="C99" s="18">
        <v>2016</v>
      </c>
      <c r="D99" t="s">
        <v>1</v>
      </c>
      <c r="E99" t="s">
        <v>413</v>
      </c>
      <c r="F99">
        <v>152</v>
      </c>
      <c r="G99">
        <v>90</v>
      </c>
      <c r="H99">
        <v>230</v>
      </c>
      <c r="I99" t="s">
        <v>410</v>
      </c>
      <c r="L99" t="s">
        <v>414</v>
      </c>
    </row>
    <row r="100" spans="1:12" x14ac:dyDescent="0.25">
      <c r="A100" s="10" t="str">
        <f t="shared" si="2"/>
        <v>2016-Fa-Fal-172-100-230</v>
      </c>
      <c r="B100" s="11" t="str">
        <f t="shared" si="3"/>
        <v>2016</v>
      </c>
      <c r="C100" s="18">
        <v>2016</v>
      </c>
      <c r="D100" t="s">
        <v>1</v>
      </c>
      <c r="E100" t="s">
        <v>259</v>
      </c>
      <c r="F100">
        <v>172</v>
      </c>
      <c r="G100">
        <v>100</v>
      </c>
      <c r="H100">
        <v>230</v>
      </c>
      <c r="I100" t="s">
        <v>410</v>
      </c>
      <c r="L100" t="s">
        <v>415</v>
      </c>
    </row>
    <row r="101" spans="1:12" x14ac:dyDescent="0.25">
      <c r="A101" s="10" t="str">
        <f t="shared" si="2"/>
        <v>2016-Fa-Fal-54-44-230</v>
      </c>
      <c r="B101" s="11" t="str">
        <f t="shared" si="3"/>
        <v>2016</v>
      </c>
      <c r="C101" s="18">
        <v>2016</v>
      </c>
      <c r="D101" t="s">
        <v>1</v>
      </c>
      <c r="E101" t="s">
        <v>256</v>
      </c>
      <c r="F101">
        <v>54</v>
      </c>
      <c r="G101">
        <v>44</v>
      </c>
      <c r="H101">
        <v>230</v>
      </c>
      <c r="I101" t="s">
        <v>403</v>
      </c>
      <c r="L101" t="s">
        <v>416</v>
      </c>
    </row>
    <row r="102" spans="1:12" x14ac:dyDescent="0.25">
      <c r="A102" s="10" t="str">
        <f t="shared" si="2"/>
        <v>2016-Fa-Fal-68-50-230</v>
      </c>
      <c r="B102" s="11" t="str">
        <f t="shared" si="3"/>
        <v>2016</v>
      </c>
      <c r="C102" s="18">
        <v>2016</v>
      </c>
      <c r="D102" t="s">
        <v>1</v>
      </c>
      <c r="E102" t="s">
        <v>417</v>
      </c>
      <c r="F102">
        <v>68</v>
      </c>
      <c r="G102">
        <v>50</v>
      </c>
      <c r="H102">
        <v>230</v>
      </c>
      <c r="I102" t="s">
        <v>403</v>
      </c>
      <c r="L102" t="s">
        <v>387</v>
      </c>
    </row>
    <row r="103" spans="1:12" x14ac:dyDescent="0.25">
      <c r="A103" s="10" t="str">
        <f t="shared" si="2"/>
        <v>2016-Fa-Fal-79-56-235</v>
      </c>
      <c r="B103" s="11" t="str">
        <f t="shared" si="3"/>
        <v>2016</v>
      </c>
      <c r="C103" s="18">
        <v>2016</v>
      </c>
      <c r="D103" t="s">
        <v>1</v>
      </c>
      <c r="E103" t="s">
        <v>258</v>
      </c>
      <c r="F103">
        <v>79</v>
      </c>
      <c r="G103">
        <v>56</v>
      </c>
      <c r="H103">
        <v>235</v>
      </c>
      <c r="I103" t="s">
        <v>403</v>
      </c>
      <c r="L103" t="s">
        <v>393</v>
      </c>
    </row>
    <row r="104" spans="1:12" x14ac:dyDescent="0.25">
      <c r="A104" s="10" t="str">
        <f t="shared" si="2"/>
        <v>2016-Fa-Fal-90-59-235</v>
      </c>
      <c r="B104" s="11" t="str">
        <f t="shared" si="3"/>
        <v>2016</v>
      </c>
      <c r="C104" s="18">
        <v>2016</v>
      </c>
      <c r="D104" t="s">
        <v>1</v>
      </c>
      <c r="E104" t="s">
        <v>402</v>
      </c>
      <c r="F104">
        <v>90</v>
      </c>
      <c r="G104">
        <v>59</v>
      </c>
      <c r="H104">
        <v>235</v>
      </c>
      <c r="I104" t="s">
        <v>403</v>
      </c>
      <c r="L104" t="s">
        <v>404</v>
      </c>
    </row>
    <row r="105" spans="1:12" x14ac:dyDescent="0.25">
      <c r="A105" s="10" t="str">
        <f t="shared" si="2"/>
        <v>2016-Fa-Fal-99-63-235</v>
      </c>
      <c r="B105" s="11" t="str">
        <f t="shared" si="3"/>
        <v>2016</v>
      </c>
      <c r="C105" s="18">
        <v>2016</v>
      </c>
      <c r="D105" t="s">
        <v>1</v>
      </c>
      <c r="E105" t="s">
        <v>429</v>
      </c>
      <c r="F105">
        <v>99</v>
      </c>
      <c r="G105">
        <v>63</v>
      </c>
      <c r="H105">
        <v>235</v>
      </c>
      <c r="I105" t="s">
        <v>405</v>
      </c>
      <c r="L105" t="s">
        <v>406</v>
      </c>
    </row>
    <row r="106" spans="1:12" x14ac:dyDescent="0.25">
      <c r="A106" s="10" t="str">
        <f t="shared" si="2"/>
        <v>2016-Fa-Fre-106-63-235</v>
      </c>
      <c r="B106" s="11" t="str">
        <f t="shared" si="3"/>
        <v>2016</v>
      </c>
      <c r="C106" s="18">
        <v>2016</v>
      </c>
      <c r="D106" t="s">
        <v>1</v>
      </c>
      <c r="E106" t="s">
        <v>435</v>
      </c>
      <c r="F106">
        <v>106</v>
      </c>
      <c r="G106">
        <v>63.5</v>
      </c>
      <c r="H106">
        <v>235</v>
      </c>
      <c r="I106" t="s">
        <v>382</v>
      </c>
      <c r="L106" t="s">
        <v>383</v>
      </c>
    </row>
    <row r="107" spans="1:12" x14ac:dyDescent="0.25">
      <c r="A107" s="10" t="str">
        <f t="shared" si="2"/>
        <v>2016-Fa-Fre-116-66-236</v>
      </c>
      <c r="B107" s="11" t="str">
        <f t="shared" si="3"/>
        <v>2016</v>
      </c>
      <c r="C107" s="18">
        <v>2016</v>
      </c>
      <c r="D107" t="s">
        <v>1</v>
      </c>
      <c r="E107" t="s">
        <v>436</v>
      </c>
      <c r="F107" s="5">
        <v>116</v>
      </c>
      <c r="G107" s="5">
        <v>66</v>
      </c>
      <c r="H107" s="5">
        <v>236</v>
      </c>
      <c r="I107" s="5" t="s">
        <v>380</v>
      </c>
      <c r="J107" s="5"/>
      <c r="L107" s="5" t="s">
        <v>384</v>
      </c>
    </row>
    <row r="108" spans="1:12" x14ac:dyDescent="0.25">
      <c r="A108" s="10" t="str">
        <f t="shared" si="2"/>
        <v>2016-Fa-Fre-76-56-232</v>
      </c>
      <c r="B108" s="11" t="str">
        <f t="shared" si="3"/>
        <v>2016</v>
      </c>
      <c r="C108" s="18">
        <v>2016</v>
      </c>
      <c r="D108" t="s">
        <v>1</v>
      </c>
      <c r="E108" t="s">
        <v>379</v>
      </c>
      <c r="F108" s="5">
        <v>76</v>
      </c>
      <c r="G108" s="5">
        <v>56</v>
      </c>
      <c r="H108" s="5">
        <v>232</v>
      </c>
      <c r="I108" s="5" t="s">
        <v>380</v>
      </c>
      <c r="J108" s="5"/>
      <c r="L108" s="5" t="s">
        <v>381</v>
      </c>
    </row>
    <row r="109" spans="1:12" x14ac:dyDescent="0.25">
      <c r="A109" s="10" t="str">
        <f t="shared" si="2"/>
        <v>2016-Fa-Fre-86-58-233</v>
      </c>
      <c r="B109" s="11" t="str">
        <f t="shared" si="3"/>
        <v>2016</v>
      </c>
      <c r="C109" s="18">
        <v>2016</v>
      </c>
      <c r="D109" t="s">
        <v>1</v>
      </c>
      <c r="E109" t="s">
        <v>433</v>
      </c>
      <c r="F109" s="5">
        <v>86</v>
      </c>
      <c r="G109" s="5">
        <v>58.5</v>
      </c>
      <c r="H109" s="5">
        <v>233</v>
      </c>
      <c r="I109" s="5" t="s">
        <v>382</v>
      </c>
      <c r="J109" s="5"/>
      <c r="L109" s="5" t="s">
        <v>368</v>
      </c>
    </row>
    <row r="110" spans="1:12" x14ac:dyDescent="0.25">
      <c r="A110" s="10" t="str">
        <f t="shared" si="2"/>
        <v>2016-Fa-Fre-96-61-234</v>
      </c>
      <c r="B110" s="11" t="str">
        <f t="shared" si="3"/>
        <v>2016</v>
      </c>
      <c r="C110" s="18">
        <v>2016</v>
      </c>
      <c r="D110" t="s">
        <v>1</v>
      </c>
      <c r="E110" t="s">
        <v>434</v>
      </c>
      <c r="F110" s="5">
        <v>96</v>
      </c>
      <c r="G110" s="5">
        <v>61</v>
      </c>
      <c r="H110" s="5">
        <v>234</v>
      </c>
      <c r="I110" s="5" t="s">
        <v>382</v>
      </c>
      <c r="J110" s="5"/>
      <c r="L110" s="5" t="s">
        <v>378</v>
      </c>
    </row>
    <row r="111" spans="1:12" x14ac:dyDescent="0.25">
      <c r="A111" s="10" t="str">
        <f t="shared" si="2"/>
        <v>2016-Fa-Gec-105-69-239</v>
      </c>
      <c r="B111" s="11" t="str">
        <f t="shared" si="3"/>
        <v>2016</v>
      </c>
      <c r="C111" s="18">
        <v>2016</v>
      </c>
      <c r="D111" t="s">
        <v>1</v>
      </c>
      <c r="E111" t="s">
        <v>442</v>
      </c>
      <c r="F111">
        <v>105</v>
      </c>
      <c r="G111">
        <v>69</v>
      </c>
      <c r="H111">
        <v>239</v>
      </c>
      <c r="I111" t="s">
        <v>396</v>
      </c>
      <c r="L111" t="s">
        <v>394</v>
      </c>
    </row>
    <row r="112" spans="1:12" x14ac:dyDescent="0.25">
      <c r="A112" s="10" t="str">
        <f t="shared" si="2"/>
        <v>2016-Fa-Gec-112-73-239</v>
      </c>
      <c r="B112" s="11" t="str">
        <f t="shared" si="3"/>
        <v>2016</v>
      </c>
      <c r="C112" s="18">
        <v>2016</v>
      </c>
      <c r="D112" t="s">
        <v>1</v>
      </c>
      <c r="E112" t="s">
        <v>443</v>
      </c>
      <c r="F112">
        <v>112</v>
      </c>
      <c r="G112">
        <v>73</v>
      </c>
      <c r="H112">
        <v>239</v>
      </c>
      <c r="I112" t="s">
        <v>396</v>
      </c>
      <c r="L112" t="s">
        <v>395</v>
      </c>
    </row>
    <row r="113" spans="1:12" x14ac:dyDescent="0.25">
      <c r="A113" s="10" t="str">
        <f t="shared" si="2"/>
        <v>2016-Fa-Gec-120-76-242</v>
      </c>
      <c r="B113" s="11" t="str">
        <f t="shared" si="3"/>
        <v>2016</v>
      </c>
      <c r="C113" s="18">
        <v>2016</v>
      </c>
      <c r="D113" t="s">
        <v>1</v>
      </c>
      <c r="E113" t="s">
        <v>444</v>
      </c>
      <c r="F113">
        <v>120</v>
      </c>
      <c r="G113">
        <v>76</v>
      </c>
      <c r="H113">
        <v>242</v>
      </c>
      <c r="I113" t="s">
        <v>396</v>
      </c>
      <c r="L113" t="s">
        <v>397</v>
      </c>
    </row>
    <row r="114" spans="1:12" x14ac:dyDescent="0.25">
      <c r="A114" s="10" t="str">
        <f t="shared" si="2"/>
        <v>2016-Fa-Gec-133-78-246</v>
      </c>
      <c r="B114" s="11" t="str">
        <f t="shared" si="3"/>
        <v>2016</v>
      </c>
      <c r="C114" s="18">
        <v>2016</v>
      </c>
      <c r="D114" t="s">
        <v>1</v>
      </c>
      <c r="E114" t="s">
        <v>445</v>
      </c>
      <c r="F114">
        <v>133</v>
      </c>
      <c r="G114">
        <v>78</v>
      </c>
      <c r="H114">
        <v>246</v>
      </c>
      <c r="I114" t="s">
        <v>396</v>
      </c>
      <c r="L114" t="s">
        <v>398</v>
      </c>
    </row>
    <row r="115" spans="1:12" x14ac:dyDescent="0.25">
      <c r="A115" s="10" t="str">
        <f t="shared" si="2"/>
        <v>2016-Fa-Gec-146-83-250</v>
      </c>
      <c r="B115" s="11" t="str">
        <f t="shared" si="3"/>
        <v>2016</v>
      </c>
      <c r="C115" s="18">
        <v>2016</v>
      </c>
      <c r="D115" t="s">
        <v>1</v>
      </c>
      <c r="E115" t="s">
        <v>446</v>
      </c>
      <c r="F115">
        <v>146</v>
      </c>
      <c r="G115">
        <v>83</v>
      </c>
      <c r="H115">
        <v>250</v>
      </c>
      <c r="I115" t="s">
        <v>396</v>
      </c>
      <c r="L115" t="s">
        <v>399</v>
      </c>
    </row>
    <row r="116" spans="1:12" x14ac:dyDescent="0.25">
      <c r="A116" s="10" t="str">
        <f t="shared" si="2"/>
        <v>2016-Fa-Gec-156-85-252</v>
      </c>
      <c r="B116" s="11" t="str">
        <f t="shared" si="3"/>
        <v>2016</v>
      </c>
      <c r="C116" s="18">
        <v>2016</v>
      </c>
      <c r="D116" t="s">
        <v>1</v>
      </c>
      <c r="E116" t="s">
        <v>447</v>
      </c>
      <c r="F116">
        <v>156</v>
      </c>
      <c r="G116">
        <v>85</v>
      </c>
      <c r="H116">
        <v>252</v>
      </c>
      <c r="I116" t="s">
        <v>400</v>
      </c>
      <c r="L116" t="s">
        <v>401</v>
      </c>
    </row>
    <row r="117" spans="1:12" x14ac:dyDescent="0.25">
      <c r="A117" s="10" t="str">
        <f t="shared" si="2"/>
        <v>2016-Fa-Gec-98-63-239</v>
      </c>
      <c r="B117" s="11" t="str">
        <f t="shared" si="3"/>
        <v>2016</v>
      </c>
      <c r="C117" s="18">
        <v>2016</v>
      </c>
      <c r="D117" t="s">
        <v>1</v>
      </c>
      <c r="E117" t="s">
        <v>441</v>
      </c>
      <c r="F117" s="5">
        <v>98</v>
      </c>
      <c r="G117" s="5">
        <v>63</v>
      </c>
      <c r="H117" s="5">
        <v>239</v>
      </c>
      <c r="I117" s="5" t="s">
        <v>396</v>
      </c>
      <c r="J117" s="5"/>
      <c r="L117" s="5" t="s">
        <v>393</v>
      </c>
    </row>
    <row r="118" spans="1:12" x14ac:dyDescent="0.25">
      <c r="A118" s="10" t="str">
        <f t="shared" si="2"/>
        <v>2016-Fa-Haw-113-66-241</v>
      </c>
      <c r="B118" s="11" t="str">
        <f t="shared" si="3"/>
        <v>2016</v>
      </c>
      <c r="C118" s="18">
        <v>2016</v>
      </c>
      <c r="D118" t="s">
        <v>1</v>
      </c>
      <c r="E118" t="s">
        <v>439</v>
      </c>
      <c r="F118" s="5">
        <v>113</v>
      </c>
      <c r="G118" s="5">
        <v>66</v>
      </c>
      <c r="H118" s="5">
        <v>241</v>
      </c>
      <c r="I118" s="5" t="s">
        <v>392</v>
      </c>
      <c r="J118" s="5"/>
      <c r="L118" s="5" t="s">
        <v>394</v>
      </c>
    </row>
    <row r="119" spans="1:12" x14ac:dyDescent="0.25">
      <c r="A119" s="10" t="str">
        <f t="shared" si="2"/>
        <v>2016-Fa-Haw-124-70-242</v>
      </c>
      <c r="B119" s="11" t="str">
        <f t="shared" si="3"/>
        <v>2016</v>
      </c>
      <c r="C119" s="18">
        <v>2016</v>
      </c>
      <c r="D119" t="s">
        <v>1</v>
      </c>
      <c r="E119" t="s">
        <v>440</v>
      </c>
      <c r="F119" s="5">
        <v>124</v>
      </c>
      <c r="G119" s="5">
        <v>70</v>
      </c>
      <c r="H119" s="5">
        <v>242</v>
      </c>
      <c r="I119" s="5" t="s">
        <v>392</v>
      </c>
      <c r="J119" s="5"/>
      <c r="L119" s="5" t="s">
        <v>395</v>
      </c>
    </row>
    <row r="120" spans="1:12" x14ac:dyDescent="0.25">
      <c r="A120" s="10" t="str">
        <f t="shared" si="2"/>
        <v>2016-Fa-Haw-99-62-239</v>
      </c>
      <c r="B120" s="11" t="str">
        <f t="shared" si="3"/>
        <v>2016</v>
      </c>
      <c r="C120" s="18">
        <v>2016</v>
      </c>
      <c r="D120" t="s">
        <v>1</v>
      </c>
      <c r="E120" t="s">
        <v>438</v>
      </c>
      <c r="F120">
        <v>99</v>
      </c>
      <c r="G120">
        <v>62</v>
      </c>
      <c r="H120">
        <v>239</v>
      </c>
      <c r="I120" t="s">
        <v>392</v>
      </c>
      <c r="L120" t="s">
        <v>393</v>
      </c>
    </row>
    <row r="121" spans="1:12" x14ac:dyDescent="0.25">
      <c r="A121" s="10" t="str">
        <f t="shared" si="2"/>
        <v>2016-Fa-Qua-69-53-224</v>
      </c>
      <c r="B121" s="11" t="str">
        <f t="shared" si="3"/>
        <v>2016</v>
      </c>
      <c r="C121" s="18">
        <v>2016</v>
      </c>
      <c r="D121" t="s">
        <v>1</v>
      </c>
      <c r="E121" t="s">
        <v>360</v>
      </c>
      <c r="F121" s="5">
        <v>69</v>
      </c>
      <c r="G121" s="5">
        <v>53.5</v>
      </c>
      <c r="H121" s="5">
        <v>224</v>
      </c>
      <c r="I121" s="5" t="s">
        <v>361</v>
      </c>
      <c r="J121" s="5"/>
      <c r="L121" s="5" t="s">
        <v>362</v>
      </c>
    </row>
    <row r="122" spans="1:12" x14ac:dyDescent="0.25">
      <c r="A122" s="10" t="str">
        <f t="shared" si="2"/>
        <v>2016-Fa-Qua-75-55-225</v>
      </c>
      <c r="B122" s="11" t="str">
        <f t="shared" si="3"/>
        <v>2016</v>
      </c>
      <c r="C122" s="18">
        <v>2016</v>
      </c>
      <c r="D122" t="s">
        <v>1</v>
      </c>
      <c r="E122" t="s">
        <v>363</v>
      </c>
      <c r="F122" s="5">
        <v>75</v>
      </c>
      <c r="G122" s="5">
        <v>55.5</v>
      </c>
      <c r="H122" s="5">
        <v>225</v>
      </c>
      <c r="I122" s="5" t="s">
        <v>361</v>
      </c>
      <c r="J122" s="5"/>
      <c r="L122" s="5" t="s">
        <v>364</v>
      </c>
    </row>
    <row r="123" spans="1:12" x14ac:dyDescent="0.25">
      <c r="A123" s="10" t="str">
        <f t="shared" si="2"/>
        <v>2016-Fa-Qua-81-57-226</v>
      </c>
      <c r="B123" s="11" t="str">
        <f t="shared" si="3"/>
        <v>2016</v>
      </c>
      <c r="C123" s="18">
        <v>2016</v>
      </c>
      <c r="D123" t="s">
        <v>1</v>
      </c>
      <c r="E123" t="s">
        <v>365</v>
      </c>
      <c r="F123" s="5">
        <v>81</v>
      </c>
      <c r="G123" s="5">
        <v>57.5</v>
      </c>
      <c r="H123" s="5">
        <v>226</v>
      </c>
      <c r="I123" s="5" t="s">
        <v>361</v>
      </c>
      <c r="J123" s="5"/>
      <c r="L123" s="5" t="s">
        <v>366</v>
      </c>
    </row>
    <row r="124" spans="1:12" x14ac:dyDescent="0.25">
      <c r="A124" s="10" t="str">
        <f t="shared" si="2"/>
        <v>2016-Fa-Qua-90-59-227</v>
      </c>
      <c r="B124" s="11" t="str">
        <f t="shared" si="3"/>
        <v>2016</v>
      </c>
      <c r="C124" s="18">
        <v>2016</v>
      </c>
      <c r="D124" t="s">
        <v>1</v>
      </c>
      <c r="E124" t="s">
        <v>367</v>
      </c>
      <c r="F124" s="5">
        <v>90</v>
      </c>
      <c r="G124" s="5">
        <v>59.5</v>
      </c>
      <c r="H124" s="5">
        <v>227</v>
      </c>
      <c r="I124" s="5" t="s">
        <v>361</v>
      </c>
      <c r="J124" s="5"/>
      <c r="L124" s="5" t="s">
        <v>368</v>
      </c>
    </row>
    <row r="125" spans="1:12" x14ac:dyDescent="0.25">
      <c r="A125" s="10" t="str">
        <f t="shared" si="2"/>
        <v>2016-Fa-Rip-102-69-242</v>
      </c>
      <c r="B125" s="11" t="str">
        <f t="shared" si="3"/>
        <v>2016</v>
      </c>
      <c r="C125" s="18">
        <v>2016</v>
      </c>
      <c r="D125" t="s">
        <v>1</v>
      </c>
      <c r="E125" t="s">
        <v>423</v>
      </c>
      <c r="F125">
        <v>102</v>
      </c>
      <c r="G125">
        <v>69</v>
      </c>
      <c r="H125">
        <v>242</v>
      </c>
      <c r="I125" t="s">
        <v>419</v>
      </c>
      <c r="L125" t="s">
        <v>424</v>
      </c>
    </row>
    <row r="126" spans="1:12" x14ac:dyDescent="0.25">
      <c r="A126" s="10" t="str">
        <f t="shared" si="2"/>
        <v>2016-Fa-Rip-120-69-245</v>
      </c>
      <c r="B126" s="11" t="str">
        <f t="shared" si="3"/>
        <v>2016</v>
      </c>
      <c r="C126" s="18">
        <v>2016</v>
      </c>
      <c r="D126" t="s">
        <v>1</v>
      </c>
      <c r="E126" t="s">
        <v>425</v>
      </c>
      <c r="F126">
        <v>120</v>
      </c>
      <c r="G126">
        <v>69</v>
      </c>
      <c r="H126">
        <v>245</v>
      </c>
      <c r="I126" t="s">
        <v>419</v>
      </c>
      <c r="L126" t="s">
        <v>424</v>
      </c>
    </row>
    <row r="127" spans="1:12" x14ac:dyDescent="0.25">
      <c r="A127" s="10" t="str">
        <f t="shared" si="2"/>
        <v>2016-Fa-Rip-187-73-274</v>
      </c>
      <c r="B127" s="11" t="str">
        <f t="shared" si="3"/>
        <v>2016</v>
      </c>
      <c r="C127" s="18">
        <v>2016</v>
      </c>
      <c r="D127" t="s">
        <v>1</v>
      </c>
      <c r="E127" t="s">
        <v>449</v>
      </c>
      <c r="F127">
        <v>187</v>
      </c>
      <c r="G127">
        <v>73.7</v>
      </c>
      <c r="H127">
        <v>274.3</v>
      </c>
      <c r="I127" t="s">
        <v>426</v>
      </c>
      <c r="L127" t="s">
        <v>428</v>
      </c>
    </row>
    <row r="128" spans="1:12" x14ac:dyDescent="0.25">
      <c r="A128" s="10" t="str">
        <f t="shared" si="2"/>
        <v>2016-Fa-Ska-100-63-235</v>
      </c>
      <c r="B128" s="11" t="str">
        <f t="shared" si="3"/>
        <v>2016</v>
      </c>
      <c r="C128" s="18">
        <v>2016</v>
      </c>
      <c r="D128" t="s">
        <v>1</v>
      </c>
      <c r="E128" t="s">
        <v>389</v>
      </c>
      <c r="F128" s="5">
        <v>100</v>
      </c>
      <c r="G128" s="5">
        <v>63.5</v>
      </c>
      <c r="H128" s="5">
        <v>235</v>
      </c>
      <c r="I128" s="5" t="s">
        <v>390</v>
      </c>
      <c r="J128" s="5"/>
      <c r="L128" s="5" t="s">
        <v>387</v>
      </c>
    </row>
    <row r="129" spans="1:12" x14ac:dyDescent="0.25">
      <c r="A129" s="10" t="str">
        <f t="shared" si="2"/>
        <v>2016-Fa-Ska-100-64-228</v>
      </c>
      <c r="B129" s="11" t="str">
        <f t="shared" si="3"/>
        <v>2016</v>
      </c>
      <c r="C129" s="18">
        <v>2016</v>
      </c>
      <c r="D129" t="s">
        <v>1</v>
      </c>
      <c r="E129" t="s">
        <v>184</v>
      </c>
      <c r="F129">
        <v>100</v>
      </c>
      <c r="G129">
        <v>64</v>
      </c>
      <c r="H129">
        <v>228</v>
      </c>
      <c r="I129" t="s">
        <v>361</v>
      </c>
      <c r="L129" t="s">
        <v>387</v>
      </c>
    </row>
    <row r="130" spans="1:12" x14ac:dyDescent="0.25">
      <c r="A130" s="10" t="str">
        <f t="shared" ref="A130:A193" si="4">_xlfn.CONCAT(B130,"-",LEFT(D130,2),"-",LEFT(E130,3),"-",F130,"-",TRUNC(G130),"-",TRUNC(H130))</f>
        <v>2016-Fa-Ska-108-66-226</v>
      </c>
      <c r="B130" s="11" t="str">
        <f t="shared" ref="B130:B193" si="5">LEFT(C130,4)</f>
        <v>2016</v>
      </c>
      <c r="C130" s="18">
        <v>2016</v>
      </c>
      <c r="D130" t="s">
        <v>1</v>
      </c>
      <c r="E130" t="s">
        <v>186</v>
      </c>
      <c r="F130" s="5">
        <v>108</v>
      </c>
      <c r="G130" s="5">
        <v>66.5</v>
      </c>
      <c r="H130" s="5">
        <v>226</v>
      </c>
      <c r="I130" s="5" t="s">
        <v>361</v>
      </c>
      <c r="J130" s="5"/>
      <c r="L130" s="5" t="s">
        <v>388</v>
      </c>
    </row>
    <row r="131" spans="1:12" x14ac:dyDescent="0.25">
      <c r="A131" s="10" t="str">
        <f t="shared" si="4"/>
        <v>2016-Fa-Ska-110-66-237</v>
      </c>
      <c r="B131" s="11" t="str">
        <f t="shared" si="5"/>
        <v>2016</v>
      </c>
      <c r="C131" s="18">
        <v>2016</v>
      </c>
      <c r="D131" t="s">
        <v>1</v>
      </c>
      <c r="E131" t="s">
        <v>391</v>
      </c>
      <c r="F131" s="5">
        <v>110</v>
      </c>
      <c r="G131" s="5">
        <v>66.5</v>
      </c>
      <c r="H131" s="5">
        <v>237</v>
      </c>
      <c r="I131" s="5" t="s">
        <v>390</v>
      </c>
      <c r="J131" s="5"/>
      <c r="L131" s="5" t="s">
        <v>388</v>
      </c>
    </row>
    <row r="132" spans="1:12" x14ac:dyDescent="0.25">
      <c r="A132" s="10" t="str">
        <f t="shared" si="4"/>
        <v>2016-Fa-Ska-86-60-228</v>
      </c>
      <c r="B132" s="11" t="str">
        <f t="shared" si="5"/>
        <v>2016</v>
      </c>
      <c r="C132" s="18">
        <v>2016</v>
      </c>
      <c r="D132" t="s">
        <v>1</v>
      </c>
      <c r="E132" t="s">
        <v>178</v>
      </c>
      <c r="F132" s="5">
        <v>86</v>
      </c>
      <c r="G132" s="5">
        <v>60</v>
      </c>
      <c r="H132" s="5">
        <v>228</v>
      </c>
      <c r="I132" s="5" t="s">
        <v>361</v>
      </c>
      <c r="J132" s="5"/>
      <c r="L132" s="5" t="s">
        <v>385</v>
      </c>
    </row>
    <row r="133" spans="1:12" x14ac:dyDescent="0.25">
      <c r="A133" s="10" t="str">
        <f t="shared" si="4"/>
        <v>2016-Fa-Ska-94-62-228</v>
      </c>
      <c r="B133" s="11" t="str">
        <f t="shared" si="5"/>
        <v>2016</v>
      </c>
      <c r="C133" s="18">
        <v>2016</v>
      </c>
      <c r="D133" t="s">
        <v>1</v>
      </c>
      <c r="E133" t="s">
        <v>437</v>
      </c>
      <c r="F133" s="5">
        <v>94</v>
      </c>
      <c r="G133" s="5">
        <v>62</v>
      </c>
      <c r="H133" s="5">
        <v>228</v>
      </c>
      <c r="I133" s="5" t="s">
        <v>361</v>
      </c>
      <c r="J133" s="5"/>
      <c r="L133" s="5" t="s">
        <v>386</v>
      </c>
    </row>
    <row r="134" spans="1:12" x14ac:dyDescent="0.25">
      <c r="A134" s="10" t="str">
        <f t="shared" si="4"/>
        <v>2016-Fa-Stu-77-55-212</v>
      </c>
      <c r="B134" s="11" t="str">
        <f t="shared" si="5"/>
        <v>2016</v>
      </c>
      <c r="C134" s="18">
        <v>2016</v>
      </c>
      <c r="D134" t="s">
        <v>1</v>
      </c>
      <c r="E134" t="s">
        <v>369</v>
      </c>
      <c r="F134" s="5">
        <v>77</v>
      </c>
      <c r="G134" s="5">
        <v>55</v>
      </c>
      <c r="H134" s="5">
        <v>212</v>
      </c>
      <c r="I134" s="5" t="s">
        <v>361</v>
      </c>
      <c r="J134" s="5"/>
      <c r="L134" s="5" t="s">
        <v>370</v>
      </c>
    </row>
    <row r="135" spans="1:12" x14ac:dyDescent="0.25">
      <c r="A135" s="10" t="str">
        <f t="shared" si="4"/>
        <v>2016-Fa-Stu-88-57-215</v>
      </c>
      <c r="B135" s="11" t="str">
        <f t="shared" si="5"/>
        <v>2016</v>
      </c>
      <c r="C135" s="18">
        <v>2016</v>
      </c>
      <c r="D135" t="s">
        <v>1</v>
      </c>
      <c r="E135" t="s">
        <v>371</v>
      </c>
      <c r="F135">
        <v>88</v>
      </c>
      <c r="G135">
        <v>57.5</v>
      </c>
      <c r="H135">
        <v>215</v>
      </c>
      <c r="I135" t="s">
        <v>361</v>
      </c>
      <c r="L135" t="s">
        <v>366</v>
      </c>
    </row>
    <row r="136" spans="1:12" x14ac:dyDescent="0.25">
      <c r="A136" s="10" t="str">
        <f t="shared" si="4"/>
        <v>2016-Fa-Tri-74-56-222</v>
      </c>
      <c r="B136" s="11" t="str">
        <f t="shared" si="5"/>
        <v>2016</v>
      </c>
      <c r="C136" s="18">
        <v>2016</v>
      </c>
      <c r="D136" t="s">
        <v>1</v>
      </c>
      <c r="E136" t="s">
        <v>372</v>
      </c>
      <c r="F136" s="5">
        <v>74</v>
      </c>
      <c r="G136" s="5">
        <v>56</v>
      </c>
      <c r="H136" s="5">
        <v>222</v>
      </c>
      <c r="I136" s="5" t="s">
        <v>361</v>
      </c>
      <c r="J136" s="5"/>
      <c r="L136" s="5" t="s">
        <v>373</v>
      </c>
    </row>
    <row r="137" spans="1:12" x14ac:dyDescent="0.25">
      <c r="A137" s="10" t="str">
        <f t="shared" si="4"/>
        <v>2016-Fa-Tri-82-58-224</v>
      </c>
      <c r="B137" s="11" t="str">
        <f t="shared" si="5"/>
        <v>2016</v>
      </c>
      <c r="C137" s="18">
        <v>2016</v>
      </c>
      <c r="D137" t="s">
        <v>1</v>
      </c>
      <c r="E137" t="s">
        <v>374</v>
      </c>
      <c r="F137" s="5">
        <v>82</v>
      </c>
      <c r="G137" s="5">
        <v>58</v>
      </c>
      <c r="H137" s="5">
        <v>224</v>
      </c>
      <c r="I137" s="5" t="s">
        <v>361</v>
      </c>
      <c r="J137" s="5"/>
      <c r="L137" s="5" t="s">
        <v>366</v>
      </c>
    </row>
    <row r="138" spans="1:12" x14ac:dyDescent="0.25">
      <c r="A138" s="10" t="str">
        <f t="shared" si="4"/>
        <v>2016-Fa-Tri-89-59-227</v>
      </c>
      <c r="B138" s="11" t="str">
        <f t="shared" si="5"/>
        <v>2016</v>
      </c>
      <c r="C138" s="18">
        <v>2016</v>
      </c>
      <c r="D138" t="s">
        <v>1</v>
      </c>
      <c r="E138" t="s">
        <v>375</v>
      </c>
      <c r="F138" s="5">
        <v>89</v>
      </c>
      <c r="G138" s="5">
        <v>59.5</v>
      </c>
      <c r="H138" s="5">
        <v>227</v>
      </c>
      <c r="I138" s="5" t="s">
        <v>361</v>
      </c>
      <c r="J138" s="5"/>
      <c r="L138" s="5" t="s">
        <v>376</v>
      </c>
    </row>
    <row r="139" spans="1:12" x14ac:dyDescent="0.25">
      <c r="A139" s="10" t="str">
        <f t="shared" si="4"/>
        <v>2016-Fa-Tri-99-62-229</v>
      </c>
      <c r="B139" s="11" t="str">
        <f t="shared" si="5"/>
        <v>2016</v>
      </c>
      <c r="C139" s="18">
        <v>2016</v>
      </c>
      <c r="D139" t="s">
        <v>1</v>
      </c>
      <c r="E139" t="s">
        <v>377</v>
      </c>
      <c r="F139">
        <v>99</v>
      </c>
      <c r="G139">
        <v>62</v>
      </c>
      <c r="H139">
        <v>229</v>
      </c>
      <c r="I139" t="s">
        <v>361</v>
      </c>
      <c r="L139" t="s">
        <v>378</v>
      </c>
    </row>
    <row r="140" spans="1:12" x14ac:dyDescent="0.25">
      <c r="A140" s="10" t="str">
        <f t="shared" si="4"/>
        <v>2016-Fa-Vip-150-70-270</v>
      </c>
      <c r="B140" s="11" t="str">
        <f t="shared" si="5"/>
        <v>2016</v>
      </c>
      <c r="C140" s="18">
        <v>2016</v>
      </c>
      <c r="D140" t="s">
        <v>1</v>
      </c>
      <c r="E140" t="s">
        <v>418</v>
      </c>
      <c r="F140">
        <v>150</v>
      </c>
      <c r="G140">
        <v>70</v>
      </c>
      <c r="H140">
        <v>270</v>
      </c>
      <c r="I140" t="s">
        <v>419</v>
      </c>
      <c r="L140" t="s">
        <v>420</v>
      </c>
    </row>
    <row r="141" spans="1:12" x14ac:dyDescent="0.25">
      <c r="A141" s="10" t="str">
        <f t="shared" si="4"/>
        <v>2016-Fa-Vip-160-75-275</v>
      </c>
      <c r="B141" s="11" t="str">
        <f t="shared" si="5"/>
        <v>2016</v>
      </c>
      <c r="C141" s="18">
        <v>2016</v>
      </c>
      <c r="D141" t="s">
        <v>1</v>
      </c>
      <c r="E141" t="s">
        <v>262</v>
      </c>
      <c r="F141">
        <v>160</v>
      </c>
      <c r="G141">
        <v>75</v>
      </c>
      <c r="H141">
        <v>275</v>
      </c>
      <c r="I141" t="s">
        <v>419</v>
      </c>
      <c r="L141" t="s">
        <v>421</v>
      </c>
    </row>
    <row r="142" spans="1:12" x14ac:dyDescent="0.25">
      <c r="A142" s="10" t="str">
        <f t="shared" si="4"/>
        <v>2016-Fa-Vip-190-80-280</v>
      </c>
      <c r="B142" s="11" t="str">
        <f t="shared" si="5"/>
        <v>2016</v>
      </c>
      <c r="C142" s="18">
        <v>2016</v>
      </c>
      <c r="D142" t="s">
        <v>1</v>
      </c>
      <c r="E142" t="s">
        <v>264</v>
      </c>
      <c r="F142">
        <v>190</v>
      </c>
      <c r="G142">
        <v>80</v>
      </c>
      <c r="H142">
        <v>280</v>
      </c>
      <c r="I142" t="s">
        <v>419</v>
      </c>
      <c r="L142" t="s">
        <v>421</v>
      </c>
    </row>
    <row r="143" spans="1:12" x14ac:dyDescent="0.25">
      <c r="A143" s="10" t="str">
        <f t="shared" si="4"/>
        <v>2016-Fa-Vip-220-85-285</v>
      </c>
      <c r="B143" s="11" t="str">
        <f t="shared" si="5"/>
        <v>2016</v>
      </c>
      <c r="C143" s="18">
        <v>2016</v>
      </c>
      <c r="D143" t="s">
        <v>1</v>
      </c>
      <c r="E143" t="s">
        <v>265</v>
      </c>
      <c r="F143">
        <v>220</v>
      </c>
      <c r="G143">
        <v>85</v>
      </c>
      <c r="H143">
        <v>285</v>
      </c>
      <c r="I143" t="s">
        <v>419</v>
      </c>
      <c r="L143" t="s">
        <v>421</v>
      </c>
    </row>
    <row r="144" spans="1:12" x14ac:dyDescent="0.25">
      <c r="A144" s="10" t="str">
        <f t="shared" si="4"/>
        <v>2016-Fa-Vip-240-91-290</v>
      </c>
      <c r="B144" s="11" t="str">
        <f t="shared" si="5"/>
        <v>2016</v>
      </c>
      <c r="C144" s="18">
        <v>2016</v>
      </c>
      <c r="D144" t="s">
        <v>1</v>
      </c>
      <c r="E144" t="s">
        <v>266</v>
      </c>
      <c r="F144">
        <v>240</v>
      </c>
      <c r="G144">
        <v>91</v>
      </c>
      <c r="H144">
        <v>290</v>
      </c>
      <c r="I144" t="s">
        <v>419</v>
      </c>
      <c r="L144" t="s">
        <v>422</v>
      </c>
    </row>
    <row r="145" spans="1:12" x14ac:dyDescent="0.25">
      <c r="A145" s="10" t="str">
        <f t="shared" si="4"/>
        <v>2016-Fa-Vip-315-85-300</v>
      </c>
      <c r="B145" s="11" t="str">
        <f t="shared" si="5"/>
        <v>2016</v>
      </c>
      <c r="C145" s="18">
        <v>2016</v>
      </c>
      <c r="D145" t="s">
        <v>1</v>
      </c>
      <c r="E145" t="s">
        <v>448</v>
      </c>
      <c r="F145">
        <v>315</v>
      </c>
      <c r="G145">
        <v>85.1</v>
      </c>
      <c r="H145">
        <v>300</v>
      </c>
      <c r="I145" t="s">
        <v>426</v>
      </c>
      <c r="L145" t="s">
        <v>427</v>
      </c>
    </row>
    <row r="146" spans="1:12" x14ac:dyDescent="0.25">
      <c r="A146" s="10" t="str">
        <f t="shared" si="4"/>
        <v>2018-AV-Mod-90-58-229</v>
      </c>
      <c r="B146" s="11" t="str">
        <f t="shared" si="5"/>
        <v>2018</v>
      </c>
      <c r="C146" s="18">
        <v>2018</v>
      </c>
      <c r="D146" t="s">
        <v>713</v>
      </c>
      <c r="E146" t="s">
        <v>714</v>
      </c>
      <c r="F146">
        <v>90</v>
      </c>
      <c r="G146">
        <v>58</v>
      </c>
      <c r="H146">
        <v>229</v>
      </c>
      <c r="I146" t="s">
        <v>715</v>
      </c>
      <c r="J146" t="s">
        <v>685</v>
      </c>
    </row>
    <row r="147" spans="1:12" x14ac:dyDescent="0.25">
      <c r="A147" s="10" t="str">
        <f t="shared" si="4"/>
        <v>2018-Fa-Bla-100-62-231</v>
      </c>
      <c r="B147" s="11" t="str">
        <f t="shared" si="5"/>
        <v>2018</v>
      </c>
      <c r="C147" s="18">
        <v>2018</v>
      </c>
      <c r="D147" t="s">
        <v>1</v>
      </c>
      <c r="E147" t="s">
        <v>230</v>
      </c>
      <c r="F147">
        <v>100</v>
      </c>
      <c r="G147">
        <v>62</v>
      </c>
      <c r="H147">
        <v>231</v>
      </c>
      <c r="I147" t="s">
        <v>231</v>
      </c>
      <c r="J147" t="s">
        <v>232</v>
      </c>
      <c r="K147" t="s">
        <v>190</v>
      </c>
      <c r="L147" t="s">
        <v>233</v>
      </c>
    </row>
    <row r="148" spans="1:12" x14ac:dyDescent="0.25">
      <c r="A148" s="10" t="str">
        <f t="shared" si="4"/>
        <v>2018-Fa-Bla-100-62-231</v>
      </c>
      <c r="B148" s="11" t="str">
        <f t="shared" si="5"/>
        <v>2018</v>
      </c>
      <c r="C148" s="18">
        <v>2018</v>
      </c>
      <c r="D148" t="s">
        <v>1</v>
      </c>
      <c r="E148" t="s">
        <v>239</v>
      </c>
      <c r="F148">
        <v>100</v>
      </c>
      <c r="G148">
        <v>62</v>
      </c>
      <c r="H148">
        <v>231</v>
      </c>
      <c r="I148" t="s">
        <v>172</v>
      </c>
      <c r="J148" t="s">
        <v>232</v>
      </c>
      <c r="K148" t="s">
        <v>190</v>
      </c>
      <c r="L148" t="s">
        <v>233</v>
      </c>
    </row>
    <row r="149" spans="1:12" x14ac:dyDescent="0.25">
      <c r="A149" s="10" t="str">
        <f t="shared" si="4"/>
        <v>2018-Fa-Bla-115-66-232</v>
      </c>
      <c r="B149" s="11" t="str">
        <f t="shared" si="5"/>
        <v>2018</v>
      </c>
      <c r="C149" s="18">
        <v>2018</v>
      </c>
      <c r="D149" t="s">
        <v>1</v>
      </c>
      <c r="E149" t="s">
        <v>234</v>
      </c>
      <c r="F149">
        <v>115</v>
      </c>
      <c r="G149">
        <v>66</v>
      </c>
      <c r="H149">
        <v>232</v>
      </c>
      <c r="K149" t="s">
        <v>195</v>
      </c>
      <c r="L149" t="s">
        <v>235</v>
      </c>
    </row>
    <row r="150" spans="1:12" x14ac:dyDescent="0.25">
      <c r="A150" s="10" t="str">
        <f t="shared" si="4"/>
        <v>2018-Fa-Bla-115-66-232</v>
      </c>
      <c r="B150" s="11" t="str">
        <f t="shared" si="5"/>
        <v>2018</v>
      </c>
      <c r="C150" s="18">
        <v>2018</v>
      </c>
      <c r="D150" t="s">
        <v>1</v>
      </c>
      <c r="E150" t="s">
        <v>240</v>
      </c>
      <c r="F150">
        <v>115</v>
      </c>
      <c r="G150">
        <v>66</v>
      </c>
      <c r="H150">
        <v>232</v>
      </c>
      <c r="K150" t="s">
        <v>195</v>
      </c>
      <c r="L150" t="s">
        <v>235</v>
      </c>
    </row>
    <row r="151" spans="1:12" x14ac:dyDescent="0.25">
      <c r="A151" s="10" t="str">
        <f t="shared" si="4"/>
        <v>2018-Fa-Bla-130-70-233</v>
      </c>
      <c r="B151" s="11" t="str">
        <f t="shared" si="5"/>
        <v>2018</v>
      </c>
      <c r="C151" s="18">
        <v>2018</v>
      </c>
      <c r="D151" t="s">
        <v>1</v>
      </c>
      <c r="E151" t="s">
        <v>236</v>
      </c>
      <c r="F151">
        <v>130</v>
      </c>
      <c r="G151">
        <v>70</v>
      </c>
      <c r="H151">
        <v>233</v>
      </c>
      <c r="J151" t="s">
        <v>207</v>
      </c>
      <c r="K151" t="s">
        <v>201</v>
      </c>
      <c r="L151" t="s">
        <v>199</v>
      </c>
    </row>
    <row r="152" spans="1:12" x14ac:dyDescent="0.25">
      <c r="A152" s="10" t="str">
        <f t="shared" si="4"/>
        <v>2018-Fa-Bla-130-70-233</v>
      </c>
      <c r="B152" s="11" t="str">
        <f t="shared" si="5"/>
        <v>2018</v>
      </c>
      <c r="C152" s="18">
        <v>2018</v>
      </c>
      <c r="D152" t="s">
        <v>1</v>
      </c>
      <c r="E152" t="s">
        <v>241</v>
      </c>
      <c r="F152">
        <v>130</v>
      </c>
      <c r="G152">
        <v>70</v>
      </c>
      <c r="H152">
        <v>233</v>
      </c>
      <c r="J152" t="s">
        <v>207</v>
      </c>
      <c r="K152" t="s">
        <v>201</v>
      </c>
      <c r="L152" t="s">
        <v>199</v>
      </c>
    </row>
    <row r="153" spans="1:12" x14ac:dyDescent="0.25">
      <c r="A153" s="10" t="str">
        <f t="shared" si="4"/>
        <v>2018-Fa-Bla-145-77-235</v>
      </c>
      <c r="B153" s="11" t="str">
        <f t="shared" si="5"/>
        <v>2018</v>
      </c>
      <c r="C153" s="18">
        <v>2018</v>
      </c>
      <c r="D153" t="s">
        <v>1</v>
      </c>
      <c r="E153" t="s">
        <v>237</v>
      </c>
      <c r="F153">
        <v>145</v>
      </c>
      <c r="G153">
        <v>77</v>
      </c>
      <c r="H153">
        <v>235</v>
      </c>
      <c r="K153" t="s">
        <v>209</v>
      </c>
      <c r="L153" t="s">
        <v>238</v>
      </c>
    </row>
    <row r="154" spans="1:12" x14ac:dyDescent="0.25">
      <c r="A154" s="10" t="str">
        <f t="shared" si="4"/>
        <v>2018-Fa-Bla-145-77-235</v>
      </c>
      <c r="B154" s="11" t="str">
        <f t="shared" si="5"/>
        <v>2018</v>
      </c>
      <c r="C154" s="18">
        <v>2018</v>
      </c>
      <c r="D154" t="s">
        <v>1</v>
      </c>
      <c r="E154" t="s">
        <v>242</v>
      </c>
      <c r="F154">
        <v>145</v>
      </c>
      <c r="G154">
        <v>77</v>
      </c>
      <c r="H154">
        <v>235</v>
      </c>
      <c r="K154" t="s">
        <v>209</v>
      </c>
      <c r="L154" t="s">
        <v>238</v>
      </c>
    </row>
    <row r="155" spans="1:12" x14ac:dyDescent="0.25">
      <c r="A155" s="10" t="str">
        <f t="shared" si="4"/>
        <v>2018-Fa-Fal-114-71-230</v>
      </c>
      <c r="B155" s="11" t="str">
        <f t="shared" si="5"/>
        <v>2018</v>
      </c>
      <c r="C155" s="18">
        <v>2018</v>
      </c>
      <c r="D155" t="s">
        <v>1</v>
      </c>
      <c r="E155" t="s">
        <v>248</v>
      </c>
      <c r="F155">
        <v>114</v>
      </c>
      <c r="G155">
        <v>71</v>
      </c>
      <c r="H155">
        <v>230</v>
      </c>
      <c r="I155" t="s">
        <v>249</v>
      </c>
      <c r="J155" t="s">
        <v>250</v>
      </c>
      <c r="K155" t="s">
        <v>246</v>
      </c>
      <c r="L155" t="s">
        <v>251</v>
      </c>
    </row>
    <row r="156" spans="1:12" x14ac:dyDescent="0.25">
      <c r="A156" s="10" t="str">
        <f t="shared" si="4"/>
        <v>2018-Fa-Fal-121-75-230</v>
      </c>
      <c r="B156" s="11" t="str">
        <f t="shared" si="5"/>
        <v>2018</v>
      </c>
      <c r="C156" s="18">
        <v>2018</v>
      </c>
      <c r="D156" t="s">
        <v>1</v>
      </c>
      <c r="E156" t="s">
        <v>57</v>
      </c>
      <c r="F156">
        <v>121</v>
      </c>
      <c r="G156">
        <v>75</v>
      </c>
      <c r="H156">
        <v>230</v>
      </c>
      <c r="J156" t="s">
        <v>153</v>
      </c>
      <c r="K156" t="s">
        <v>153</v>
      </c>
      <c r="L156" t="s">
        <v>252</v>
      </c>
    </row>
    <row r="157" spans="1:12" x14ac:dyDescent="0.25">
      <c r="A157" s="10" t="str">
        <f t="shared" si="4"/>
        <v>2018-Fa-Fal-129-80-230</v>
      </c>
      <c r="B157" s="11" t="str">
        <f t="shared" si="5"/>
        <v>2018</v>
      </c>
      <c r="C157" s="18">
        <v>2018</v>
      </c>
      <c r="D157" t="s">
        <v>1</v>
      </c>
      <c r="E157" t="s">
        <v>253</v>
      </c>
      <c r="F157">
        <v>129</v>
      </c>
      <c r="G157">
        <v>80</v>
      </c>
      <c r="H157">
        <v>230</v>
      </c>
      <c r="J157" t="s">
        <v>207</v>
      </c>
      <c r="K157" t="s">
        <v>246</v>
      </c>
      <c r="L157" t="s">
        <v>202</v>
      </c>
    </row>
    <row r="158" spans="1:12" x14ac:dyDescent="0.25">
      <c r="A158" s="10" t="str">
        <f t="shared" si="4"/>
        <v>2018-Fa-Fal-136-85-225</v>
      </c>
      <c r="B158" s="11" t="str">
        <f t="shared" si="5"/>
        <v>2018</v>
      </c>
      <c r="C158" s="18">
        <v>2018</v>
      </c>
      <c r="D158" t="s">
        <v>1</v>
      </c>
      <c r="E158" t="s">
        <v>61</v>
      </c>
      <c r="F158">
        <v>136</v>
      </c>
      <c r="G158">
        <v>85</v>
      </c>
      <c r="H158">
        <v>225</v>
      </c>
      <c r="J158" t="s">
        <v>153</v>
      </c>
      <c r="K158" t="s">
        <v>153</v>
      </c>
      <c r="L158" t="s">
        <v>205</v>
      </c>
    </row>
    <row r="159" spans="1:12" x14ac:dyDescent="0.25">
      <c r="A159" s="10" t="str">
        <f t="shared" si="4"/>
        <v>2018-Fa-Fal-159-90-230</v>
      </c>
      <c r="B159" s="11" t="str">
        <f t="shared" si="5"/>
        <v>2018</v>
      </c>
      <c r="C159" s="18">
        <v>2018</v>
      </c>
      <c r="D159" t="s">
        <v>1</v>
      </c>
      <c r="E159" t="s">
        <v>254</v>
      </c>
      <c r="F159">
        <v>159</v>
      </c>
      <c r="G159">
        <v>90</v>
      </c>
      <c r="H159">
        <v>230</v>
      </c>
      <c r="I159" t="s">
        <v>172</v>
      </c>
      <c r="J159" t="s">
        <v>207</v>
      </c>
      <c r="K159" t="s">
        <v>255</v>
      </c>
      <c r="L159" t="s">
        <v>227</v>
      </c>
    </row>
    <row r="160" spans="1:12" x14ac:dyDescent="0.25">
      <c r="A160" s="10" t="str">
        <f t="shared" si="4"/>
        <v>2018-Fa-Fal-172-100-230</v>
      </c>
      <c r="B160" s="11" t="str">
        <f t="shared" si="5"/>
        <v>2018</v>
      </c>
      <c r="C160" s="18">
        <v>2018</v>
      </c>
      <c r="D160" t="s">
        <v>1</v>
      </c>
      <c r="E160" t="s">
        <v>259</v>
      </c>
      <c r="F160">
        <v>172</v>
      </c>
      <c r="G160">
        <v>100</v>
      </c>
      <c r="H160">
        <v>230</v>
      </c>
      <c r="I160" t="s">
        <v>249</v>
      </c>
      <c r="J160" t="s">
        <v>260</v>
      </c>
      <c r="K160" t="s">
        <v>246</v>
      </c>
      <c r="L160" t="s">
        <v>261</v>
      </c>
    </row>
    <row r="161" spans="1:12" x14ac:dyDescent="0.25">
      <c r="A161" s="10" t="str">
        <f t="shared" si="4"/>
        <v>2018-Fa-Fal-54-44-230</v>
      </c>
      <c r="B161" s="11" t="str">
        <f t="shared" si="5"/>
        <v>2018</v>
      </c>
      <c r="C161" s="18">
        <v>2018</v>
      </c>
      <c r="D161" t="s">
        <v>1</v>
      </c>
      <c r="E161" t="s">
        <v>256</v>
      </c>
      <c r="F161">
        <v>54</v>
      </c>
      <c r="G161">
        <v>44</v>
      </c>
      <c r="H161">
        <v>230</v>
      </c>
      <c r="I161" t="s">
        <v>244</v>
      </c>
      <c r="J161" t="s">
        <v>245</v>
      </c>
      <c r="K161" t="s">
        <v>246</v>
      </c>
      <c r="L161" t="s">
        <v>139</v>
      </c>
    </row>
    <row r="162" spans="1:12" x14ac:dyDescent="0.25">
      <c r="A162" s="10" t="str">
        <f t="shared" si="4"/>
        <v>2018-Fa-Fal-70-52-230</v>
      </c>
      <c r="B162" s="11" t="str">
        <f t="shared" si="5"/>
        <v>2018</v>
      </c>
      <c r="C162" s="18">
        <v>2018</v>
      </c>
      <c r="D162" t="s">
        <v>1</v>
      </c>
      <c r="E162" t="s">
        <v>50</v>
      </c>
      <c r="F162">
        <v>70</v>
      </c>
      <c r="G162">
        <v>52.5</v>
      </c>
      <c r="H162">
        <v>230</v>
      </c>
      <c r="J162" t="s">
        <v>153</v>
      </c>
      <c r="K162" t="s">
        <v>153</v>
      </c>
      <c r="L162" t="s">
        <v>257</v>
      </c>
    </row>
    <row r="163" spans="1:12" x14ac:dyDescent="0.25">
      <c r="A163" s="10" t="str">
        <f t="shared" si="4"/>
        <v>2018-Fa-Fal-79-56-235</v>
      </c>
      <c r="B163" s="11" t="str">
        <f t="shared" si="5"/>
        <v>2018</v>
      </c>
      <c r="C163" s="18">
        <v>2018</v>
      </c>
      <c r="D163" t="s">
        <v>1</v>
      </c>
      <c r="E163" t="s">
        <v>258</v>
      </c>
      <c r="F163">
        <v>79</v>
      </c>
      <c r="G163">
        <v>56</v>
      </c>
      <c r="H163">
        <v>235</v>
      </c>
      <c r="J163" t="s">
        <v>153</v>
      </c>
      <c r="K163" t="s">
        <v>153</v>
      </c>
      <c r="L163" t="s">
        <v>166</v>
      </c>
    </row>
    <row r="164" spans="1:12" x14ac:dyDescent="0.25">
      <c r="A164" s="10" t="str">
        <f t="shared" si="4"/>
        <v>2018-Fa-Fal-89-60-235</v>
      </c>
      <c r="B164" s="11" t="str">
        <f t="shared" si="5"/>
        <v>2018</v>
      </c>
      <c r="C164" s="18">
        <v>2018</v>
      </c>
      <c r="D164" t="s">
        <v>1</v>
      </c>
      <c r="E164" t="s">
        <v>243</v>
      </c>
      <c r="F164">
        <v>89</v>
      </c>
      <c r="G164">
        <v>60</v>
      </c>
      <c r="H164">
        <v>235</v>
      </c>
      <c r="I164" t="s">
        <v>244</v>
      </c>
      <c r="J164" t="s">
        <v>245</v>
      </c>
      <c r="K164" t="s">
        <v>246</v>
      </c>
      <c r="L164" t="s">
        <v>233</v>
      </c>
    </row>
    <row r="165" spans="1:12" x14ac:dyDescent="0.25">
      <c r="A165" s="10" t="str">
        <f t="shared" si="4"/>
        <v>2018-Fa-Fal-98-63-235</v>
      </c>
      <c r="B165" s="11" t="str">
        <f t="shared" si="5"/>
        <v>2018</v>
      </c>
      <c r="C165" s="18">
        <v>2018</v>
      </c>
      <c r="D165" t="s">
        <v>1</v>
      </c>
      <c r="E165" t="s">
        <v>65</v>
      </c>
      <c r="F165">
        <v>98</v>
      </c>
      <c r="G165">
        <v>63</v>
      </c>
      <c r="H165">
        <v>235</v>
      </c>
      <c r="J165" t="s">
        <v>153</v>
      </c>
      <c r="K165" t="s">
        <v>153</v>
      </c>
      <c r="L165" t="s">
        <v>247</v>
      </c>
    </row>
    <row r="166" spans="1:12" x14ac:dyDescent="0.25">
      <c r="A166" s="10" t="str">
        <f t="shared" si="4"/>
        <v>2018-Fa-Fre-105-62-229</v>
      </c>
      <c r="B166" s="11" t="str">
        <f t="shared" si="5"/>
        <v>2018</v>
      </c>
      <c r="C166" s="18">
        <v>2018</v>
      </c>
      <c r="D166" t="s">
        <v>1</v>
      </c>
      <c r="E166" t="s">
        <v>161</v>
      </c>
      <c r="F166">
        <v>105</v>
      </c>
      <c r="G166">
        <v>62.5</v>
      </c>
      <c r="H166">
        <v>229</v>
      </c>
      <c r="K166" t="s">
        <v>162</v>
      </c>
      <c r="L166" t="s">
        <v>163</v>
      </c>
    </row>
    <row r="167" spans="1:12" x14ac:dyDescent="0.25">
      <c r="A167" s="10" t="str">
        <f t="shared" si="4"/>
        <v>2018-Fa-Fre-105-62-229</v>
      </c>
      <c r="B167" s="11" t="str">
        <f t="shared" si="5"/>
        <v>2018</v>
      </c>
      <c r="C167" s="18">
        <v>2018</v>
      </c>
      <c r="D167" t="s">
        <v>1</v>
      </c>
      <c r="E167" t="s">
        <v>169</v>
      </c>
      <c r="F167">
        <v>105</v>
      </c>
      <c r="G167">
        <v>62.5</v>
      </c>
      <c r="H167">
        <v>229</v>
      </c>
      <c r="K167" t="s">
        <v>162</v>
      </c>
      <c r="L167" t="s">
        <v>163</v>
      </c>
    </row>
    <row r="168" spans="1:12" x14ac:dyDescent="0.25">
      <c r="A168" s="10" t="str">
        <f t="shared" si="4"/>
        <v>2018-Fa-Fre-105-62-229</v>
      </c>
      <c r="B168" s="11" t="str">
        <f t="shared" si="5"/>
        <v>2018</v>
      </c>
      <c r="C168" s="18">
        <v>2018</v>
      </c>
      <c r="D168" t="s">
        <v>1</v>
      </c>
      <c r="E168" t="s">
        <v>176</v>
      </c>
      <c r="F168">
        <v>105</v>
      </c>
      <c r="G168">
        <v>62.5</v>
      </c>
      <c r="H168">
        <v>229</v>
      </c>
      <c r="K168" t="s">
        <v>177</v>
      </c>
      <c r="L168" t="s">
        <v>163</v>
      </c>
    </row>
    <row r="169" spans="1:12" x14ac:dyDescent="0.25">
      <c r="A169" s="10" t="str">
        <f t="shared" si="4"/>
        <v>2018-Fa-Fre-115-65-231</v>
      </c>
      <c r="B169" s="11" t="str">
        <f t="shared" si="5"/>
        <v>2018</v>
      </c>
      <c r="C169" s="18">
        <v>2018</v>
      </c>
      <c r="D169" t="s">
        <v>1</v>
      </c>
      <c r="E169" t="s">
        <v>164</v>
      </c>
      <c r="F169">
        <v>115</v>
      </c>
      <c r="G169">
        <v>65</v>
      </c>
      <c r="H169">
        <v>231</v>
      </c>
      <c r="K169" t="s">
        <v>165</v>
      </c>
      <c r="L169" t="s">
        <v>166</v>
      </c>
    </row>
    <row r="170" spans="1:12" x14ac:dyDescent="0.25">
      <c r="A170" s="10" t="str">
        <f t="shared" si="4"/>
        <v>2018-Fa-Fre-115-65-231</v>
      </c>
      <c r="B170" s="11" t="str">
        <f t="shared" si="5"/>
        <v>2018</v>
      </c>
      <c r="C170" s="18">
        <v>2018</v>
      </c>
      <c r="D170" t="s">
        <v>1</v>
      </c>
      <c r="E170" t="s">
        <v>170</v>
      </c>
      <c r="F170">
        <v>115</v>
      </c>
      <c r="G170">
        <v>65</v>
      </c>
      <c r="H170">
        <v>231</v>
      </c>
      <c r="K170" t="s">
        <v>165</v>
      </c>
      <c r="L170" t="s">
        <v>166</v>
      </c>
    </row>
    <row r="171" spans="1:12" x14ac:dyDescent="0.25">
      <c r="A171" s="10" t="str">
        <f t="shared" si="4"/>
        <v>2018-Fa-Fre-85-57-225</v>
      </c>
      <c r="B171" s="11" t="str">
        <f t="shared" si="5"/>
        <v>2018</v>
      </c>
      <c r="C171" s="18">
        <v>2018</v>
      </c>
      <c r="D171" t="s">
        <v>1</v>
      </c>
      <c r="E171" t="s">
        <v>154</v>
      </c>
      <c r="F171">
        <v>85</v>
      </c>
      <c r="G171">
        <v>57.5</v>
      </c>
      <c r="H171">
        <v>225</v>
      </c>
      <c r="I171" t="s">
        <v>155</v>
      </c>
      <c r="J171" t="s">
        <v>156</v>
      </c>
      <c r="K171" t="s">
        <v>157</v>
      </c>
      <c r="L171" t="s">
        <v>158</v>
      </c>
    </row>
    <row r="172" spans="1:12" x14ac:dyDescent="0.25">
      <c r="A172" s="10" t="str">
        <f t="shared" si="4"/>
        <v>2018-Fa-Fre-85-57-225</v>
      </c>
      <c r="B172" s="11" t="str">
        <f t="shared" si="5"/>
        <v>2018</v>
      </c>
      <c r="C172" s="18">
        <v>2018</v>
      </c>
      <c r="D172" t="s">
        <v>1</v>
      </c>
      <c r="E172" t="s">
        <v>167</v>
      </c>
      <c r="F172">
        <v>85</v>
      </c>
      <c r="G172">
        <v>57.5</v>
      </c>
      <c r="H172">
        <v>225</v>
      </c>
      <c r="I172" t="s">
        <v>130</v>
      </c>
      <c r="J172" t="s">
        <v>156</v>
      </c>
      <c r="K172" t="s">
        <v>157</v>
      </c>
      <c r="L172" t="s">
        <v>158</v>
      </c>
    </row>
    <row r="173" spans="1:12" x14ac:dyDescent="0.25">
      <c r="A173" s="10" t="str">
        <f t="shared" si="4"/>
        <v>2018-Fa-Fre-85-57-225</v>
      </c>
      <c r="B173" s="11" t="str">
        <f t="shared" si="5"/>
        <v>2018</v>
      </c>
      <c r="C173" s="18">
        <v>2018</v>
      </c>
      <c r="D173" t="s">
        <v>1</v>
      </c>
      <c r="E173" t="s">
        <v>171</v>
      </c>
      <c r="F173">
        <v>85</v>
      </c>
      <c r="G173">
        <v>57.5</v>
      </c>
      <c r="H173">
        <v>225</v>
      </c>
      <c r="I173" t="s">
        <v>172</v>
      </c>
      <c r="J173" t="s">
        <v>156</v>
      </c>
      <c r="K173" t="s">
        <v>173</v>
      </c>
      <c r="L173" t="s">
        <v>158</v>
      </c>
    </row>
    <row r="174" spans="1:12" x14ac:dyDescent="0.25">
      <c r="A174" s="10" t="str">
        <f t="shared" si="4"/>
        <v>2018-Fa-Fre-95-60-227</v>
      </c>
      <c r="B174" s="11" t="str">
        <f t="shared" si="5"/>
        <v>2018</v>
      </c>
      <c r="C174" s="18">
        <v>2018</v>
      </c>
      <c r="D174" t="s">
        <v>1</v>
      </c>
      <c r="E174" t="s">
        <v>159</v>
      </c>
      <c r="F174">
        <v>95</v>
      </c>
      <c r="G174">
        <v>60</v>
      </c>
      <c r="H174">
        <v>227</v>
      </c>
      <c r="K174" t="s">
        <v>160</v>
      </c>
      <c r="L174" t="s">
        <v>138</v>
      </c>
    </row>
    <row r="175" spans="1:12" x14ac:dyDescent="0.25">
      <c r="A175" s="10" t="str">
        <f t="shared" si="4"/>
        <v>2018-Fa-Fre-95-60-227</v>
      </c>
      <c r="B175" s="11" t="str">
        <f t="shared" si="5"/>
        <v>2018</v>
      </c>
      <c r="C175" s="18">
        <v>2018</v>
      </c>
      <c r="D175" t="s">
        <v>1</v>
      </c>
      <c r="E175" t="s">
        <v>168</v>
      </c>
      <c r="F175">
        <v>95</v>
      </c>
      <c r="G175">
        <v>60</v>
      </c>
      <c r="H175">
        <v>227</v>
      </c>
      <c r="K175" t="s">
        <v>160</v>
      </c>
      <c r="L175" t="s">
        <v>138</v>
      </c>
    </row>
    <row r="176" spans="1:12" x14ac:dyDescent="0.25">
      <c r="A176" s="10" t="str">
        <f t="shared" si="4"/>
        <v>2018-Fa-Fre-95-60-227</v>
      </c>
      <c r="B176" s="11" t="str">
        <f t="shared" si="5"/>
        <v>2018</v>
      </c>
      <c r="C176" s="18">
        <v>2018</v>
      </c>
      <c r="D176" t="s">
        <v>1</v>
      </c>
      <c r="E176" t="s">
        <v>174</v>
      </c>
      <c r="F176">
        <v>95</v>
      </c>
      <c r="G176">
        <v>60</v>
      </c>
      <c r="H176">
        <v>227</v>
      </c>
      <c r="K176" t="s">
        <v>175</v>
      </c>
      <c r="L176" t="s">
        <v>138</v>
      </c>
    </row>
    <row r="177" spans="1:12" x14ac:dyDescent="0.25">
      <c r="A177" s="10" t="str">
        <f t="shared" si="4"/>
        <v>2018-Fa-Gec-105-69-239</v>
      </c>
      <c r="B177" s="11" t="str">
        <f t="shared" si="5"/>
        <v>2018</v>
      </c>
      <c r="C177" s="18">
        <v>2018</v>
      </c>
      <c r="D177" t="s">
        <v>1</v>
      </c>
      <c r="E177" t="s">
        <v>191</v>
      </c>
      <c r="F177">
        <v>105</v>
      </c>
      <c r="G177">
        <v>69</v>
      </c>
      <c r="H177">
        <v>239</v>
      </c>
      <c r="K177" t="s">
        <v>192</v>
      </c>
      <c r="L177" t="s">
        <v>193</v>
      </c>
    </row>
    <row r="178" spans="1:12" x14ac:dyDescent="0.25">
      <c r="A178" s="10" t="str">
        <f t="shared" si="4"/>
        <v>2018-Fa-Gec-105-69-239</v>
      </c>
      <c r="B178" s="11" t="str">
        <f t="shared" si="5"/>
        <v>2018</v>
      </c>
      <c r="C178" s="18">
        <v>2018</v>
      </c>
      <c r="D178" t="s">
        <v>1</v>
      </c>
      <c r="E178" t="s">
        <v>215</v>
      </c>
      <c r="F178">
        <v>105</v>
      </c>
      <c r="G178">
        <v>69</v>
      </c>
      <c r="H178">
        <v>239</v>
      </c>
      <c r="K178" t="s">
        <v>216</v>
      </c>
      <c r="L178" t="s">
        <v>193</v>
      </c>
    </row>
    <row r="179" spans="1:12" x14ac:dyDescent="0.25">
      <c r="A179" s="10" t="str">
        <f t="shared" si="4"/>
        <v>2018-Fa-Gec-112-73-239</v>
      </c>
      <c r="B179" s="11" t="str">
        <f t="shared" si="5"/>
        <v>2018</v>
      </c>
      <c r="C179" s="18">
        <v>2018</v>
      </c>
      <c r="D179" t="s">
        <v>1</v>
      </c>
      <c r="E179" t="s">
        <v>194</v>
      </c>
      <c r="F179">
        <v>112</v>
      </c>
      <c r="G179">
        <v>73</v>
      </c>
      <c r="H179">
        <v>239</v>
      </c>
      <c r="K179" t="s">
        <v>195</v>
      </c>
      <c r="L179" t="s">
        <v>196</v>
      </c>
    </row>
    <row r="180" spans="1:12" x14ac:dyDescent="0.25">
      <c r="A180" s="10" t="str">
        <f t="shared" si="4"/>
        <v>2018-Fa-Gec-112-73-239</v>
      </c>
      <c r="B180" s="11" t="str">
        <f t="shared" si="5"/>
        <v>2018</v>
      </c>
      <c r="C180" s="18">
        <v>2018</v>
      </c>
      <c r="D180" t="s">
        <v>1</v>
      </c>
      <c r="E180" t="s">
        <v>210</v>
      </c>
      <c r="F180">
        <v>112</v>
      </c>
      <c r="G180">
        <v>73</v>
      </c>
      <c r="H180">
        <v>239</v>
      </c>
      <c r="I180" t="s">
        <v>211</v>
      </c>
      <c r="J180" t="s">
        <v>179</v>
      </c>
      <c r="K180" t="s">
        <v>195</v>
      </c>
      <c r="L180" t="s">
        <v>196</v>
      </c>
    </row>
    <row r="181" spans="1:12" x14ac:dyDescent="0.25">
      <c r="A181" s="10" t="str">
        <f t="shared" si="4"/>
        <v>2018-Fa-Gec-112-73-239</v>
      </c>
      <c r="B181" s="11" t="str">
        <f t="shared" si="5"/>
        <v>2018</v>
      </c>
      <c r="C181" s="18">
        <v>2018</v>
      </c>
      <c r="D181" t="s">
        <v>1</v>
      </c>
      <c r="E181" t="s">
        <v>217</v>
      </c>
      <c r="F181">
        <v>112</v>
      </c>
      <c r="G181">
        <v>73</v>
      </c>
      <c r="H181">
        <v>239</v>
      </c>
      <c r="K181" t="s">
        <v>218</v>
      </c>
      <c r="L181" t="s">
        <v>196</v>
      </c>
    </row>
    <row r="182" spans="1:12" x14ac:dyDescent="0.25">
      <c r="A182" s="10" t="str">
        <f t="shared" si="4"/>
        <v>2018-Fa-Gec-120-76-242</v>
      </c>
      <c r="B182" s="11" t="str">
        <f t="shared" si="5"/>
        <v>2018</v>
      </c>
      <c r="C182" s="18">
        <v>2018</v>
      </c>
      <c r="D182" t="s">
        <v>1</v>
      </c>
      <c r="E182" t="s">
        <v>197</v>
      </c>
      <c r="F182">
        <v>120</v>
      </c>
      <c r="G182">
        <v>76</v>
      </c>
      <c r="H182">
        <v>242</v>
      </c>
      <c r="K182" t="s">
        <v>198</v>
      </c>
      <c r="L182" t="s">
        <v>199</v>
      </c>
    </row>
    <row r="183" spans="1:12" x14ac:dyDescent="0.25">
      <c r="A183" s="10" t="str">
        <f t="shared" si="4"/>
        <v>2018-Fa-Gec-120-76-242</v>
      </c>
      <c r="B183" s="11" t="str">
        <f t="shared" si="5"/>
        <v>2018</v>
      </c>
      <c r="C183" s="18">
        <v>2018</v>
      </c>
      <c r="D183" t="s">
        <v>1</v>
      </c>
      <c r="E183" t="s">
        <v>206</v>
      </c>
      <c r="F183">
        <v>120</v>
      </c>
      <c r="G183">
        <v>76</v>
      </c>
      <c r="H183">
        <v>242</v>
      </c>
      <c r="I183" t="s">
        <v>172</v>
      </c>
      <c r="J183" t="s">
        <v>207</v>
      </c>
      <c r="K183" t="s">
        <v>201</v>
      </c>
      <c r="L183" t="s">
        <v>199</v>
      </c>
    </row>
    <row r="184" spans="1:12" x14ac:dyDescent="0.25">
      <c r="A184" s="10" t="str">
        <f t="shared" si="4"/>
        <v>2018-Fa-Gec-120-76-242</v>
      </c>
      <c r="B184" s="11" t="str">
        <f t="shared" si="5"/>
        <v>2018</v>
      </c>
      <c r="C184" s="18">
        <v>2018</v>
      </c>
      <c r="D184" t="s">
        <v>1</v>
      </c>
      <c r="E184" t="s">
        <v>219</v>
      </c>
      <c r="F184">
        <v>120</v>
      </c>
      <c r="G184">
        <v>76</v>
      </c>
      <c r="H184">
        <v>242</v>
      </c>
      <c r="K184" t="s">
        <v>220</v>
      </c>
      <c r="L184" t="s">
        <v>199</v>
      </c>
    </row>
    <row r="185" spans="1:12" x14ac:dyDescent="0.25">
      <c r="A185" s="10" t="str">
        <f t="shared" si="4"/>
        <v>2018-Fa-Gec-133-78-246</v>
      </c>
      <c r="B185" s="11" t="str">
        <f t="shared" si="5"/>
        <v>2018</v>
      </c>
      <c r="C185" s="18">
        <v>2018</v>
      </c>
      <c r="D185" t="s">
        <v>1</v>
      </c>
      <c r="E185" t="s">
        <v>200</v>
      </c>
      <c r="F185">
        <v>133</v>
      </c>
      <c r="G185">
        <v>78</v>
      </c>
      <c r="H185">
        <v>246</v>
      </c>
      <c r="K185" t="s">
        <v>201</v>
      </c>
      <c r="L185" t="s">
        <v>202</v>
      </c>
    </row>
    <row r="186" spans="1:12" x14ac:dyDescent="0.25">
      <c r="A186" s="10" t="str">
        <f t="shared" si="4"/>
        <v>2018-Fa-Gec-133-78-246</v>
      </c>
      <c r="B186" s="11" t="str">
        <f t="shared" si="5"/>
        <v>2018</v>
      </c>
      <c r="C186" s="18">
        <v>2018</v>
      </c>
      <c r="D186" t="s">
        <v>1</v>
      </c>
      <c r="E186" t="s">
        <v>208</v>
      </c>
      <c r="F186">
        <v>133</v>
      </c>
      <c r="G186">
        <v>78</v>
      </c>
      <c r="H186">
        <v>246</v>
      </c>
      <c r="K186" t="s">
        <v>209</v>
      </c>
      <c r="L186" t="s">
        <v>202</v>
      </c>
    </row>
    <row r="187" spans="1:12" x14ac:dyDescent="0.25">
      <c r="A187" s="10" t="str">
        <f t="shared" si="4"/>
        <v>2018-Fa-Gec-133-78-246</v>
      </c>
      <c r="B187" s="11" t="str">
        <f t="shared" si="5"/>
        <v>2018</v>
      </c>
      <c r="C187" s="18">
        <v>2018</v>
      </c>
      <c r="D187" t="s">
        <v>1</v>
      </c>
      <c r="E187" t="s">
        <v>221</v>
      </c>
      <c r="F187">
        <v>133</v>
      </c>
      <c r="G187">
        <v>78</v>
      </c>
      <c r="H187">
        <v>246</v>
      </c>
      <c r="K187" t="s">
        <v>222</v>
      </c>
      <c r="L187" t="s">
        <v>202</v>
      </c>
    </row>
    <row r="188" spans="1:12" x14ac:dyDescent="0.25">
      <c r="A188" s="10" t="str">
        <f t="shared" si="4"/>
        <v>2018-Fa-Gec-146-83-250</v>
      </c>
      <c r="B188" s="11" t="str">
        <f t="shared" si="5"/>
        <v>2018</v>
      </c>
      <c r="C188" s="18">
        <v>2018</v>
      </c>
      <c r="D188" t="s">
        <v>1</v>
      </c>
      <c r="E188" t="s">
        <v>203</v>
      </c>
      <c r="F188">
        <v>146</v>
      </c>
      <c r="G188">
        <v>83</v>
      </c>
      <c r="H188">
        <v>250</v>
      </c>
      <c r="K188" t="s">
        <v>204</v>
      </c>
      <c r="L188" t="s">
        <v>205</v>
      </c>
    </row>
    <row r="189" spans="1:12" x14ac:dyDescent="0.25">
      <c r="A189" s="10" t="str">
        <f t="shared" si="4"/>
        <v>2018-Fa-Gec-146-83-250</v>
      </c>
      <c r="B189" s="11" t="str">
        <f t="shared" si="5"/>
        <v>2018</v>
      </c>
      <c r="C189" s="18">
        <v>2018</v>
      </c>
      <c r="D189" t="s">
        <v>1</v>
      </c>
      <c r="E189" t="s">
        <v>223</v>
      </c>
      <c r="F189">
        <v>146</v>
      </c>
      <c r="G189">
        <v>83</v>
      </c>
      <c r="H189">
        <v>250</v>
      </c>
      <c r="K189" t="s">
        <v>224</v>
      </c>
      <c r="L189" t="s">
        <v>205</v>
      </c>
    </row>
    <row r="190" spans="1:12" x14ac:dyDescent="0.25">
      <c r="A190" s="10" t="str">
        <f t="shared" si="4"/>
        <v>2018-Fa-Gec-156-85-252</v>
      </c>
      <c r="B190" s="11" t="str">
        <f t="shared" si="5"/>
        <v>2018</v>
      </c>
      <c r="C190" s="18">
        <v>2018</v>
      </c>
      <c r="D190" t="s">
        <v>1</v>
      </c>
      <c r="E190" t="s">
        <v>225</v>
      </c>
      <c r="F190">
        <v>156</v>
      </c>
      <c r="G190">
        <v>85</v>
      </c>
      <c r="H190">
        <v>252</v>
      </c>
      <c r="K190" t="s">
        <v>226</v>
      </c>
      <c r="L190" t="s">
        <v>227</v>
      </c>
    </row>
    <row r="191" spans="1:12" x14ac:dyDescent="0.25">
      <c r="A191" s="10" t="str">
        <f t="shared" si="4"/>
        <v>2018-Fa-Gec-156-85-252</v>
      </c>
      <c r="B191" s="11" t="str">
        <f t="shared" si="5"/>
        <v>2018</v>
      </c>
      <c r="C191" s="18">
        <v>2018</v>
      </c>
      <c r="D191" t="s">
        <v>1</v>
      </c>
      <c r="E191" t="s">
        <v>228</v>
      </c>
      <c r="F191">
        <v>156</v>
      </c>
      <c r="G191">
        <v>85</v>
      </c>
      <c r="H191">
        <v>252</v>
      </c>
      <c r="K191" t="s">
        <v>229</v>
      </c>
      <c r="L191" t="s">
        <v>227</v>
      </c>
    </row>
    <row r="192" spans="1:12" x14ac:dyDescent="0.25">
      <c r="A192" s="10" t="str">
        <f t="shared" si="4"/>
        <v>2018-Fa-Gec-98-63-239</v>
      </c>
      <c r="B192" s="11" t="str">
        <f t="shared" si="5"/>
        <v>2018</v>
      </c>
      <c r="C192" s="18">
        <v>2018</v>
      </c>
      <c r="D192" t="s">
        <v>1</v>
      </c>
      <c r="E192" t="s">
        <v>189</v>
      </c>
      <c r="F192">
        <v>98</v>
      </c>
      <c r="G192">
        <v>63</v>
      </c>
      <c r="H192">
        <v>239</v>
      </c>
      <c r="I192" t="s">
        <v>172</v>
      </c>
      <c r="J192" t="s">
        <v>179</v>
      </c>
      <c r="K192" t="s">
        <v>190</v>
      </c>
      <c r="L192" t="s">
        <v>166</v>
      </c>
    </row>
    <row r="193" spans="1:12" x14ac:dyDescent="0.25">
      <c r="A193" s="10" t="str">
        <f t="shared" si="4"/>
        <v>2018-Fa-Gec-98-63-239</v>
      </c>
      <c r="B193" s="11" t="str">
        <f t="shared" si="5"/>
        <v>2018</v>
      </c>
      <c r="C193" s="18">
        <v>2018</v>
      </c>
      <c r="D193" t="s">
        <v>1</v>
      </c>
      <c r="E193" t="s">
        <v>212</v>
      </c>
      <c r="F193">
        <v>98</v>
      </c>
      <c r="G193">
        <v>63</v>
      </c>
      <c r="H193">
        <v>239</v>
      </c>
      <c r="I193" t="s">
        <v>213</v>
      </c>
      <c r="J193" t="s">
        <v>179</v>
      </c>
      <c r="K193" t="s">
        <v>214</v>
      </c>
      <c r="L193" t="s">
        <v>166</v>
      </c>
    </row>
    <row r="194" spans="1:12" x14ac:dyDescent="0.25">
      <c r="A194" s="10" t="str">
        <f t="shared" ref="A194:A257" si="6">_xlfn.CONCAT(B194,"-",LEFT(D194,2),"-",LEFT(E194,3),"-",F194,"-",TRUNC(G194),"-",TRUNC(H194))</f>
        <v>2018-Fa-Gri-68-54-220</v>
      </c>
      <c r="B194" s="11" t="str">
        <f t="shared" ref="B194:B257" si="7">LEFT(C194,4)</f>
        <v>2018</v>
      </c>
      <c r="C194" s="18">
        <v>2018</v>
      </c>
      <c r="D194" t="s">
        <v>1</v>
      </c>
      <c r="E194" t="s">
        <v>140</v>
      </c>
      <c r="F194">
        <v>68</v>
      </c>
      <c r="G194">
        <v>54</v>
      </c>
      <c r="H194">
        <v>220</v>
      </c>
      <c r="I194" t="s">
        <v>130</v>
      </c>
      <c r="J194" t="s">
        <v>141</v>
      </c>
      <c r="K194" t="s">
        <v>142</v>
      </c>
      <c r="L194" t="s">
        <v>143</v>
      </c>
    </row>
    <row r="195" spans="1:12" x14ac:dyDescent="0.25">
      <c r="A195" s="10" t="str">
        <f t="shared" si="6"/>
        <v>2018-Fa-Gri-76-56-222</v>
      </c>
      <c r="B195" s="11" t="str">
        <f t="shared" si="7"/>
        <v>2018</v>
      </c>
      <c r="C195" s="18">
        <v>2018</v>
      </c>
      <c r="D195" t="s">
        <v>1</v>
      </c>
      <c r="E195" t="s">
        <v>144</v>
      </c>
      <c r="F195">
        <v>76</v>
      </c>
      <c r="G195">
        <v>56</v>
      </c>
      <c r="H195">
        <v>222</v>
      </c>
      <c r="J195" t="s">
        <v>145</v>
      </c>
      <c r="K195" t="s">
        <v>146</v>
      </c>
      <c r="L195" t="s">
        <v>133</v>
      </c>
    </row>
    <row r="196" spans="1:12" x14ac:dyDescent="0.25">
      <c r="A196" s="10" t="str">
        <f t="shared" si="6"/>
        <v>2018-Fa-Gri-82-58-224</v>
      </c>
      <c r="B196" s="11" t="str">
        <f t="shared" si="7"/>
        <v>2018</v>
      </c>
      <c r="C196" s="18">
        <v>2018</v>
      </c>
      <c r="D196" t="s">
        <v>1</v>
      </c>
      <c r="E196" t="s">
        <v>147</v>
      </c>
      <c r="F196">
        <v>82</v>
      </c>
      <c r="G196">
        <v>58</v>
      </c>
      <c r="H196">
        <v>224</v>
      </c>
      <c r="K196" t="s">
        <v>146</v>
      </c>
      <c r="L196" t="s">
        <v>135</v>
      </c>
    </row>
    <row r="197" spans="1:12" x14ac:dyDescent="0.25">
      <c r="A197" s="10" t="str">
        <f t="shared" si="6"/>
        <v>2018-Fa-Gri-89-59-226</v>
      </c>
      <c r="B197" s="11" t="str">
        <f t="shared" si="7"/>
        <v>2018</v>
      </c>
      <c r="C197" s="18">
        <v>2018</v>
      </c>
      <c r="D197" t="s">
        <v>1</v>
      </c>
      <c r="E197" t="s">
        <v>148</v>
      </c>
      <c r="F197">
        <v>89</v>
      </c>
      <c r="G197">
        <v>59.5</v>
      </c>
      <c r="H197">
        <v>226</v>
      </c>
      <c r="K197" t="s">
        <v>149</v>
      </c>
      <c r="L197" t="s">
        <v>138</v>
      </c>
    </row>
    <row r="198" spans="1:12" x14ac:dyDescent="0.25">
      <c r="A198" s="10" t="str">
        <f t="shared" si="6"/>
        <v>2018-Fa-Gri-99-62-229</v>
      </c>
      <c r="B198" s="11" t="str">
        <f t="shared" si="7"/>
        <v>2018</v>
      </c>
      <c r="C198" s="18">
        <v>2018</v>
      </c>
      <c r="D198" t="s">
        <v>1</v>
      </c>
      <c r="E198" t="s">
        <v>150</v>
      </c>
      <c r="F198">
        <v>99</v>
      </c>
      <c r="G198">
        <v>62</v>
      </c>
      <c r="H198">
        <v>229</v>
      </c>
      <c r="I198" t="s">
        <v>151</v>
      </c>
      <c r="J198" t="s">
        <v>152</v>
      </c>
      <c r="K198" t="s">
        <v>139</v>
      </c>
      <c r="L198" t="s">
        <v>153</v>
      </c>
    </row>
    <row r="199" spans="1:12" x14ac:dyDescent="0.25">
      <c r="A199" s="10" t="str">
        <f t="shared" si="6"/>
        <v>2018-Fa-Rip-112-73-239</v>
      </c>
      <c r="B199" s="11" t="str">
        <f t="shared" si="7"/>
        <v>2018</v>
      </c>
      <c r="C199" s="18">
        <v>2018</v>
      </c>
      <c r="D199" t="s">
        <v>1</v>
      </c>
      <c r="E199" t="s">
        <v>274</v>
      </c>
      <c r="F199">
        <v>112</v>
      </c>
      <c r="G199">
        <v>73</v>
      </c>
      <c r="H199">
        <v>239</v>
      </c>
      <c r="I199" t="s">
        <v>213</v>
      </c>
      <c r="J199" t="s">
        <v>179</v>
      </c>
      <c r="K199" t="s">
        <v>275</v>
      </c>
      <c r="L199" t="s">
        <v>193</v>
      </c>
    </row>
    <row r="200" spans="1:12" x14ac:dyDescent="0.25">
      <c r="A200" s="10" t="str">
        <f t="shared" si="6"/>
        <v>2018-Fa-Rip-187-73-274</v>
      </c>
      <c r="B200" s="11" t="str">
        <f t="shared" si="7"/>
        <v>2018</v>
      </c>
      <c r="C200" s="18">
        <v>2018</v>
      </c>
      <c r="D200" t="s">
        <v>1</v>
      </c>
      <c r="E200" t="s">
        <v>276</v>
      </c>
      <c r="F200">
        <v>187</v>
      </c>
      <c r="G200">
        <v>73.7</v>
      </c>
      <c r="H200">
        <v>274.3</v>
      </c>
      <c r="I200" t="s">
        <v>273</v>
      </c>
      <c r="J200" t="s">
        <v>269</v>
      </c>
      <c r="K200" t="s">
        <v>270</v>
      </c>
      <c r="L200" t="s">
        <v>271</v>
      </c>
    </row>
    <row r="201" spans="1:12" x14ac:dyDescent="0.25">
      <c r="A201" s="10" t="str">
        <f t="shared" si="6"/>
        <v>2018-Fa-Ska-100-64-228</v>
      </c>
      <c r="B201" s="11" t="str">
        <f t="shared" si="7"/>
        <v>2018</v>
      </c>
      <c r="C201" s="18">
        <v>2018</v>
      </c>
      <c r="D201" t="s">
        <v>1</v>
      </c>
      <c r="E201" t="s">
        <v>184</v>
      </c>
      <c r="F201">
        <v>100</v>
      </c>
      <c r="G201">
        <v>64</v>
      </c>
      <c r="H201">
        <v>228</v>
      </c>
      <c r="K201" t="s">
        <v>185</v>
      </c>
      <c r="L201" t="s">
        <v>138</v>
      </c>
    </row>
    <row r="202" spans="1:12" x14ac:dyDescent="0.25">
      <c r="A202" s="10" t="str">
        <f t="shared" si="6"/>
        <v>2018-Fa-Ska-108-66-226</v>
      </c>
      <c r="B202" s="11" t="str">
        <f t="shared" si="7"/>
        <v>2018</v>
      </c>
      <c r="C202" s="18">
        <v>2018</v>
      </c>
      <c r="D202" t="s">
        <v>1</v>
      </c>
      <c r="E202" t="s">
        <v>186</v>
      </c>
      <c r="F202">
        <v>108</v>
      </c>
      <c r="G202">
        <v>66.5</v>
      </c>
      <c r="H202">
        <v>226</v>
      </c>
      <c r="K202" t="s">
        <v>187</v>
      </c>
      <c r="L202" t="s">
        <v>188</v>
      </c>
    </row>
    <row r="203" spans="1:12" x14ac:dyDescent="0.25">
      <c r="A203" s="10" t="str">
        <f t="shared" si="6"/>
        <v>2018-Fa-Ska-86-60-228</v>
      </c>
      <c r="B203" s="11" t="str">
        <f t="shared" si="7"/>
        <v>2018</v>
      </c>
      <c r="C203" s="18">
        <v>2018</v>
      </c>
      <c r="D203" t="s">
        <v>1</v>
      </c>
      <c r="E203" t="s">
        <v>178</v>
      </c>
      <c r="F203">
        <v>86</v>
      </c>
      <c r="G203">
        <v>60</v>
      </c>
      <c r="H203">
        <v>228</v>
      </c>
      <c r="I203" t="s">
        <v>130</v>
      </c>
      <c r="J203" t="s">
        <v>179</v>
      </c>
      <c r="K203" t="s">
        <v>180</v>
      </c>
      <c r="L203" t="s">
        <v>133</v>
      </c>
    </row>
    <row r="204" spans="1:12" x14ac:dyDescent="0.25">
      <c r="A204" s="10" t="str">
        <f t="shared" si="6"/>
        <v>2018-Fa-Ska-93-62-225</v>
      </c>
      <c r="B204" s="11" t="str">
        <f t="shared" si="7"/>
        <v>2018</v>
      </c>
      <c r="C204" s="18">
        <v>2018</v>
      </c>
      <c r="D204" t="s">
        <v>1</v>
      </c>
      <c r="E204" t="s">
        <v>181</v>
      </c>
      <c r="F204">
        <v>93</v>
      </c>
      <c r="G204">
        <v>62</v>
      </c>
      <c r="H204">
        <v>225</v>
      </c>
      <c r="K204" t="s">
        <v>182</v>
      </c>
      <c r="L204" t="s">
        <v>183</v>
      </c>
    </row>
    <row r="205" spans="1:12" x14ac:dyDescent="0.25">
      <c r="A205" s="10" t="str">
        <f t="shared" si="6"/>
        <v>2018-Fa-Stu-76-55-212</v>
      </c>
      <c r="B205" s="11" t="str">
        <f t="shared" si="7"/>
        <v>2018</v>
      </c>
      <c r="C205" s="18">
        <v>2018</v>
      </c>
      <c r="D205" t="s">
        <v>1</v>
      </c>
      <c r="E205" t="s">
        <v>129</v>
      </c>
      <c r="F205">
        <v>76</v>
      </c>
      <c r="G205">
        <v>55</v>
      </c>
      <c r="H205">
        <v>212</v>
      </c>
      <c r="I205" t="s">
        <v>130</v>
      </c>
      <c r="J205" t="s">
        <v>131</v>
      </c>
      <c r="K205" t="s">
        <v>132</v>
      </c>
      <c r="L205" t="s">
        <v>133</v>
      </c>
    </row>
    <row r="206" spans="1:12" x14ac:dyDescent="0.25">
      <c r="A206" s="10" t="str">
        <f t="shared" si="6"/>
        <v>2018-Fa-Stu-82-56-214</v>
      </c>
      <c r="B206" s="11" t="str">
        <f t="shared" si="7"/>
        <v>2018</v>
      </c>
      <c r="C206" s="18">
        <v>2018</v>
      </c>
      <c r="D206" t="s">
        <v>1</v>
      </c>
      <c r="E206" t="s">
        <v>134</v>
      </c>
      <c r="F206">
        <v>82</v>
      </c>
      <c r="G206">
        <v>56</v>
      </c>
      <c r="H206">
        <v>214</v>
      </c>
      <c r="K206" t="s">
        <v>132</v>
      </c>
      <c r="L206" t="s">
        <v>135</v>
      </c>
    </row>
    <row r="207" spans="1:12" x14ac:dyDescent="0.25">
      <c r="A207" s="10" t="str">
        <f t="shared" si="6"/>
        <v>2018-Fa-Stu-89-57-215</v>
      </c>
      <c r="B207" s="11" t="str">
        <f t="shared" si="7"/>
        <v>2018</v>
      </c>
      <c r="C207" s="18">
        <v>2018</v>
      </c>
      <c r="D207" t="s">
        <v>1</v>
      </c>
      <c r="E207" t="s">
        <v>136</v>
      </c>
      <c r="F207">
        <v>89</v>
      </c>
      <c r="G207">
        <v>57.5</v>
      </c>
      <c r="H207">
        <v>215</v>
      </c>
      <c r="K207" t="s">
        <v>137</v>
      </c>
      <c r="L207" t="s">
        <v>138</v>
      </c>
    </row>
    <row r="208" spans="1:12" x14ac:dyDescent="0.25">
      <c r="A208" s="10" t="str">
        <f t="shared" si="6"/>
        <v>2018-Fa-Stu-99-60-218</v>
      </c>
      <c r="B208" s="11" t="str">
        <f t="shared" si="7"/>
        <v>2018</v>
      </c>
      <c r="C208" s="18">
        <v>2018</v>
      </c>
      <c r="D208" t="s">
        <v>1</v>
      </c>
      <c r="E208" t="s">
        <v>110</v>
      </c>
      <c r="F208">
        <v>99</v>
      </c>
      <c r="G208">
        <v>60</v>
      </c>
      <c r="H208">
        <v>218</v>
      </c>
      <c r="K208" t="s">
        <v>137</v>
      </c>
      <c r="L208" t="s">
        <v>139</v>
      </c>
    </row>
    <row r="209" spans="1:12" x14ac:dyDescent="0.25">
      <c r="A209" s="10" t="str">
        <f t="shared" si="6"/>
        <v>2018-Fa-Tan-505-86-487</v>
      </c>
      <c r="B209" s="11" t="str">
        <f t="shared" si="7"/>
        <v>2018</v>
      </c>
      <c r="C209" s="18">
        <v>2018</v>
      </c>
      <c r="D209" t="s">
        <v>1</v>
      </c>
      <c r="E209" t="s">
        <v>277</v>
      </c>
      <c r="F209">
        <v>505</v>
      </c>
      <c r="G209">
        <v>86.4</v>
      </c>
      <c r="H209">
        <v>487.6</v>
      </c>
      <c r="I209" t="s">
        <v>268</v>
      </c>
      <c r="J209" t="s">
        <v>269</v>
      </c>
      <c r="K209" t="s">
        <v>278</v>
      </c>
      <c r="L209" t="s">
        <v>271</v>
      </c>
    </row>
    <row r="210" spans="1:12" x14ac:dyDescent="0.25">
      <c r="A210" s="10" t="str">
        <f t="shared" si="6"/>
        <v>2018-Fa-Vip-160-75-275</v>
      </c>
      <c r="B210" s="11" t="str">
        <f t="shared" si="7"/>
        <v>2018</v>
      </c>
      <c r="C210" s="18">
        <v>2018</v>
      </c>
      <c r="D210" t="s">
        <v>1</v>
      </c>
      <c r="E210" t="s">
        <v>262</v>
      </c>
      <c r="F210">
        <v>160</v>
      </c>
      <c r="G210">
        <v>75</v>
      </c>
      <c r="H210">
        <v>275</v>
      </c>
      <c r="I210" t="s">
        <v>213</v>
      </c>
      <c r="J210" t="s">
        <v>179</v>
      </c>
      <c r="K210" t="s">
        <v>263</v>
      </c>
      <c r="L210" t="s">
        <v>205</v>
      </c>
    </row>
    <row r="211" spans="1:12" x14ac:dyDescent="0.25">
      <c r="A211" s="10" t="str">
        <f t="shared" si="6"/>
        <v>2018-Fa-Vip-190-80-280</v>
      </c>
      <c r="B211" s="11" t="str">
        <f t="shared" si="7"/>
        <v>2018</v>
      </c>
      <c r="C211" s="18">
        <v>2018</v>
      </c>
      <c r="D211" t="s">
        <v>1</v>
      </c>
      <c r="E211" t="s">
        <v>264</v>
      </c>
      <c r="F211">
        <v>190</v>
      </c>
      <c r="G211">
        <v>80</v>
      </c>
      <c r="H211">
        <v>280</v>
      </c>
      <c r="I211" t="s">
        <v>153</v>
      </c>
      <c r="J211" t="s">
        <v>153</v>
      </c>
      <c r="K211" t="s">
        <v>153</v>
      </c>
      <c r="L211" t="s">
        <v>153</v>
      </c>
    </row>
    <row r="212" spans="1:12" x14ac:dyDescent="0.25">
      <c r="A212" s="10" t="str">
        <f t="shared" si="6"/>
        <v>2018-Fa-Vip-220-85-285</v>
      </c>
      <c r="B212" s="11" t="str">
        <f t="shared" si="7"/>
        <v>2018</v>
      </c>
      <c r="C212" s="18">
        <v>2018</v>
      </c>
      <c r="D212" t="s">
        <v>1</v>
      </c>
      <c r="E212" t="s">
        <v>265</v>
      </c>
      <c r="F212">
        <v>220</v>
      </c>
      <c r="G212">
        <v>85</v>
      </c>
      <c r="H212">
        <v>285</v>
      </c>
      <c r="I212" t="s">
        <v>153</v>
      </c>
      <c r="J212" t="s">
        <v>153</v>
      </c>
      <c r="K212" t="s">
        <v>153</v>
      </c>
      <c r="L212" t="s">
        <v>153</v>
      </c>
    </row>
    <row r="213" spans="1:12" x14ac:dyDescent="0.25">
      <c r="A213" s="10" t="str">
        <f t="shared" si="6"/>
        <v>2018-Fa-Vip-240-91-290</v>
      </c>
      <c r="B213" s="11" t="str">
        <f t="shared" si="7"/>
        <v>2018</v>
      </c>
      <c r="C213" s="18">
        <v>2018</v>
      </c>
      <c r="D213" t="s">
        <v>1</v>
      </c>
      <c r="E213" t="s">
        <v>266</v>
      </c>
      <c r="F213">
        <v>240</v>
      </c>
      <c r="G213">
        <v>91</v>
      </c>
      <c r="H213">
        <v>290</v>
      </c>
      <c r="I213" t="s">
        <v>153</v>
      </c>
      <c r="J213" t="s">
        <v>153</v>
      </c>
      <c r="K213" t="s">
        <v>153</v>
      </c>
      <c r="L213" t="s">
        <v>153</v>
      </c>
    </row>
    <row r="214" spans="1:12" x14ac:dyDescent="0.25">
      <c r="A214" s="10" t="str">
        <f t="shared" si="6"/>
        <v>2018-Fa-Vip-355-85-335</v>
      </c>
      <c r="B214" s="11" t="str">
        <f t="shared" si="7"/>
        <v>2018</v>
      </c>
      <c r="C214" s="18">
        <v>2018</v>
      </c>
      <c r="D214" t="s">
        <v>1</v>
      </c>
      <c r="E214" t="s">
        <v>267</v>
      </c>
      <c r="F214">
        <v>355</v>
      </c>
      <c r="G214">
        <v>85.1</v>
      </c>
      <c r="H214">
        <v>335.3</v>
      </c>
      <c r="I214" t="s">
        <v>268</v>
      </c>
      <c r="J214" t="s">
        <v>269</v>
      </c>
      <c r="K214" t="s">
        <v>270</v>
      </c>
      <c r="L214" t="s">
        <v>271</v>
      </c>
    </row>
    <row r="215" spans="1:12" x14ac:dyDescent="0.25">
      <c r="A215" s="10" t="str">
        <f t="shared" si="6"/>
        <v>2018-Fa-Vip-355-85-335</v>
      </c>
      <c r="B215" s="11" t="str">
        <f t="shared" si="7"/>
        <v>2018</v>
      </c>
      <c r="C215" s="18">
        <v>2018</v>
      </c>
      <c r="D215" t="s">
        <v>1</v>
      </c>
      <c r="E215" t="s">
        <v>272</v>
      </c>
      <c r="F215">
        <v>355</v>
      </c>
      <c r="G215">
        <v>85.1</v>
      </c>
      <c r="H215">
        <v>335.3</v>
      </c>
      <c r="I215" t="s">
        <v>273</v>
      </c>
      <c r="J215" t="s">
        <v>269</v>
      </c>
      <c r="K215" t="s">
        <v>270</v>
      </c>
      <c r="L215" t="s">
        <v>271</v>
      </c>
    </row>
    <row r="216" spans="1:12" x14ac:dyDescent="0.25">
      <c r="A216" s="10" t="str">
        <f t="shared" si="6"/>
        <v>2020-Fa-Bla-100-62-231</v>
      </c>
      <c r="B216" s="11" t="str">
        <f t="shared" si="7"/>
        <v>2020</v>
      </c>
      <c r="C216" s="18">
        <v>2020</v>
      </c>
      <c r="D216" t="s">
        <v>1</v>
      </c>
      <c r="E216" t="s">
        <v>668</v>
      </c>
      <c r="F216">
        <v>100</v>
      </c>
      <c r="G216">
        <v>62</v>
      </c>
      <c r="H216">
        <v>231</v>
      </c>
      <c r="I216" t="s">
        <v>710</v>
      </c>
      <c r="J216" t="s">
        <v>283</v>
      </c>
      <c r="K216" t="s">
        <v>190</v>
      </c>
      <c r="L216" t="s">
        <v>233</v>
      </c>
    </row>
    <row r="217" spans="1:12" x14ac:dyDescent="0.25">
      <c r="A217" s="10" t="str">
        <f t="shared" si="6"/>
        <v>2020-Fa-Bla-100-62-231</v>
      </c>
      <c r="B217" s="11" t="str">
        <f t="shared" si="7"/>
        <v>2020</v>
      </c>
      <c r="C217" s="18">
        <v>2020</v>
      </c>
      <c r="D217" t="s">
        <v>1</v>
      </c>
      <c r="E217" t="s">
        <v>671</v>
      </c>
      <c r="F217">
        <v>100</v>
      </c>
      <c r="G217">
        <v>62</v>
      </c>
      <c r="H217">
        <v>231</v>
      </c>
      <c r="I217" t="s">
        <v>593</v>
      </c>
      <c r="J217" t="s">
        <v>283</v>
      </c>
      <c r="K217" t="s">
        <v>669</v>
      </c>
      <c r="L217" t="s">
        <v>233</v>
      </c>
    </row>
    <row r="218" spans="1:12" x14ac:dyDescent="0.25">
      <c r="A218" s="10" t="str">
        <f t="shared" si="6"/>
        <v>2020-Fa-Bla-115-66-232</v>
      </c>
      <c r="B218" s="11" t="str">
        <f t="shared" si="7"/>
        <v>2020</v>
      </c>
      <c r="C218" s="18">
        <v>2020</v>
      </c>
      <c r="D218" t="s">
        <v>1</v>
      </c>
      <c r="E218" t="s">
        <v>668</v>
      </c>
      <c r="F218">
        <v>115</v>
      </c>
      <c r="G218">
        <v>66</v>
      </c>
      <c r="H218">
        <v>232</v>
      </c>
      <c r="I218" t="s">
        <v>710</v>
      </c>
      <c r="J218" t="s">
        <v>283</v>
      </c>
      <c r="K218" t="s">
        <v>195</v>
      </c>
      <c r="L218" t="s">
        <v>235</v>
      </c>
    </row>
    <row r="219" spans="1:12" x14ac:dyDescent="0.25">
      <c r="A219" s="10" t="str">
        <f t="shared" si="6"/>
        <v>2020-Fa-Bla-115-66-232</v>
      </c>
      <c r="B219" s="11" t="str">
        <f t="shared" si="7"/>
        <v>2020</v>
      </c>
      <c r="C219" s="18">
        <v>2020</v>
      </c>
      <c r="D219" t="s">
        <v>1</v>
      </c>
      <c r="E219" t="s">
        <v>671</v>
      </c>
      <c r="F219">
        <v>115</v>
      </c>
      <c r="G219">
        <v>66</v>
      </c>
      <c r="H219">
        <v>232</v>
      </c>
      <c r="I219" t="s">
        <v>593</v>
      </c>
      <c r="J219" t="s">
        <v>283</v>
      </c>
      <c r="K219" t="s">
        <v>670</v>
      </c>
      <c r="L219" t="s">
        <v>235</v>
      </c>
    </row>
    <row r="220" spans="1:12" x14ac:dyDescent="0.25">
      <c r="A220" s="10" t="str">
        <f t="shared" si="6"/>
        <v>2020-Fa-Bla-130-70-233</v>
      </c>
      <c r="B220" s="11" t="str">
        <f t="shared" si="7"/>
        <v>2020</v>
      </c>
      <c r="C220" s="18">
        <v>2020</v>
      </c>
      <c r="D220" t="s">
        <v>1</v>
      </c>
      <c r="E220" t="s">
        <v>668</v>
      </c>
      <c r="F220">
        <v>130</v>
      </c>
      <c r="G220">
        <v>70</v>
      </c>
      <c r="H220">
        <v>233</v>
      </c>
      <c r="I220" t="s">
        <v>710</v>
      </c>
      <c r="J220" t="s">
        <v>153</v>
      </c>
      <c r="K220" t="s">
        <v>201</v>
      </c>
      <c r="L220" t="s">
        <v>199</v>
      </c>
    </row>
    <row r="221" spans="1:12" x14ac:dyDescent="0.25">
      <c r="A221" s="10" t="str">
        <f t="shared" si="6"/>
        <v>2020-Fa-Bla-130-70-233</v>
      </c>
      <c r="B221" s="11" t="str">
        <f t="shared" si="7"/>
        <v>2020</v>
      </c>
      <c r="C221" s="18">
        <v>2020</v>
      </c>
      <c r="D221" t="s">
        <v>1</v>
      </c>
      <c r="E221" t="s">
        <v>671</v>
      </c>
      <c r="F221">
        <v>130</v>
      </c>
      <c r="G221">
        <v>70</v>
      </c>
      <c r="H221">
        <v>233</v>
      </c>
      <c r="I221" t="s">
        <v>593</v>
      </c>
      <c r="J221" t="s">
        <v>283</v>
      </c>
      <c r="K221" t="s">
        <v>672</v>
      </c>
      <c r="L221" t="s">
        <v>199</v>
      </c>
    </row>
    <row r="222" spans="1:12" x14ac:dyDescent="0.25">
      <c r="A222" s="10" t="str">
        <f t="shared" si="6"/>
        <v>2020-Fa-Bla-145-77-235</v>
      </c>
      <c r="B222" s="11" t="str">
        <f t="shared" si="7"/>
        <v>2020</v>
      </c>
      <c r="C222" s="18">
        <v>2020</v>
      </c>
      <c r="D222" t="s">
        <v>1</v>
      </c>
      <c r="E222" t="s">
        <v>668</v>
      </c>
      <c r="F222">
        <v>145</v>
      </c>
      <c r="G222">
        <v>77</v>
      </c>
      <c r="H222">
        <v>235</v>
      </c>
      <c r="I222" t="s">
        <v>710</v>
      </c>
      <c r="J222" t="s">
        <v>153</v>
      </c>
      <c r="K222" t="s">
        <v>209</v>
      </c>
      <c r="L222" t="s">
        <v>238</v>
      </c>
    </row>
    <row r="223" spans="1:12" x14ac:dyDescent="0.25">
      <c r="A223" s="10" t="str">
        <f t="shared" si="6"/>
        <v>2020-Fa-Bla-145-77-235</v>
      </c>
      <c r="B223" s="11" t="str">
        <f t="shared" si="7"/>
        <v>2020</v>
      </c>
      <c r="C223" s="18">
        <v>2020</v>
      </c>
      <c r="D223" t="s">
        <v>1</v>
      </c>
      <c r="E223" t="s">
        <v>671</v>
      </c>
      <c r="F223">
        <v>145</v>
      </c>
      <c r="G223">
        <v>77</v>
      </c>
      <c r="H223">
        <v>235</v>
      </c>
      <c r="I223" t="s">
        <v>593</v>
      </c>
      <c r="J223" t="s">
        <v>283</v>
      </c>
      <c r="K223" t="s">
        <v>673</v>
      </c>
      <c r="L223" t="s">
        <v>238</v>
      </c>
    </row>
    <row r="224" spans="1:12" x14ac:dyDescent="0.25">
      <c r="A224" s="10" t="str">
        <f t="shared" si="6"/>
        <v>2020-Fa-Fal-106-68-235</v>
      </c>
      <c r="B224" s="11" t="str">
        <f t="shared" si="7"/>
        <v>2020</v>
      </c>
      <c r="C224" s="18">
        <v>2020</v>
      </c>
      <c r="D224" t="s">
        <v>1</v>
      </c>
      <c r="E224" t="s">
        <v>692</v>
      </c>
      <c r="F224">
        <v>106</v>
      </c>
      <c r="G224">
        <v>68</v>
      </c>
      <c r="H224">
        <v>235</v>
      </c>
      <c r="I224" t="s">
        <v>693</v>
      </c>
      <c r="J224" t="s">
        <v>250</v>
      </c>
      <c r="K224" t="s">
        <v>246</v>
      </c>
      <c r="L224" t="s">
        <v>235</v>
      </c>
    </row>
    <row r="225" spans="1:12" x14ac:dyDescent="0.25">
      <c r="A225" s="10" t="str">
        <f t="shared" si="6"/>
        <v>2020-Fa-Fal-115-71-230</v>
      </c>
      <c r="B225" s="11" t="str">
        <f t="shared" si="7"/>
        <v>2020</v>
      </c>
      <c r="C225" s="18">
        <v>2020</v>
      </c>
      <c r="D225" t="s">
        <v>1</v>
      </c>
      <c r="E225" t="s">
        <v>692</v>
      </c>
      <c r="F225">
        <v>115</v>
      </c>
      <c r="G225">
        <v>71.5</v>
      </c>
      <c r="H225">
        <v>230</v>
      </c>
      <c r="I225" t="s">
        <v>693</v>
      </c>
      <c r="J225" t="s">
        <v>250</v>
      </c>
      <c r="K225" t="s">
        <v>246</v>
      </c>
      <c r="L225" t="s">
        <v>251</v>
      </c>
    </row>
    <row r="226" spans="1:12" x14ac:dyDescent="0.25">
      <c r="A226" s="10" t="str">
        <f t="shared" si="6"/>
        <v>2020-Fa-Fal-121-75-230</v>
      </c>
      <c r="B226" s="11" t="str">
        <f t="shared" si="7"/>
        <v>2020</v>
      </c>
      <c r="C226" s="18">
        <v>2020</v>
      </c>
      <c r="D226" t="s">
        <v>1</v>
      </c>
      <c r="E226" t="s">
        <v>692</v>
      </c>
      <c r="F226">
        <v>121</v>
      </c>
      <c r="G226">
        <v>75</v>
      </c>
      <c r="H226">
        <v>230</v>
      </c>
      <c r="I226" t="s">
        <v>693</v>
      </c>
      <c r="J226" t="s">
        <v>250</v>
      </c>
      <c r="K226" t="s">
        <v>246</v>
      </c>
      <c r="L226" t="s">
        <v>252</v>
      </c>
    </row>
    <row r="227" spans="1:12" x14ac:dyDescent="0.25">
      <c r="A227" s="10" t="str">
        <f t="shared" si="6"/>
        <v>2020-Fa-Fal-130-80-228</v>
      </c>
      <c r="B227" s="11" t="str">
        <f t="shared" si="7"/>
        <v>2020</v>
      </c>
      <c r="C227" s="18">
        <v>2020</v>
      </c>
      <c r="D227" t="s">
        <v>1</v>
      </c>
      <c r="E227" t="s">
        <v>692</v>
      </c>
      <c r="F227">
        <v>130</v>
      </c>
      <c r="G227">
        <v>80</v>
      </c>
      <c r="H227">
        <v>228</v>
      </c>
      <c r="I227" t="s">
        <v>693</v>
      </c>
      <c r="J227" t="s">
        <v>283</v>
      </c>
      <c r="K227" t="s">
        <v>246</v>
      </c>
      <c r="L227" t="s">
        <v>202</v>
      </c>
    </row>
    <row r="228" spans="1:12" x14ac:dyDescent="0.25">
      <c r="A228" s="10" t="str">
        <f t="shared" si="6"/>
        <v>2020-Fa-Fal-140-85-228</v>
      </c>
      <c r="B228" s="11" t="str">
        <f t="shared" si="7"/>
        <v>2020</v>
      </c>
      <c r="C228" s="18">
        <v>2020</v>
      </c>
      <c r="D228" t="s">
        <v>1</v>
      </c>
      <c r="E228" t="s">
        <v>692</v>
      </c>
      <c r="F228">
        <v>140</v>
      </c>
      <c r="G228">
        <v>85</v>
      </c>
      <c r="H228">
        <v>228</v>
      </c>
      <c r="I228" t="s">
        <v>693</v>
      </c>
      <c r="J228" t="s">
        <v>283</v>
      </c>
      <c r="K228" t="s">
        <v>246</v>
      </c>
      <c r="L228" t="s">
        <v>205</v>
      </c>
    </row>
    <row r="229" spans="1:12" x14ac:dyDescent="0.25">
      <c r="A229" s="10" t="str">
        <f t="shared" si="6"/>
        <v>2020-Fa-Fal-159-90-230</v>
      </c>
      <c r="B229" s="11" t="str">
        <f t="shared" si="7"/>
        <v>2020</v>
      </c>
      <c r="C229" s="18">
        <v>2020</v>
      </c>
      <c r="D229" t="s">
        <v>1</v>
      </c>
      <c r="E229" t="s">
        <v>40</v>
      </c>
      <c r="F229">
        <v>159</v>
      </c>
      <c r="G229">
        <v>90</v>
      </c>
      <c r="H229">
        <v>230</v>
      </c>
      <c r="I229" t="s">
        <v>641</v>
      </c>
      <c r="J229" t="s">
        <v>283</v>
      </c>
      <c r="K229" t="s">
        <v>694</v>
      </c>
      <c r="L229" t="s">
        <v>227</v>
      </c>
    </row>
    <row r="230" spans="1:12" x14ac:dyDescent="0.25">
      <c r="A230" s="10" t="str">
        <f t="shared" si="6"/>
        <v>2020-Fa-Fal-180-91-230</v>
      </c>
      <c r="B230" s="11" t="str">
        <f t="shared" si="7"/>
        <v>2020</v>
      </c>
      <c r="C230" s="18">
        <v>2020</v>
      </c>
      <c r="D230" t="s">
        <v>1</v>
      </c>
      <c r="E230" t="s">
        <v>699</v>
      </c>
      <c r="F230">
        <v>180</v>
      </c>
      <c r="G230">
        <v>91</v>
      </c>
      <c r="H230">
        <v>230</v>
      </c>
      <c r="I230" t="s">
        <v>691</v>
      </c>
      <c r="J230" t="s">
        <v>283</v>
      </c>
      <c r="K230" t="s">
        <v>246</v>
      </c>
      <c r="L230" t="s">
        <v>227</v>
      </c>
    </row>
    <row r="231" spans="1:12" x14ac:dyDescent="0.25">
      <c r="A231" s="10" t="str">
        <f t="shared" si="6"/>
        <v>2020-Fa-Fal-54-44-230</v>
      </c>
      <c r="B231" s="11" t="str">
        <f t="shared" si="7"/>
        <v>2020</v>
      </c>
      <c r="C231" s="18">
        <v>2020</v>
      </c>
      <c r="D231" t="s">
        <v>1</v>
      </c>
      <c r="E231" t="s">
        <v>695</v>
      </c>
      <c r="F231">
        <v>54</v>
      </c>
      <c r="G231">
        <v>44</v>
      </c>
      <c r="H231">
        <v>230</v>
      </c>
      <c r="I231" t="s">
        <v>691</v>
      </c>
      <c r="J231" t="s">
        <v>245</v>
      </c>
      <c r="K231" t="s">
        <v>246</v>
      </c>
      <c r="L231" t="s">
        <v>139</v>
      </c>
    </row>
    <row r="232" spans="1:12" x14ac:dyDescent="0.25">
      <c r="A232" s="10" t="str">
        <f t="shared" si="6"/>
        <v>2020-Fa-Fal-70-52-230</v>
      </c>
      <c r="B232" s="11" t="str">
        <f t="shared" si="7"/>
        <v>2020</v>
      </c>
      <c r="C232" s="18">
        <v>2020</v>
      </c>
      <c r="D232" t="s">
        <v>1</v>
      </c>
      <c r="E232" t="s">
        <v>695</v>
      </c>
      <c r="F232">
        <v>70</v>
      </c>
      <c r="G232">
        <v>52.5</v>
      </c>
      <c r="H232">
        <v>230</v>
      </c>
      <c r="I232" t="s">
        <v>691</v>
      </c>
      <c r="J232" t="s">
        <v>245</v>
      </c>
      <c r="K232" t="s">
        <v>246</v>
      </c>
      <c r="L232" t="s">
        <v>257</v>
      </c>
    </row>
    <row r="233" spans="1:12" x14ac:dyDescent="0.25">
      <c r="A233" s="10" t="str">
        <f t="shared" si="6"/>
        <v>2020-Fa-Fal-80-56-233</v>
      </c>
      <c r="B233" s="11" t="str">
        <f t="shared" si="7"/>
        <v>2020</v>
      </c>
      <c r="C233" s="18">
        <v>2020</v>
      </c>
      <c r="D233" t="s">
        <v>1</v>
      </c>
      <c r="E233" t="s">
        <v>692</v>
      </c>
      <c r="F233">
        <v>80</v>
      </c>
      <c r="G233">
        <v>56</v>
      </c>
      <c r="H233">
        <v>233</v>
      </c>
      <c r="I233" t="s">
        <v>691</v>
      </c>
      <c r="J233" t="s">
        <v>245</v>
      </c>
      <c r="K233" t="s">
        <v>246</v>
      </c>
      <c r="L233" t="s">
        <v>166</v>
      </c>
    </row>
    <row r="234" spans="1:12" x14ac:dyDescent="0.25">
      <c r="A234" s="10" t="str">
        <f t="shared" si="6"/>
        <v>2020-Fa-Fal-90-60-233</v>
      </c>
      <c r="B234" s="11" t="str">
        <f t="shared" si="7"/>
        <v>2020</v>
      </c>
      <c r="C234" s="18">
        <v>2020</v>
      </c>
      <c r="D234" t="s">
        <v>1</v>
      </c>
      <c r="E234" t="s">
        <v>692</v>
      </c>
      <c r="F234">
        <v>90</v>
      </c>
      <c r="G234">
        <v>60</v>
      </c>
      <c r="H234">
        <v>233</v>
      </c>
      <c r="I234" t="s">
        <v>691</v>
      </c>
      <c r="J234" t="s">
        <v>245</v>
      </c>
      <c r="K234" t="s">
        <v>246</v>
      </c>
      <c r="L234" t="s">
        <v>233</v>
      </c>
    </row>
    <row r="235" spans="1:12" x14ac:dyDescent="0.25">
      <c r="A235" s="10" t="str">
        <f t="shared" si="6"/>
        <v>2020-Fa-Fal-97-62-233</v>
      </c>
      <c r="B235" s="11" t="str">
        <f t="shared" si="7"/>
        <v>2020</v>
      </c>
      <c r="C235" s="18">
        <v>2020</v>
      </c>
      <c r="D235" t="s">
        <v>1</v>
      </c>
      <c r="E235" t="s">
        <v>692</v>
      </c>
      <c r="F235">
        <v>97</v>
      </c>
      <c r="G235">
        <v>62</v>
      </c>
      <c r="H235">
        <v>233</v>
      </c>
      <c r="I235" t="s">
        <v>691</v>
      </c>
      <c r="J235" t="s">
        <v>245</v>
      </c>
      <c r="K235" t="s">
        <v>246</v>
      </c>
      <c r="L235" t="s">
        <v>247</v>
      </c>
    </row>
    <row r="236" spans="1:12" x14ac:dyDescent="0.25">
      <c r="A236" s="10" t="str">
        <f t="shared" si="6"/>
        <v>2020-Fa-Fre-105-63-231</v>
      </c>
      <c r="B236" s="11" t="str">
        <f t="shared" si="7"/>
        <v>2020</v>
      </c>
      <c r="C236" s="18">
        <v>2020</v>
      </c>
      <c r="D236" t="s">
        <v>1</v>
      </c>
      <c r="E236" t="s">
        <v>651</v>
      </c>
      <c r="F236">
        <v>105</v>
      </c>
      <c r="G236">
        <v>63</v>
      </c>
      <c r="H236">
        <v>231</v>
      </c>
      <c r="I236" t="s">
        <v>653</v>
      </c>
      <c r="J236" t="s">
        <v>652</v>
      </c>
      <c r="K236" t="s">
        <v>654</v>
      </c>
      <c r="L236" t="s">
        <v>163</v>
      </c>
    </row>
    <row r="237" spans="1:12" x14ac:dyDescent="0.25">
      <c r="A237" s="10" t="str">
        <f t="shared" si="6"/>
        <v>2020-Fa-Fre-105-63-231</v>
      </c>
      <c r="B237" s="11" t="str">
        <f t="shared" si="7"/>
        <v>2020</v>
      </c>
      <c r="C237" s="18">
        <v>2020</v>
      </c>
      <c r="D237" t="s">
        <v>1</v>
      </c>
      <c r="E237" t="s">
        <v>656</v>
      </c>
      <c r="F237">
        <v>105</v>
      </c>
      <c r="G237">
        <v>63</v>
      </c>
      <c r="H237">
        <v>231</v>
      </c>
      <c r="I237" t="s">
        <v>645</v>
      </c>
      <c r="J237" t="s">
        <v>652</v>
      </c>
      <c r="K237" t="s">
        <v>654</v>
      </c>
      <c r="L237" t="s">
        <v>163</v>
      </c>
    </row>
    <row r="238" spans="1:12" x14ac:dyDescent="0.25">
      <c r="A238" s="10" t="str">
        <f t="shared" si="6"/>
        <v>2020-Fa-Fre-105-63-231</v>
      </c>
      <c r="B238" s="11" t="str">
        <f t="shared" si="7"/>
        <v>2020</v>
      </c>
      <c r="C238" s="18">
        <v>2020</v>
      </c>
      <c r="D238" t="s">
        <v>1</v>
      </c>
      <c r="E238" t="s">
        <v>72</v>
      </c>
      <c r="F238">
        <v>105</v>
      </c>
      <c r="G238">
        <v>63</v>
      </c>
      <c r="H238">
        <v>231</v>
      </c>
      <c r="I238" t="s">
        <v>710</v>
      </c>
      <c r="J238" t="s">
        <v>652</v>
      </c>
      <c r="K238" t="s">
        <v>662</v>
      </c>
      <c r="L238" t="s">
        <v>163</v>
      </c>
    </row>
    <row r="239" spans="1:12" x14ac:dyDescent="0.25">
      <c r="A239" s="10" t="str">
        <f t="shared" si="6"/>
        <v>2020-Fa-Fre-115-65-232</v>
      </c>
      <c r="B239" s="11" t="str">
        <f t="shared" si="7"/>
        <v>2020</v>
      </c>
      <c r="C239" s="18">
        <v>2020</v>
      </c>
      <c r="D239" t="s">
        <v>1</v>
      </c>
      <c r="E239" t="s">
        <v>651</v>
      </c>
      <c r="F239">
        <v>115</v>
      </c>
      <c r="G239">
        <v>65</v>
      </c>
      <c r="H239">
        <v>232</v>
      </c>
      <c r="I239" t="s">
        <v>153</v>
      </c>
      <c r="J239" t="s">
        <v>652</v>
      </c>
      <c r="K239" t="s">
        <v>655</v>
      </c>
      <c r="L239" t="s">
        <v>166</v>
      </c>
    </row>
    <row r="240" spans="1:12" x14ac:dyDescent="0.25">
      <c r="A240" s="10" t="str">
        <f t="shared" si="6"/>
        <v>2020-Fa-Fre-115-65-232</v>
      </c>
      <c r="B240" s="11" t="str">
        <f t="shared" si="7"/>
        <v>2020</v>
      </c>
      <c r="C240" s="18">
        <v>2020</v>
      </c>
      <c r="D240" t="s">
        <v>1</v>
      </c>
      <c r="E240" t="s">
        <v>656</v>
      </c>
      <c r="F240">
        <v>115</v>
      </c>
      <c r="G240">
        <v>65</v>
      </c>
      <c r="H240">
        <v>232</v>
      </c>
      <c r="I240" t="s">
        <v>645</v>
      </c>
      <c r="J240" t="s">
        <v>652</v>
      </c>
      <c r="K240" t="s">
        <v>655</v>
      </c>
      <c r="L240" t="s">
        <v>166</v>
      </c>
    </row>
    <row r="241" spans="1:12" x14ac:dyDescent="0.25">
      <c r="A241" s="10" t="str">
        <f t="shared" si="6"/>
        <v>2020-Fa-Fre-75-56-228</v>
      </c>
      <c r="B241" s="11" t="str">
        <f t="shared" si="7"/>
        <v>2020</v>
      </c>
      <c r="C241" s="18">
        <v>2020</v>
      </c>
      <c r="D241" t="s">
        <v>1</v>
      </c>
      <c r="E241" t="s">
        <v>656</v>
      </c>
      <c r="F241">
        <v>75</v>
      </c>
      <c r="G241">
        <v>56</v>
      </c>
      <c r="H241">
        <v>228</v>
      </c>
      <c r="I241" t="s">
        <v>645</v>
      </c>
      <c r="J241" t="s">
        <v>652</v>
      </c>
      <c r="K241" t="s">
        <v>157</v>
      </c>
      <c r="L241" t="s">
        <v>135</v>
      </c>
    </row>
    <row r="242" spans="1:12" x14ac:dyDescent="0.25">
      <c r="A242" s="10" t="str">
        <f t="shared" si="6"/>
        <v>2020-Fa-Fre-75-56-228</v>
      </c>
      <c r="B242" s="11" t="str">
        <f t="shared" si="7"/>
        <v>2020</v>
      </c>
      <c r="C242" s="18">
        <v>2020</v>
      </c>
      <c r="D242" t="s">
        <v>1</v>
      </c>
      <c r="E242" t="s">
        <v>72</v>
      </c>
      <c r="F242">
        <v>75</v>
      </c>
      <c r="G242">
        <v>56</v>
      </c>
      <c r="H242">
        <v>228</v>
      </c>
      <c r="I242" t="s">
        <v>710</v>
      </c>
      <c r="J242" t="s">
        <v>652</v>
      </c>
      <c r="K242" t="s">
        <v>657</v>
      </c>
      <c r="L242" t="s">
        <v>135</v>
      </c>
    </row>
    <row r="243" spans="1:12" x14ac:dyDescent="0.25">
      <c r="A243" s="10" t="str">
        <f t="shared" si="6"/>
        <v>2020-Fa-Fre-85-58-229</v>
      </c>
      <c r="B243" s="11" t="str">
        <f t="shared" si="7"/>
        <v>2020</v>
      </c>
      <c r="C243" s="18">
        <v>2020</v>
      </c>
      <c r="D243" t="s">
        <v>1</v>
      </c>
      <c r="E243" t="s">
        <v>651</v>
      </c>
      <c r="F243">
        <v>85</v>
      </c>
      <c r="G243">
        <v>58.5</v>
      </c>
      <c r="H243">
        <v>229</v>
      </c>
      <c r="I243" t="s">
        <v>650</v>
      </c>
      <c r="J243" t="s">
        <v>652</v>
      </c>
      <c r="K243" t="s">
        <v>160</v>
      </c>
      <c r="L243" t="s">
        <v>158</v>
      </c>
    </row>
    <row r="244" spans="1:12" x14ac:dyDescent="0.25">
      <c r="A244" s="10" t="str">
        <f t="shared" si="6"/>
        <v>2020-Fa-Fre-85-58-229</v>
      </c>
      <c r="B244" s="11" t="str">
        <f t="shared" si="7"/>
        <v>2020</v>
      </c>
      <c r="C244" s="18">
        <v>2020</v>
      </c>
      <c r="D244" t="s">
        <v>1</v>
      </c>
      <c r="E244" t="s">
        <v>656</v>
      </c>
      <c r="F244">
        <v>85</v>
      </c>
      <c r="G244">
        <v>58.5</v>
      </c>
      <c r="H244">
        <v>229</v>
      </c>
      <c r="I244" t="s">
        <v>645</v>
      </c>
      <c r="J244" t="s">
        <v>652</v>
      </c>
      <c r="K244" t="s">
        <v>160</v>
      </c>
      <c r="L244" t="s">
        <v>158</v>
      </c>
    </row>
    <row r="245" spans="1:12" x14ac:dyDescent="0.25">
      <c r="A245" s="10" t="str">
        <f t="shared" si="6"/>
        <v>2020-Fa-Fre-85-58-229</v>
      </c>
      <c r="B245" s="11" t="str">
        <f t="shared" si="7"/>
        <v>2020</v>
      </c>
      <c r="C245" s="18">
        <v>2020</v>
      </c>
      <c r="D245" t="s">
        <v>1</v>
      </c>
      <c r="E245" t="s">
        <v>72</v>
      </c>
      <c r="F245">
        <v>85</v>
      </c>
      <c r="G245">
        <v>58.5</v>
      </c>
      <c r="H245">
        <v>229</v>
      </c>
      <c r="I245" t="s">
        <v>710</v>
      </c>
      <c r="J245" t="s">
        <v>652</v>
      </c>
      <c r="K245" t="s">
        <v>659</v>
      </c>
      <c r="L245" t="s">
        <v>158</v>
      </c>
    </row>
    <row r="246" spans="1:12" x14ac:dyDescent="0.25">
      <c r="A246" s="10" t="str">
        <f t="shared" si="6"/>
        <v>2020-Fa-Fre-95-61-230</v>
      </c>
      <c r="B246" s="11" t="str">
        <f t="shared" si="7"/>
        <v>2020</v>
      </c>
      <c r="C246" s="18">
        <v>2020</v>
      </c>
      <c r="D246" t="s">
        <v>1</v>
      </c>
      <c r="E246" t="s">
        <v>651</v>
      </c>
      <c r="F246">
        <v>95</v>
      </c>
      <c r="G246">
        <v>61</v>
      </c>
      <c r="H246">
        <v>230</v>
      </c>
      <c r="I246" t="s">
        <v>650</v>
      </c>
      <c r="J246" t="s">
        <v>652</v>
      </c>
      <c r="K246" t="s">
        <v>162</v>
      </c>
      <c r="L246" t="s">
        <v>138</v>
      </c>
    </row>
    <row r="247" spans="1:12" x14ac:dyDescent="0.25">
      <c r="A247" s="10" t="str">
        <f t="shared" si="6"/>
        <v>2020-Fa-Fre-95-61-230</v>
      </c>
      <c r="B247" s="11" t="str">
        <f t="shared" si="7"/>
        <v>2020</v>
      </c>
      <c r="C247" s="18">
        <v>2020</v>
      </c>
      <c r="D247" t="s">
        <v>1</v>
      </c>
      <c r="E247" t="s">
        <v>656</v>
      </c>
      <c r="F247">
        <v>95</v>
      </c>
      <c r="G247">
        <v>61</v>
      </c>
      <c r="H247">
        <v>230</v>
      </c>
      <c r="I247" t="s">
        <v>645</v>
      </c>
      <c r="J247" t="s">
        <v>652</v>
      </c>
      <c r="K247" t="s">
        <v>162</v>
      </c>
      <c r="L247" t="s">
        <v>138</v>
      </c>
    </row>
    <row r="248" spans="1:12" x14ac:dyDescent="0.25">
      <c r="A248" s="10" t="str">
        <f t="shared" si="6"/>
        <v>2020-Fa-Fre-95-61-230</v>
      </c>
      <c r="B248" s="11" t="str">
        <f t="shared" si="7"/>
        <v>2020</v>
      </c>
      <c r="C248" s="18">
        <v>2020</v>
      </c>
      <c r="D248" t="s">
        <v>1</v>
      </c>
      <c r="E248" t="s">
        <v>72</v>
      </c>
      <c r="F248">
        <v>95</v>
      </c>
      <c r="G248">
        <v>61</v>
      </c>
      <c r="H248">
        <v>230</v>
      </c>
      <c r="I248" t="s">
        <v>710</v>
      </c>
      <c r="J248" t="s">
        <v>652</v>
      </c>
      <c r="K248" t="s">
        <v>661</v>
      </c>
      <c r="L248" t="s">
        <v>138</v>
      </c>
    </row>
    <row r="249" spans="1:12" x14ac:dyDescent="0.25">
      <c r="A249" s="10" t="str">
        <f t="shared" si="6"/>
        <v>2020-Fa-Gec-100-66-239</v>
      </c>
      <c r="B249" s="11" t="str">
        <f t="shared" si="7"/>
        <v>2020</v>
      </c>
      <c r="C249" s="18">
        <v>2020</v>
      </c>
      <c r="D249" t="s">
        <v>1</v>
      </c>
      <c r="E249" t="s">
        <v>674</v>
      </c>
      <c r="F249">
        <v>100</v>
      </c>
      <c r="G249">
        <v>66</v>
      </c>
      <c r="H249">
        <v>239</v>
      </c>
      <c r="I249" t="s">
        <v>710</v>
      </c>
      <c r="J249" t="s">
        <v>179</v>
      </c>
      <c r="K249" t="s">
        <v>192</v>
      </c>
      <c r="L249" t="s">
        <v>193</v>
      </c>
    </row>
    <row r="250" spans="1:12" x14ac:dyDescent="0.25">
      <c r="A250" s="10" t="str">
        <f t="shared" si="6"/>
        <v>2020-Fa-Gec-100-66-239</v>
      </c>
      <c r="B250" s="11" t="str">
        <f t="shared" si="7"/>
        <v>2020</v>
      </c>
      <c r="C250" s="18">
        <v>2020</v>
      </c>
      <c r="D250" t="s">
        <v>1</v>
      </c>
      <c r="E250" t="s">
        <v>678</v>
      </c>
      <c r="F250">
        <v>100</v>
      </c>
      <c r="G250">
        <v>66</v>
      </c>
      <c r="H250">
        <v>239</v>
      </c>
      <c r="I250" t="s">
        <v>593</v>
      </c>
      <c r="J250" t="s">
        <v>179</v>
      </c>
      <c r="K250" t="s">
        <v>676</v>
      </c>
      <c r="L250" t="s">
        <v>193</v>
      </c>
    </row>
    <row r="251" spans="1:12" x14ac:dyDescent="0.25">
      <c r="A251" s="10" t="str">
        <f t="shared" si="6"/>
        <v>2020-Fa-Gec-110-72-239</v>
      </c>
      <c r="B251" s="11" t="str">
        <f t="shared" si="7"/>
        <v>2020</v>
      </c>
      <c r="C251" s="18">
        <v>2020</v>
      </c>
      <c r="D251" t="s">
        <v>1</v>
      </c>
      <c r="E251" t="s">
        <v>674</v>
      </c>
      <c r="F251">
        <v>110</v>
      </c>
      <c r="G251">
        <v>72</v>
      </c>
      <c r="H251">
        <v>239</v>
      </c>
      <c r="I251" t="s">
        <v>710</v>
      </c>
      <c r="J251" t="s">
        <v>179</v>
      </c>
      <c r="K251" t="s">
        <v>195</v>
      </c>
      <c r="L251" t="s">
        <v>196</v>
      </c>
    </row>
    <row r="252" spans="1:12" x14ac:dyDescent="0.25">
      <c r="A252" s="10" t="str">
        <f t="shared" si="6"/>
        <v>2020-Fa-Gec-110-72-239</v>
      </c>
      <c r="B252" s="11" t="str">
        <f t="shared" si="7"/>
        <v>2020</v>
      </c>
      <c r="C252" s="18">
        <v>2020</v>
      </c>
      <c r="D252" t="s">
        <v>1</v>
      </c>
      <c r="E252" t="s">
        <v>675</v>
      </c>
      <c r="F252">
        <v>110</v>
      </c>
      <c r="G252">
        <v>72</v>
      </c>
      <c r="H252">
        <v>239</v>
      </c>
      <c r="I252" t="s">
        <v>709</v>
      </c>
      <c r="J252" t="s">
        <v>179</v>
      </c>
      <c r="K252" t="s">
        <v>195</v>
      </c>
      <c r="L252" t="s">
        <v>196</v>
      </c>
    </row>
    <row r="253" spans="1:12" x14ac:dyDescent="0.25">
      <c r="A253" s="10" t="str">
        <f t="shared" si="6"/>
        <v>2020-Fa-Gec-110-72-239</v>
      </c>
      <c r="B253" s="11" t="str">
        <f t="shared" si="7"/>
        <v>2020</v>
      </c>
      <c r="C253" s="18">
        <v>2020</v>
      </c>
      <c r="D253" t="s">
        <v>1</v>
      </c>
      <c r="E253" t="s">
        <v>678</v>
      </c>
      <c r="F253">
        <v>110</v>
      </c>
      <c r="G253">
        <v>72</v>
      </c>
      <c r="H253">
        <v>239</v>
      </c>
      <c r="I253" t="s">
        <v>593</v>
      </c>
      <c r="J253" t="s">
        <v>179</v>
      </c>
      <c r="K253" t="s">
        <v>670</v>
      </c>
      <c r="L253" t="s">
        <v>196</v>
      </c>
    </row>
    <row r="254" spans="1:12" x14ac:dyDescent="0.25">
      <c r="A254" s="10" t="str">
        <f t="shared" si="6"/>
        <v>2020-Fa-Gec-122-77-242</v>
      </c>
      <c r="B254" s="11" t="str">
        <f t="shared" si="7"/>
        <v>2020</v>
      </c>
      <c r="C254" s="18">
        <v>2020</v>
      </c>
      <c r="D254" t="s">
        <v>1</v>
      </c>
      <c r="E254" t="s">
        <v>674</v>
      </c>
      <c r="F254">
        <v>122</v>
      </c>
      <c r="G254">
        <v>77</v>
      </c>
      <c r="H254">
        <v>242</v>
      </c>
      <c r="I254" t="s">
        <v>710</v>
      </c>
      <c r="J254" t="s">
        <v>179</v>
      </c>
      <c r="K254" t="s">
        <v>198</v>
      </c>
      <c r="L254" t="s">
        <v>199</v>
      </c>
    </row>
    <row r="255" spans="1:12" x14ac:dyDescent="0.25">
      <c r="A255" s="10" t="str">
        <f t="shared" si="6"/>
        <v>2020-Fa-Gec-122-77-242</v>
      </c>
      <c r="B255" s="11" t="str">
        <f t="shared" si="7"/>
        <v>2020</v>
      </c>
      <c r="C255" s="18">
        <v>2020</v>
      </c>
      <c r="D255" t="s">
        <v>1</v>
      </c>
      <c r="E255" t="s">
        <v>675</v>
      </c>
      <c r="F255">
        <v>122</v>
      </c>
      <c r="G255">
        <v>77</v>
      </c>
      <c r="H255">
        <v>242</v>
      </c>
      <c r="I255" t="s">
        <v>709</v>
      </c>
      <c r="J255" t="s">
        <v>179</v>
      </c>
      <c r="K255" t="s">
        <v>198</v>
      </c>
      <c r="L255" t="s">
        <v>199</v>
      </c>
    </row>
    <row r="256" spans="1:12" x14ac:dyDescent="0.25">
      <c r="A256" s="10" t="str">
        <f t="shared" si="6"/>
        <v>2020-Fa-Gec-122-77-242</v>
      </c>
      <c r="B256" s="11" t="str">
        <f t="shared" si="7"/>
        <v>2020</v>
      </c>
      <c r="C256" s="18">
        <v>2020</v>
      </c>
      <c r="D256" t="s">
        <v>1</v>
      </c>
      <c r="E256" t="s">
        <v>678</v>
      </c>
      <c r="F256">
        <v>122</v>
      </c>
      <c r="G256">
        <v>77</v>
      </c>
      <c r="H256">
        <v>242</v>
      </c>
      <c r="I256" t="s">
        <v>593</v>
      </c>
      <c r="J256" t="s">
        <v>179</v>
      </c>
      <c r="K256" t="s">
        <v>677</v>
      </c>
      <c r="L256" t="s">
        <v>199</v>
      </c>
    </row>
    <row r="257" spans="1:12" x14ac:dyDescent="0.25">
      <c r="A257" s="10" t="str">
        <f t="shared" si="6"/>
        <v>2020-Fa-Gec-135-79-246</v>
      </c>
      <c r="B257" s="11" t="str">
        <f t="shared" si="7"/>
        <v>2020</v>
      </c>
      <c r="C257" s="18">
        <v>2020</v>
      </c>
      <c r="D257" t="s">
        <v>1</v>
      </c>
      <c r="E257" t="s">
        <v>674</v>
      </c>
      <c r="F257">
        <v>135</v>
      </c>
      <c r="G257">
        <v>79</v>
      </c>
      <c r="H257">
        <v>246</v>
      </c>
      <c r="I257" t="s">
        <v>710</v>
      </c>
      <c r="J257" t="s">
        <v>179</v>
      </c>
      <c r="K257" t="s">
        <v>201</v>
      </c>
      <c r="L257" t="s">
        <v>202</v>
      </c>
    </row>
    <row r="258" spans="1:12" x14ac:dyDescent="0.25">
      <c r="A258" s="10" t="str">
        <f t="shared" ref="A258:A321" si="8">_xlfn.CONCAT(B258,"-",LEFT(D258,2),"-",LEFT(E258,3),"-",F258,"-",TRUNC(G258),"-",TRUNC(H258))</f>
        <v>2020-Fa-Gec-135-79-246</v>
      </c>
      <c r="B258" s="11" t="str">
        <f t="shared" ref="B258:B321" si="9">LEFT(C258,4)</f>
        <v>2020</v>
      </c>
      <c r="C258" s="18">
        <v>2020</v>
      </c>
      <c r="D258" t="s">
        <v>1</v>
      </c>
      <c r="E258" t="s">
        <v>675</v>
      </c>
      <c r="F258">
        <v>135</v>
      </c>
      <c r="G258">
        <v>79</v>
      </c>
      <c r="H258">
        <v>246</v>
      </c>
      <c r="I258" t="s">
        <v>709</v>
      </c>
      <c r="J258" t="s">
        <v>179</v>
      </c>
      <c r="K258" t="s">
        <v>201</v>
      </c>
      <c r="L258" t="s">
        <v>202</v>
      </c>
    </row>
    <row r="259" spans="1:12" x14ac:dyDescent="0.25">
      <c r="A259" s="10" t="str">
        <f t="shared" si="8"/>
        <v>2020-Fa-Gec-135-79-246</v>
      </c>
      <c r="B259" s="11" t="str">
        <f t="shared" si="9"/>
        <v>2020</v>
      </c>
      <c r="C259" s="18">
        <v>2020</v>
      </c>
      <c r="D259" t="s">
        <v>1</v>
      </c>
      <c r="E259" t="s">
        <v>678</v>
      </c>
      <c r="F259">
        <v>135</v>
      </c>
      <c r="G259">
        <v>79</v>
      </c>
      <c r="H259">
        <v>246</v>
      </c>
      <c r="I259" t="s">
        <v>593</v>
      </c>
      <c r="J259" t="s">
        <v>179</v>
      </c>
      <c r="K259" t="s">
        <v>672</v>
      </c>
      <c r="L259" t="s">
        <v>202</v>
      </c>
    </row>
    <row r="260" spans="1:12" x14ac:dyDescent="0.25">
      <c r="A260" s="10" t="str">
        <f t="shared" si="8"/>
        <v>2020-Fa-Gec-135-79-246</v>
      </c>
      <c r="B260" s="11" t="str">
        <f t="shared" si="9"/>
        <v>2020</v>
      </c>
      <c r="C260" s="18">
        <v>2020</v>
      </c>
      <c r="D260" t="s">
        <v>1</v>
      </c>
      <c r="E260" t="s">
        <v>683</v>
      </c>
      <c r="F260">
        <v>135</v>
      </c>
      <c r="G260">
        <v>79</v>
      </c>
      <c r="H260">
        <v>246</v>
      </c>
      <c r="I260" t="s">
        <v>641</v>
      </c>
      <c r="J260" t="s">
        <v>283</v>
      </c>
      <c r="K260" t="s">
        <v>209</v>
      </c>
      <c r="L260" t="s">
        <v>202</v>
      </c>
    </row>
    <row r="261" spans="1:12" x14ac:dyDescent="0.25">
      <c r="A261" s="10" t="str">
        <f t="shared" si="8"/>
        <v>2020-Fa-Gec-135-79-246</v>
      </c>
      <c r="B261" s="11" t="str">
        <f t="shared" si="9"/>
        <v>2020</v>
      </c>
      <c r="C261" s="18">
        <v>2020</v>
      </c>
      <c r="D261" t="s">
        <v>1</v>
      </c>
      <c r="E261" t="s">
        <v>684</v>
      </c>
      <c r="F261">
        <v>135</v>
      </c>
      <c r="G261">
        <v>79</v>
      </c>
      <c r="H261">
        <v>246</v>
      </c>
      <c r="I261" t="s">
        <v>593</v>
      </c>
      <c r="J261" t="s">
        <v>283</v>
      </c>
      <c r="K261" t="s">
        <v>673</v>
      </c>
      <c r="L261" t="s">
        <v>202</v>
      </c>
    </row>
    <row r="262" spans="1:12" x14ac:dyDescent="0.25">
      <c r="A262" s="10" t="str">
        <f t="shared" si="8"/>
        <v>2020-Fa-Gec-148-83-250</v>
      </c>
      <c r="B262" s="11" t="str">
        <f t="shared" si="9"/>
        <v>2020</v>
      </c>
      <c r="C262" s="18">
        <v>2020</v>
      </c>
      <c r="D262" t="s">
        <v>1</v>
      </c>
      <c r="E262" t="s">
        <v>674</v>
      </c>
      <c r="F262">
        <v>148</v>
      </c>
      <c r="G262">
        <v>83</v>
      </c>
      <c r="H262">
        <v>250</v>
      </c>
      <c r="I262" t="s">
        <v>710</v>
      </c>
      <c r="J262" t="s">
        <v>179</v>
      </c>
      <c r="K262" t="s">
        <v>204</v>
      </c>
      <c r="L262" t="s">
        <v>205</v>
      </c>
    </row>
    <row r="263" spans="1:12" x14ac:dyDescent="0.25">
      <c r="A263" s="10" t="str">
        <f t="shared" si="8"/>
        <v>2020-Fa-Gec-148-83-250</v>
      </c>
      <c r="B263" s="11" t="str">
        <f t="shared" si="9"/>
        <v>2020</v>
      </c>
      <c r="C263" s="18">
        <v>2020</v>
      </c>
      <c r="D263" t="s">
        <v>1</v>
      </c>
      <c r="E263" t="s">
        <v>678</v>
      </c>
      <c r="F263">
        <v>148</v>
      </c>
      <c r="G263">
        <v>83</v>
      </c>
      <c r="H263">
        <v>250</v>
      </c>
      <c r="I263" t="s">
        <v>593</v>
      </c>
      <c r="J263" t="s">
        <v>179</v>
      </c>
      <c r="K263" t="s">
        <v>679</v>
      </c>
      <c r="L263" t="s">
        <v>205</v>
      </c>
    </row>
    <row r="264" spans="1:12" x14ac:dyDescent="0.25">
      <c r="A264" s="10" t="str">
        <f t="shared" si="8"/>
        <v>2020-Fa-Gec-156-85-252</v>
      </c>
      <c r="B264" s="11" t="str">
        <f t="shared" si="9"/>
        <v>2020</v>
      </c>
      <c r="C264" s="18">
        <v>2020</v>
      </c>
      <c r="D264" t="s">
        <v>1</v>
      </c>
      <c r="E264" t="s">
        <v>678</v>
      </c>
      <c r="F264">
        <v>156</v>
      </c>
      <c r="G264">
        <v>85</v>
      </c>
      <c r="H264">
        <v>252</v>
      </c>
      <c r="I264" t="s">
        <v>593</v>
      </c>
      <c r="J264" t="s">
        <v>179</v>
      </c>
      <c r="K264" t="s">
        <v>680</v>
      </c>
      <c r="L264" t="s">
        <v>227</v>
      </c>
    </row>
    <row r="265" spans="1:12" x14ac:dyDescent="0.25">
      <c r="A265" s="10" t="str">
        <f t="shared" si="8"/>
        <v>2020-Fa-Gec-156-85-252</v>
      </c>
      <c r="B265" s="11" t="str">
        <f t="shared" si="9"/>
        <v>2020</v>
      </c>
      <c r="C265" s="18">
        <v>2020</v>
      </c>
      <c r="D265" t="s">
        <v>1</v>
      </c>
      <c r="E265" t="s">
        <v>678</v>
      </c>
      <c r="F265">
        <v>156</v>
      </c>
      <c r="G265">
        <v>85</v>
      </c>
      <c r="H265">
        <v>252</v>
      </c>
      <c r="I265" t="s">
        <v>681</v>
      </c>
      <c r="J265" t="s">
        <v>179</v>
      </c>
      <c r="K265" t="s">
        <v>682</v>
      </c>
      <c r="L265" t="s">
        <v>227</v>
      </c>
    </row>
    <row r="266" spans="1:12" x14ac:dyDescent="0.25">
      <c r="A266" s="10" t="str">
        <f t="shared" si="8"/>
        <v>2020-Fa-Gri-102-61-228</v>
      </c>
      <c r="B266" s="11" t="str">
        <f t="shared" si="9"/>
        <v>2020</v>
      </c>
      <c r="C266" s="18">
        <v>2020</v>
      </c>
      <c r="D266" t="s">
        <v>1</v>
      </c>
      <c r="E266" t="s">
        <v>644</v>
      </c>
      <c r="F266">
        <v>102</v>
      </c>
      <c r="G266">
        <v>61</v>
      </c>
      <c r="H266">
        <v>228</v>
      </c>
      <c r="I266" t="s">
        <v>645</v>
      </c>
      <c r="J266" t="s">
        <v>145</v>
      </c>
      <c r="K266" t="s">
        <v>160</v>
      </c>
      <c r="L266" t="s">
        <v>139</v>
      </c>
    </row>
    <row r="267" spans="1:12" x14ac:dyDescent="0.25">
      <c r="A267" s="10" t="str">
        <f t="shared" si="8"/>
        <v>2020-Fa-Gri-60-52-218</v>
      </c>
      <c r="B267" s="11" t="str">
        <f t="shared" si="9"/>
        <v>2020</v>
      </c>
      <c r="C267" s="18">
        <v>2020</v>
      </c>
      <c r="D267" t="s">
        <v>1</v>
      </c>
      <c r="E267" t="s">
        <v>640</v>
      </c>
      <c r="F267">
        <v>60</v>
      </c>
      <c r="G267">
        <v>52</v>
      </c>
      <c r="H267">
        <v>218</v>
      </c>
      <c r="I267" t="s">
        <v>641</v>
      </c>
      <c r="J267" t="s">
        <v>141</v>
      </c>
      <c r="K267" t="s">
        <v>642</v>
      </c>
      <c r="L267" t="s">
        <v>643</v>
      </c>
    </row>
    <row r="268" spans="1:12" x14ac:dyDescent="0.25">
      <c r="A268" s="10" t="str">
        <f t="shared" si="8"/>
        <v>2020-Fa-Gri-68-54-220</v>
      </c>
      <c r="B268" s="11" t="str">
        <f t="shared" si="9"/>
        <v>2020</v>
      </c>
      <c r="C268" s="18">
        <v>2020</v>
      </c>
      <c r="D268" t="s">
        <v>1</v>
      </c>
      <c r="E268" t="s">
        <v>644</v>
      </c>
      <c r="F268">
        <v>68</v>
      </c>
      <c r="G268">
        <v>54</v>
      </c>
      <c r="H268">
        <v>220</v>
      </c>
      <c r="I268" t="s">
        <v>645</v>
      </c>
      <c r="J268" t="s">
        <v>141</v>
      </c>
      <c r="K268" t="s">
        <v>642</v>
      </c>
      <c r="L268" t="s">
        <v>143</v>
      </c>
    </row>
    <row r="269" spans="1:12" x14ac:dyDescent="0.25">
      <c r="A269" s="10" t="str">
        <f t="shared" si="8"/>
        <v>2020-Fa-Gri-75-56-222</v>
      </c>
      <c r="B269" s="11" t="str">
        <f t="shared" si="9"/>
        <v>2020</v>
      </c>
      <c r="C269" s="18">
        <v>2020</v>
      </c>
      <c r="D269" t="s">
        <v>1</v>
      </c>
      <c r="E269" t="s">
        <v>644</v>
      </c>
      <c r="F269">
        <v>75</v>
      </c>
      <c r="G269">
        <v>56</v>
      </c>
      <c r="H269">
        <v>222</v>
      </c>
      <c r="I269" t="s">
        <v>645</v>
      </c>
      <c r="J269" t="s">
        <v>145</v>
      </c>
      <c r="K269" t="s">
        <v>153</v>
      </c>
      <c r="L269" t="s">
        <v>133</v>
      </c>
    </row>
    <row r="270" spans="1:12" x14ac:dyDescent="0.25">
      <c r="A270" s="10" t="str">
        <f t="shared" si="8"/>
        <v>2020-Fa-Gri-82-58-224</v>
      </c>
      <c r="B270" s="11" t="str">
        <f t="shared" si="9"/>
        <v>2020</v>
      </c>
      <c r="C270" s="18">
        <v>2020</v>
      </c>
      <c r="D270" t="s">
        <v>1</v>
      </c>
      <c r="E270" t="s">
        <v>644</v>
      </c>
      <c r="F270">
        <v>82</v>
      </c>
      <c r="G270">
        <v>58</v>
      </c>
      <c r="H270">
        <v>224</v>
      </c>
      <c r="I270" t="s">
        <v>645</v>
      </c>
      <c r="J270" t="s">
        <v>145</v>
      </c>
      <c r="K270" t="s">
        <v>146</v>
      </c>
      <c r="L270" t="s">
        <v>135</v>
      </c>
    </row>
    <row r="271" spans="1:12" x14ac:dyDescent="0.25">
      <c r="A271" s="10" t="str">
        <f t="shared" si="8"/>
        <v>2020-Fa-Gri-86-58-225</v>
      </c>
      <c r="B271" s="11" t="str">
        <f t="shared" si="9"/>
        <v>2020</v>
      </c>
      <c r="C271" s="18">
        <v>2020</v>
      </c>
      <c r="D271" t="s">
        <v>1</v>
      </c>
      <c r="E271" t="s">
        <v>644</v>
      </c>
      <c r="F271">
        <v>86</v>
      </c>
      <c r="G271">
        <v>58.5</v>
      </c>
      <c r="H271">
        <v>225</v>
      </c>
      <c r="I271" t="s">
        <v>645</v>
      </c>
      <c r="J271" t="s">
        <v>145</v>
      </c>
      <c r="K271" t="s">
        <v>153</v>
      </c>
      <c r="L271" t="s">
        <v>158</v>
      </c>
    </row>
    <row r="272" spans="1:12" x14ac:dyDescent="0.25">
      <c r="A272" s="10" t="str">
        <f t="shared" si="8"/>
        <v>2020-Fa-Gri-92-59-226</v>
      </c>
      <c r="B272" s="11" t="str">
        <f t="shared" si="9"/>
        <v>2020</v>
      </c>
      <c r="C272" s="18">
        <v>2020</v>
      </c>
      <c r="D272" t="s">
        <v>1</v>
      </c>
      <c r="E272" t="s">
        <v>644</v>
      </c>
      <c r="F272">
        <v>92</v>
      </c>
      <c r="G272">
        <v>59.5</v>
      </c>
      <c r="H272">
        <v>226</v>
      </c>
      <c r="I272" t="s">
        <v>645</v>
      </c>
      <c r="J272" t="s">
        <v>145</v>
      </c>
      <c r="K272" t="s">
        <v>149</v>
      </c>
      <c r="L272" t="s">
        <v>138</v>
      </c>
    </row>
    <row r="273" spans="1:12" x14ac:dyDescent="0.25">
      <c r="A273" s="10" t="str">
        <f t="shared" si="8"/>
        <v>2020-Fa-Jag-108-69-235</v>
      </c>
      <c r="B273" s="11" t="str">
        <f t="shared" si="9"/>
        <v>2020</v>
      </c>
      <c r="C273" s="18">
        <v>2020</v>
      </c>
      <c r="D273" t="s">
        <v>1</v>
      </c>
      <c r="E273" t="s">
        <v>688</v>
      </c>
      <c r="F273">
        <v>108</v>
      </c>
      <c r="G273">
        <v>69</v>
      </c>
      <c r="H273">
        <v>235</v>
      </c>
      <c r="I273" t="s">
        <v>710</v>
      </c>
      <c r="J273" t="s">
        <v>283</v>
      </c>
      <c r="K273" t="s">
        <v>687</v>
      </c>
      <c r="L273" t="s">
        <v>196</v>
      </c>
    </row>
    <row r="274" spans="1:12" x14ac:dyDescent="0.25">
      <c r="A274" s="10" t="str">
        <f t="shared" si="8"/>
        <v>2020-Fa-Jag-125-75-235</v>
      </c>
      <c r="B274" s="11" t="str">
        <f t="shared" si="9"/>
        <v>2020</v>
      </c>
      <c r="C274" s="18">
        <v>2020</v>
      </c>
      <c r="D274" t="s">
        <v>1</v>
      </c>
      <c r="E274" t="s">
        <v>688</v>
      </c>
      <c r="F274">
        <v>125</v>
      </c>
      <c r="G274">
        <v>75</v>
      </c>
      <c r="H274">
        <v>235</v>
      </c>
      <c r="I274" t="s">
        <v>710</v>
      </c>
      <c r="J274" t="s">
        <v>283</v>
      </c>
      <c r="K274" t="s">
        <v>689</v>
      </c>
      <c r="L274" t="s">
        <v>252</v>
      </c>
    </row>
    <row r="275" spans="1:12" x14ac:dyDescent="0.25">
      <c r="A275" s="10" t="str">
        <f t="shared" si="8"/>
        <v>2020-Fa-Jag-135-82-235</v>
      </c>
      <c r="B275" s="11" t="str">
        <f t="shared" si="9"/>
        <v>2020</v>
      </c>
      <c r="C275" s="18">
        <v>2020</v>
      </c>
      <c r="D275" t="s">
        <v>1</v>
      </c>
      <c r="E275" t="s">
        <v>688</v>
      </c>
      <c r="F275">
        <v>135</v>
      </c>
      <c r="G275">
        <v>82</v>
      </c>
      <c r="H275">
        <v>235</v>
      </c>
      <c r="I275" t="s">
        <v>710</v>
      </c>
      <c r="J275" t="s">
        <v>283</v>
      </c>
      <c r="K275" t="s">
        <v>690</v>
      </c>
      <c r="L275" t="s">
        <v>205</v>
      </c>
    </row>
    <row r="276" spans="1:12" x14ac:dyDescent="0.25">
      <c r="A276" s="10" t="str">
        <f t="shared" si="8"/>
        <v>2020-Fa-Jag-94-61-235</v>
      </c>
      <c r="B276" s="11" t="str">
        <f t="shared" si="9"/>
        <v>2020</v>
      </c>
      <c r="C276" s="18">
        <v>2020</v>
      </c>
      <c r="D276" t="s">
        <v>1</v>
      </c>
      <c r="E276" t="s">
        <v>688</v>
      </c>
      <c r="F276">
        <v>94</v>
      </c>
      <c r="G276">
        <v>61</v>
      </c>
      <c r="H276">
        <v>235</v>
      </c>
      <c r="I276" t="s">
        <v>710</v>
      </c>
      <c r="J276" t="s">
        <v>685</v>
      </c>
      <c r="K276" t="s">
        <v>686</v>
      </c>
      <c r="L276" t="s">
        <v>247</v>
      </c>
    </row>
    <row r="277" spans="1:12" x14ac:dyDescent="0.25">
      <c r="A277" s="10" t="str">
        <f t="shared" si="8"/>
        <v>2020-Fa-Rip-112-73-239</v>
      </c>
      <c r="B277" s="11" t="str">
        <f t="shared" si="9"/>
        <v>2020</v>
      </c>
      <c r="C277" s="18">
        <v>2020</v>
      </c>
      <c r="D277" t="s">
        <v>1</v>
      </c>
      <c r="E277" t="s">
        <v>701</v>
      </c>
      <c r="F277">
        <v>112</v>
      </c>
      <c r="G277">
        <v>73</v>
      </c>
      <c r="H277">
        <v>239</v>
      </c>
      <c r="I277" t="s">
        <v>700</v>
      </c>
      <c r="J277" t="s">
        <v>179</v>
      </c>
      <c r="K277" t="s">
        <v>702</v>
      </c>
      <c r="L277" t="s">
        <v>193</v>
      </c>
    </row>
    <row r="278" spans="1:12" x14ac:dyDescent="0.25">
      <c r="A278" s="10" t="str">
        <f t="shared" si="8"/>
        <v>2020-Fa-Rip-187-73-274</v>
      </c>
      <c r="B278" s="11" t="str">
        <f t="shared" si="9"/>
        <v>2020</v>
      </c>
      <c r="C278" s="18">
        <v>2020</v>
      </c>
      <c r="D278" t="s">
        <v>1</v>
      </c>
      <c r="E278" t="s">
        <v>708</v>
      </c>
      <c r="F278">
        <v>187</v>
      </c>
      <c r="G278">
        <v>73.7</v>
      </c>
      <c r="H278">
        <v>274.3</v>
      </c>
      <c r="I278" t="s">
        <v>707</v>
      </c>
      <c r="J278" t="s">
        <v>269</v>
      </c>
      <c r="K278" t="s">
        <v>704</v>
      </c>
      <c r="L278" t="s">
        <v>705</v>
      </c>
    </row>
    <row r="279" spans="1:12" x14ac:dyDescent="0.25">
      <c r="A279" s="10" t="str">
        <f t="shared" si="8"/>
        <v>2020-Fa-Ska-108-66-226</v>
      </c>
      <c r="B279" s="11" t="str">
        <f t="shared" si="9"/>
        <v>2020</v>
      </c>
      <c r="C279" s="18">
        <v>2020</v>
      </c>
      <c r="D279" t="s">
        <v>1</v>
      </c>
      <c r="E279" t="s">
        <v>665</v>
      </c>
      <c r="F279">
        <v>108</v>
      </c>
      <c r="G279">
        <v>66.5</v>
      </c>
      <c r="H279">
        <v>226</v>
      </c>
      <c r="I279" t="s">
        <v>645</v>
      </c>
      <c r="J279" t="s">
        <v>179</v>
      </c>
      <c r="K279" t="s">
        <v>667</v>
      </c>
      <c r="L279" t="s">
        <v>188</v>
      </c>
    </row>
    <row r="280" spans="1:12" x14ac:dyDescent="0.25">
      <c r="A280" s="10" t="str">
        <f t="shared" si="8"/>
        <v>2020-Fa-Ska-85-60-225</v>
      </c>
      <c r="B280" s="11" t="str">
        <f t="shared" si="9"/>
        <v>2020</v>
      </c>
      <c r="C280" s="18">
        <v>2020</v>
      </c>
      <c r="D280" t="s">
        <v>1</v>
      </c>
      <c r="E280" t="s">
        <v>665</v>
      </c>
      <c r="F280">
        <v>85</v>
      </c>
      <c r="G280">
        <v>60</v>
      </c>
      <c r="H280">
        <v>225</v>
      </c>
      <c r="I280" t="s">
        <v>645</v>
      </c>
      <c r="J280" t="s">
        <v>179</v>
      </c>
      <c r="K280" t="s">
        <v>663</v>
      </c>
      <c r="L280" t="s">
        <v>133</v>
      </c>
    </row>
    <row r="281" spans="1:12" x14ac:dyDescent="0.25">
      <c r="A281" s="10" t="str">
        <f t="shared" si="8"/>
        <v>2020-Fa-Ska-92-62-220</v>
      </c>
      <c r="B281" s="11" t="str">
        <f t="shared" si="9"/>
        <v>2020</v>
      </c>
      <c r="C281" s="18">
        <v>2020</v>
      </c>
      <c r="D281" t="s">
        <v>1</v>
      </c>
      <c r="E281" t="s">
        <v>665</v>
      </c>
      <c r="F281">
        <v>92</v>
      </c>
      <c r="G281">
        <v>62</v>
      </c>
      <c r="H281">
        <v>220</v>
      </c>
      <c r="I281" t="s">
        <v>645</v>
      </c>
      <c r="J281" t="s">
        <v>179</v>
      </c>
      <c r="K281" t="s">
        <v>664</v>
      </c>
      <c r="L281" t="s">
        <v>183</v>
      </c>
    </row>
    <row r="282" spans="1:12" x14ac:dyDescent="0.25">
      <c r="A282" s="10" t="str">
        <f t="shared" si="8"/>
        <v>2020-Fa-Ska-99-65-225</v>
      </c>
      <c r="B282" s="11" t="str">
        <f t="shared" si="9"/>
        <v>2020</v>
      </c>
      <c r="C282" s="18">
        <v>2020</v>
      </c>
      <c r="D282" t="s">
        <v>1</v>
      </c>
      <c r="E282" t="s">
        <v>665</v>
      </c>
      <c r="F282">
        <v>99</v>
      </c>
      <c r="G282">
        <v>65</v>
      </c>
      <c r="H282">
        <v>225</v>
      </c>
      <c r="I282" t="s">
        <v>645</v>
      </c>
      <c r="J282" t="s">
        <v>179</v>
      </c>
      <c r="K282" t="s">
        <v>666</v>
      </c>
      <c r="L282" t="s">
        <v>138</v>
      </c>
    </row>
    <row r="283" spans="1:12" x14ac:dyDescent="0.25">
      <c r="A283" s="10" t="str">
        <f t="shared" si="8"/>
        <v>2020-Fa-Sti-110-65-215</v>
      </c>
      <c r="B283" s="11" t="str">
        <f t="shared" si="9"/>
        <v>2020</v>
      </c>
      <c r="C283" s="18">
        <v>2020</v>
      </c>
      <c r="D283" t="s">
        <v>1</v>
      </c>
      <c r="E283" t="s">
        <v>696</v>
      </c>
      <c r="F283">
        <v>110</v>
      </c>
      <c r="G283">
        <v>65</v>
      </c>
      <c r="H283">
        <v>215</v>
      </c>
      <c r="I283" t="s">
        <v>658</v>
      </c>
      <c r="J283" t="s">
        <v>697</v>
      </c>
      <c r="K283" t="s">
        <v>246</v>
      </c>
      <c r="L283" t="s">
        <v>193</v>
      </c>
    </row>
    <row r="284" spans="1:12" x14ac:dyDescent="0.25">
      <c r="A284" s="10" t="str">
        <f t="shared" si="8"/>
        <v>2020-Fa-Sti-125-75-228</v>
      </c>
      <c r="B284" s="11" t="str">
        <f t="shared" si="9"/>
        <v>2020</v>
      </c>
      <c r="C284" s="18">
        <v>2020</v>
      </c>
      <c r="D284" t="s">
        <v>1</v>
      </c>
      <c r="E284" t="s">
        <v>696</v>
      </c>
      <c r="F284">
        <v>125</v>
      </c>
      <c r="G284">
        <v>75</v>
      </c>
      <c r="H284">
        <v>228</v>
      </c>
      <c r="I284" t="s">
        <v>660</v>
      </c>
      <c r="J284" t="s">
        <v>697</v>
      </c>
      <c r="K284" t="s">
        <v>246</v>
      </c>
      <c r="L284" t="s">
        <v>199</v>
      </c>
    </row>
    <row r="285" spans="1:12" x14ac:dyDescent="0.25">
      <c r="A285" s="10" t="str">
        <f t="shared" si="8"/>
        <v>2020-Fa-Sti-125-75-228</v>
      </c>
      <c r="B285" s="11" t="str">
        <f t="shared" si="9"/>
        <v>2020</v>
      </c>
      <c r="C285" s="18">
        <v>2020</v>
      </c>
      <c r="D285" t="s">
        <v>1</v>
      </c>
      <c r="E285" t="s">
        <v>698</v>
      </c>
      <c r="F285">
        <v>125</v>
      </c>
      <c r="G285">
        <v>75</v>
      </c>
      <c r="H285">
        <v>228</v>
      </c>
      <c r="I285" t="s">
        <v>593</v>
      </c>
      <c r="J285" t="s">
        <v>697</v>
      </c>
      <c r="K285" t="s">
        <v>246</v>
      </c>
      <c r="L285" t="s">
        <v>199</v>
      </c>
    </row>
    <row r="286" spans="1:12" x14ac:dyDescent="0.25">
      <c r="A286" s="10" t="str">
        <f t="shared" si="8"/>
        <v>2020-Fa-Sti-140-85-228</v>
      </c>
      <c r="B286" s="11" t="str">
        <f t="shared" si="9"/>
        <v>2020</v>
      </c>
      <c r="C286" s="18">
        <v>2020</v>
      </c>
      <c r="D286" t="s">
        <v>1</v>
      </c>
      <c r="E286" t="s">
        <v>696</v>
      </c>
      <c r="F286">
        <v>140</v>
      </c>
      <c r="G286">
        <v>85</v>
      </c>
      <c r="H286">
        <v>228</v>
      </c>
      <c r="I286" t="s">
        <v>660</v>
      </c>
      <c r="J286" t="s">
        <v>697</v>
      </c>
      <c r="K286" t="s">
        <v>246</v>
      </c>
      <c r="L286" t="s">
        <v>238</v>
      </c>
    </row>
    <row r="287" spans="1:12" x14ac:dyDescent="0.25">
      <c r="A287" s="10" t="str">
        <f t="shared" si="8"/>
        <v>2020-Fa-Sti-140-85-228</v>
      </c>
      <c r="B287" s="11" t="str">
        <f t="shared" si="9"/>
        <v>2020</v>
      </c>
      <c r="C287" s="18">
        <v>2020</v>
      </c>
      <c r="D287" t="s">
        <v>1</v>
      </c>
      <c r="E287" t="s">
        <v>698</v>
      </c>
      <c r="F287">
        <v>140</v>
      </c>
      <c r="G287">
        <v>85</v>
      </c>
      <c r="H287">
        <v>228</v>
      </c>
      <c r="I287" t="s">
        <v>593</v>
      </c>
      <c r="J287" t="s">
        <v>697</v>
      </c>
      <c r="K287" t="s">
        <v>246</v>
      </c>
      <c r="L287" t="s">
        <v>238</v>
      </c>
    </row>
    <row r="288" spans="1:12" x14ac:dyDescent="0.25">
      <c r="A288" s="10" t="str">
        <f t="shared" si="8"/>
        <v>2020-Fa-Stu-76-55-212</v>
      </c>
      <c r="B288" s="11" t="str">
        <f t="shared" si="9"/>
        <v>2020</v>
      </c>
      <c r="C288" s="18">
        <v>2020</v>
      </c>
      <c r="D288" t="s">
        <v>1</v>
      </c>
      <c r="E288" t="s">
        <v>647</v>
      </c>
      <c r="F288">
        <v>76</v>
      </c>
      <c r="G288">
        <v>55</v>
      </c>
      <c r="H288">
        <v>212</v>
      </c>
      <c r="I288" t="s">
        <v>645</v>
      </c>
      <c r="J288" t="s">
        <v>648</v>
      </c>
      <c r="K288" t="s">
        <v>646</v>
      </c>
      <c r="L288" t="s">
        <v>133</v>
      </c>
    </row>
    <row r="289" spans="1:12" x14ac:dyDescent="0.25">
      <c r="A289" s="10" t="str">
        <f t="shared" si="8"/>
        <v>2020-Fa-Stu-82-56-214</v>
      </c>
      <c r="B289" s="11" t="str">
        <f t="shared" si="9"/>
        <v>2020</v>
      </c>
      <c r="C289" s="18">
        <v>2020</v>
      </c>
      <c r="D289" t="s">
        <v>1</v>
      </c>
      <c r="E289" t="s">
        <v>647</v>
      </c>
      <c r="F289">
        <v>82</v>
      </c>
      <c r="G289">
        <v>56</v>
      </c>
      <c r="H289">
        <v>214</v>
      </c>
      <c r="I289" t="s">
        <v>645</v>
      </c>
      <c r="J289" t="s">
        <v>648</v>
      </c>
      <c r="K289" t="s">
        <v>646</v>
      </c>
      <c r="L289" t="s">
        <v>135</v>
      </c>
    </row>
    <row r="290" spans="1:12" x14ac:dyDescent="0.25">
      <c r="A290" s="10" t="str">
        <f t="shared" si="8"/>
        <v>2020-Fa-Stu-89-57-215</v>
      </c>
      <c r="B290" s="11" t="str">
        <f t="shared" si="9"/>
        <v>2020</v>
      </c>
      <c r="C290" s="18">
        <v>2020</v>
      </c>
      <c r="D290" t="s">
        <v>1</v>
      </c>
      <c r="E290" t="s">
        <v>647</v>
      </c>
      <c r="F290">
        <v>89</v>
      </c>
      <c r="G290">
        <v>57.5</v>
      </c>
      <c r="H290">
        <v>215</v>
      </c>
      <c r="I290" t="s">
        <v>645</v>
      </c>
      <c r="J290" t="s">
        <v>648</v>
      </c>
      <c r="K290" t="s">
        <v>649</v>
      </c>
      <c r="L290" t="s">
        <v>138</v>
      </c>
    </row>
    <row r="291" spans="1:12" x14ac:dyDescent="0.25">
      <c r="A291" s="10" t="str">
        <f t="shared" si="8"/>
        <v>2020-Fa-Stu-99-60-218</v>
      </c>
      <c r="B291" s="11" t="str">
        <f t="shared" si="9"/>
        <v>2020</v>
      </c>
      <c r="C291" s="18">
        <v>2020</v>
      </c>
      <c r="D291" t="s">
        <v>1</v>
      </c>
      <c r="E291" t="s">
        <v>647</v>
      </c>
      <c r="F291">
        <v>99</v>
      </c>
      <c r="G291">
        <v>60</v>
      </c>
      <c r="H291">
        <v>218</v>
      </c>
      <c r="I291" t="s">
        <v>645</v>
      </c>
      <c r="J291" t="s">
        <v>648</v>
      </c>
      <c r="K291" t="s">
        <v>649</v>
      </c>
      <c r="L291" t="s">
        <v>139</v>
      </c>
    </row>
    <row r="292" spans="1:12" x14ac:dyDescent="0.25">
      <c r="A292" s="10" t="str">
        <f t="shared" si="8"/>
        <v>2020-Fa-Tan-505-86-487</v>
      </c>
      <c r="B292" s="11" t="str">
        <f t="shared" si="9"/>
        <v>2020</v>
      </c>
      <c r="C292" s="18">
        <v>2020</v>
      </c>
      <c r="D292" t="s">
        <v>1</v>
      </c>
      <c r="E292" t="s">
        <v>277</v>
      </c>
      <c r="F292">
        <v>505</v>
      </c>
      <c r="G292">
        <v>86.4</v>
      </c>
      <c r="H292">
        <v>487.6</v>
      </c>
      <c r="I292" t="s">
        <v>426</v>
      </c>
      <c r="J292" t="s">
        <v>269</v>
      </c>
      <c r="K292" t="s">
        <v>704</v>
      </c>
      <c r="L292" t="s">
        <v>705</v>
      </c>
    </row>
    <row r="293" spans="1:12" x14ac:dyDescent="0.25">
      <c r="A293" s="10" t="str">
        <f t="shared" si="8"/>
        <v>2020-Fa-Vip-160-75-275</v>
      </c>
      <c r="B293" s="11" t="str">
        <f t="shared" si="9"/>
        <v>2020</v>
      </c>
      <c r="C293" s="18">
        <v>2020</v>
      </c>
      <c r="D293" t="s">
        <v>1</v>
      </c>
      <c r="E293" t="s">
        <v>113</v>
      </c>
      <c r="F293">
        <v>160</v>
      </c>
      <c r="G293">
        <v>75</v>
      </c>
      <c r="H293">
        <v>275</v>
      </c>
      <c r="I293" t="s">
        <v>700</v>
      </c>
      <c r="J293" t="s">
        <v>179</v>
      </c>
      <c r="K293" t="s">
        <v>682</v>
      </c>
      <c r="L293" t="s">
        <v>205</v>
      </c>
    </row>
    <row r="294" spans="1:12" x14ac:dyDescent="0.25">
      <c r="A294" s="10" t="str">
        <f t="shared" si="8"/>
        <v>2020-Fa-Vip-190-80-280</v>
      </c>
      <c r="B294" s="11" t="str">
        <f t="shared" si="9"/>
        <v>2020</v>
      </c>
      <c r="C294" s="18">
        <v>2020</v>
      </c>
      <c r="D294" t="s">
        <v>1</v>
      </c>
      <c r="E294" t="s">
        <v>113</v>
      </c>
      <c r="F294">
        <v>190</v>
      </c>
      <c r="G294">
        <v>80</v>
      </c>
      <c r="H294">
        <v>280</v>
      </c>
      <c r="I294" t="s">
        <v>700</v>
      </c>
      <c r="J294" t="s">
        <v>179</v>
      </c>
      <c r="K294" t="s">
        <v>682</v>
      </c>
      <c r="L294" t="s">
        <v>205</v>
      </c>
    </row>
    <row r="295" spans="1:12" x14ac:dyDescent="0.25">
      <c r="A295" s="10" t="str">
        <f t="shared" si="8"/>
        <v>2020-Fa-Vip-220-85-285</v>
      </c>
      <c r="B295" s="11" t="str">
        <f t="shared" si="9"/>
        <v>2020</v>
      </c>
      <c r="C295" s="18">
        <v>2020</v>
      </c>
      <c r="D295" t="s">
        <v>1</v>
      </c>
      <c r="E295" t="s">
        <v>113</v>
      </c>
      <c r="F295">
        <v>220</v>
      </c>
      <c r="G295">
        <v>85</v>
      </c>
      <c r="H295">
        <v>285</v>
      </c>
      <c r="I295" t="s">
        <v>700</v>
      </c>
      <c r="J295" t="s">
        <v>179</v>
      </c>
      <c r="K295" t="s">
        <v>682</v>
      </c>
      <c r="L295" t="s">
        <v>205</v>
      </c>
    </row>
    <row r="296" spans="1:12" x14ac:dyDescent="0.25">
      <c r="A296" s="10" t="str">
        <f t="shared" si="8"/>
        <v>2020-Fa-Vip-240-91-290</v>
      </c>
      <c r="B296" s="11" t="str">
        <f t="shared" si="9"/>
        <v>2020</v>
      </c>
      <c r="C296" s="18">
        <v>2020</v>
      </c>
      <c r="D296" t="s">
        <v>1</v>
      </c>
      <c r="E296" t="s">
        <v>113</v>
      </c>
      <c r="F296">
        <v>240</v>
      </c>
      <c r="G296">
        <v>91</v>
      </c>
      <c r="H296">
        <v>290</v>
      </c>
      <c r="I296" t="s">
        <v>700</v>
      </c>
      <c r="J296" t="s">
        <v>179</v>
      </c>
      <c r="K296" t="s">
        <v>682</v>
      </c>
      <c r="L296" t="s">
        <v>205</v>
      </c>
    </row>
    <row r="297" spans="1:12" x14ac:dyDescent="0.25">
      <c r="A297" s="10" t="str">
        <f t="shared" si="8"/>
        <v>2020-Fa-Vip-355-85-335</v>
      </c>
      <c r="B297" s="11" t="str">
        <f t="shared" si="9"/>
        <v>2020</v>
      </c>
      <c r="C297" s="18">
        <v>2020</v>
      </c>
      <c r="D297" t="s">
        <v>1</v>
      </c>
      <c r="E297" t="s">
        <v>703</v>
      </c>
      <c r="F297">
        <v>355</v>
      </c>
      <c r="G297">
        <v>85.1</v>
      </c>
      <c r="H297">
        <v>335.3</v>
      </c>
      <c r="I297" t="s">
        <v>426</v>
      </c>
      <c r="J297" t="s">
        <v>269</v>
      </c>
      <c r="K297" t="s">
        <v>704</v>
      </c>
      <c r="L297" t="s">
        <v>705</v>
      </c>
    </row>
    <row r="298" spans="1:12" x14ac:dyDescent="0.25">
      <c r="A298" s="10" t="str">
        <f t="shared" si="8"/>
        <v>2020-Fa-Vip-355-85-335</v>
      </c>
      <c r="B298" s="11" t="str">
        <f t="shared" si="9"/>
        <v>2020</v>
      </c>
      <c r="C298" s="18">
        <v>2020</v>
      </c>
      <c r="D298" t="s">
        <v>1</v>
      </c>
      <c r="E298" t="s">
        <v>706</v>
      </c>
      <c r="F298">
        <v>355</v>
      </c>
      <c r="G298">
        <v>85.1</v>
      </c>
      <c r="H298">
        <v>335.3</v>
      </c>
      <c r="I298" t="s">
        <v>707</v>
      </c>
      <c r="J298" t="s">
        <v>269</v>
      </c>
      <c r="K298" t="s">
        <v>704</v>
      </c>
      <c r="L298" t="s">
        <v>705</v>
      </c>
    </row>
    <row r="299" spans="1:12" x14ac:dyDescent="0.25">
      <c r="A299" s="10" t="str">
        <f t="shared" si="8"/>
        <v>2020-FM-Inv-74-52-225</v>
      </c>
      <c r="B299" s="11" t="str">
        <f t="shared" si="9"/>
        <v>2020</v>
      </c>
      <c r="C299" s="18">
        <v>2020</v>
      </c>
      <c r="D299" t="s">
        <v>711</v>
      </c>
      <c r="E299" t="s">
        <v>712</v>
      </c>
      <c r="F299">
        <v>74</v>
      </c>
      <c r="G299">
        <v>52</v>
      </c>
      <c r="H299">
        <v>225</v>
      </c>
      <c r="J299" t="s">
        <v>685</v>
      </c>
    </row>
    <row r="300" spans="1:12" x14ac:dyDescent="0.25">
      <c r="A300" s="10" t="str">
        <f t="shared" si="8"/>
        <v>2023-Fa-Bla-100-62-231</v>
      </c>
      <c r="B300" s="11" t="str">
        <f t="shared" si="9"/>
        <v>2023</v>
      </c>
      <c r="C300" s="18">
        <v>2023</v>
      </c>
      <c r="D300" t="s">
        <v>1</v>
      </c>
      <c r="E300" t="s">
        <v>303</v>
      </c>
      <c r="F300">
        <v>100</v>
      </c>
      <c r="G300">
        <v>62</v>
      </c>
      <c r="H300">
        <v>231</v>
      </c>
      <c r="J300" t="s">
        <v>283</v>
      </c>
    </row>
    <row r="301" spans="1:12" x14ac:dyDescent="0.25">
      <c r="A301" s="10" t="str">
        <f t="shared" si="8"/>
        <v>2023-Fa-Bla-117-66-232</v>
      </c>
      <c r="B301" s="11" t="str">
        <f t="shared" si="9"/>
        <v>2023</v>
      </c>
      <c r="C301" s="18">
        <v>2023</v>
      </c>
      <c r="D301" t="s">
        <v>1</v>
      </c>
      <c r="E301" t="s">
        <v>304</v>
      </c>
      <c r="F301">
        <v>117</v>
      </c>
      <c r="G301">
        <v>66</v>
      </c>
      <c r="H301">
        <v>232</v>
      </c>
      <c r="J301" t="s">
        <v>283</v>
      </c>
    </row>
    <row r="302" spans="1:12" x14ac:dyDescent="0.25">
      <c r="A302" s="10" t="str">
        <f t="shared" si="8"/>
        <v>2023-Fa-Bla-132-70-234</v>
      </c>
      <c r="B302" s="11" t="str">
        <f t="shared" si="9"/>
        <v>2023</v>
      </c>
      <c r="C302" s="18">
        <v>2023</v>
      </c>
      <c r="D302" t="s">
        <v>1</v>
      </c>
      <c r="E302" t="s">
        <v>305</v>
      </c>
      <c r="F302">
        <v>132</v>
      </c>
      <c r="G302">
        <v>70</v>
      </c>
      <c r="H302">
        <v>234</v>
      </c>
      <c r="J302" t="s">
        <v>283</v>
      </c>
    </row>
    <row r="303" spans="1:12" x14ac:dyDescent="0.25">
      <c r="A303" s="10" t="str">
        <f t="shared" si="8"/>
        <v>2023-Fa-Bla-147-77-236</v>
      </c>
      <c r="B303" s="11" t="str">
        <f t="shared" si="9"/>
        <v>2023</v>
      </c>
      <c r="C303" s="18">
        <v>2023</v>
      </c>
      <c r="D303" t="s">
        <v>1</v>
      </c>
      <c r="E303" t="s">
        <v>306</v>
      </c>
      <c r="F303">
        <v>147</v>
      </c>
      <c r="G303">
        <v>77</v>
      </c>
      <c r="H303">
        <v>236</v>
      </c>
      <c r="J303" t="s">
        <v>283</v>
      </c>
    </row>
    <row r="304" spans="1:12" x14ac:dyDescent="0.25">
      <c r="A304" s="10" t="str">
        <f t="shared" si="8"/>
        <v>2023-Fa-Eag-130-70-248</v>
      </c>
      <c r="B304" s="11" t="str">
        <f t="shared" si="9"/>
        <v>2023</v>
      </c>
      <c r="C304" s="18">
        <v>2023</v>
      </c>
      <c r="D304" t="s">
        <v>1</v>
      </c>
      <c r="E304" t="s">
        <v>313</v>
      </c>
      <c r="F304">
        <v>130</v>
      </c>
      <c r="G304">
        <v>70</v>
      </c>
      <c r="H304">
        <v>248</v>
      </c>
      <c r="J304" t="s">
        <v>179</v>
      </c>
    </row>
    <row r="305" spans="1:10" x14ac:dyDescent="0.25">
      <c r="A305" s="10" t="str">
        <f t="shared" si="8"/>
        <v>2023-Fa-Eag-150-75-250</v>
      </c>
      <c r="B305" s="11" t="str">
        <f t="shared" si="9"/>
        <v>2023</v>
      </c>
      <c r="C305" s="18">
        <v>2023</v>
      </c>
      <c r="D305" t="s">
        <v>1</v>
      </c>
      <c r="E305" t="s">
        <v>314</v>
      </c>
      <c r="F305">
        <v>150</v>
      </c>
      <c r="G305">
        <v>75</v>
      </c>
      <c r="H305">
        <v>250</v>
      </c>
      <c r="J305" t="s">
        <v>179</v>
      </c>
    </row>
    <row r="306" spans="1:10" x14ac:dyDescent="0.25">
      <c r="A306" s="10" t="str">
        <f t="shared" si="8"/>
        <v>2023-Fa-Fal-107-69-230</v>
      </c>
      <c r="B306" s="11" t="str">
        <f t="shared" si="9"/>
        <v>2023</v>
      </c>
      <c r="C306" s="18">
        <v>2023</v>
      </c>
      <c r="D306" t="s">
        <v>1</v>
      </c>
      <c r="E306" t="s">
        <v>323</v>
      </c>
      <c r="F306">
        <v>107</v>
      </c>
      <c r="G306">
        <v>69</v>
      </c>
      <c r="H306">
        <v>230</v>
      </c>
      <c r="J306" t="s">
        <v>283</v>
      </c>
    </row>
    <row r="307" spans="1:10" x14ac:dyDescent="0.25">
      <c r="A307" s="10" t="str">
        <f t="shared" si="8"/>
        <v>2023-Fa-Fal-116-71-230</v>
      </c>
      <c r="B307" s="11" t="str">
        <f t="shared" si="9"/>
        <v>2023</v>
      </c>
      <c r="C307" s="18">
        <v>2023</v>
      </c>
      <c r="D307" t="s">
        <v>1</v>
      </c>
      <c r="E307" t="s">
        <v>324</v>
      </c>
      <c r="F307">
        <v>116</v>
      </c>
      <c r="G307">
        <v>71</v>
      </c>
      <c r="H307">
        <v>230</v>
      </c>
      <c r="J307" t="s">
        <v>283</v>
      </c>
    </row>
    <row r="308" spans="1:10" x14ac:dyDescent="0.25">
      <c r="A308" s="10" t="str">
        <f t="shared" si="8"/>
        <v>2023-Fa-Fal-121-77-230</v>
      </c>
      <c r="B308" s="11" t="str">
        <f t="shared" si="9"/>
        <v>2023</v>
      </c>
      <c r="C308" s="18">
        <v>2023</v>
      </c>
      <c r="D308" t="s">
        <v>1</v>
      </c>
      <c r="E308" t="s">
        <v>57</v>
      </c>
      <c r="F308">
        <v>121</v>
      </c>
      <c r="G308">
        <v>77</v>
      </c>
      <c r="H308">
        <v>230</v>
      </c>
      <c r="J308" t="s">
        <v>283</v>
      </c>
    </row>
    <row r="309" spans="1:10" x14ac:dyDescent="0.25">
      <c r="A309" s="10" t="str">
        <f t="shared" si="8"/>
        <v>2023-Fa-Fal-130-80-228</v>
      </c>
      <c r="B309" s="11" t="str">
        <f t="shared" si="9"/>
        <v>2023</v>
      </c>
      <c r="C309" s="18">
        <v>2023</v>
      </c>
      <c r="D309" t="s">
        <v>1</v>
      </c>
      <c r="E309" t="s">
        <v>325</v>
      </c>
      <c r="F309">
        <v>130</v>
      </c>
      <c r="G309">
        <v>80</v>
      </c>
      <c r="H309">
        <v>228</v>
      </c>
      <c r="J309" t="s">
        <v>283</v>
      </c>
    </row>
    <row r="310" spans="1:10" x14ac:dyDescent="0.25">
      <c r="A310" s="10" t="str">
        <f t="shared" si="8"/>
        <v>2023-Fa-Fal-140-80-215</v>
      </c>
      <c r="B310" s="11" t="str">
        <f t="shared" si="9"/>
        <v>2023</v>
      </c>
      <c r="C310" s="18">
        <v>2023</v>
      </c>
      <c r="D310" t="s">
        <v>1</v>
      </c>
      <c r="E310" t="s">
        <v>329</v>
      </c>
      <c r="F310">
        <v>140</v>
      </c>
      <c r="G310">
        <v>80</v>
      </c>
      <c r="H310">
        <v>215</v>
      </c>
      <c r="J310" t="s">
        <v>283</v>
      </c>
    </row>
    <row r="311" spans="1:10" x14ac:dyDescent="0.25">
      <c r="A311" s="10" t="str">
        <f t="shared" si="8"/>
        <v>2023-Fa-Fal-140-85-228</v>
      </c>
      <c r="B311" s="11" t="str">
        <f t="shared" si="9"/>
        <v>2023</v>
      </c>
      <c r="C311" s="18">
        <v>2023</v>
      </c>
      <c r="D311" t="s">
        <v>1</v>
      </c>
      <c r="E311" t="s">
        <v>326</v>
      </c>
      <c r="F311">
        <v>140</v>
      </c>
      <c r="G311">
        <v>85</v>
      </c>
      <c r="H311">
        <v>228</v>
      </c>
      <c r="J311" t="s">
        <v>283</v>
      </c>
    </row>
    <row r="312" spans="1:10" x14ac:dyDescent="0.25">
      <c r="A312" s="10" t="str">
        <f t="shared" si="8"/>
        <v>2023-Fa-Fal-170-85-220</v>
      </c>
      <c r="B312" s="11" t="str">
        <f t="shared" si="9"/>
        <v>2023</v>
      </c>
      <c r="C312" s="18">
        <v>2023</v>
      </c>
      <c r="D312" t="s">
        <v>1</v>
      </c>
      <c r="E312" t="s">
        <v>330</v>
      </c>
      <c r="F312">
        <v>170</v>
      </c>
      <c r="G312">
        <v>85</v>
      </c>
      <c r="H312">
        <v>220</v>
      </c>
      <c r="J312" t="s">
        <v>283</v>
      </c>
    </row>
    <row r="313" spans="1:10" x14ac:dyDescent="0.25">
      <c r="A313" s="10" t="str">
        <f t="shared" si="8"/>
        <v>2023-Fa-Fal-180-91-220</v>
      </c>
      <c r="B313" s="11" t="str">
        <f t="shared" si="9"/>
        <v>2023</v>
      </c>
      <c r="C313" s="18">
        <v>2023</v>
      </c>
      <c r="D313" t="s">
        <v>1</v>
      </c>
      <c r="E313" t="s">
        <v>331</v>
      </c>
      <c r="F313">
        <v>180</v>
      </c>
      <c r="G313">
        <v>91</v>
      </c>
      <c r="H313">
        <v>220</v>
      </c>
      <c r="J313" t="s">
        <v>283</v>
      </c>
    </row>
    <row r="314" spans="1:10" x14ac:dyDescent="0.25">
      <c r="A314" s="10" t="str">
        <f t="shared" si="8"/>
        <v>2023-Fa-Fal-80-58-235</v>
      </c>
      <c r="B314" s="11" t="str">
        <f t="shared" si="9"/>
        <v>2023</v>
      </c>
      <c r="C314" s="18">
        <v>2023</v>
      </c>
      <c r="D314" t="s">
        <v>1</v>
      </c>
      <c r="E314" t="s">
        <v>320</v>
      </c>
      <c r="F314">
        <v>80</v>
      </c>
      <c r="G314">
        <v>58</v>
      </c>
      <c r="H314">
        <v>235</v>
      </c>
      <c r="J314" t="s">
        <v>232</v>
      </c>
    </row>
    <row r="315" spans="1:10" x14ac:dyDescent="0.25">
      <c r="A315" s="10" t="str">
        <f t="shared" si="8"/>
        <v>2023-Fa-Fal-90-62-235</v>
      </c>
      <c r="B315" s="11" t="str">
        <f t="shared" si="9"/>
        <v>2023</v>
      </c>
      <c r="C315" s="18">
        <v>2023</v>
      </c>
      <c r="D315" t="s">
        <v>1</v>
      </c>
      <c r="E315" t="s">
        <v>321</v>
      </c>
      <c r="F315">
        <v>90</v>
      </c>
      <c r="G315">
        <v>62</v>
      </c>
      <c r="H315">
        <v>235</v>
      </c>
      <c r="J315" t="s">
        <v>232</v>
      </c>
    </row>
    <row r="316" spans="1:10" x14ac:dyDescent="0.25">
      <c r="A316" s="10" t="str">
        <f t="shared" si="8"/>
        <v>2023-Fa-Fal-97-63-235</v>
      </c>
      <c r="B316" s="11" t="str">
        <f t="shared" si="9"/>
        <v>2023</v>
      </c>
      <c r="C316" s="18">
        <v>2023</v>
      </c>
      <c r="D316" t="s">
        <v>1</v>
      </c>
      <c r="E316" t="s">
        <v>322</v>
      </c>
      <c r="F316">
        <v>97</v>
      </c>
      <c r="G316">
        <v>63</v>
      </c>
      <c r="H316">
        <v>235</v>
      </c>
      <c r="J316" t="s">
        <v>232</v>
      </c>
    </row>
    <row r="317" spans="1:10" x14ac:dyDescent="0.25">
      <c r="A317" s="10" t="str">
        <f t="shared" si="8"/>
        <v>2023-Fa-Fre-105-63-231</v>
      </c>
      <c r="B317" s="11" t="str">
        <f t="shared" si="9"/>
        <v>2023</v>
      </c>
      <c r="C317" s="18">
        <v>2023</v>
      </c>
      <c r="D317" t="s">
        <v>1</v>
      </c>
      <c r="E317" t="s">
        <v>300</v>
      </c>
      <c r="F317">
        <v>105</v>
      </c>
      <c r="G317">
        <v>63</v>
      </c>
      <c r="H317">
        <v>231</v>
      </c>
      <c r="J317" t="s">
        <v>282</v>
      </c>
    </row>
    <row r="318" spans="1:10" x14ac:dyDescent="0.25">
      <c r="A318" s="10" t="str">
        <f t="shared" si="8"/>
        <v>2023-Fa-Fre-115-65-232</v>
      </c>
      <c r="B318" s="11" t="str">
        <f t="shared" si="9"/>
        <v>2023</v>
      </c>
      <c r="C318" s="18">
        <v>2023</v>
      </c>
      <c r="D318" t="s">
        <v>1</v>
      </c>
      <c r="E318" t="s">
        <v>301</v>
      </c>
      <c r="F318">
        <v>115</v>
      </c>
      <c r="G318">
        <v>65.5</v>
      </c>
      <c r="H318">
        <v>232</v>
      </c>
      <c r="J318" t="s">
        <v>282</v>
      </c>
    </row>
    <row r="319" spans="1:10" x14ac:dyDescent="0.25">
      <c r="A319" s="10" t="str">
        <f t="shared" si="8"/>
        <v>2023-Fa-Fre-125-68-234</v>
      </c>
      <c r="B319" s="11" t="str">
        <f t="shared" si="9"/>
        <v>2023</v>
      </c>
      <c r="C319" s="18">
        <v>2023</v>
      </c>
      <c r="D319" t="s">
        <v>1</v>
      </c>
      <c r="E319" t="s">
        <v>302</v>
      </c>
      <c r="F319">
        <v>125</v>
      </c>
      <c r="G319">
        <v>68</v>
      </c>
      <c r="H319">
        <v>234</v>
      </c>
      <c r="J319" t="s">
        <v>282</v>
      </c>
    </row>
    <row r="320" spans="1:10" x14ac:dyDescent="0.25">
      <c r="A320" s="10" t="str">
        <f t="shared" si="8"/>
        <v>2023-Fa-Fre-75-56-228</v>
      </c>
      <c r="B320" s="11" t="str">
        <f t="shared" si="9"/>
        <v>2023</v>
      </c>
      <c r="C320" s="18">
        <v>2023</v>
      </c>
      <c r="D320" t="s">
        <v>1</v>
      </c>
      <c r="E320" t="s">
        <v>297</v>
      </c>
      <c r="F320">
        <v>75</v>
      </c>
      <c r="G320">
        <v>56</v>
      </c>
      <c r="H320">
        <v>228</v>
      </c>
      <c r="J320" t="s">
        <v>282</v>
      </c>
    </row>
    <row r="321" spans="1:10" x14ac:dyDescent="0.25">
      <c r="A321" s="10" t="str">
        <f t="shared" si="8"/>
        <v>2023-Fa-Fre-85-58-229</v>
      </c>
      <c r="B321" s="11" t="str">
        <f t="shared" si="9"/>
        <v>2023</v>
      </c>
      <c r="C321" s="18">
        <v>2023</v>
      </c>
      <c r="D321" t="s">
        <v>1</v>
      </c>
      <c r="E321" t="s">
        <v>298</v>
      </c>
      <c r="F321">
        <v>85</v>
      </c>
      <c r="G321">
        <v>58.5</v>
      </c>
      <c r="H321">
        <v>229</v>
      </c>
      <c r="J321" t="s">
        <v>282</v>
      </c>
    </row>
    <row r="322" spans="1:10" x14ac:dyDescent="0.25">
      <c r="A322" s="10" t="str">
        <f t="shared" ref="A322:A385" si="10">_xlfn.CONCAT(B322,"-",LEFT(D322,2),"-",LEFT(E322,3),"-",F322,"-",TRUNC(G322),"-",TRUNC(H322))</f>
        <v>2023-Fa-Fre-95-61-230</v>
      </c>
      <c r="B322" s="11" t="str">
        <f t="shared" ref="B322:B385" si="11">LEFT(C322,4)</f>
        <v>2023</v>
      </c>
      <c r="C322" s="18">
        <v>2023</v>
      </c>
      <c r="D322" t="s">
        <v>1</v>
      </c>
      <c r="E322" t="s">
        <v>299</v>
      </c>
      <c r="F322">
        <v>95</v>
      </c>
      <c r="G322">
        <v>61</v>
      </c>
      <c r="H322">
        <v>230</v>
      </c>
      <c r="J322" t="s">
        <v>282</v>
      </c>
    </row>
    <row r="323" spans="1:10" x14ac:dyDescent="0.25">
      <c r="A323" s="10" t="str">
        <f t="shared" si="10"/>
        <v>2023-Fa-Gec-100-66-239</v>
      </c>
      <c r="B323" s="11" t="str">
        <f t="shared" si="11"/>
        <v>2023</v>
      </c>
      <c r="C323" s="18">
        <v>2023</v>
      </c>
      <c r="D323" t="s">
        <v>1</v>
      </c>
      <c r="E323" t="s">
        <v>307</v>
      </c>
      <c r="F323">
        <v>100</v>
      </c>
      <c r="G323">
        <v>66</v>
      </c>
      <c r="H323">
        <v>239</v>
      </c>
      <c r="J323" t="s">
        <v>179</v>
      </c>
    </row>
    <row r="324" spans="1:10" x14ac:dyDescent="0.25">
      <c r="A324" s="10" t="str">
        <f t="shared" si="10"/>
        <v>2023-Fa-Gec-110-69-239</v>
      </c>
      <c r="B324" s="11" t="str">
        <f t="shared" si="11"/>
        <v>2023</v>
      </c>
      <c r="C324" s="18">
        <v>2023</v>
      </c>
      <c r="D324" t="s">
        <v>1</v>
      </c>
      <c r="E324" t="s">
        <v>308</v>
      </c>
      <c r="F324">
        <v>110</v>
      </c>
      <c r="G324">
        <v>69</v>
      </c>
      <c r="H324">
        <v>239</v>
      </c>
      <c r="J324" t="s">
        <v>179</v>
      </c>
    </row>
    <row r="325" spans="1:10" x14ac:dyDescent="0.25">
      <c r="A325" s="10" t="str">
        <f t="shared" si="10"/>
        <v>2023-Fa-Gec-122-76-242</v>
      </c>
      <c r="B325" s="11" t="str">
        <f t="shared" si="11"/>
        <v>2023</v>
      </c>
      <c r="C325" s="18">
        <v>2023</v>
      </c>
      <c r="D325" t="s">
        <v>1</v>
      </c>
      <c r="E325" t="s">
        <v>309</v>
      </c>
      <c r="F325">
        <v>122</v>
      </c>
      <c r="G325">
        <v>76</v>
      </c>
      <c r="H325">
        <v>242</v>
      </c>
      <c r="J325" t="s">
        <v>179</v>
      </c>
    </row>
    <row r="326" spans="1:10" x14ac:dyDescent="0.25">
      <c r="A326" s="10" t="str">
        <f t="shared" si="10"/>
        <v>2023-Fa-Gec-135-79-246</v>
      </c>
      <c r="B326" s="11" t="str">
        <f t="shared" si="11"/>
        <v>2023</v>
      </c>
      <c r="C326" s="18">
        <v>2023</v>
      </c>
      <c r="D326" t="s">
        <v>1</v>
      </c>
      <c r="E326" t="s">
        <v>310</v>
      </c>
      <c r="F326">
        <v>135</v>
      </c>
      <c r="G326">
        <v>79</v>
      </c>
      <c r="H326">
        <v>246</v>
      </c>
      <c r="J326" t="s">
        <v>179</v>
      </c>
    </row>
    <row r="327" spans="1:10" x14ac:dyDescent="0.25">
      <c r="A327" s="10" t="str">
        <f t="shared" si="10"/>
        <v>2023-Fa-Gec-148-83-250</v>
      </c>
      <c r="B327" s="11" t="str">
        <f t="shared" si="11"/>
        <v>2023</v>
      </c>
      <c r="C327" s="18">
        <v>2023</v>
      </c>
      <c r="D327" t="s">
        <v>1</v>
      </c>
      <c r="E327" t="s">
        <v>311</v>
      </c>
      <c r="F327">
        <v>148</v>
      </c>
      <c r="G327">
        <v>83</v>
      </c>
      <c r="H327">
        <v>250</v>
      </c>
      <c r="J327" t="s">
        <v>179</v>
      </c>
    </row>
    <row r="328" spans="1:10" x14ac:dyDescent="0.25">
      <c r="A328" s="10" t="str">
        <f t="shared" si="10"/>
        <v>2023-Fa-Gec-156-85-252</v>
      </c>
      <c r="B328" s="11" t="str">
        <f t="shared" si="11"/>
        <v>2023</v>
      </c>
      <c r="C328" s="18">
        <v>2023</v>
      </c>
      <c r="D328" t="s">
        <v>1</v>
      </c>
      <c r="E328" t="s">
        <v>312</v>
      </c>
      <c r="F328">
        <v>156</v>
      </c>
      <c r="G328">
        <v>85</v>
      </c>
      <c r="H328">
        <v>252</v>
      </c>
      <c r="J328" t="s">
        <v>179</v>
      </c>
    </row>
    <row r="329" spans="1:10" x14ac:dyDescent="0.25">
      <c r="A329" s="10" t="str">
        <f t="shared" si="10"/>
        <v>2023-Fa-Gri-107-64-230</v>
      </c>
      <c r="B329" s="11" t="str">
        <f t="shared" si="11"/>
        <v>2023</v>
      </c>
      <c r="C329" s="18">
        <v>2023</v>
      </c>
      <c r="D329" t="s">
        <v>1</v>
      </c>
      <c r="E329" t="s">
        <v>289</v>
      </c>
      <c r="F329">
        <v>107</v>
      </c>
      <c r="G329">
        <v>64</v>
      </c>
      <c r="H329">
        <v>230</v>
      </c>
      <c r="J329" t="s">
        <v>280</v>
      </c>
    </row>
    <row r="330" spans="1:10" x14ac:dyDescent="0.25">
      <c r="A330" s="10" t="str">
        <f t="shared" si="10"/>
        <v>2023-Fa-Gri-69-54-220</v>
      </c>
      <c r="B330" s="11" t="str">
        <f t="shared" si="11"/>
        <v>2023</v>
      </c>
      <c r="C330" s="18">
        <v>2023</v>
      </c>
      <c r="D330" t="s">
        <v>1</v>
      </c>
      <c r="E330" t="s">
        <v>285</v>
      </c>
      <c r="F330">
        <v>69</v>
      </c>
      <c r="G330">
        <v>54</v>
      </c>
      <c r="H330">
        <v>220</v>
      </c>
      <c r="J330" t="s">
        <v>280</v>
      </c>
    </row>
    <row r="331" spans="1:10" x14ac:dyDescent="0.25">
      <c r="A331" s="10" t="str">
        <f t="shared" si="10"/>
        <v>2023-Fa-Gri-76-56-223</v>
      </c>
      <c r="B331" s="11" t="str">
        <f t="shared" si="11"/>
        <v>2023</v>
      </c>
      <c r="C331" s="18">
        <v>2023</v>
      </c>
      <c r="D331" t="s">
        <v>1</v>
      </c>
      <c r="E331" t="s">
        <v>144</v>
      </c>
      <c r="F331">
        <v>76</v>
      </c>
      <c r="G331">
        <v>56</v>
      </c>
      <c r="H331">
        <v>223</v>
      </c>
      <c r="J331" t="s">
        <v>280</v>
      </c>
    </row>
    <row r="332" spans="1:10" x14ac:dyDescent="0.25">
      <c r="A332" s="10" t="str">
        <f t="shared" si="10"/>
        <v>2023-Fa-Gri-81-57-224</v>
      </c>
      <c r="B332" s="11" t="str">
        <f t="shared" si="11"/>
        <v>2023</v>
      </c>
      <c r="C332" s="18">
        <v>2023</v>
      </c>
      <c r="D332" t="s">
        <v>1</v>
      </c>
      <c r="E332" t="s">
        <v>286</v>
      </c>
      <c r="F332">
        <v>81</v>
      </c>
      <c r="G332">
        <v>57.5</v>
      </c>
      <c r="H332">
        <v>224</v>
      </c>
      <c r="J332" t="s">
        <v>280</v>
      </c>
    </row>
    <row r="333" spans="1:10" x14ac:dyDescent="0.25">
      <c r="A333" s="10" t="str">
        <f t="shared" si="10"/>
        <v>2023-Fa-Gri-87-59-225</v>
      </c>
      <c r="B333" s="11" t="str">
        <f t="shared" si="11"/>
        <v>2023</v>
      </c>
      <c r="C333" s="18">
        <v>2023</v>
      </c>
      <c r="D333" t="s">
        <v>1</v>
      </c>
      <c r="E333" t="s">
        <v>287</v>
      </c>
      <c r="F333">
        <v>87</v>
      </c>
      <c r="G333">
        <v>59</v>
      </c>
      <c r="H333">
        <v>225</v>
      </c>
      <c r="J333" t="s">
        <v>280</v>
      </c>
    </row>
    <row r="334" spans="1:10" x14ac:dyDescent="0.25">
      <c r="A334" s="10" t="str">
        <f t="shared" si="10"/>
        <v>2023-Fa-Gri-93-60-226</v>
      </c>
      <c r="B334" s="11" t="str">
        <f t="shared" si="11"/>
        <v>2023</v>
      </c>
      <c r="C334" s="18">
        <v>2023</v>
      </c>
      <c r="D334" t="s">
        <v>1</v>
      </c>
      <c r="E334" t="s">
        <v>288</v>
      </c>
      <c r="F334">
        <v>93</v>
      </c>
      <c r="G334">
        <v>60</v>
      </c>
      <c r="H334">
        <v>226</v>
      </c>
      <c r="J334" t="s">
        <v>280</v>
      </c>
    </row>
    <row r="335" spans="1:10" x14ac:dyDescent="0.25">
      <c r="A335" s="10" t="str">
        <f t="shared" si="10"/>
        <v>2023-Fa-Gri-99-62-227</v>
      </c>
      <c r="B335" s="11" t="str">
        <f t="shared" si="11"/>
        <v>2023</v>
      </c>
      <c r="C335" s="18">
        <v>2023</v>
      </c>
      <c r="D335" t="s">
        <v>1</v>
      </c>
      <c r="E335" t="s">
        <v>150</v>
      </c>
      <c r="F335">
        <v>99</v>
      </c>
      <c r="G335">
        <v>62</v>
      </c>
      <c r="H335">
        <v>227</v>
      </c>
      <c r="J335" t="s">
        <v>280</v>
      </c>
    </row>
    <row r="336" spans="1:10" x14ac:dyDescent="0.25">
      <c r="A336" s="10" t="str">
        <f t="shared" si="10"/>
        <v>2023-Fa-Jag-110-70-230</v>
      </c>
      <c r="B336" s="11" t="str">
        <f t="shared" si="11"/>
        <v>2023</v>
      </c>
      <c r="C336" s="18">
        <v>2023</v>
      </c>
      <c r="D336" t="s">
        <v>1</v>
      </c>
      <c r="E336" t="s">
        <v>316</v>
      </c>
      <c r="F336">
        <v>110</v>
      </c>
      <c r="G336">
        <v>70</v>
      </c>
      <c r="H336">
        <v>230</v>
      </c>
      <c r="J336" t="s">
        <v>283</v>
      </c>
    </row>
    <row r="337" spans="1:12" x14ac:dyDescent="0.25">
      <c r="A337" s="10" t="str">
        <f t="shared" si="10"/>
        <v>2023-Fa-Jag-128-80-232</v>
      </c>
      <c r="B337" s="11" t="str">
        <f t="shared" si="11"/>
        <v>2023</v>
      </c>
      <c r="C337" s="18">
        <v>2023</v>
      </c>
      <c r="D337" t="s">
        <v>1</v>
      </c>
      <c r="E337" t="s">
        <v>317</v>
      </c>
      <c r="F337">
        <v>128</v>
      </c>
      <c r="G337">
        <v>80</v>
      </c>
      <c r="H337">
        <v>232</v>
      </c>
      <c r="J337" t="s">
        <v>283</v>
      </c>
    </row>
    <row r="338" spans="1:12" x14ac:dyDescent="0.25">
      <c r="A338" s="10" t="str">
        <f t="shared" si="10"/>
        <v>2023-Fa-Jag-138-85-232</v>
      </c>
      <c r="B338" s="11" t="str">
        <f t="shared" si="11"/>
        <v>2023</v>
      </c>
      <c r="C338" s="18">
        <v>2023</v>
      </c>
      <c r="D338" t="s">
        <v>1</v>
      </c>
      <c r="E338" t="s">
        <v>318</v>
      </c>
      <c r="F338">
        <v>138</v>
      </c>
      <c r="G338">
        <v>85</v>
      </c>
      <c r="H338">
        <v>232</v>
      </c>
      <c r="J338" t="s">
        <v>283</v>
      </c>
    </row>
    <row r="339" spans="1:12" x14ac:dyDescent="0.25">
      <c r="A339" s="10" t="str">
        <f t="shared" si="10"/>
        <v>2023-Fa-Jag-158-90-235</v>
      </c>
      <c r="B339" s="11" t="str">
        <f t="shared" si="11"/>
        <v>2023</v>
      </c>
      <c r="C339" s="18">
        <v>2023</v>
      </c>
      <c r="D339" t="s">
        <v>1</v>
      </c>
      <c r="E339" t="s">
        <v>319</v>
      </c>
      <c r="F339">
        <v>158</v>
      </c>
      <c r="G339">
        <v>90</v>
      </c>
      <c r="H339">
        <v>235</v>
      </c>
      <c r="J339" t="s">
        <v>283</v>
      </c>
    </row>
    <row r="340" spans="1:12" x14ac:dyDescent="0.25">
      <c r="A340" s="10" t="str">
        <f t="shared" si="10"/>
        <v>2023-Fa-Jag-94-61-230</v>
      </c>
      <c r="B340" s="11" t="str">
        <f t="shared" si="11"/>
        <v>2023</v>
      </c>
      <c r="C340" s="18">
        <v>2023</v>
      </c>
      <c r="D340" t="s">
        <v>1</v>
      </c>
      <c r="E340" t="s">
        <v>315</v>
      </c>
      <c r="F340">
        <v>94</v>
      </c>
      <c r="G340">
        <v>61</v>
      </c>
      <c r="H340">
        <v>230</v>
      </c>
      <c r="J340" t="s">
        <v>232</v>
      </c>
    </row>
    <row r="341" spans="1:12" x14ac:dyDescent="0.25">
      <c r="A341" s="10" t="str">
        <f t="shared" si="10"/>
        <v>2023-Fa-Mam-104-62-224</v>
      </c>
      <c r="B341" s="11" t="str">
        <f t="shared" si="11"/>
        <v>2023</v>
      </c>
      <c r="C341" s="18">
        <v>2023</v>
      </c>
      <c r="D341" t="s">
        <v>1</v>
      </c>
      <c r="E341" t="s">
        <v>293</v>
      </c>
      <c r="F341">
        <v>104</v>
      </c>
      <c r="G341">
        <v>62</v>
      </c>
      <c r="H341">
        <v>224</v>
      </c>
      <c r="J341" t="s">
        <v>281</v>
      </c>
    </row>
    <row r="342" spans="1:12" x14ac:dyDescent="0.25">
      <c r="A342" s="10" t="str">
        <f t="shared" si="10"/>
        <v>2023-Fa-Mam-78-56-218</v>
      </c>
      <c r="B342" s="11" t="str">
        <f t="shared" si="11"/>
        <v>2023</v>
      </c>
      <c r="C342" s="18">
        <v>2023</v>
      </c>
      <c r="D342" t="s">
        <v>1</v>
      </c>
      <c r="E342" t="s">
        <v>290</v>
      </c>
      <c r="F342">
        <v>78</v>
      </c>
      <c r="G342">
        <v>56</v>
      </c>
      <c r="H342">
        <v>218</v>
      </c>
      <c r="J342" t="s">
        <v>281</v>
      </c>
    </row>
    <row r="343" spans="1:12" x14ac:dyDescent="0.25">
      <c r="A343" s="10" t="str">
        <f t="shared" si="10"/>
        <v>2023-Fa-Mam-84-57-220</v>
      </c>
      <c r="B343" s="11" t="str">
        <f t="shared" si="11"/>
        <v>2023</v>
      </c>
      <c r="C343" s="18">
        <v>2023</v>
      </c>
      <c r="D343" t="s">
        <v>1</v>
      </c>
      <c r="E343" t="s">
        <v>291</v>
      </c>
      <c r="F343">
        <v>84</v>
      </c>
      <c r="G343">
        <v>57.5</v>
      </c>
      <c r="H343">
        <v>220</v>
      </c>
      <c r="J343" t="s">
        <v>281</v>
      </c>
    </row>
    <row r="344" spans="1:12" x14ac:dyDescent="0.25">
      <c r="A344" s="10" t="str">
        <f t="shared" si="10"/>
        <v>2023-Fa-Mam-94-60-222</v>
      </c>
      <c r="B344" s="11" t="str">
        <f t="shared" si="11"/>
        <v>2023</v>
      </c>
      <c r="C344" s="18">
        <v>2023</v>
      </c>
      <c r="D344" t="s">
        <v>1</v>
      </c>
      <c r="E344" t="s">
        <v>292</v>
      </c>
      <c r="F344">
        <v>94</v>
      </c>
      <c r="G344">
        <v>60</v>
      </c>
      <c r="H344">
        <v>222</v>
      </c>
      <c r="J344" t="s">
        <v>281</v>
      </c>
    </row>
    <row r="345" spans="1:12" x14ac:dyDescent="0.25">
      <c r="A345" s="10" t="str">
        <f t="shared" si="10"/>
        <v>2023-Fa-Ska-108-67-226</v>
      </c>
      <c r="B345" s="11" t="str">
        <f t="shared" si="11"/>
        <v>2023</v>
      </c>
      <c r="C345" s="18">
        <v>2023</v>
      </c>
      <c r="D345" t="s">
        <v>1</v>
      </c>
      <c r="E345" t="s">
        <v>186</v>
      </c>
      <c r="F345">
        <v>108</v>
      </c>
      <c r="G345">
        <v>67</v>
      </c>
      <c r="H345">
        <v>226</v>
      </c>
      <c r="J345" t="s">
        <v>179</v>
      </c>
    </row>
    <row r="346" spans="1:12" x14ac:dyDescent="0.25">
      <c r="A346" s="10" t="str">
        <f t="shared" si="10"/>
        <v>2023-Fa-Ska-85-60-220</v>
      </c>
      <c r="B346" s="11" t="str">
        <f t="shared" si="11"/>
        <v>2023</v>
      </c>
      <c r="C346" s="18">
        <v>2023</v>
      </c>
      <c r="D346" t="s">
        <v>1</v>
      </c>
      <c r="E346" t="s">
        <v>294</v>
      </c>
      <c r="F346">
        <v>85</v>
      </c>
      <c r="G346">
        <v>60</v>
      </c>
      <c r="H346">
        <v>220</v>
      </c>
      <c r="J346" t="s">
        <v>179</v>
      </c>
    </row>
    <row r="347" spans="1:12" x14ac:dyDescent="0.25">
      <c r="A347" s="10" t="str">
        <f t="shared" si="10"/>
        <v>2023-Fa-Ska-91-62-216</v>
      </c>
      <c r="B347" s="11" t="str">
        <f t="shared" si="11"/>
        <v>2023</v>
      </c>
      <c r="C347" s="18">
        <v>2023</v>
      </c>
      <c r="D347" t="s">
        <v>1</v>
      </c>
      <c r="E347" t="s">
        <v>295</v>
      </c>
      <c r="F347">
        <v>91</v>
      </c>
      <c r="G347">
        <v>62</v>
      </c>
      <c r="H347">
        <v>216</v>
      </c>
      <c r="J347" t="s">
        <v>179</v>
      </c>
    </row>
    <row r="348" spans="1:12" x14ac:dyDescent="0.25">
      <c r="A348" s="10" t="str">
        <f t="shared" si="10"/>
        <v>2023-Fa-Ska-99-65-225</v>
      </c>
      <c r="B348" s="11" t="str">
        <f t="shared" si="11"/>
        <v>2023</v>
      </c>
      <c r="C348" s="18">
        <v>2023</v>
      </c>
      <c r="D348" t="s">
        <v>1</v>
      </c>
      <c r="E348" t="s">
        <v>296</v>
      </c>
      <c r="F348">
        <v>99</v>
      </c>
      <c r="G348">
        <v>65</v>
      </c>
      <c r="H348">
        <v>225</v>
      </c>
      <c r="J348" t="s">
        <v>179</v>
      </c>
    </row>
    <row r="349" spans="1:12" x14ac:dyDescent="0.25">
      <c r="A349" s="10" t="str">
        <f t="shared" si="10"/>
        <v>2023-Fa-Sti-115-70-204</v>
      </c>
      <c r="B349" s="11" t="str">
        <f t="shared" si="11"/>
        <v>2023</v>
      </c>
      <c r="C349" s="18">
        <v>2023</v>
      </c>
      <c r="D349" t="s">
        <v>1</v>
      </c>
      <c r="E349" t="s">
        <v>327</v>
      </c>
      <c r="F349">
        <v>115</v>
      </c>
      <c r="G349">
        <v>70</v>
      </c>
      <c r="H349">
        <v>204</v>
      </c>
      <c r="J349" t="s">
        <v>284</v>
      </c>
    </row>
    <row r="350" spans="1:12" x14ac:dyDescent="0.25">
      <c r="A350" s="10" t="str">
        <f t="shared" si="10"/>
        <v>2023-Fa-Sti-130-75-211</v>
      </c>
      <c r="B350" s="11" t="str">
        <f t="shared" si="11"/>
        <v>2023</v>
      </c>
      <c r="C350" s="18">
        <v>2023</v>
      </c>
      <c r="D350" t="s">
        <v>1</v>
      </c>
      <c r="E350" t="s">
        <v>328</v>
      </c>
      <c r="F350">
        <v>130</v>
      </c>
      <c r="G350">
        <v>75</v>
      </c>
      <c r="H350">
        <v>211</v>
      </c>
      <c r="J350" t="s">
        <v>284</v>
      </c>
    </row>
    <row r="351" spans="1:12" x14ac:dyDescent="0.25">
      <c r="A351" s="10" t="str">
        <f t="shared" si="10"/>
        <v>2024-JP-Sla-117-72-228</v>
      </c>
      <c r="B351" s="11" t="str">
        <f t="shared" si="11"/>
        <v>2024</v>
      </c>
      <c r="C351" s="18">
        <v>2024</v>
      </c>
      <c r="D351" t="s">
        <v>345</v>
      </c>
      <c r="E351" t="s">
        <v>343</v>
      </c>
      <c r="F351">
        <v>117</v>
      </c>
      <c r="G351">
        <v>72</v>
      </c>
      <c r="H351">
        <v>228</v>
      </c>
      <c r="J351" t="s">
        <v>336</v>
      </c>
      <c r="L351" t="s">
        <v>337</v>
      </c>
    </row>
    <row r="352" spans="1:12" x14ac:dyDescent="0.25">
      <c r="A352" s="10" t="str">
        <f t="shared" si="10"/>
        <v>2024-JP-Sla-139-85-228</v>
      </c>
      <c r="B352" s="11" t="str">
        <f t="shared" si="11"/>
        <v>2024</v>
      </c>
      <c r="C352" s="18">
        <v>2024</v>
      </c>
      <c r="D352" t="s">
        <v>345</v>
      </c>
      <c r="E352" t="s">
        <v>344</v>
      </c>
      <c r="F352">
        <v>139</v>
      </c>
      <c r="G352">
        <v>85</v>
      </c>
      <c r="H352">
        <v>228</v>
      </c>
      <c r="J352" t="s">
        <v>336</v>
      </c>
      <c r="L352" t="s">
        <v>338</v>
      </c>
    </row>
    <row r="353" spans="1:14" x14ac:dyDescent="0.25">
      <c r="A353" s="10" t="str">
        <f t="shared" si="10"/>
        <v>2024-JP-Sla-78-55-233</v>
      </c>
      <c r="B353" s="11" t="str">
        <f t="shared" si="11"/>
        <v>2024</v>
      </c>
      <c r="C353" s="18">
        <v>2024</v>
      </c>
      <c r="D353" t="s">
        <v>345</v>
      </c>
      <c r="E353" t="s">
        <v>341</v>
      </c>
      <c r="F353">
        <v>78</v>
      </c>
      <c r="G353">
        <v>55</v>
      </c>
      <c r="H353">
        <v>233</v>
      </c>
      <c r="J353" t="s">
        <v>333</v>
      </c>
      <c r="L353" t="s">
        <v>334</v>
      </c>
    </row>
    <row r="354" spans="1:14" x14ac:dyDescent="0.25">
      <c r="A354" s="10" t="str">
        <f t="shared" si="10"/>
        <v>2024-JP-Sla-97-62-233</v>
      </c>
      <c r="B354" s="11" t="str">
        <f t="shared" si="11"/>
        <v>2024</v>
      </c>
      <c r="C354" s="18">
        <v>2024</v>
      </c>
      <c r="D354" t="s">
        <v>345</v>
      </c>
      <c r="E354" t="s">
        <v>342</v>
      </c>
      <c r="F354">
        <v>97</v>
      </c>
      <c r="G354">
        <v>62.5</v>
      </c>
      <c r="H354">
        <v>233</v>
      </c>
      <c r="J354" t="s">
        <v>333</v>
      </c>
      <c r="L354" t="s">
        <v>335</v>
      </c>
    </row>
    <row r="355" spans="1:14" x14ac:dyDescent="0.25">
      <c r="A355" s="10" t="str">
        <f t="shared" si="10"/>
        <v>2026-JP-Sla-105-66-230</v>
      </c>
      <c r="B355" s="11" t="str">
        <f t="shared" si="11"/>
        <v>2026</v>
      </c>
      <c r="C355" s="18">
        <v>2026</v>
      </c>
      <c r="D355" t="s">
        <v>345</v>
      </c>
      <c r="E355" t="s">
        <v>352</v>
      </c>
      <c r="F355">
        <v>105</v>
      </c>
      <c r="G355">
        <v>66</v>
      </c>
      <c r="H355">
        <v>230</v>
      </c>
      <c r="I355" t="s">
        <v>346</v>
      </c>
      <c r="J355" t="s">
        <v>333</v>
      </c>
      <c r="K355" t="s">
        <v>271</v>
      </c>
      <c r="L355" t="s">
        <v>348</v>
      </c>
    </row>
    <row r="356" spans="1:14" x14ac:dyDescent="0.25">
      <c r="A356" s="10" t="str">
        <f t="shared" si="10"/>
        <v>2026-JP-Sla-117-72-228</v>
      </c>
      <c r="B356" s="11" t="str">
        <f t="shared" si="11"/>
        <v>2026</v>
      </c>
      <c r="C356" s="18">
        <v>2026</v>
      </c>
      <c r="D356" t="s">
        <v>345</v>
      </c>
      <c r="E356" t="s">
        <v>343</v>
      </c>
      <c r="F356">
        <v>117</v>
      </c>
      <c r="G356">
        <v>72</v>
      </c>
      <c r="H356">
        <v>228</v>
      </c>
      <c r="I356" t="s">
        <v>346</v>
      </c>
      <c r="J356" t="s">
        <v>333</v>
      </c>
      <c r="K356" t="s">
        <v>271</v>
      </c>
      <c r="L356" t="s">
        <v>349</v>
      </c>
    </row>
    <row r="357" spans="1:14" x14ac:dyDescent="0.25">
      <c r="A357" s="10" t="str">
        <f t="shared" si="10"/>
        <v>2026-JP-Sla-125-76-228</v>
      </c>
      <c r="B357" s="11" t="str">
        <f t="shared" si="11"/>
        <v>2026</v>
      </c>
      <c r="C357" s="18">
        <v>2026</v>
      </c>
      <c r="D357" t="s">
        <v>345</v>
      </c>
      <c r="E357" t="s">
        <v>353</v>
      </c>
      <c r="F357">
        <v>125</v>
      </c>
      <c r="G357">
        <v>76</v>
      </c>
      <c r="H357">
        <v>228</v>
      </c>
      <c r="I357" t="s">
        <v>346</v>
      </c>
      <c r="J357" t="s">
        <v>333</v>
      </c>
      <c r="K357" t="s">
        <v>271</v>
      </c>
      <c r="L357" t="s">
        <v>350</v>
      </c>
    </row>
    <row r="358" spans="1:14" x14ac:dyDescent="0.25">
      <c r="A358" s="10" t="str">
        <f t="shared" si="10"/>
        <v>2026-JP-Sla-139-85-228</v>
      </c>
      <c r="B358" s="11" t="str">
        <f t="shared" si="11"/>
        <v>2026</v>
      </c>
      <c r="C358" s="18">
        <v>2026</v>
      </c>
      <c r="D358" t="s">
        <v>345</v>
      </c>
      <c r="E358" t="s">
        <v>344</v>
      </c>
      <c r="F358">
        <v>139</v>
      </c>
      <c r="G358">
        <v>85</v>
      </c>
      <c r="H358">
        <v>228</v>
      </c>
      <c r="I358" t="s">
        <v>346</v>
      </c>
      <c r="J358" t="s">
        <v>333</v>
      </c>
      <c r="K358" t="s">
        <v>271</v>
      </c>
      <c r="L358" t="s">
        <v>351</v>
      </c>
    </row>
    <row r="359" spans="1:14" x14ac:dyDescent="0.25">
      <c r="A359" s="10" t="str">
        <f t="shared" si="10"/>
        <v>2026-JP-Sla-97-62-230</v>
      </c>
      <c r="B359" s="11" t="str">
        <f t="shared" si="11"/>
        <v>2026</v>
      </c>
      <c r="C359" s="18">
        <v>2026</v>
      </c>
      <c r="D359" t="s">
        <v>345</v>
      </c>
      <c r="E359" t="s">
        <v>342</v>
      </c>
      <c r="F359">
        <v>97</v>
      </c>
      <c r="G359">
        <v>62.5</v>
      </c>
      <c r="H359">
        <v>230</v>
      </c>
      <c r="I359" t="s">
        <v>346</v>
      </c>
      <c r="J359" t="s">
        <v>333</v>
      </c>
      <c r="K359" t="s">
        <v>271</v>
      </c>
      <c r="L359" t="s">
        <v>347</v>
      </c>
    </row>
    <row r="360" spans="1:14" x14ac:dyDescent="0.25">
      <c r="A360" s="10" t="str">
        <f t="shared" si="10"/>
        <v>2014-RR-X-F-90-59-235</v>
      </c>
      <c r="B360" s="11" t="str">
        <f t="shared" si="11"/>
        <v>2014</v>
      </c>
      <c r="C360" s="18">
        <v>2014</v>
      </c>
      <c r="D360" t="s">
        <v>1616</v>
      </c>
      <c r="E360" t="s">
        <v>2055</v>
      </c>
      <c r="F360">
        <v>90</v>
      </c>
      <c r="G360">
        <v>59</v>
      </c>
      <c r="H360">
        <v>235</v>
      </c>
      <c r="J360" t="s">
        <v>333</v>
      </c>
      <c r="L360" t="s">
        <v>2045</v>
      </c>
      <c r="M360" t="s">
        <v>2044</v>
      </c>
    </row>
    <row r="361" spans="1:14" x14ac:dyDescent="0.25">
      <c r="A361" s="10" t="str">
        <f t="shared" si="10"/>
        <v>2014-RR-X-F-98-61-235</v>
      </c>
      <c r="B361" s="11" t="str">
        <f t="shared" si="11"/>
        <v>2014</v>
      </c>
      <c r="C361" s="18">
        <v>2014</v>
      </c>
      <c r="D361" t="s">
        <v>1616</v>
      </c>
      <c r="E361" t="s">
        <v>2056</v>
      </c>
      <c r="F361">
        <v>98</v>
      </c>
      <c r="G361">
        <v>61.5</v>
      </c>
      <c r="H361">
        <v>235</v>
      </c>
      <c r="J361" t="s">
        <v>333</v>
      </c>
      <c r="L361" t="s">
        <v>2047</v>
      </c>
      <c r="M361" t="s">
        <v>2046</v>
      </c>
    </row>
    <row r="362" spans="1:14" x14ac:dyDescent="0.25">
      <c r="A362" s="10" t="str">
        <f t="shared" si="10"/>
        <v>2014-RR-X-F-105-65-235</v>
      </c>
      <c r="B362" s="11" t="str">
        <f t="shared" si="11"/>
        <v>2014</v>
      </c>
      <c r="C362" s="18">
        <v>2014</v>
      </c>
      <c r="D362" t="s">
        <v>1616</v>
      </c>
      <c r="E362" t="s">
        <v>2057</v>
      </c>
      <c r="F362">
        <v>105</v>
      </c>
      <c r="G362">
        <v>65</v>
      </c>
      <c r="H362">
        <v>235</v>
      </c>
      <c r="J362" t="s">
        <v>333</v>
      </c>
      <c r="L362" t="s">
        <v>2049</v>
      </c>
      <c r="M362" t="s">
        <v>2048</v>
      </c>
    </row>
    <row r="363" spans="1:14" x14ac:dyDescent="0.25">
      <c r="A363" s="10" t="str">
        <f t="shared" si="10"/>
        <v>2014-RR-X-F-114-70-235</v>
      </c>
      <c r="B363" s="11" t="str">
        <f t="shared" si="11"/>
        <v>2014</v>
      </c>
      <c r="C363" s="18">
        <v>2014</v>
      </c>
      <c r="D363" t="s">
        <v>1616</v>
      </c>
      <c r="E363" t="s">
        <v>2058</v>
      </c>
      <c r="F363">
        <v>114</v>
      </c>
      <c r="G363">
        <v>70</v>
      </c>
      <c r="H363">
        <v>235</v>
      </c>
      <c r="J363" t="s">
        <v>333</v>
      </c>
      <c r="L363" t="s">
        <v>2050</v>
      </c>
      <c r="M363" t="s">
        <v>2048</v>
      </c>
    </row>
    <row r="364" spans="1:14" x14ac:dyDescent="0.25">
      <c r="A364" s="10" t="str">
        <f t="shared" si="10"/>
        <v>2014-RR-X-F-122-81-228</v>
      </c>
      <c r="B364" s="11" t="str">
        <f t="shared" si="11"/>
        <v>2014</v>
      </c>
      <c r="C364" s="18">
        <v>2014</v>
      </c>
      <c r="D364" t="s">
        <v>1616</v>
      </c>
      <c r="E364" t="s">
        <v>2059</v>
      </c>
      <c r="F364">
        <v>122</v>
      </c>
      <c r="G364">
        <v>81</v>
      </c>
      <c r="H364">
        <v>228</v>
      </c>
      <c r="J364" t="s">
        <v>333</v>
      </c>
      <c r="L364" t="s">
        <v>2052</v>
      </c>
      <c r="M364" t="s">
        <v>2051</v>
      </c>
    </row>
    <row r="365" spans="1:14" x14ac:dyDescent="0.25">
      <c r="A365" s="10" t="str">
        <f t="shared" si="10"/>
        <v>2014-RR-X-F-129-85-228</v>
      </c>
      <c r="B365" s="11" t="str">
        <f t="shared" si="11"/>
        <v>2014</v>
      </c>
      <c r="C365" s="18">
        <v>2014</v>
      </c>
      <c r="D365" t="s">
        <v>1616</v>
      </c>
      <c r="E365" t="s">
        <v>2060</v>
      </c>
      <c r="F365">
        <v>129</v>
      </c>
      <c r="G365">
        <v>85</v>
      </c>
      <c r="H365">
        <v>228</v>
      </c>
      <c r="J365" t="s">
        <v>333</v>
      </c>
      <c r="L365" t="s">
        <v>2054</v>
      </c>
      <c r="M365" t="s">
        <v>2053</v>
      </c>
    </row>
    <row r="366" spans="1:14" x14ac:dyDescent="0.25">
      <c r="A366" s="10" t="str">
        <f t="shared" ref="A366:A371" si="12">_xlfn.CONCAT(B366,"-",LEFT(D366,2),"-",LEFT(E366,3),"-",F366,"-",TRUNC(G366),"-",TRUNC(H366))</f>
        <v>2014-RR-HAR-68-53-227</v>
      </c>
      <c r="B366" s="11" t="str">
        <f t="shared" si="11"/>
        <v>2014</v>
      </c>
      <c r="C366" s="18">
        <v>2014</v>
      </c>
      <c r="D366" t="s">
        <v>1616</v>
      </c>
      <c r="E366" t="s">
        <v>2061</v>
      </c>
      <c r="F366">
        <v>68</v>
      </c>
      <c r="G366">
        <v>53.5</v>
      </c>
      <c r="H366">
        <v>227</v>
      </c>
      <c r="K366" t="s">
        <v>2241</v>
      </c>
      <c r="L366" t="s">
        <v>2062</v>
      </c>
      <c r="M366">
        <v>6.4</v>
      </c>
      <c r="N366" t="s">
        <v>2063</v>
      </c>
    </row>
    <row r="367" spans="1:14" x14ac:dyDescent="0.25">
      <c r="A367" s="10" t="str">
        <f t="shared" si="12"/>
        <v>2014-RR-HAR-78-55-227</v>
      </c>
      <c r="B367" s="11" t="str">
        <f t="shared" si="11"/>
        <v>2014</v>
      </c>
      <c r="C367" s="18" t="s">
        <v>733</v>
      </c>
      <c r="D367" t="s">
        <v>1616</v>
      </c>
      <c r="E367" t="s">
        <v>2061</v>
      </c>
      <c r="F367">
        <v>78</v>
      </c>
      <c r="G367">
        <v>55.5</v>
      </c>
      <c r="H367">
        <v>227</v>
      </c>
      <c r="K367" t="s">
        <v>2242</v>
      </c>
      <c r="L367" t="s">
        <v>2064</v>
      </c>
      <c r="M367">
        <v>6.6</v>
      </c>
      <c r="N367" t="s">
        <v>2065</v>
      </c>
    </row>
    <row r="368" spans="1:14" x14ac:dyDescent="0.25">
      <c r="A368" s="10" t="str">
        <f t="shared" si="12"/>
        <v>2014-RR-HAR-88-58-228</v>
      </c>
      <c r="B368" s="11" t="str">
        <f t="shared" si="11"/>
        <v>2014</v>
      </c>
      <c r="C368" s="18" t="s">
        <v>733</v>
      </c>
      <c r="D368" t="s">
        <v>1616</v>
      </c>
      <c r="E368" t="s">
        <v>2061</v>
      </c>
      <c r="F368">
        <v>88</v>
      </c>
      <c r="G368">
        <v>58.5</v>
      </c>
      <c r="H368">
        <v>228</v>
      </c>
      <c r="K368" t="s">
        <v>2242</v>
      </c>
      <c r="L368" t="s">
        <v>2066</v>
      </c>
      <c r="M368">
        <v>6.7</v>
      </c>
      <c r="N368" t="s">
        <v>2067</v>
      </c>
    </row>
    <row r="369" spans="1:14" x14ac:dyDescent="0.25">
      <c r="A369" s="10" t="str">
        <f t="shared" si="12"/>
        <v>2014-RR-HAR-98-61-228</v>
      </c>
      <c r="B369" s="11" t="str">
        <f t="shared" si="11"/>
        <v>2014</v>
      </c>
      <c r="C369" s="18" t="s">
        <v>733</v>
      </c>
      <c r="D369" t="s">
        <v>1616</v>
      </c>
      <c r="E369" t="s">
        <v>2061</v>
      </c>
      <c r="F369">
        <v>98</v>
      </c>
      <c r="G369">
        <v>61</v>
      </c>
      <c r="H369">
        <v>228</v>
      </c>
      <c r="K369" t="s">
        <v>2242</v>
      </c>
      <c r="L369" t="s">
        <v>2068</v>
      </c>
      <c r="M369">
        <v>7</v>
      </c>
      <c r="N369" t="s">
        <v>2069</v>
      </c>
    </row>
    <row r="370" spans="1:14" x14ac:dyDescent="0.25">
      <c r="A370" s="10" t="str">
        <f t="shared" si="12"/>
        <v>2014-RR-WAV-75-57-229</v>
      </c>
      <c r="B370" s="11" t="str">
        <f t="shared" si="11"/>
        <v>2014</v>
      </c>
      <c r="C370" s="18" t="s">
        <v>733</v>
      </c>
      <c r="D370" t="s">
        <v>1616</v>
      </c>
      <c r="E370" t="s">
        <v>2070</v>
      </c>
      <c r="F370">
        <v>75</v>
      </c>
      <c r="G370">
        <v>57</v>
      </c>
      <c r="H370">
        <v>229</v>
      </c>
      <c r="K370" t="s">
        <v>2071</v>
      </c>
      <c r="L370" t="s">
        <v>2072</v>
      </c>
      <c r="M370">
        <v>6.4</v>
      </c>
      <c r="N370" t="s">
        <v>2073</v>
      </c>
    </row>
    <row r="371" spans="1:14" x14ac:dyDescent="0.25">
      <c r="A371" s="10" t="str">
        <f t="shared" si="12"/>
        <v>2014-RR-WAV-83-59-230</v>
      </c>
      <c r="B371" s="11" t="str">
        <f t="shared" si="11"/>
        <v>2014</v>
      </c>
      <c r="C371" s="18" t="s">
        <v>733</v>
      </c>
      <c r="D371" t="s">
        <v>1616</v>
      </c>
      <c r="E371" t="s">
        <v>2070</v>
      </c>
      <c r="F371">
        <v>83</v>
      </c>
      <c r="G371">
        <v>59</v>
      </c>
      <c r="H371">
        <v>230</v>
      </c>
      <c r="K371" t="s">
        <v>2071</v>
      </c>
      <c r="L371" t="s">
        <v>2074</v>
      </c>
      <c r="M371">
        <v>6.7</v>
      </c>
      <c r="N371" t="s">
        <v>2075</v>
      </c>
    </row>
    <row r="372" spans="1:14" x14ac:dyDescent="0.25">
      <c r="A372" s="10" t="str">
        <f t="shared" ref="A372:A435" si="13">_xlfn.CONCAT(B372,"-",LEFT(D372,2),"-",LEFT(E372,3),"-",F372,"-",TRUNC(G372),"-",TRUNC(H372))</f>
        <v>2014-RR-WAV-92-61-231</v>
      </c>
      <c r="B372" s="11" t="str">
        <f t="shared" si="11"/>
        <v>2014</v>
      </c>
      <c r="C372" s="18" t="s">
        <v>733</v>
      </c>
      <c r="D372" t="s">
        <v>1616</v>
      </c>
      <c r="E372" t="s">
        <v>2070</v>
      </c>
      <c r="F372">
        <v>92</v>
      </c>
      <c r="G372">
        <v>61</v>
      </c>
      <c r="H372">
        <v>231</v>
      </c>
      <c r="K372" t="s">
        <v>2076</v>
      </c>
      <c r="L372" t="s">
        <v>2077</v>
      </c>
      <c r="M372">
        <v>6.9</v>
      </c>
      <c r="N372" t="s">
        <v>2078</v>
      </c>
    </row>
    <row r="373" spans="1:14" x14ac:dyDescent="0.25">
      <c r="A373" s="10" t="str">
        <f t="shared" si="13"/>
        <v>2014-RR-WAV-100-62-233</v>
      </c>
      <c r="B373" s="11" t="str">
        <f t="shared" si="11"/>
        <v>2014</v>
      </c>
      <c r="C373" s="18" t="s">
        <v>733</v>
      </c>
      <c r="D373" t="s">
        <v>1616</v>
      </c>
      <c r="E373" t="s">
        <v>2070</v>
      </c>
      <c r="F373">
        <v>100</v>
      </c>
      <c r="G373">
        <v>62</v>
      </c>
      <c r="H373">
        <v>233</v>
      </c>
      <c r="K373" t="s">
        <v>2076</v>
      </c>
      <c r="L373" t="s">
        <v>2079</v>
      </c>
      <c r="M373">
        <v>7.1</v>
      </c>
      <c r="N373" t="s">
        <v>2080</v>
      </c>
    </row>
    <row r="374" spans="1:14" x14ac:dyDescent="0.25">
      <c r="A374" s="10" t="str">
        <f t="shared" si="13"/>
        <v>2014-RR-FIR-74-58-233</v>
      </c>
      <c r="B374" s="11" t="str">
        <f t="shared" si="11"/>
        <v>2014</v>
      </c>
      <c r="C374" s="18" t="s">
        <v>733</v>
      </c>
      <c r="D374" t="s">
        <v>1616</v>
      </c>
      <c r="E374" t="s">
        <v>2081</v>
      </c>
      <c r="F374">
        <v>74</v>
      </c>
      <c r="G374">
        <v>58</v>
      </c>
      <c r="H374">
        <v>233</v>
      </c>
      <c r="K374" t="s">
        <v>2082</v>
      </c>
      <c r="L374" t="s">
        <v>2083</v>
      </c>
      <c r="M374">
        <v>6.2</v>
      </c>
      <c r="N374" t="s">
        <v>2084</v>
      </c>
    </row>
    <row r="375" spans="1:14" x14ac:dyDescent="0.25">
      <c r="A375" s="10" t="str">
        <f t="shared" si="13"/>
        <v>2014-RR-FIR-82-60-233</v>
      </c>
      <c r="B375" s="11" t="str">
        <f t="shared" si="11"/>
        <v>2014</v>
      </c>
      <c r="C375" s="18" t="s">
        <v>733</v>
      </c>
      <c r="D375" t="s">
        <v>1616</v>
      </c>
      <c r="E375" t="s">
        <v>2081</v>
      </c>
      <c r="F375">
        <v>82</v>
      </c>
      <c r="G375">
        <v>60</v>
      </c>
      <c r="H375">
        <v>233</v>
      </c>
      <c r="K375" t="s">
        <v>2085</v>
      </c>
      <c r="L375" t="s">
        <v>2062</v>
      </c>
      <c r="M375">
        <v>6.5</v>
      </c>
      <c r="N375" t="s">
        <v>2086</v>
      </c>
    </row>
    <row r="376" spans="1:14" x14ac:dyDescent="0.25">
      <c r="A376" s="10" t="str">
        <f t="shared" si="13"/>
        <v>2014-RR-FIR-92-62-234</v>
      </c>
      <c r="B376" s="11" t="str">
        <f t="shared" si="11"/>
        <v>2014</v>
      </c>
      <c r="C376" s="18" t="s">
        <v>733</v>
      </c>
      <c r="D376" t="s">
        <v>1616</v>
      </c>
      <c r="E376" t="s">
        <v>2081</v>
      </c>
      <c r="F376">
        <v>92</v>
      </c>
      <c r="G376">
        <v>62</v>
      </c>
      <c r="H376">
        <v>234</v>
      </c>
      <c r="K376" t="s">
        <v>2087</v>
      </c>
      <c r="L376" t="s">
        <v>2064</v>
      </c>
      <c r="M376">
        <v>6.7</v>
      </c>
      <c r="N376" t="s">
        <v>2088</v>
      </c>
    </row>
    <row r="377" spans="1:14" x14ac:dyDescent="0.25">
      <c r="A377" s="10" t="str">
        <f t="shared" si="13"/>
        <v>2014-RR-FIR-102-64-235</v>
      </c>
      <c r="B377" s="11" t="str">
        <f t="shared" si="11"/>
        <v>2014</v>
      </c>
      <c r="C377" s="18" t="s">
        <v>733</v>
      </c>
      <c r="D377" t="s">
        <v>1616</v>
      </c>
      <c r="E377" t="s">
        <v>2081</v>
      </c>
      <c r="F377">
        <v>102</v>
      </c>
      <c r="G377">
        <v>64</v>
      </c>
      <c r="H377">
        <v>235</v>
      </c>
      <c r="K377" t="s">
        <v>2089</v>
      </c>
      <c r="L377" t="s">
        <v>2066</v>
      </c>
      <c r="M377">
        <v>6.8</v>
      </c>
      <c r="N377" t="s">
        <v>2090</v>
      </c>
    </row>
    <row r="378" spans="1:14" x14ac:dyDescent="0.25">
      <c r="A378" s="10" t="str">
        <f t="shared" si="13"/>
        <v>2014-RR-FIR-112-66-235</v>
      </c>
      <c r="B378" s="11" t="str">
        <f t="shared" si="11"/>
        <v>2014</v>
      </c>
      <c r="C378" s="18" t="s">
        <v>733</v>
      </c>
      <c r="D378" t="s">
        <v>1616</v>
      </c>
      <c r="E378" t="s">
        <v>2081</v>
      </c>
      <c r="F378">
        <v>112</v>
      </c>
      <c r="G378">
        <v>66</v>
      </c>
      <c r="H378">
        <v>235</v>
      </c>
      <c r="K378" t="s">
        <v>2091</v>
      </c>
      <c r="L378" t="s">
        <v>2092</v>
      </c>
      <c r="M378">
        <v>7.2</v>
      </c>
      <c r="N378" t="s">
        <v>2093</v>
      </c>
    </row>
    <row r="379" spans="1:14" x14ac:dyDescent="0.25">
      <c r="A379" s="10" t="str">
        <f t="shared" si="13"/>
        <v>2014-RR-FIR-74-58-233</v>
      </c>
      <c r="B379" s="11" t="str">
        <f t="shared" si="11"/>
        <v>2014</v>
      </c>
      <c r="C379" s="18" t="s">
        <v>733</v>
      </c>
      <c r="D379" t="s">
        <v>1616</v>
      </c>
      <c r="E379" t="s">
        <v>2094</v>
      </c>
      <c r="F379">
        <v>74</v>
      </c>
      <c r="G379">
        <v>58</v>
      </c>
      <c r="H379">
        <v>233</v>
      </c>
      <c r="K379" t="s">
        <v>2082</v>
      </c>
      <c r="L379" t="s">
        <v>2083</v>
      </c>
      <c r="M379">
        <v>6.2</v>
      </c>
      <c r="N379" t="s">
        <v>2095</v>
      </c>
    </row>
    <row r="380" spans="1:14" x14ac:dyDescent="0.25">
      <c r="A380" s="10" t="str">
        <f t="shared" si="13"/>
        <v>2014-RR-FIR-82-60-233</v>
      </c>
      <c r="B380" s="11" t="str">
        <f t="shared" si="11"/>
        <v>2014</v>
      </c>
      <c r="C380" s="18" t="s">
        <v>733</v>
      </c>
      <c r="D380" t="s">
        <v>1616</v>
      </c>
      <c r="E380" t="s">
        <v>2094</v>
      </c>
      <c r="F380">
        <v>82</v>
      </c>
      <c r="G380">
        <v>60</v>
      </c>
      <c r="H380">
        <v>233</v>
      </c>
      <c r="K380" t="s">
        <v>2085</v>
      </c>
      <c r="L380" t="s">
        <v>2062</v>
      </c>
      <c r="M380">
        <v>6.5</v>
      </c>
      <c r="N380" t="s">
        <v>2096</v>
      </c>
    </row>
    <row r="381" spans="1:14" x14ac:dyDescent="0.25">
      <c r="A381" s="10" t="str">
        <f t="shared" si="13"/>
        <v>2014-RR-FIR-92-62-234</v>
      </c>
      <c r="B381" s="11" t="str">
        <f t="shared" si="11"/>
        <v>2014</v>
      </c>
      <c r="C381" s="18" t="s">
        <v>733</v>
      </c>
      <c r="D381" t="s">
        <v>1616</v>
      </c>
      <c r="E381" t="s">
        <v>2094</v>
      </c>
      <c r="F381">
        <v>92</v>
      </c>
      <c r="G381">
        <v>62</v>
      </c>
      <c r="H381">
        <v>234</v>
      </c>
      <c r="K381" t="s">
        <v>2087</v>
      </c>
      <c r="L381" t="s">
        <v>2064</v>
      </c>
      <c r="M381">
        <v>6.7</v>
      </c>
      <c r="N381" t="s">
        <v>2097</v>
      </c>
    </row>
    <row r="382" spans="1:14" x14ac:dyDescent="0.25">
      <c r="A382" s="10" t="str">
        <f t="shared" si="13"/>
        <v>2014-RR-FIR-102-64-235</v>
      </c>
      <c r="B382" s="11" t="str">
        <f t="shared" si="11"/>
        <v>2014</v>
      </c>
      <c r="C382" s="18" t="s">
        <v>733</v>
      </c>
      <c r="D382" t="s">
        <v>1616</v>
      </c>
      <c r="E382" t="s">
        <v>2094</v>
      </c>
      <c r="F382">
        <v>102</v>
      </c>
      <c r="G382">
        <v>64</v>
      </c>
      <c r="H382">
        <v>235</v>
      </c>
      <c r="K382" t="s">
        <v>2089</v>
      </c>
      <c r="L382" t="s">
        <v>2066</v>
      </c>
      <c r="M382">
        <v>6.8</v>
      </c>
      <c r="N382" t="s">
        <v>2098</v>
      </c>
    </row>
    <row r="383" spans="1:14" x14ac:dyDescent="0.25">
      <c r="A383" s="10" t="str">
        <f t="shared" si="13"/>
        <v>2014-RR-FIR-112-66-235</v>
      </c>
      <c r="B383" s="11" t="str">
        <f t="shared" si="11"/>
        <v>2014</v>
      </c>
      <c r="C383" s="18" t="s">
        <v>733</v>
      </c>
      <c r="D383" t="s">
        <v>1616</v>
      </c>
      <c r="E383" t="s">
        <v>2094</v>
      </c>
      <c r="F383">
        <v>112</v>
      </c>
      <c r="G383">
        <v>66</v>
      </c>
      <c r="H383">
        <v>235</v>
      </c>
      <c r="K383" t="s">
        <v>2091</v>
      </c>
      <c r="L383" t="s">
        <v>2092</v>
      </c>
      <c r="M383">
        <v>7.2</v>
      </c>
      <c r="N383" t="s">
        <v>2099</v>
      </c>
    </row>
    <row r="384" spans="1:14" x14ac:dyDescent="0.25">
      <c r="A384" s="10" t="str">
        <f t="shared" si="13"/>
        <v>2014-RR-FRE-88-59-234</v>
      </c>
      <c r="B384" s="11" t="str">
        <f t="shared" si="11"/>
        <v>2014</v>
      </c>
      <c r="C384" s="18" t="s">
        <v>733</v>
      </c>
      <c r="D384" t="s">
        <v>1616</v>
      </c>
      <c r="E384" t="s">
        <v>2100</v>
      </c>
      <c r="F384">
        <v>88</v>
      </c>
      <c r="G384">
        <v>59</v>
      </c>
      <c r="H384">
        <v>234</v>
      </c>
      <c r="K384" t="s">
        <v>2101</v>
      </c>
      <c r="L384" t="s">
        <v>2102</v>
      </c>
      <c r="M384">
        <v>6.3</v>
      </c>
      <c r="N384" t="s">
        <v>2103</v>
      </c>
    </row>
    <row r="385" spans="1:14" x14ac:dyDescent="0.25">
      <c r="A385" s="10" t="str">
        <f t="shared" si="13"/>
        <v>2014-RR-FRE-94-61-236</v>
      </c>
      <c r="B385" s="11" t="str">
        <f t="shared" si="11"/>
        <v>2014</v>
      </c>
      <c r="C385" s="18" t="s">
        <v>733</v>
      </c>
      <c r="D385" t="s">
        <v>1616</v>
      </c>
      <c r="E385" t="s">
        <v>2100</v>
      </c>
      <c r="F385">
        <v>94</v>
      </c>
      <c r="G385">
        <v>61</v>
      </c>
      <c r="H385">
        <v>236</v>
      </c>
      <c r="K385" t="s">
        <v>2104</v>
      </c>
      <c r="L385" t="s">
        <v>2105</v>
      </c>
      <c r="M385">
        <v>6.5</v>
      </c>
      <c r="N385" t="s">
        <v>2106</v>
      </c>
    </row>
    <row r="386" spans="1:14" x14ac:dyDescent="0.25">
      <c r="A386" s="10" t="str">
        <f t="shared" si="13"/>
        <v>2014-RR-FRE-100-63-237</v>
      </c>
      <c r="B386" s="11" t="str">
        <f t="shared" ref="B386:B440" si="14">LEFT(C386,4)</f>
        <v>2014</v>
      </c>
      <c r="C386" s="18" t="s">
        <v>733</v>
      </c>
      <c r="D386" t="s">
        <v>1616</v>
      </c>
      <c r="E386" t="s">
        <v>2100</v>
      </c>
      <c r="F386">
        <v>100</v>
      </c>
      <c r="G386">
        <v>63</v>
      </c>
      <c r="H386">
        <v>237</v>
      </c>
      <c r="K386" t="s">
        <v>2107</v>
      </c>
      <c r="L386" t="s">
        <v>2108</v>
      </c>
      <c r="M386">
        <v>6.6</v>
      </c>
      <c r="N386" t="s">
        <v>2109</v>
      </c>
    </row>
    <row r="387" spans="1:14" x14ac:dyDescent="0.25">
      <c r="A387" s="10" t="str">
        <f t="shared" si="13"/>
        <v>2014-RR-FRE-106-64-237</v>
      </c>
      <c r="B387" s="11" t="str">
        <f t="shared" si="14"/>
        <v>2014</v>
      </c>
      <c r="C387" s="18" t="s">
        <v>733</v>
      </c>
      <c r="D387" t="s">
        <v>1616</v>
      </c>
      <c r="E387" t="s">
        <v>2100</v>
      </c>
      <c r="F387">
        <v>106</v>
      </c>
      <c r="G387">
        <v>64.5</v>
      </c>
      <c r="H387">
        <v>237</v>
      </c>
      <c r="K387" t="s">
        <v>2110</v>
      </c>
      <c r="L387" t="s">
        <v>2111</v>
      </c>
      <c r="M387">
        <v>6.7</v>
      </c>
      <c r="N387" t="s">
        <v>2112</v>
      </c>
    </row>
    <row r="388" spans="1:14" x14ac:dyDescent="0.25">
      <c r="A388" s="10" t="str">
        <f t="shared" si="13"/>
        <v>2014-RR-FRE-88-59-234</v>
      </c>
      <c r="B388" s="11" t="str">
        <f t="shared" si="14"/>
        <v>2014</v>
      </c>
      <c r="C388" s="18" t="s">
        <v>733</v>
      </c>
      <c r="D388" t="s">
        <v>1616</v>
      </c>
      <c r="E388" t="s">
        <v>2113</v>
      </c>
      <c r="F388">
        <v>88</v>
      </c>
      <c r="G388">
        <v>59</v>
      </c>
      <c r="H388">
        <v>234</v>
      </c>
      <c r="K388" t="s">
        <v>2101</v>
      </c>
      <c r="L388" t="s">
        <v>2102</v>
      </c>
      <c r="M388">
        <v>6.7</v>
      </c>
      <c r="N388" t="s">
        <v>2114</v>
      </c>
    </row>
    <row r="389" spans="1:14" x14ac:dyDescent="0.25">
      <c r="A389" s="10" t="str">
        <f t="shared" si="13"/>
        <v>2014-RR-FRE-94-61-236</v>
      </c>
      <c r="B389" s="11" t="str">
        <f t="shared" si="14"/>
        <v>2014</v>
      </c>
      <c r="C389" s="18" t="s">
        <v>733</v>
      </c>
      <c r="D389" t="s">
        <v>1616</v>
      </c>
      <c r="E389" t="s">
        <v>2113</v>
      </c>
      <c r="F389">
        <v>94</v>
      </c>
      <c r="G389">
        <v>61</v>
      </c>
      <c r="H389">
        <v>236</v>
      </c>
      <c r="K389" t="s">
        <v>2104</v>
      </c>
      <c r="L389" t="s">
        <v>2105</v>
      </c>
      <c r="M389">
        <v>6.9</v>
      </c>
      <c r="N389" t="s">
        <v>2115</v>
      </c>
    </row>
    <row r="390" spans="1:14" x14ac:dyDescent="0.25">
      <c r="A390" s="10" t="str">
        <f t="shared" si="13"/>
        <v>2014-RR-FRE-100-63-237</v>
      </c>
      <c r="B390" s="11" t="str">
        <f t="shared" si="14"/>
        <v>2014</v>
      </c>
      <c r="C390" s="18" t="s">
        <v>733</v>
      </c>
      <c r="D390" t="s">
        <v>1616</v>
      </c>
      <c r="E390" t="s">
        <v>2113</v>
      </c>
      <c r="F390">
        <v>100</v>
      </c>
      <c r="G390">
        <v>63</v>
      </c>
      <c r="H390">
        <v>237</v>
      </c>
      <c r="K390" t="s">
        <v>2107</v>
      </c>
      <c r="L390" t="s">
        <v>2108</v>
      </c>
      <c r="M390">
        <v>7.1</v>
      </c>
      <c r="N390" t="s">
        <v>2116</v>
      </c>
    </row>
    <row r="391" spans="1:14" x14ac:dyDescent="0.25">
      <c r="A391" s="10" t="str">
        <f t="shared" si="13"/>
        <v>2014-RR-FRE-106-64-237</v>
      </c>
      <c r="B391" s="11" t="str">
        <f t="shared" si="14"/>
        <v>2014</v>
      </c>
      <c r="C391" s="18" t="s">
        <v>733</v>
      </c>
      <c r="D391" t="s">
        <v>1616</v>
      </c>
      <c r="E391" t="s">
        <v>2113</v>
      </c>
      <c r="F391">
        <v>106</v>
      </c>
      <c r="G391">
        <v>64.5</v>
      </c>
      <c r="H391">
        <v>237</v>
      </c>
      <c r="K391" t="s">
        <v>2110</v>
      </c>
      <c r="L391" t="s">
        <v>2111</v>
      </c>
      <c r="M391">
        <v>7.3</v>
      </c>
      <c r="N391" t="s">
        <v>2117</v>
      </c>
    </row>
    <row r="392" spans="1:14" x14ac:dyDescent="0.25">
      <c r="A392" s="10" t="str">
        <f t="shared" si="13"/>
        <v>2014-RR-TWI-91-59-230</v>
      </c>
      <c r="B392" s="11" t="str">
        <f t="shared" si="14"/>
        <v>2014</v>
      </c>
      <c r="C392" s="18" t="s">
        <v>733</v>
      </c>
      <c r="D392" t="s">
        <v>1616</v>
      </c>
      <c r="E392" t="s">
        <v>2118</v>
      </c>
      <c r="F392">
        <v>91</v>
      </c>
      <c r="G392">
        <v>59.5</v>
      </c>
      <c r="H392">
        <v>230</v>
      </c>
      <c r="K392" t="s">
        <v>2119</v>
      </c>
      <c r="L392" t="s">
        <v>2120</v>
      </c>
      <c r="M392">
        <v>5.9</v>
      </c>
      <c r="N392" t="s">
        <v>2121</v>
      </c>
    </row>
    <row r="393" spans="1:14" x14ac:dyDescent="0.25">
      <c r="A393" s="10" t="str">
        <f t="shared" si="13"/>
        <v>2014-RR-TWI-101-63-227</v>
      </c>
      <c r="B393" s="11" t="str">
        <f t="shared" si="14"/>
        <v>2014</v>
      </c>
      <c r="C393" s="18" t="s">
        <v>733</v>
      </c>
      <c r="D393" t="s">
        <v>1616</v>
      </c>
      <c r="E393" t="s">
        <v>2118</v>
      </c>
      <c r="F393">
        <v>101</v>
      </c>
      <c r="G393">
        <v>63</v>
      </c>
      <c r="H393">
        <v>227</v>
      </c>
      <c r="K393" t="s">
        <v>2122</v>
      </c>
      <c r="L393" t="s">
        <v>2123</v>
      </c>
      <c r="M393">
        <v>6.3</v>
      </c>
      <c r="N393" t="s">
        <v>2124</v>
      </c>
    </row>
    <row r="394" spans="1:14" x14ac:dyDescent="0.25">
      <c r="A394" s="10" t="str">
        <f t="shared" si="13"/>
        <v>2014-RR-X-F-80-53-235</v>
      </c>
      <c r="B394" s="11" t="str">
        <f t="shared" si="14"/>
        <v>2014</v>
      </c>
      <c r="C394" s="18" t="s">
        <v>733</v>
      </c>
      <c r="D394" t="s">
        <v>1616</v>
      </c>
      <c r="E394" t="s">
        <v>2125</v>
      </c>
      <c r="F394">
        <v>80</v>
      </c>
      <c r="G394">
        <v>53</v>
      </c>
      <c r="H394">
        <v>235</v>
      </c>
      <c r="K394" t="s">
        <v>2126</v>
      </c>
      <c r="L394" t="s">
        <v>2127</v>
      </c>
      <c r="M394">
        <v>5.4</v>
      </c>
      <c r="N394" t="s">
        <v>2128</v>
      </c>
    </row>
    <row r="395" spans="1:14" x14ac:dyDescent="0.25">
      <c r="A395" s="10" t="str">
        <f t="shared" si="13"/>
        <v>2014-RR-X-F-90-59-235</v>
      </c>
      <c r="B395" s="11" t="str">
        <f t="shared" si="14"/>
        <v>2014</v>
      </c>
      <c r="C395" s="18" t="s">
        <v>733</v>
      </c>
      <c r="D395" t="s">
        <v>1616</v>
      </c>
      <c r="E395" t="s">
        <v>2125</v>
      </c>
      <c r="F395">
        <v>90</v>
      </c>
      <c r="G395">
        <v>59</v>
      </c>
      <c r="H395">
        <v>235</v>
      </c>
      <c r="K395" t="s">
        <v>2126</v>
      </c>
      <c r="L395" t="s">
        <v>2129</v>
      </c>
      <c r="M395">
        <v>5.8</v>
      </c>
      <c r="N395" t="s">
        <v>2130</v>
      </c>
    </row>
    <row r="396" spans="1:14" x14ac:dyDescent="0.25">
      <c r="A396" s="10" t="str">
        <f t="shared" si="13"/>
        <v>2014-RR-X-F-98-62-235</v>
      </c>
      <c r="B396" s="11" t="str">
        <f t="shared" si="14"/>
        <v>2014</v>
      </c>
      <c r="C396" s="18" t="s">
        <v>733</v>
      </c>
      <c r="D396" t="s">
        <v>1616</v>
      </c>
      <c r="E396" t="s">
        <v>2125</v>
      </c>
      <c r="F396">
        <v>98</v>
      </c>
      <c r="G396">
        <v>62</v>
      </c>
      <c r="H396">
        <v>235</v>
      </c>
      <c r="K396" t="s">
        <v>2126</v>
      </c>
      <c r="L396" t="s">
        <v>2131</v>
      </c>
      <c r="M396">
        <v>6.1</v>
      </c>
      <c r="N396" t="s">
        <v>2132</v>
      </c>
    </row>
    <row r="397" spans="1:14" x14ac:dyDescent="0.25">
      <c r="A397" s="10" t="str">
        <f t="shared" si="13"/>
        <v>2014-RR-X-F-105-65-235</v>
      </c>
      <c r="B397" s="11" t="str">
        <f t="shared" si="14"/>
        <v>2014</v>
      </c>
      <c r="C397" s="18" t="s">
        <v>733</v>
      </c>
      <c r="D397" t="s">
        <v>1616</v>
      </c>
      <c r="E397" t="s">
        <v>2125</v>
      </c>
      <c r="F397">
        <v>105</v>
      </c>
      <c r="G397">
        <v>65</v>
      </c>
      <c r="H397">
        <v>235</v>
      </c>
      <c r="K397" t="s">
        <v>2126</v>
      </c>
      <c r="L397" t="s">
        <v>2133</v>
      </c>
      <c r="M397">
        <v>6.4</v>
      </c>
      <c r="N397" t="s">
        <v>2134</v>
      </c>
    </row>
    <row r="398" spans="1:14" x14ac:dyDescent="0.25">
      <c r="A398" s="10" t="str">
        <f t="shared" si="13"/>
        <v>2014-RR-X-F-114-70-235</v>
      </c>
      <c r="B398" s="11" t="str">
        <f t="shared" si="14"/>
        <v>2014</v>
      </c>
      <c r="C398" s="18" t="s">
        <v>733</v>
      </c>
      <c r="D398" t="s">
        <v>1616</v>
      </c>
      <c r="E398" t="s">
        <v>2125</v>
      </c>
      <c r="F398">
        <v>114</v>
      </c>
      <c r="G398">
        <v>70</v>
      </c>
      <c r="H398">
        <v>235</v>
      </c>
      <c r="K398" t="s">
        <v>2126</v>
      </c>
      <c r="L398" t="s">
        <v>2135</v>
      </c>
      <c r="M398">
        <v>6.4</v>
      </c>
      <c r="N398" t="s">
        <v>2136</v>
      </c>
    </row>
    <row r="399" spans="1:14" x14ac:dyDescent="0.25">
      <c r="A399" s="10" t="str">
        <f t="shared" si="13"/>
        <v>2014-RR-X-F-122-81-228</v>
      </c>
      <c r="B399" s="11" t="str">
        <f t="shared" si="14"/>
        <v>2014</v>
      </c>
      <c r="C399" s="18" t="s">
        <v>733</v>
      </c>
      <c r="D399" t="s">
        <v>1616</v>
      </c>
      <c r="E399" t="s">
        <v>2125</v>
      </c>
      <c r="F399">
        <v>122</v>
      </c>
      <c r="G399">
        <v>81</v>
      </c>
      <c r="H399">
        <v>228</v>
      </c>
      <c r="K399" t="s">
        <v>2126</v>
      </c>
      <c r="L399" t="s">
        <v>2137</v>
      </c>
      <c r="M399">
        <v>7.18</v>
      </c>
      <c r="N399" t="s">
        <v>2138</v>
      </c>
    </row>
    <row r="400" spans="1:14" x14ac:dyDescent="0.25">
      <c r="A400" s="10" t="str">
        <f t="shared" si="13"/>
        <v>2014-RR-X-F-129-85-228</v>
      </c>
      <c r="B400" s="11" t="str">
        <f t="shared" si="14"/>
        <v>2014</v>
      </c>
      <c r="C400" s="18" t="s">
        <v>733</v>
      </c>
      <c r="D400" t="s">
        <v>1616</v>
      </c>
      <c r="E400" t="s">
        <v>2125</v>
      </c>
      <c r="F400">
        <v>129</v>
      </c>
      <c r="G400">
        <v>85</v>
      </c>
      <c r="H400">
        <v>228</v>
      </c>
      <c r="K400" t="s">
        <v>2126</v>
      </c>
      <c r="L400" t="s">
        <v>2139</v>
      </c>
      <c r="M400">
        <v>7.6</v>
      </c>
      <c r="N400" t="s">
        <v>2140</v>
      </c>
    </row>
    <row r="401" spans="1:14" x14ac:dyDescent="0.25">
      <c r="A401" s="10" t="str">
        <f t="shared" si="13"/>
        <v>2014-RR-X-F-150-91-236</v>
      </c>
      <c r="B401" s="11" t="str">
        <f t="shared" si="14"/>
        <v>2014</v>
      </c>
      <c r="C401" s="18" t="s">
        <v>733</v>
      </c>
      <c r="D401" t="s">
        <v>1616</v>
      </c>
      <c r="E401" t="s">
        <v>2141</v>
      </c>
      <c r="F401">
        <v>150</v>
      </c>
      <c r="G401">
        <v>91</v>
      </c>
      <c r="H401">
        <v>236</v>
      </c>
      <c r="K401" t="s">
        <v>2126</v>
      </c>
      <c r="L401" t="s">
        <v>2142</v>
      </c>
      <c r="M401">
        <v>7.8</v>
      </c>
      <c r="N401" t="s">
        <v>2143</v>
      </c>
    </row>
    <row r="402" spans="1:14" x14ac:dyDescent="0.25">
      <c r="A402" s="10" t="str">
        <f t="shared" si="13"/>
        <v>2014-RR-FIR-101-65-236</v>
      </c>
      <c r="B402" s="11" t="str">
        <f t="shared" si="14"/>
        <v>2014</v>
      </c>
      <c r="C402" s="18" t="s">
        <v>733</v>
      </c>
      <c r="D402" t="s">
        <v>1616</v>
      </c>
      <c r="E402" t="s">
        <v>2144</v>
      </c>
      <c r="F402">
        <v>101</v>
      </c>
      <c r="G402">
        <v>65</v>
      </c>
      <c r="H402">
        <v>236</v>
      </c>
      <c r="K402" t="s">
        <v>2145</v>
      </c>
      <c r="L402" t="s">
        <v>2146</v>
      </c>
      <c r="M402">
        <v>6.4</v>
      </c>
      <c r="N402" t="s">
        <v>2147</v>
      </c>
    </row>
    <row r="403" spans="1:14" x14ac:dyDescent="0.25">
      <c r="A403" s="10" t="str">
        <f t="shared" si="13"/>
        <v>2014-RR-FIR-111-68-236</v>
      </c>
      <c r="B403" s="11" t="str">
        <f t="shared" si="14"/>
        <v>2014</v>
      </c>
      <c r="C403" s="18" t="s">
        <v>733</v>
      </c>
      <c r="D403" t="s">
        <v>1616</v>
      </c>
      <c r="E403" t="s">
        <v>2144</v>
      </c>
      <c r="F403">
        <v>111</v>
      </c>
      <c r="G403">
        <v>68</v>
      </c>
      <c r="H403">
        <v>236</v>
      </c>
      <c r="K403" t="s">
        <v>2148</v>
      </c>
      <c r="L403" t="s">
        <v>2133</v>
      </c>
      <c r="M403">
        <v>6.6</v>
      </c>
      <c r="N403" t="s">
        <v>2149</v>
      </c>
    </row>
    <row r="404" spans="1:14" x14ac:dyDescent="0.25">
      <c r="A404" s="10" t="str">
        <f t="shared" si="13"/>
        <v>2014-RR-FIR-120-72-238</v>
      </c>
      <c r="B404" s="11" t="str">
        <f t="shared" si="14"/>
        <v>2014</v>
      </c>
      <c r="C404" s="18" t="s">
        <v>733</v>
      </c>
      <c r="D404" t="s">
        <v>1616</v>
      </c>
      <c r="E404" t="s">
        <v>2144</v>
      </c>
      <c r="F404">
        <v>120</v>
      </c>
      <c r="G404">
        <v>72</v>
      </c>
      <c r="H404">
        <v>238</v>
      </c>
      <c r="K404" t="s">
        <v>2150</v>
      </c>
      <c r="L404" t="s">
        <v>2151</v>
      </c>
      <c r="M404">
        <v>6.9</v>
      </c>
      <c r="N404" t="s">
        <v>2152</v>
      </c>
    </row>
    <row r="405" spans="1:14" x14ac:dyDescent="0.25">
      <c r="A405" s="10" t="str">
        <f t="shared" si="13"/>
        <v>2014-RR-FIR-129-75-240</v>
      </c>
      <c r="B405" s="11" t="str">
        <f t="shared" si="14"/>
        <v>2014</v>
      </c>
      <c r="C405" s="18" t="s">
        <v>733</v>
      </c>
      <c r="D405" t="s">
        <v>1616</v>
      </c>
      <c r="E405" t="s">
        <v>2144</v>
      </c>
      <c r="F405">
        <v>129</v>
      </c>
      <c r="G405">
        <v>75</v>
      </c>
      <c r="H405">
        <v>240</v>
      </c>
      <c r="K405" t="s">
        <v>2153</v>
      </c>
      <c r="L405" t="s">
        <v>2154</v>
      </c>
      <c r="M405">
        <v>7.15</v>
      </c>
      <c r="N405" t="s">
        <v>2155</v>
      </c>
    </row>
    <row r="406" spans="1:14" x14ac:dyDescent="0.25">
      <c r="A406" s="10" t="str">
        <f t="shared" si="13"/>
        <v>2014-RR-FIR-138-77-240</v>
      </c>
      <c r="B406" s="11" t="str">
        <f t="shared" si="14"/>
        <v>2014</v>
      </c>
      <c r="C406" s="18" t="s">
        <v>733</v>
      </c>
      <c r="D406" t="s">
        <v>1616</v>
      </c>
      <c r="E406" t="s">
        <v>2144</v>
      </c>
      <c r="F406">
        <v>138</v>
      </c>
      <c r="G406">
        <v>77</v>
      </c>
      <c r="H406">
        <v>240</v>
      </c>
      <c r="K406" t="s">
        <v>2156</v>
      </c>
      <c r="L406" t="s">
        <v>2157</v>
      </c>
      <c r="M406">
        <v>7.3</v>
      </c>
      <c r="N406" t="s">
        <v>2158</v>
      </c>
    </row>
    <row r="407" spans="1:14" x14ac:dyDescent="0.25">
      <c r="A407" s="10" t="str">
        <f t="shared" si="13"/>
        <v>2014-RR-FIR-101-66-235</v>
      </c>
      <c r="B407" s="11" t="str">
        <f t="shared" si="14"/>
        <v>2014</v>
      </c>
      <c r="C407" s="18" t="s">
        <v>733</v>
      </c>
      <c r="D407" t="s">
        <v>1616</v>
      </c>
      <c r="E407" t="s">
        <v>2159</v>
      </c>
      <c r="F407">
        <v>101</v>
      </c>
      <c r="G407">
        <v>66</v>
      </c>
      <c r="H407">
        <v>235</v>
      </c>
      <c r="K407" t="s">
        <v>2145</v>
      </c>
      <c r="L407" t="s">
        <v>2146</v>
      </c>
      <c r="M407">
        <v>6.7</v>
      </c>
      <c r="N407" t="s">
        <v>2160</v>
      </c>
    </row>
    <row r="408" spans="1:14" x14ac:dyDescent="0.25">
      <c r="A408" s="10" t="str">
        <f t="shared" si="13"/>
        <v>2014-RR-FIR-111-68-236</v>
      </c>
      <c r="B408" s="11" t="str">
        <f t="shared" si="14"/>
        <v>2014</v>
      </c>
      <c r="C408" s="18" t="s">
        <v>733</v>
      </c>
      <c r="D408" t="s">
        <v>1616</v>
      </c>
      <c r="E408" t="s">
        <v>2159</v>
      </c>
      <c r="F408">
        <v>111</v>
      </c>
      <c r="G408">
        <v>68</v>
      </c>
      <c r="H408">
        <v>236</v>
      </c>
      <c r="K408" t="s">
        <v>2148</v>
      </c>
      <c r="L408" t="s">
        <v>2133</v>
      </c>
      <c r="M408">
        <v>6.9</v>
      </c>
      <c r="N408" t="s">
        <v>2161</v>
      </c>
    </row>
    <row r="409" spans="1:14" x14ac:dyDescent="0.25">
      <c r="A409" s="10" t="str">
        <f t="shared" si="13"/>
        <v>2014-RR-FIR-120-72-238</v>
      </c>
      <c r="B409" s="11" t="str">
        <f t="shared" si="14"/>
        <v>2014</v>
      </c>
      <c r="C409" s="18" t="s">
        <v>733</v>
      </c>
      <c r="D409" t="s">
        <v>1616</v>
      </c>
      <c r="E409" t="s">
        <v>2159</v>
      </c>
      <c r="F409">
        <v>120</v>
      </c>
      <c r="G409">
        <v>72</v>
      </c>
      <c r="H409">
        <v>238</v>
      </c>
      <c r="K409" t="s">
        <v>2150</v>
      </c>
      <c r="L409" t="s">
        <v>2151</v>
      </c>
      <c r="M409">
        <v>7.2</v>
      </c>
      <c r="N409" t="s">
        <v>2162</v>
      </c>
    </row>
    <row r="410" spans="1:14" x14ac:dyDescent="0.25">
      <c r="A410" s="10" t="str">
        <f t="shared" si="13"/>
        <v>2014-RR-FIR-129-75-239</v>
      </c>
      <c r="B410" s="11" t="str">
        <f t="shared" si="14"/>
        <v>2014</v>
      </c>
      <c r="C410" s="18" t="s">
        <v>733</v>
      </c>
      <c r="D410" t="s">
        <v>1616</v>
      </c>
      <c r="E410" t="s">
        <v>2159</v>
      </c>
      <c r="F410">
        <v>129</v>
      </c>
      <c r="G410">
        <v>75</v>
      </c>
      <c r="H410">
        <v>239</v>
      </c>
      <c r="K410" t="s">
        <v>2153</v>
      </c>
      <c r="L410" t="s">
        <v>2154</v>
      </c>
      <c r="M410">
        <v>7.3</v>
      </c>
      <c r="N410" t="s">
        <v>2163</v>
      </c>
    </row>
    <row r="411" spans="1:14" x14ac:dyDescent="0.25">
      <c r="A411" s="10" t="str">
        <f t="shared" si="13"/>
        <v>2014-RR-FIR-138-77-240</v>
      </c>
      <c r="B411" s="11" t="str">
        <f t="shared" si="14"/>
        <v>2014</v>
      </c>
      <c r="C411" s="18" t="s">
        <v>733</v>
      </c>
      <c r="D411" t="s">
        <v>1616</v>
      </c>
      <c r="E411" t="s">
        <v>2159</v>
      </c>
      <c r="F411">
        <v>138</v>
      </c>
      <c r="G411">
        <v>77</v>
      </c>
      <c r="H411">
        <v>240</v>
      </c>
      <c r="K411" t="s">
        <v>2156</v>
      </c>
      <c r="L411" t="s">
        <v>2157</v>
      </c>
      <c r="M411">
        <v>7.5</v>
      </c>
      <c r="N411" t="s">
        <v>2164</v>
      </c>
    </row>
    <row r="412" spans="1:14" x14ac:dyDescent="0.25">
      <c r="A412" s="10" t="str">
        <f t="shared" si="13"/>
        <v>2014-RR-FIR-102-68-238</v>
      </c>
      <c r="B412" s="11" t="str">
        <f t="shared" si="14"/>
        <v>2014</v>
      </c>
      <c r="C412" s="18" t="s">
        <v>733</v>
      </c>
      <c r="D412" t="s">
        <v>1616</v>
      </c>
      <c r="E412" t="s">
        <v>2165</v>
      </c>
      <c r="F412">
        <v>102</v>
      </c>
      <c r="G412">
        <v>68</v>
      </c>
      <c r="H412">
        <v>238</v>
      </c>
      <c r="K412" t="s">
        <v>2166</v>
      </c>
      <c r="L412" t="s">
        <v>2146</v>
      </c>
      <c r="M412">
        <v>7.2</v>
      </c>
      <c r="N412" t="s">
        <v>2167</v>
      </c>
    </row>
    <row r="413" spans="1:14" x14ac:dyDescent="0.25">
      <c r="A413" s="10" t="str">
        <f t="shared" si="13"/>
        <v>2014-RR-FIR-112-74-238</v>
      </c>
      <c r="B413" s="11" t="str">
        <f t="shared" si="14"/>
        <v>2014</v>
      </c>
      <c r="C413" s="18" t="s">
        <v>733</v>
      </c>
      <c r="D413" t="s">
        <v>1616</v>
      </c>
      <c r="E413" t="s">
        <v>2165</v>
      </c>
      <c r="F413">
        <v>112</v>
      </c>
      <c r="G413">
        <v>74</v>
      </c>
      <c r="H413">
        <v>238</v>
      </c>
      <c r="K413" t="s">
        <v>2168</v>
      </c>
      <c r="L413" t="s">
        <v>2169</v>
      </c>
      <c r="M413">
        <v>7.5</v>
      </c>
      <c r="N413" t="s">
        <v>2170</v>
      </c>
    </row>
    <row r="414" spans="1:14" x14ac:dyDescent="0.25">
      <c r="A414" s="10" t="str">
        <f t="shared" si="13"/>
        <v>2014-RR-FIR-122-79-238</v>
      </c>
      <c r="B414" s="11" t="str">
        <f t="shared" si="14"/>
        <v>2014</v>
      </c>
      <c r="C414" s="18" t="s">
        <v>733</v>
      </c>
      <c r="D414" t="s">
        <v>1616</v>
      </c>
      <c r="E414" t="s">
        <v>2165</v>
      </c>
      <c r="F414">
        <v>122</v>
      </c>
      <c r="G414">
        <v>79</v>
      </c>
      <c r="H414">
        <v>238</v>
      </c>
      <c r="K414" t="s">
        <v>2171</v>
      </c>
      <c r="L414" t="s">
        <v>2172</v>
      </c>
      <c r="M414">
        <v>7.9</v>
      </c>
      <c r="N414" t="s">
        <v>2173</v>
      </c>
    </row>
    <row r="415" spans="1:14" x14ac:dyDescent="0.25">
      <c r="A415" s="10" t="str">
        <f t="shared" si="13"/>
        <v>2014-RR-FIR-130-85-236</v>
      </c>
      <c r="B415" s="11" t="str">
        <f t="shared" si="14"/>
        <v>2014</v>
      </c>
      <c r="C415" s="18" t="s">
        <v>733</v>
      </c>
      <c r="D415" t="s">
        <v>1616</v>
      </c>
      <c r="E415" t="s">
        <v>2165</v>
      </c>
      <c r="F415">
        <v>130</v>
      </c>
      <c r="G415">
        <v>85</v>
      </c>
      <c r="H415">
        <v>236</v>
      </c>
      <c r="K415" t="s">
        <v>2174</v>
      </c>
      <c r="L415" t="s">
        <v>2175</v>
      </c>
      <c r="M415">
        <v>8.6</v>
      </c>
      <c r="N415" t="s">
        <v>2176</v>
      </c>
    </row>
    <row r="416" spans="1:14" x14ac:dyDescent="0.25">
      <c r="A416" s="10" t="str">
        <f t="shared" si="13"/>
        <v>2014-RR-FIR-140-90-238</v>
      </c>
      <c r="B416" s="11" t="str">
        <f t="shared" si="14"/>
        <v>2014</v>
      </c>
      <c r="C416" s="18" t="s">
        <v>733</v>
      </c>
      <c r="D416" t="s">
        <v>1616</v>
      </c>
      <c r="E416" t="s">
        <v>2165</v>
      </c>
      <c r="F416">
        <v>140</v>
      </c>
      <c r="G416">
        <v>90</v>
      </c>
      <c r="H416">
        <v>238</v>
      </c>
      <c r="K416" t="s">
        <v>2177</v>
      </c>
      <c r="L416" t="s">
        <v>2178</v>
      </c>
      <c r="M416">
        <v>9.1999999999999993</v>
      </c>
      <c r="N416" t="s">
        <v>2179</v>
      </c>
    </row>
    <row r="417" spans="1:14" x14ac:dyDescent="0.25">
      <c r="A417" s="10" t="str">
        <f t="shared" si="13"/>
        <v>2014-RR-FIR-102-68-238</v>
      </c>
      <c r="B417" s="11" t="str">
        <f t="shared" si="14"/>
        <v>2014</v>
      </c>
      <c r="C417" s="18" t="s">
        <v>733</v>
      </c>
      <c r="D417" t="s">
        <v>1616</v>
      </c>
      <c r="E417" t="s">
        <v>2180</v>
      </c>
      <c r="F417">
        <v>102</v>
      </c>
      <c r="G417">
        <v>68</v>
      </c>
      <c r="H417">
        <v>238</v>
      </c>
      <c r="K417" t="s">
        <v>2166</v>
      </c>
      <c r="L417" t="s">
        <v>2146</v>
      </c>
      <c r="M417">
        <v>7.8</v>
      </c>
      <c r="N417" t="s">
        <v>2181</v>
      </c>
    </row>
    <row r="418" spans="1:14" x14ac:dyDescent="0.25">
      <c r="A418" s="10" t="str">
        <f t="shared" si="13"/>
        <v>2014-RR-FIR-112-74-238</v>
      </c>
      <c r="B418" s="11" t="str">
        <f t="shared" si="14"/>
        <v>2014</v>
      </c>
      <c r="C418" s="18" t="s">
        <v>733</v>
      </c>
      <c r="D418" t="s">
        <v>1616</v>
      </c>
      <c r="E418" t="s">
        <v>2180</v>
      </c>
      <c r="F418">
        <v>112</v>
      </c>
      <c r="G418">
        <v>74</v>
      </c>
      <c r="H418">
        <v>238</v>
      </c>
      <c r="K418" t="s">
        <v>2168</v>
      </c>
      <c r="L418" t="s">
        <v>2169</v>
      </c>
      <c r="M418">
        <v>8.3000000000000007</v>
      </c>
      <c r="N418" t="s">
        <v>2182</v>
      </c>
    </row>
    <row r="419" spans="1:14" x14ac:dyDescent="0.25">
      <c r="A419" s="10" t="str">
        <f t="shared" si="13"/>
        <v>2014-RR-FIR-122-79-238</v>
      </c>
      <c r="B419" s="11" t="str">
        <f t="shared" si="14"/>
        <v>2014</v>
      </c>
      <c r="C419" s="18" t="s">
        <v>733</v>
      </c>
      <c r="D419" t="s">
        <v>1616</v>
      </c>
      <c r="E419" t="s">
        <v>2180</v>
      </c>
      <c r="F419">
        <v>122</v>
      </c>
      <c r="G419">
        <v>79</v>
      </c>
      <c r="H419">
        <v>238</v>
      </c>
      <c r="K419" t="s">
        <v>2171</v>
      </c>
      <c r="L419" t="s">
        <v>2172</v>
      </c>
      <c r="M419">
        <v>8.6</v>
      </c>
      <c r="N419" t="s">
        <v>2183</v>
      </c>
    </row>
    <row r="420" spans="1:14" x14ac:dyDescent="0.25">
      <c r="A420" s="10" t="str">
        <f t="shared" si="13"/>
        <v>2014-RR-FIR-130-85-236</v>
      </c>
      <c r="B420" s="11" t="str">
        <f t="shared" si="14"/>
        <v>2014</v>
      </c>
      <c r="C420" s="18" t="s">
        <v>733</v>
      </c>
      <c r="D420" t="s">
        <v>1616</v>
      </c>
      <c r="E420" t="s">
        <v>2180</v>
      </c>
      <c r="F420">
        <v>130</v>
      </c>
      <c r="G420">
        <v>85</v>
      </c>
      <c r="H420">
        <v>236</v>
      </c>
      <c r="K420" t="s">
        <v>2174</v>
      </c>
      <c r="L420" t="s">
        <v>2175</v>
      </c>
      <c r="M420">
        <v>9.3000000000000007</v>
      </c>
      <c r="N420" t="s">
        <v>2184</v>
      </c>
    </row>
    <row r="421" spans="1:14" x14ac:dyDescent="0.25">
      <c r="A421" s="10" t="str">
        <f t="shared" si="13"/>
        <v>2014-RR-FIR-140-90-238</v>
      </c>
      <c r="B421" s="11" t="str">
        <f t="shared" si="14"/>
        <v>2014</v>
      </c>
      <c r="C421" s="18" t="s">
        <v>733</v>
      </c>
      <c r="D421" t="s">
        <v>1616</v>
      </c>
      <c r="E421" t="s">
        <v>2180</v>
      </c>
      <c r="F421">
        <v>140</v>
      </c>
      <c r="G421">
        <v>90</v>
      </c>
      <c r="H421">
        <v>238</v>
      </c>
      <c r="K421" t="s">
        <v>2177</v>
      </c>
      <c r="L421" t="s">
        <v>2178</v>
      </c>
      <c r="M421">
        <v>9.9</v>
      </c>
      <c r="N421" t="s">
        <v>2185</v>
      </c>
    </row>
    <row r="422" spans="1:14" x14ac:dyDescent="0.25">
      <c r="A422" s="10" t="str">
        <f t="shared" si="13"/>
        <v>2014-RR-FIR-102-68-238</v>
      </c>
      <c r="B422" s="11" t="str">
        <f t="shared" si="14"/>
        <v>2014</v>
      </c>
      <c r="C422" s="18" t="s">
        <v>733</v>
      </c>
      <c r="D422" t="s">
        <v>1616</v>
      </c>
      <c r="E422" t="s">
        <v>2186</v>
      </c>
      <c r="F422">
        <v>102</v>
      </c>
      <c r="G422">
        <v>68</v>
      </c>
      <c r="H422">
        <v>238</v>
      </c>
      <c r="K422" t="s">
        <v>2187</v>
      </c>
      <c r="L422" t="s">
        <v>2146</v>
      </c>
      <c r="M422">
        <v>8.4</v>
      </c>
      <c r="N422" t="s">
        <v>2188</v>
      </c>
    </row>
    <row r="423" spans="1:14" x14ac:dyDescent="0.25">
      <c r="A423" s="10" t="str">
        <f t="shared" si="13"/>
        <v>2014-RR-FIR-112-74-238</v>
      </c>
      <c r="B423" s="11" t="str">
        <f t="shared" si="14"/>
        <v>2014</v>
      </c>
      <c r="C423" s="18" t="s">
        <v>733</v>
      </c>
      <c r="D423" t="s">
        <v>1616</v>
      </c>
      <c r="E423" t="s">
        <v>2186</v>
      </c>
      <c r="F423">
        <v>112</v>
      </c>
      <c r="G423">
        <v>74</v>
      </c>
      <c r="H423">
        <v>238</v>
      </c>
      <c r="K423" t="s">
        <v>2187</v>
      </c>
      <c r="L423" t="s">
        <v>2169</v>
      </c>
      <c r="M423">
        <v>8.8000000000000007</v>
      </c>
      <c r="N423" t="s">
        <v>2189</v>
      </c>
    </row>
    <row r="424" spans="1:14" x14ac:dyDescent="0.25">
      <c r="A424" s="10" t="str">
        <f t="shared" si="13"/>
        <v>2014-RR-FIR-122-79-238</v>
      </c>
      <c r="B424" s="11" t="str">
        <f t="shared" si="14"/>
        <v>2014</v>
      </c>
      <c r="C424" s="18" t="s">
        <v>733</v>
      </c>
      <c r="D424" t="s">
        <v>1616</v>
      </c>
      <c r="E424" t="s">
        <v>2186</v>
      </c>
      <c r="F424">
        <v>122</v>
      </c>
      <c r="G424">
        <v>79</v>
      </c>
      <c r="H424">
        <v>238</v>
      </c>
      <c r="K424" t="s">
        <v>2190</v>
      </c>
      <c r="L424" t="s">
        <v>2172</v>
      </c>
      <c r="M424">
        <v>9.1999999999999993</v>
      </c>
      <c r="N424" t="s">
        <v>2191</v>
      </c>
    </row>
    <row r="425" spans="1:14" x14ac:dyDescent="0.25">
      <c r="A425" s="10" t="str">
        <f t="shared" si="13"/>
        <v>2014-RR-FIR-130-85-236</v>
      </c>
      <c r="B425" s="11" t="str">
        <f t="shared" si="14"/>
        <v>2014</v>
      </c>
      <c r="C425" s="18" t="s">
        <v>733</v>
      </c>
      <c r="D425" t="s">
        <v>1616</v>
      </c>
      <c r="E425" t="s">
        <v>2186</v>
      </c>
      <c r="F425">
        <v>130</v>
      </c>
      <c r="G425">
        <v>85</v>
      </c>
      <c r="H425">
        <v>236</v>
      </c>
      <c r="K425" t="s">
        <v>2192</v>
      </c>
      <c r="L425" t="s">
        <v>2175</v>
      </c>
      <c r="M425">
        <v>10.5</v>
      </c>
      <c r="N425" t="s">
        <v>2193</v>
      </c>
    </row>
    <row r="426" spans="1:14" x14ac:dyDescent="0.25">
      <c r="A426" s="10" t="str">
        <f t="shared" si="13"/>
        <v>2014-RR-FIR-140-90-238</v>
      </c>
      <c r="B426" s="11" t="str">
        <f t="shared" si="14"/>
        <v>2014</v>
      </c>
      <c r="C426" s="18" t="s">
        <v>733</v>
      </c>
      <c r="D426" t="s">
        <v>1616</v>
      </c>
      <c r="E426" t="s">
        <v>2186</v>
      </c>
      <c r="F426">
        <v>140</v>
      </c>
      <c r="G426">
        <v>90</v>
      </c>
      <c r="H426">
        <v>238</v>
      </c>
      <c r="K426" t="s">
        <v>2194</v>
      </c>
      <c r="L426" t="s">
        <v>2178</v>
      </c>
      <c r="M426">
        <v>11</v>
      </c>
      <c r="N426" t="s">
        <v>2195</v>
      </c>
    </row>
    <row r="427" spans="1:14" x14ac:dyDescent="0.25">
      <c r="A427" s="10" t="str">
        <f t="shared" si="13"/>
        <v>2014-RR-360-135-72-248</v>
      </c>
      <c r="B427" s="11" t="str">
        <f t="shared" si="14"/>
        <v>2014</v>
      </c>
      <c r="C427" s="18" t="s">
        <v>733</v>
      </c>
      <c r="D427" t="s">
        <v>1616</v>
      </c>
      <c r="E427" t="s">
        <v>2196</v>
      </c>
      <c r="F427">
        <v>135</v>
      </c>
      <c r="G427">
        <v>72</v>
      </c>
      <c r="H427">
        <v>248</v>
      </c>
      <c r="K427" t="s">
        <v>2197</v>
      </c>
      <c r="L427" t="s">
        <v>2198</v>
      </c>
      <c r="M427">
        <v>9.5</v>
      </c>
      <c r="N427" t="s">
        <v>2199</v>
      </c>
    </row>
    <row r="428" spans="1:14" x14ac:dyDescent="0.25">
      <c r="A428" s="10" t="str">
        <f t="shared" si="13"/>
        <v>2014-RR-360-145-75-249</v>
      </c>
      <c r="B428" s="11" t="str">
        <f t="shared" si="14"/>
        <v>2014</v>
      </c>
      <c r="C428" s="18" t="s">
        <v>733</v>
      </c>
      <c r="D428" t="s">
        <v>1616</v>
      </c>
      <c r="E428" t="s">
        <v>2200</v>
      </c>
      <c r="F428">
        <v>145</v>
      </c>
      <c r="G428">
        <v>75</v>
      </c>
      <c r="H428">
        <v>249</v>
      </c>
      <c r="K428" t="s">
        <v>2197</v>
      </c>
      <c r="L428" t="s">
        <v>2201</v>
      </c>
      <c r="M428">
        <v>9.6999999999999993</v>
      </c>
      <c r="N428" t="s">
        <v>2202</v>
      </c>
    </row>
    <row r="429" spans="1:14" x14ac:dyDescent="0.25">
      <c r="A429" s="10" t="str">
        <f t="shared" si="13"/>
        <v>2014-RR-360-155-78-251</v>
      </c>
      <c r="B429" s="11" t="str">
        <f t="shared" si="14"/>
        <v>2014</v>
      </c>
      <c r="C429" s="18" t="s">
        <v>733</v>
      </c>
      <c r="D429" t="s">
        <v>1616</v>
      </c>
      <c r="E429" t="s">
        <v>2203</v>
      </c>
      <c r="F429">
        <v>155</v>
      </c>
      <c r="G429">
        <v>78</v>
      </c>
      <c r="H429">
        <v>251</v>
      </c>
      <c r="K429" t="s">
        <v>2197</v>
      </c>
      <c r="L429" t="s">
        <v>2204</v>
      </c>
      <c r="M429">
        <v>10.199999999999999</v>
      </c>
      <c r="N429" t="s">
        <v>2205</v>
      </c>
    </row>
    <row r="430" spans="1:14" x14ac:dyDescent="0.25">
      <c r="A430" s="10" t="str">
        <f t="shared" si="13"/>
        <v>2014-RR-360-135-72-248</v>
      </c>
      <c r="B430" s="11" t="str">
        <f t="shared" si="14"/>
        <v>2014</v>
      </c>
      <c r="C430" s="18" t="s">
        <v>733</v>
      </c>
      <c r="D430" t="s">
        <v>1616</v>
      </c>
      <c r="E430" t="s">
        <v>2206</v>
      </c>
      <c r="F430">
        <v>135</v>
      </c>
      <c r="G430">
        <v>72</v>
      </c>
      <c r="H430">
        <v>248</v>
      </c>
      <c r="K430" t="s">
        <v>2207</v>
      </c>
      <c r="L430" t="s">
        <v>2198</v>
      </c>
      <c r="M430">
        <v>9.5</v>
      </c>
      <c r="N430" t="s">
        <v>2208</v>
      </c>
    </row>
    <row r="431" spans="1:14" x14ac:dyDescent="0.25">
      <c r="A431" s="10" t="str">
        <f t="shared" si="13"/>
        <v>2014-RR-360-145-75-249</v>
      </c>
      <c r="B431" s="11" t="str">
        <f t="shared" si="14"/>
        <v>2014</v>
      </c>
      <c r="C431" s="18" t="s">
        <v>733</v>
      </c>
      <c r="D431" t="s">
        <v>1616</v>
      </c>
      <c r="E431" t="s">
        <v>2209</v>
      </c>
      <c r="F431">
        <v>145</v>
      </c>
      <c r="G431">
        <v>75</v>
      </c>
      <c r="H431">
        <v>249</v>
      </c>
      <c r="K431" t="s">
        <v>2210</v>
      </c>
      <c r="L431" t="s">
        <v>2201</v>
      </c>
      <c r="M431">
        <v>10.3</v>
      </c>
      <c r="N431" t="s">
        <v>2211</v>
      </c>
    </row>
    <row r="432" spans="1:14" x14ac:dyDescent="0.25">
      <c r="A432" s="10" t="str">
        <f t="shared" si="13"/>
        <v>2014-RR-360-155-78-251</v>
      </c>
      <c r="B432" s="11" t="str">
        <f t="shared" si="14"/>
        <v>2014</v>
      </c>
      <c r="C432" s="18" t="s">
        <v>733</v>
      </c>
      <c r="D432" t="s">
        <v>1616</v>
      </c>
      <c r="E432" t="s">
        <v>2212</v>
      </c>
      <c r="F432">
        <v>155</v>
      </c>
      <c r="G432">
        <v>78</v>
      </c>
      <c r="H432">
        <v>251</v>
      </c>
      <c r="K432" t="s">
        <v>2210</v>
      </c>
      <c r="L432" t="s">
        <v>2204</v>
      </c>
      <c r="M432">
        <v>10.9</v>
      </c>
      <c r="N432" t="s">
        <v>2213</v>
      </c>
    </row>
    <row r="433" spans="1:14" x14ac:dyDescent="0.25">
      <c r="A433" s="10" t="str">
        <f t="shared" si="13"/>
        <v>2014-RR-360-158-81-257</v>
      </c>
      <c r="B433" s="11" t="str">
        <f t="shared" si="14"/>
        <v>2014</v>
      </c>
      <c r="C433" s="18" t="s">
        <v>733</v>
      </c>
      <c r="D433" t="s">
        <v>1616</v>
      </c>
      <c r="E433" t="s">
        <v>2214</v>
      </c>
      <c r="F433">
        <v>158</v>
      </c>
      <c r="G433">
        <v>81</v>
      </c>
      <c r="H433">
        <v>257</v>
      </c>
      <c r="K433" t="s">
        <v>2215</v>
      </c>
      <c r="L433" t="s">
        <v>2216</v>
      </c>
      <c r="M433">
        <v>11.6</v>
      </c>
      <c r="N433" t="s">
        <v>2217</v>
      </c>
    </row>
    <row r="434" spans="1:14" x14ac:dyDescent="0.25">
      <c r="A434" s="10" t="str">
        <f t="shared" si="13"/>
        <v>2014-RR-360-158-81-257</v>
      </c>
      <c r="B434" s="11" t="str">
        <f t="shared" si="14"/>
        <v>2014</v>
      </c>
      <c r="C434" s="18" t="s">
        <v>733</v>
      </c>
      <c r="D434" t="s">
        <v>1616</v>
      </c>
      <c r="E434" t="s">
        <v>2218</v>
      </c>
      <c r="F434">
        <v>158</v>
      </c>
      <c r="G434">
        <v>81</v>
      </c>
      <c r="H434">
        <v>257</v>
      </c>
      <c r="K434" t="s">
        <v>2219</v>
      </c>
      <c r="L434" t="s">
        <v>2216</v>
      </c>
      <c r="M434">
        <v>11.3</v>
      </c>
      <c r="N434" t="s">
        <v>2220</v>
      </c>
    </row>
    <row r="435" spans="1:14" x14ac:dyDescent="0.25">
      <c r="A435" s="10" t="str">
        <f t="shared" si="13"/>
        <v>2014-RR-EAS-166-80-260</v>
      </c>
      <c r="B435" s="11" t="str">
        <f t="shared" si="14"/>
        <v>2014</v>
      </c>
      <c r="C435" s="18" t="s">
        <v>733</v>
      </c>
      <c r="D435" t="s">
        <v>1616</v>
      </c>
      <c r="E435" t="s">
        <v>2221</v>
      </c>
      <c r="F435">
        <v>166</v>
      </c>
      <c r="G435">
        <v>80</v>
      </c>
      <c r="H435">
        <v>260</v>
      </c>
      <c r="K435" t="s">
        <v>2215</v>
      </c>
      <c r="L435" t="s">
        <v>2222</v>
      </c>
      <c r="M435">
        <v>12.5</v>
      </c>
      <c r="N435" t="s">
        <v>2223</v>
      </c>
    </row>
    <row r="436" spans="1:14" x14ac:dyDescent="0.25">
      <c r="A436" s="10" t="str">
        <f t="shared" ref="A436:A440" si="15">_xlfn.CONCAT(B436,"-",LEFT(D436,2),"-",LEFT(E436,3),"-",F436,"-",TRUNC(G436),"-",TRUNC(H436))</f>
        <v>2014-RR-EAS-180-85-260</v>
      </c>
      <c r="B436" s="11" t="str">
        <f t="shared" si="14"/>
        <v>2014</v>
      </c>
      <c r="C436" s="18" t="s">
        <v>733</v>
      </c>
      <c r="D436" t="s">
        <v>1616</v>
      </c>
      <c r="E436" t="s">
        <v>2224</v>
      </c>
      <c r="F436">
        <v>180</v>
      </c>
      <c r="G436">
        <v>85</v>
      </c>
      <c r="H436">
        <v>260</v>
      </c>
      <c r="K436" t="s">
        <v>2215</v>
      </c>
      <c r="L436" t="s">
        <v>2225</v>
      </c>
      <c r="M436">
        <v>13</v>
      </c>
      <c r="N436" t="s">
        <v>2226</v>
      </c>
    </row>
    <row r="437" spans="1:14" x14ac:dyDescent="0.25">
      <c r="A437" s="10" t="str">
        <f t="shared" si="15"/>
        <v>2014-RR-EAS-220-100-270</v>
      </c>
      <c r="B437" s="11" t="str">
        <f t="shared" si="14"/>
        <v>2014</v>
      </c>
      <c r="C437" s="18" t="s">
        <v>733</v>
      </c>
      <c r="D437" t="s">
        <v>1616</v>
      </c>
      <c r="E437" t="s">
        <v>2227</v>
      </c>
      <c r="F437">
        <v>220</v>
      </c>
      <c r="G437">
        <v>100</v>
      </c>
      <c r="H437">
        <v>270</v>
      </c>
      <c r="K437" t="s">
        <v>2215</v>
      </c>
      <c r="L437" t="s">
        <v>2225</v>
      </c>
      <c r="M437">
        <v>14.5</v>
      </c>
      <c r="N437" t="s">
        <v>2228</v>
      </c>
    </row>
    <row r="438" spans="1:14" x14ac:dyDescent="0.25">
      <c r="A438" s="10" t="str">
        <f t="shared" si="15"/>
        <v>2014-RR-EAS-110-67-233</v>
      </c>
      <c r="B438" s="11" t="str">
        <f t="shared" si="14"/>
        <v>2014</v>
      </c>
      <c r="C438" s="18" t="s">
        <v>733</v>
      </c>
      <c r="D438" t="s">
        <v>1616</v>
      </c>
      <c r="E438" t="s">
        <v>2229</v>
      </c>
      <c r="F438">
        <v>110</v>
      </c>
      <c r="G438">
        <v>67</v>
      </c>
      <c r="H438">
        <v>233</v>
      </c>
      <c r="K438" t="s">
        <v>2230</v>
      </c>
      <c r="L438" t="s">
        <v>2231</v>
      </c>
      <c r="M438">
        <v>8.6999999999999993</v>
      </c>
      <c r="N438" t="s">
        <v>2232</v>
      </c>
    </row>
    <row r="439" spans="1:14" x14ac:dyDescent="0.25">
      <c r="A439" s="10" t="str">
        <f t="shared" si="15"/>
        <v>2014-RR-WAV-64-53-229</v>
      </c>
      <c r="B439" s="11" t="str">
        <f t="shared" si="14"/>
        <v>2014</v>
      </c>
      <c r="C439" s="18" t="s">
        <v>733</v>
      </c>
      <c r="D439" t="s">
        <v>1616</v>
      </c>
      <c r="E439" t="s">
        <v>2233</v>
      </c>
      <c r="F439">
        <v>64</v>
      </c>
      <c r="G439">
        <v>53</v>
      </c>
      <c r="H439">
        <v>229</v>
      </c>
      <c r="K439" t="s">
        <v>2234</v>
      </c>
      <c r="L439" t="s">
        <v>2235</v>
      </c>
      <c r="M439">
        <v>6.7</v>
      </c>
      <c r="N439" t="s">
        <v>2236</v>
      </c>
    </row>
    <row r="440" spans="1:14" x14ac:dyDescent="0.25">
      <c r="A440" s="10" t="str">
        <f t="shared" si="15"/>
        <v>2014-RR-LON-180-70-340</v>
      </c>
      <c r="B440" s="11" t="str">
        <f t="shared" si="14"/>
        <v>2014</v>
      </c>
      <c r="C440" s="18" t="s">
        <v>733</v>
      </c>
      <c r="D440" t="s">
        <v>1616</v>
      </c>
      <c r="E440" t="s">
        <v>2237</v>
      </c>
      <c r="F440">
        <v>180</v>
      </c>
      <c r="G440">
        <v>70</v>
      </c>
      <c r="H440">
        <v>340</v>
      </c>
      <c r="K440" t="s">
        <v>2238</v>
      </c>
      <c r="L440" t="s">
        <v>2239</v>
      </c>
      <c r="M440">
        <v>14.2</v>
      </c>
      <c r="N440" t="s">
        <v>2240</v>
      </c>
    </row>
  </sheetData>
  <autoFilter ref="A1:L1" xr:uid="{C43EE7DF-6394-4A61-9462-EC4D65F15DB9}"/>
  <phoneticPr fontId="5" type="noConversion"/>
  <pageMargins left="0.7" right="0.7" top="0.75" bottom="0.75" header="0.3" footer="0.3"/>
  <ignoredErrors>
    <ignoredError sqref="C367:C4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D491-38A9-4555-8897-62693548B5FD}">
  <dimension ref="A1:L1487"/>
  <sheetViews>
    <sheetView workbookViewId="0">
      <pane ySplit="1" topLeftCell="A1425" activePane="bottomLeft" state="frozen"/>
      <selection pane="bottomLeft" activeCell="D1438" sqref="D1438"/>
    </sheetView>
  </sheetViews>
  <sheetFormatPr defaultRowHeight="15" outlineLevelCol="1" x14ac:dyDescent="0.25"/>
  <cols>
    <col min="1" max="1" width="26.7109375" bestFit="1" customWidth="1"/>
    <col min="2" max="2" width="7.28515625" bestFit="1" customWidth="1"/>
    <col min="3" max="3" width="16.140625" bestFit="1" customWidth="1"/>
    <col min="4" max="4" width="17.7109375" customWidth="1"/>
    <col min="5" max="5" width="25.28515625" bestFit="1" customWidth="1"/>
    <col min="6" max="6" width="11.28515625" bestFit="1" customWidth="1"/>
    <col min="7" max="7" width="14.5703125" bestFit="1" customWidth="1"/>
    <col min="8" max="8" width="11.28515625" customWidth="1"/>
    <col min="9" max="9" width="13.7109375" customWidth="1" outlineLevel="1"/>
    <col min="10" max="10" width="21.7109375" customWidth="1" outlineLevel="1"/>
    <col min="11" max="11" width="19.28515625" style="18" customWidth="1" outlineLevel="1"/>
    <col min="12" max="12" width="13.28515625" bestFit="1" customWidth="1"/>
  </cols>
  <sheetData>
    <row r="1" spans="1:12" ht="29.25" customHeight="1" x14ac:dyDescent="0.25">
      <c r="A1" s="33" t="s">
        <v>2</v>
      </c>
      <c r="B1" s="28" t="s">
        <v>0</v>
      </c>
      <c r="C1" s="29" t="s">
        <v>729</v>
      </c>
      <c r="D1" s="16" t="s">
        <v>727</v>
      </c>
      <c r="E1" s="16" t="s">
        <v>728</v>
      </c>
      <c r="F1" s="16" t="s">
        <v>726</v>
      </c>
      <c r="G1" s="16" t="s">
        <v>356</v>
      </c>
      <c r="H1" s="16" t="s">
        <v>355</v>
      </c>
      <c r="I1" s="34" t="s">
        <v>792</v>
      </c>
      <c r="J1" s="34" t="s">
        <v>791</v>
      </c>
      <c r="K1" s="20" t="s">
        <v>730</v>
      </c>
      <c r="L1" s="19" t="s">
        <v>790</v>
      </c>
    </row>
    <row r="2" spans="1:12" x14ac:dyDescent="0.25">
      <c r="A2" t="str">
        <f t="shared" ref="A2:A65" si="0">_xlfn.CONCAT(B2,"-",LEFT(D2,2),"-",LEFT(E2,3),"-",F2,"-",TRUNC(I2),"-",TRUNC(J2))</f>
        <v>2014-99-SL -89-578-2434</v>
      </c>
      <c r="B2" t="str">
        <f t="shared" ref="B2:B65" si="1">LEFT(C2,4)</f>
        <v>2014</v>
      </c>
      <c r="C2" s="18" t="s">
        <v>733</v>
      </c>
      <c r="D2" t="s">
        <v>731</v>
      </c>
      <c r="E2" t="s">
        <v>732</v>
      </c>
      <c r="F2">
        <v>89</v>
      </c>
      <c r="G2">
        <f>TRUNC(I2/10)</f>
        <v>57</v>
      </c>
      <c r="H2">
        <f>TRUNC(J2/10)</f>
        <v>243</v>
      </c>
      <c r="I2">
        <v>578</v>
      </c>
      <c r="J2">
        <v>2434</v>
      </c>
      <c r="K2" t="s">
        <v>733</v>
      </c>
      <c r="L2" s="21">
        <v>6.5</v>
      </c>
    </row>
    <row r="3" spans="1:12" x14ac:dyDescent="0.25">
      <c r="A3" t="str">
        <f t="shared" si="0"/>
        <v>2014-99-SL -89-578-2434</v>
      </c>
      <c r="B3" t="str">
        <f t="shared" si="1"/>
        <v>2014</v>
      </c>
      <c r="C3" s="18" t="s">
        <v>733</v>
      </c>
      <c r="D3" t="s">
        <v>731</v>
      </c>
      <c r="E3" t="s">
        <v>734</v>
      </c>
      <c r="F3">
        <v>89</v>
      </c>
      <c r="G3">
        <f t="shared" ref="G3:G66" si="2">TRUNC(I3/10)</f>
        <v>57</v>
      </c>
      <c r="H3">
        <f t="shared" ref="H3:H66" si="3">TRUNC(J3/10)</f>
        <v>243</v>
      </c>
      <c r="I3">
        <v>578</v>
      </c>
      <c r="J3">
        <v>2434</v>
      </c>
      <c r="K3" t="s">
        <v>733</v>
      </c>
      <c r="L3" s="21">
        <v>5.9</v>
      </c>
    </row>
    <row r="4" spans="1:12" x14ac:dyDescent="0.25">
      <c r="A4" t="str">
        <f t="shared" si="0"/>
        <v>2014-99-SL -109-689-2352</v>
      </c>
      <c r="B4" t="str">
        <f t="shared" si="1"/>
        <v>2014</v>
      </c>
      <c r="C4" s="18" t="s">
        <v>733</v>
      </c>
      <c r="D4" t="s">
        <v>731</v>
      </c>
      <c r="E4" t="s">
        <v>735</v>
      </c>
      <c r="F4">
        <v>109</v>
      </c>
      <c r="G4">
        <f t="shared" si="2"/>
        <v>68</v>
      </c>
      <c r="H4">
        <f t="shared" si="3"/>
        <v>235</v>
      </c>
      <c r="I4">
        <v>689</v>
      </c>
      <c r="J4">
        <v>2352</v>
      </c>
      <c r="K4" t="s">
        <v>733</v>
      </c>
      <c r="L4" s="21">
        <v>6.9</v>
      </c>
    </row>
    <row r="5" spans="1:12" x14ac:dyDescent="0.25">
      <c r="A5" t="str">
        <f t="shared" si="0"/>
        <v>2014-99-SL -109-689-2352</v>
      </c>
      <c r="B5" t="str">
        <f t="shared" si="1"/>
        <v>2014</v>
      </c>
      <c r="C5" s="18" t="s">
        <v>733</v>
      </c>
      <c r="D5" t="s">
        <v>731</v>
      </c>
      <c r="E5" t="s">
        <v>736</v>
      </c>
      <c r="F5">
        <v>109</v>
      </c>
      <c r="G5">
        <f t="shared" si="2"/>
        <v>68</v>
      </c>
      <c r="H5">
        <f t="shared" si="3"/>
        <v>235</v>
      </c>
      <c r="I5">
        <v>689</v>
      </c>
      <c r="J5">
        <v>2352</v>
      </c>
      <c r="K5" t="s">
        <v>733</v>
      </c>
      <c r="L5" s="21">
        <v>6.4</v>
      </c>
    </row>
    <row r="6" spans="1:12" x14ac:dyDescent="0.25">
      <c r="A6" t="str">
        <f t="shared" si="0"/>
        <v>2014-99-SL -119-765-2320</v>
      </c>
      <c r="B6" t="str">
        <f t="shared" si="1"/>
        <v>2014</v>
      </c>
      <c r="C6" s="18" t="s">
        <v>733</v>
      </c>
      <c r="D6" t="s">
        <v>731</v>
      </c>
      <c r="E6" t="s">
        <v>737</v>
      </c>
      <c r="F6">
        <v>119</v>
      </c>
      <c r="G6">
        <f t="shared" si="2"/>
        <v>76</v>
      </c>
      <c r="H6">
        <f t="shared" si="3"/>
        <v>232</v>
      </c>
      <c r="I6">
        <v>765</v>
      </c>
      <c r="J6">
        <v>2320</v>
      </c>
      <c r="K6" t="s">
        <v>733</v>
      </c>
      <c r="L6" s="21">
        <v>6.8</v>
      </c>
    </row>
    <row r="7" spans="1:12" x14ac:dyDescent="0.25">
      <c r="A7" t="str">
        <f t="shared" si="0"/>
        <v>2014-99-SL -129-850-2283</v>
      </c>
      <c r="B7" t="str">
        <f t="shared" si="1"/>
        <v>2014</v>
      </c>
      <c r="C7" s="18" t="s">
        <v>733</v>
      </c>
      <c r="D7" t="s">
        <v>731</v>
      </c>
      <c r="E7" t="s">
        <v>738</v>
      </c>
      <c r="F7">
        <v>129</v>
      </c>
      <c r="G7">
        <f t="shared" si="2"/>
        <v>85</v>
      </c>
      <c r="H7">
        <f t="shared" si="3"/>
        <v>228</v>
      </c>
      <c r="I7">
        <v>850</v>
      </c>
      <c r="J7">
        <v>2283</v>
      </c>
      <c r="K7" t="s">
        <v>733</v>
      </c>
      <c r="L7" s="21">
        <v>7.5</v>
      </c>
    </row>
    <row r="8" spans="1:12" x14ac:dyDescent="0.25">
      <c r="A8" t="str">
        <f t="shared" si="0"/>
        <v>2014-99-SL -129-850-2283</v>
      </c>
      <c r="B8" t="str">
        <f t="shared" si="1"/>
        <v>2014</v>
      </c>
      <c r="C8" s="18" t="s">
        <v>733</v>
      </c>
      <c r="D8" t="s">
        <v>731</v>
      </c>
      <c r="E8" t="s">
        <v>739</v>
      </c>
      <c r="F8">
        <v>129</v>
      </c>
      <c r="G8">
        <f t="shared" si="2"/>
        <v>85</v>
      </c>
      <c r="H8">
        <f t="shared" si="3"/>
        <v>228</v>
      </c>
      <c r="I8">
        <v>850</v>
      </c>
      <c r="J8">
        <v>2283</v>
      </c>
      <c r="K8" t="s">
        <v>733</v>
      </c>
      <c r="L8" s="21">
        <v>7.3</v>
      </c>
    </row>
    <row r="9" spans="1:12" x14ac:dyDescent="0.25">
      <c r="A9" t="str">
        <f t="shared" si="0"/>
        <v>2015-99-WC -100-619-2332</v>
      </c>
      <c r="B9" t="str">
        <f t="shared" si="1"/>
        <v>2015</v>
      </c>
      <c r="C9" s="18" t="s">
        <v>741</v>
      </c>
      <c r="D9" t="s">
        <v>731</v>
      </c>
      <c r="E9" t="s">
        <v>740</v>
      </c>
      <c r="F9">
        <v>100</v>
      </c>
      <c r="G9">
        <f t="shared" si="2"/>
        <v>61</v>
      </c>
      <c r="H9">
        <f t="shared" si="3"/>
        <v>233</v>
      </c>
      <c r="I9">
        <v>619</v>
      </c>
      <c r="J9">
        <v>2332</v>
      </c>
      <c r="K9" t="s">
        <v>742</v>
      </c>
      <c r="L9" s="21">
        <v>5.9</v>
      </c>
    </row>
    <row r="10" spans="1:12" x14ac:dyDescent="0.25">
      <c r="A10" t="str">
        <f t="shared" si="0"/>
        <v>2015-99-WC -123.5-714-2330</v>
      </c>
      <c r="B10" t="str">
        <f t="shared" si="1"/>
        <v>2015</v>
      </c>
      <c r="C10" s="18" t="s">
        <v>741</v>
      </c>
      <c r="D10" t="s">
        <v>731</v>
      </c>
      <c r="E10" t="s">
        <v>743</v>
      </c>
      <c r="F10">
        <v>123.5</v>
      </c>
      <c r="G10">
        <f t="shared" si="2"/>
        <v>71</v>
      </c>
      <c r="H10">
        <f t="shared" si="3"/>
        <v>233</v>
      </c>
      <c r="I10">
        <v>714</v>
      </c>
      <c r="J10">
        <v>2330</v>
      </c>
      <c r="K10" t="s">
        <v>742</v>
      </c>
      <c r="L10" s="21">
        <v>6.3</v>
      </c>
    </row>
    <row r="11" spans="1:12" x14ac:dyDescent="0.25">
      <c r="A11" t="str">
        <f t="shared" si="0"/>
        <v>2015-99-WC -134.7-794-2265</v>
      </c>
      <c r="B11" t="str">
        <f t="shared" si="1"/>
        <v>2015</v>
      </c>
      <c r="C11" s="18" t="s">
        <v>741</v>
      </c>
      <c r="D11" t="s">
        <v>731</v>
      </c>
      <c r="E11" t="s">
        <v>744</v>
      </c>
      <c r="F11">
        <v>134.69999999999999</v>
      </c>
      <c r="G11">
        <f t="shared" si="2"/>
        <v>79</v>
      </c>
      <c r="H11">
        <f t="shared" si="3"/>
        <v>226</v>
      </c>
      <c r="I11">
        <v>794</v>
      </c>
      <c r="J11">
        <v>2265</v>
      </c>
      <c r="K11" t="s">
        <v>742</v>
      </c>
      <c r="L11" s="21">
        <v>6.3</v>
      </c>
    </row>
    <row r="12" spans="1:12" x14ac:dyDescent="0.25">
      <c r="A12" t="str">
        <f t="shared" si="0"/>
        <v>2015-99-WC -146.8-847-2265</v>
      </c>
      <c r="B12" t="str">
        <f t="shared" si="1"/>
        <v>2015</v>
      </c>
      <c r="C12" s="18" t="s">
        <v>741</v>
      </c>
      <c r="D12" t="s">
        <v>731</v>
      </c>
      <c r="E12" t="s">
        <v>745</v>
      </c>
      <c r="F12">
        <v>146.80000000000001</v>
      </c>
      <c r="G12">
        <f t="shared" si="2"/>
        <v>84</v>
      </c>
      <c r="H12">
        <f t="shared" si="3"/>
        <v>226</v>
      </c>
      <c r="I12">
        <v>847</v>
      </c>
      <c r="J12">
        <v>2265</v>
      </c>
      <c r="K12" t="s">
        <v>742</v>
      </c>
      <c r="L12" s="21">
        <v>7.3</v>
      </c>
    </row>
    <row r="13" spans="1:12" x14ac:dyDescent="0.25">
      <c r="A13" t="str">
        <f t="shared" si="0"/>
        <v>2016-99-WCS-90.7-579-2348</v>
      </c>
      <c r="B13" t="str">
        <f t="shared" si="1"/>
        <v>2016</v>
      </c>
      <c r="C13" s="18" t="s">
        <v>747</v>
      </c>
      <c r="D13" t="s">
        <v>731</v>
      </c>
      <c r="E13" t="s">
        <v>746</v>
      </c>
      <c r="F13">
        <v>90.7</v>
      </c>
      <c r="G13">
        <f t="shared" si="2"/>
        <v>57</v>
      </c>
      <c r="H13">
        <f t="shared" si="3"/>
        <v>234</v>
      </c>
      <c r="I13">
        <v>579</v>
      </c>
      <c r="J13">
        <v>2348</v>
      </c>
      <c r="K13" t="s">
        <v>748</v>
      </c>
      <c r="L13" s="21">
        <v>5.8</v>
      </c>
    </row>
    <row r="14" spans="1:12" x14ac:dyDescent="0.25">
      <c r="A14" t="str">
        <f t="shared" si="0"/>
        <v>2016-99-WCS-101.8-631-2347</v>
      </c>
      <c r="B14" t="str">
        <f t="shared" si="1"/>
        <v>2016</v>
      </c>
      <c r="C14" s="18" t="s">
        <v>747</v>
      </c>
      <c r="D14" t="s">
        <v>731</v>
      </c>
      <c r="E14" t="s">
        <v>749</v>
      </c>
      <c r="F14">
        <v>101.8</v>
      </c>
      <c r="G14">
        <f t="shared" si="2"/>
        <v>63</v>
      </c>
      <c r="H14">
        <f t="shared" si="3"/>
        <v>234</v>
      </c>
      <c r="I14">
        <v>631</v>
      </c>
      <c r="J14">
        <v>2347</v>
      </c>
      <c r="K14" t="s">
        <v>748</v>
      </c>
      <c r="L14" s="21">
        <v>6</v>
      </c>
    </row>
    <row r="15" spans="1:12" x14ac:dyDescent="0.25">
      <c r="A15" t="str">
        <f t="shared" si="0"/>
        <v>2016-99-WCS-124.1-720-2347</v>
      </c>
      <c r="B15" t="str">
        <f t="shared" si="1"/>
        <v>2016</v>
      </c>
      <c r="C15" s="18" t="s">
        <v>747</v>
      </c>
      <c r="D15" t="s">
        <v>731</v>
      </c>
      <c r="E15" t="s">
        <v>750</v>
      </c>
      <c r="F15">
        <v>124.1</v>
      </c>
      <c r="G15">
        <f t="shared" si="2"/>
        <v>72</v>
      </c>
      <c r="H15">
        <f t="shared" si="3"/>
        <v>234</v>
      </c>
      <c r="I15">
        <v>720</v>
      </c>
      <c r="J15">
        <v>2347</v>
      </c>
      <c r="K15" t="s">
        <v>748</v>
      </c>
      <c r="L15" s="21">
        <v>6.3</v>
      </c>
    </row>
    <row r="16" spans="1:12" x14ac:dyDescent="0.25">
      <c r="A16" t="str">
        <f t="shared" si="0"/>
        <v>2016-99-WCS-136-802-2282</v>
      </c>
      <c r="B16" t="str">
        <f t="shared" si="1"/>
        <v>2016</v>
      </c>
      <c r="C16" s="18" t="s">
        <v>747</v>
      </c>
      <c r="D16" t="s">
        <v>731</v>
      </c>
      <c r="E16" t="s">
        <v>751</v>
      </c>
      <c r="F16">
        <v>136</v>
      </c>
      <c r="G16">
        <f t="shared" si="2"/>
        <v>80</v>
      </c>
      <c r="H16">
        <f t="shared" si="3"/>
        <v>228</v>
      </c>
      <c r="I16">
        <v>802</v>
      </c>
      <c r="J16">
        <v>2282</v>
      </c>
      <c r="K16" t="s">
        <v>748</v>
      </c>
      <c r="L16" s="21">
        <v>6.7</v>
      </c>
    </row>
    <row r="17" spans="1:12" x14ac:dyDescent="0.25">
      <c r="A17" t="str">
        <f t="shared" si="0"/>
        <v>2016-99-WCS-149.1-852-2281</v>
      </c>
      <c r="B17" t="str">
        <f t="shared" si="1"/>
        <v>2016</v>
      </c>
      <c r="C17" s="18" t="s">
        <v>747</v>
      </c>
      <c r="D17" t="s">
        <v>731</v>
      </c>
      <c r="E17" t="s">
        <v>752</v>
      </c>
      <c r="F17">
        <v>149.1</v>
      </c>
      <c r="G17">
        <f t="shared" si="2"/>
        <v>85</v>
      </c>
      <c r="H17">
        <f t="shared" si="3"/>
        <v>228</v>
      </c>
      <c r="I17">
        <v>852</v>
      </c>
      <c r="J17">
        <v>2281</v>
      </c>
      <c r="K17" t="s">
        <v>748</v>
      </c>
      <c r="L17" s="21">
        <v>7.1</v>
      </c>
    </row>
    <row r="18" spans="1:12" x14ac:dyDescent="0.25">
      <c r="A18" t="str">
        <f t="shared" si="0"/>
        <v>2017-99-WCS-90.7-579-2348</v>
      </c>
      <c r="B18" t="str">
        <f t="shared" si="1"/>
        <v>2017</v>
      </c>
      <c r="C18" s="18" t="s">
        <v>753</v>
      </c>
      <c r="D18" t="s">
        <v>731</v>
      </c>
      <c r="E18" t="s">
        <v>746</v>
      </c>
      <c r="F18">
        <v>90.7</v>
      </c>
      <c r="G18">
        <f t="shared" si="2"/>
        <v>57</v>
      </c>
      <c r="H18">
        <f t="shared" si="3"/>
        <v>234</v>
      </c>
      <c r="I18">
        <v>579</v>
      </c>
      <c r="J18">
        <v>2348</v>
      </c>
      <c r="K18" t="s">
        <v>754</v>
      </c>
      <c r="L18" s="21">
        <v>5.8</v>
      </c>
    </row>
    <row r="19" spans="1:12" x14ac:dyDescent="0.25">
      <c r="A19" t="str">
        <f t="shared" si="0"/>
        <v>2017-99-WCS-101.8-631-2347</v>
      </c>
      <c r="B19" t="str">
        <f t="shared" si="1"/>
        <v>2017</v>
      </c>
      <c r="C19" s="18" t="s">
        <v>753</v>
      </c>
      <c r="D19" t="s">
        <v>731</v>
      </c>
      <c r="E19" t="s">
        <v>755</v>
      </c>
      <c r="F19">
        <v>101.8</v>
      </c>
      <c r="G19">
        <f t="shared" si="2"/>
        <v>63</v>
      </c>
      <c r="H19">
        <f t="shared" si="3"/>
        <v>234</v>
      </c>
      <c r="I19">
        <v>631</v>
      </c>
      <c r="J19">
        <v>2347</v>
      </c>
      <c r="K19" t="s">
        <v>754</v>
      </c>
      <c r="L19" s="21">
        <v>6</v>
      </c>
    </row>
    <row r="20" spans="1:12" x14ac:dyDescent="0.25">
      <c r="A20" t="str">
        <f t="shared" si="0"/>
        <v>2017-99-WCS-114.8-692-2348</v>
      </c>
      <c r="B20" t="str">
        <f t="shared" si="1"/>
        <v>2017</v>
      </c>
      <c r="C20" s="18" t="s">
        <v>753</v>
      </c>
      <c r="D20" t="s">
        <v>731</v>
      </c>
      <c r="E20" t="s">
        <v>756</v>
      </c>
      <c r="F20">
        <v>114.8</v>
      </c>
      <c r="G20">
        <f t="shared" si="2"/>
        <v>69</v>
      </c>
      <c r="H20">
        <f t="shared" si="3"/>
        <v>234</v>
      </c>
      <c r="I20">
        <v>692</v>
      </c>
      <c r="J20">
        <v>2348</v>
      </c>
      <c r="K20" t="s">
        <v>754</v>
      </c>
      <c r="L20" s="21">
        <v>6.2</v>
      </c>
    </row>
    <row r="21" spans="1:12" x14ac:dyDescent="0.25">
      <c r="A21" t="str">
        <f t="shared" si="0"/>
        <v>2017-99-WCS-124.1-720-2347</v>
      </c>
      <c r="B21" t="str">
        <f t="shared" si="1"/>
        <v>2017</v>
      </c>
      <c r="C21" s="18" t="s">
        <v>753</v>
      </c>
      <c r="D21" t="s">
        <v>731</v>
      </c>
      <c r="E21" t="s">
        <v>757</v>
      </c>
      <c r="F21">
        <v>124.1</v>
      </c>
      <c r="G21">
        <f t="shared" si="2"/>
        <v>72</v>
      </c>
      <c r="H21">
        <f t="shared" si="3"/>
        <v>234</v>
      </c>
      <c r="I21">
        <v>720</v>
      </c>
      <c r="J21">
        <v>2347</v>
      </c>
      <c r="K21" t="s">
        <v>754</v>
      </c>
      <c r="L21" s="21">
        <v>6.4</v>
      </c>
    </row>
    <row r="22" spans="1:12" x14ac:dyDescent="0.25">
      <c r="A22" t="str">
        <f t="shared" si="0"/>
        <v>2017-99-WCS-131.5-825-2283</v>
      </c>
      <c r="B22" t="str">
        <f t="shared" si="1"/>
        <v>2017</v>
      </c>
      <c r="C22" s="18" t="s">
        <v>753</v>
      </c>
      <c r="D22" t="s">
        <v>731</v>
      </c>
      <c r="E22" t="s">
        <v>758</v>
      </c>
      <c r="F22">
        <v>131.5</v>
      </c>
      <c r="G22">
        <f t="shared" si="2"/>
        <v>82</v>
      </c>
      <c r="H22">
        <f t="shared" si="3"/>
        <v>228</v>
      </c>
      <c r="I22">
        <v>825</v>
      </c>
      <c r="J22">
        <v>2283</v>
      </c>
      <c r="K22" t="s">
        <v>754</v>
      </c>
      <c r="L22" s="21">
        <v>7</v>
      </c>
    </row>
    <row r="23" spans="1:12" x14ac:dyDescent="0.25">
      <c r="A23" t="str">
        <f t="shared" si="0"/>
        <v>2017-99-WCS-149.4-852-2281</v>
      </c>
      <c r="B23" t="str">
        <f t="shared" si="1"/>
        <v>2017</v>
      </c>
      <c r="C23" s="18" t="s">
        <v>753</v>
      </c>
      <c r="D23" t="s">
        <v>731</v>
      </c>
      <c r="E23" t="s">
        <v>759</v>
      </c>
      <c r="F23">
        <v>149.4</v>
      </c>
      <c r="G23">
        <f t="shared" si="2"/>
        <v>85</v>
      </c>
      <c r="H23">
        <f t="shared" si="3"/>
        <v>228</v>
      </c>
      <c r="I23">
        <v>852</v>
      </c>
      <c r="J23">
        <v>2281</v>
      </c>
      <c r="K23" t="s">
        <v>754</v>
      </c>
      <c r="L23" s="21">
        <v>7.2</v>
      </c>
    </row>
    <row r="24" spans="1:12" x14ac:dyDescent="0.25">
      <c r="A24" t="str">
        <f t="shared" si="0"/>
        <v>2018-99-WCS-98.7-609-2348</v>
      </c>
      <c r="B24" t="str">
        <f t="shared" si="1"/>
        <v>2018</v>
      </c>
      <c r="C24" s="18" t="s">
        <v>760</v>
      </c>
      <c r="D24" t="s">
        <v>731</v>
      </c>
      <c r="E24" t="s">
        <v>746</v>
      </c>
      <c r="F24">
        <v>98.7</v>
      </c>
      <c r="G24">
        <f t="shared" si="2"/>
        <v>60</v>
      </c>
      <c r="H24">
        <f t="shared" si="3"/>
        <v>234</v>
      </c>
      <c r="I24">
        <v>609</v>
      </c>
      <c r="J24">
        <v>2348</v>
      </c>
      <c r="K24" t="s">
        <v>761</v>
      </c>
      <c r="L24" s="21">
        <v>6</v>
      </c>
    </row>
    <row r="25" spans="1:12" x14ac:dyDescent="0.25">
      <c r="A25" t="str">
        <f t="shared" si="0"/>
        <v>2018-99-WCS-99.7-631-2347</v>
      </c>
      <c r="B25" t="str">
        <f t="shared" si="1"/>
        <v>2018</v>
      </c>
      <c r="C25" s="18" t="s">
        <v>760</v>
      </c>
      <c r="D25" t="s">
        <v>731</v>
      </c>
      <c r="E25" t="s">
        <v>755</v>
      </c>
      <c r="F25">
        <v>99.7</v>
      </c>
      <c r="G25">
        <f t="shared" si="2"/>
        <v>63</v>
      </c>
      <c r="H25">
        <f t="shared" si="3"/>
        <v>234</v>
      </c>
      <c r="I25">
        <v>631</v>
      </c>
      <c r="J25">
        <v>2347</v>
      </c>
      <c r="K25" t="s">
        <v>761</v>
      </c>
      <c r="L25" s="21">
        <v>6.1</v>
      </c>
    </row>
    <row r="26" spans="1:12" x14ac:dyDescent="0.25">
      <c r="A26" t="str">
        <f t="shared" si="0"/>
        <v>2018-99-WCS-118.6-700-2349</v>
      </c>
      <c r="B26" t="str">
        <f t="shared" si="1"/>
        <v>2018</v>
      </c>
      <c r="C26" s="18" t="s">
        <v>760</v>
      </c>
      <c r="D26" t="s">
        <v>731</v>
      </c>
      <c r="E26" t="s">
        <v>756</v>
      </c>
      <c r="F26">
        <v>118.6</v>
      </c>
      <c r="G26">
        <f t="shared" si="2"/>
        <v>70</v>
      </c>
      <c r="H26">
        <f t="shared" si="3"/>
        <v>234</v>
      </c>
      <c r="I26">
        <v>700</v>
      </c>
      <c r="J26">
        <v>2349</v>
      </c>
      <c r="K26" t="s">
        <v>761</v>
      </c>
      <c r="L26" s="21">
        <v>6.4</v>
      </c>
    </row>
    <row r="27" spans="1:12" x14ac:dyDescent="0.25">
      <c r="A27" t="str">
        <f t="shared" si="0"/>
        <v>2018-99-WCS-121-720-2347</v>
      </c>
      <c r="B27" t="str">
        <f t="shared" si="1"/>
        <v>2018</v>
      </c>
      <c r="C27" s="18" t="s">
        <v>760</v>
      </c>
      <c r="D27" t="s">
        <v>731</v>
      </c>
      <c r="E27" t="s">
        <v>757</v>
      </c>
      <c r="F27">
        <v>121</v>
      </c>
      <c r="G27">
        <f t="shared" si="2"/>
        <v>72</v>
      </c>
      <c r="H27">
        <f t="shared" si="3"/>
        <v>234</v>
      </c>
      <c r="I27">
        <v>720</v>
      </c>
      <c r="J27">
        <v>2347</v>
      </c>
      <c r="K27" t="s">
        <v>761</v>
      </c>
      <c r="L27" s="21">
        <v>6.6</v>
      </c>
    </row>
    <row r="28" spans="1:12" x14ac:dyDescent="0.25">
      <c r="A28" t="str">
        <f t="shared" si="0"/>
        <v>2018-99-WCS-139.5-830-2280</v>
      </c>
      <c r="B28" t="str">
        <f t="shared" si="1"/>
        <v>2018</v>
      </c>
      <c r="C28" s="18" t="s">
        <v>760</v>
      </c>
      <c r="D28" t="s">
        <v>731</v>
      </c>
      <c r="E28" t="s">
        <v>758</v>
      </c>
      <c r="F28">
        <v>139.5</v>
      </c>
      <c r="G28">
        <f t="shared" si="2"/>
        <v>83</v>
      </c>
      <c r="H28">
        <f t="shared" si="3"/>
        <v>228</v>
      </c>
      <c r="I28">
        <v>830</v>
      </c>
      <c r="J28">
        <v>2280</v>
      </c>
      <c r="K28" t="s">
        <v>761</v>
      </c>
      <c r="L28" s="21">
        <v>7.2</v>
      </c>
    </row>
    <row r="29" spans="1:12" x14ac:dyDescent="0.25">
      <c r="A29" t="str">
        <f t="shared" si="0"/>
        <v>2018-99-WCS-148.9-847-2285</v>
      </c>
      <c r="B29" t="str">
        <f t="shared" si="1"/>
        <v>2018</v>
      </c>
      <c r="C29" s="18" t="s">
        <v>760</v>
      </c>
      <c r="D29" t="s">
        <v>731</v>
      </c>
      <c r="E29" t="s">
        <v>759</v>
      </c>
      <c r="F29">
        <v>148.9</v>
      </c>
      <c r="G29">
        <f t="shared" si="2"/>
        <v>84</v>
      </c>
      <c r="H29">
        <f t="shared" si="3"/>
        <v>228</v>
      </c>
      <c r="I29">
        <v>847</v>
      </c>
      <c r="J29">
        <v>2285</v>
      </c>
      <c r="K29" t="s">
        <v>761</v>
      </c>
      <c r="L29" s="21">
        <v>7.5</v>
      </c>
    </row>
    <row r="30" spans="1:12" x14ac:dyDescent="0.25">
      <c r="A30" t="str">
        <f t="shared" si="0"/>
        <v>2009-AB-Spe-63-470-2240</v>
      </c>
      <c r="B30" t="str">
        <f t="shared" si="1"/>
        <v>2009</v>
      </c>
      <c r="C30" s="18">
        <v>2009</v>
      </c>
      <c r="D30" t="s">
        <v>781</v>
      </c>
      <c r="E30" t="s">
        <v>782</v>
      </c>
      <c r="F30">
        <v>63</v>
      </c>
      <c r="G30">
        <f t="shared" si="2"/>
        <v>47</v>
      </c>
      <c r="H30">
        <f t="shared" si="3"/>
        <v>224</v>
      </c>
      <c r="I30">
        <v>470</v>
      </c>
      <c r="J30">
        <v>2240</v>
      </c>
      <c r="K30" s="18" t="s">
        <v>825</v>
      </c>
      <c r="L30" s="21">
        <v>4.5999999999999996</v>
      </c>
    </row>
    <row r="31" spans="1:12" x14ac:dyDescent="0.25">
      <c r="A31" t="str">
        <f t="shared" si="0"/>
        <v>2009-AB-Sla-78-540-2360</v>
      </c>
      <c r="B31" t="str">
        <f t="shared" si="1"/>
        <v>2009</v>
      </c>
      <c r="C31" s="18">
        <v>2009</v>
      </c>
      <c r="D31" t="s">
        <v>781</v>
      </c>
      <c r="E31" t="s">
        <v>783</v>
      </c>
      <c r="F31">
        <v>78</v>
      </c>
      <c r="G31">
        <f t="shared" si="2"/>
        <v>54</v>
      </c>
      <c r="H31">
        <f t="shared" si="3"/>
        <v>236</v>
      </c>
      <c r="I31">
        <v>540</v>
      </c>
      <c r="J31">
        <v>2360</v>
      </c>
      <c r="K31" s="18" t="s">
        <v>825</v>
      </c>
      <c r="L31" s="21">
        <v>5.4</v>
      </c>
    </row>
    <row r="32" spans="1:12" x14ac:dyDescent="0.25">
      <c r="A32" t="str">
        <f t="shared" si="0"/>
        <v>2009-AB-Sla-95-592-2370</v>
      </c>
      <c r="B32" t="str">
        <f t="shared" si="1"/>
        <v>2009</v>
      </c>
      <c r="C32" s="18">
        <v>2009</v>
      </c>
      <c r="D32" t="s">
        <v>781</v>
      </c>
      <c r="E32" t="s">
        <v>784</v>
      </c>
      <c r="F32">
        <v>95</v>
      </c>
      <c r="G32">
        <f t="shared" si="2"/>
        <v>59</v>
      </c>
      <c r="H32">
        <f t="shared" si="3"/>
        <v>237</v>
      </c>
      <c r="I32">
        <v>592</v>
      </c>
      <c r="J32">
        <v>2370</v>
      </c>
      <c r="K32" s="18" t="s">
        <v>825</v>
      </c>
      <c r="L32" s="21">
        <v>5.8</v>
      </c>
    </row>
    <row r="33" spans="1:12" x14ac:dyDescent="0.25">
      <c r="A33" t="str">
        <f t="shared" si="0"/>
        <v>2009-AB-Sla-110-666-2350</v>
      </c>
      <c r="B33" t="str">
        <f t="shared" si="1"/>
        <v>2009</v>
      </c>
      <c r="C33" s="18">
        <v>2009</v>
      </c>
      <c r="D33" t="s">
        <v>781</v>
      </c>
      <c r="E33" t="s">
        <v>785</v>
      </c>
      <c r="F33">
        <v>110</v>
      </c>
      <c r="G33">
        <f t="shared" si="2"/>
        <v>66</v>
      </c>
      <c r="H33">
        <f t="shared" si="3"/>
        <v>235</v>
      </c>
      <c r="I33">
        <v>666</v>
      </c>
      <c r="J33">
        <v>2350</v>
      </c>
      <c r="K33" s="18" t="s">
        <v>825</v>
      </c>
      <c r="L33" s="21">
        <v>6.4</v>
      </c>
    </row>
    <row r="34" spans="1:12" x14ac:dyDescent="0.25">
      <c r="A34" t="str">
        <f t="shared" si="0"/>
        <v>2009-AB-Sla-123-746-2350</v>
      </c>
      <c r="B34" t="str">
        <f t="shared" si="1"/>
        <v>2009</v>
      </c>
      <c r="C34" s="18">
        <v>2009</v>
      </c>
      <c r="D34" t="s">
        <v>781</v>
      </c>
      <c r="E34" t="s">
        <v>353</v>
      </c>
      <c r="F34">
        <v>123</v>
      </c>
      <c r="G34">
        <f t="shared" si="2"/>
        <v>74</v>
      </c>
      <c r="H34">
        <f t="shared" si="3"/>
        <v>235</v>
      </c>
      <c r="I34">
        <v>746</v>
      </c>
      <c r="J34">
        <v>2350</v>
      </c>
      <c r="K34" s="18" t="s">
        <v>825</v>
      </c>
      <c r="L34" s="21">
        <v>6.8</v>
      </c>
    </row>
    <row r="35" spans="1:12" x14ac:dyDescent="0.25">
      <c r="A35" t="str">
        <f t="shared" si="0"/>
        <v>1999-AH-DIA-168-720-2730</v>
      </c>
      <c r="B35" t="str">
        <f t="shared" si="1"/>
        <v>1999</v>
      </c>
      <c r="C35" s="18" t="s">
        <v>794</v>
      </c>
      <c r="D35" t="s">
        <v>786</v>
      </c>
      <c r="E35" t="s">
        <v>793</v>
      </c>
      <c r="F35">
        <v>168</v>
      </c>
      <c r="G35">
        <f t="shared" si="2"/>
        <v>72</v>
      </c>
      <c r="H35">
        <f t="shared" si="3"/>
        <v>273</v>
      </c>
      <c r="I35">
        <v>720</v>
      </c>
      <c r="J35">
        <v>2730</v>
      </c>
      <c r="K35" s="18" t="s">
        <v>795</v>
      </c>
      <c r="L35" s="21">
        <v>7.6</v>
      </c>
    </row>
    <row r="36" spans="1:12" x14ac:dyDescent="0.25">
      <c r="A36" t="str">
        <f t="shared" si="0"/>
        <v>2000-AH-DIA-169-790-2660</v>
      </c>
      <c r="B36" t="str">
        <f t="shared" si="1"/>
        <v>2000</v>
      </c>
      <c r="C36" s="18" t="s">
        <v>797</v>
      </c>
      <c r="D36" t="s">
        <v>786</v>
      </c>
      <c r="E36" t="s">
        <v>796</v>
      </c>
      <c r="F36">
        <v>169</v>
      </c>
      <c r="G36">
        <f t="shared" si="2"/>
        <v>79</v>
      </c>
      <c r="H36">
        <f t="shared" si="3"/>
        <v>266</v>
      </c>
      <c r="I36">
        <v>790</v>
      </c>
      <c r="J36">
        <v>2660</v>
      </c>
      <c r="K36" s="18" t="s">
        <v>798</v>
      </c>
      <c r="L36" s="21">
        <v>8.1</v>
      </c>
    </row>
    <row r="37" spans="1:12" x14ac:dyDescent="0.25">
      <c r="A37" t="str">
        <f t="shared" si="0"/>
        <v>2003-AH-GT -88-590-2470</v>
      </c>
      <c r="B37" t="str">
        <f t="shared" si="1"/>
        <v>2003</v>
      </c>
      <c r="C37" s="18" t="s">
        <v>800</v>
      </c>
      <c r="D37" t="s">
        <v>786</v>
      </c>
      <c r="E37" t="s">
        <v>799</v>
      </c>
      <c r="F37">
        <v>88</v>
      </c>
      <c r="G37">
        <f t="shared" si="2"/>
        <v>59</v>
      </c>
      <c r="H37">
        <f t="shared" si="3"/>
        <v>247</v>
      </c>
      <c r="I37">
        <v>590</v>
      </c>
      <c r="J37">
        <v>2470</v>
      </c>
      <c r="K37" s="18" t="s">
        <v>801</v>
      </c>
      <c r="L37" s="21">
        <v>6.1</v>
      </c>
    </row>
    <row r="38" spans="1:12" x14ac:dyDescent="0.25">
      <c r="A38" t="str">
        <f t="shared" si="0"/>
        <v>2004-AH-GT -78-538-2423</v>
      </c>
      <c r="B38" t="str">
        <f t="shared" si="1"/>
        <v>2004</v>
      </c>
      <c r="C38" s="18" t="s">
        <v>803</v>
      </c>
      <c r="D38" t="s">
        <v>786</v>
      </c>
      <c r="E38" t="s">
        <v>802</v>
      </c>
      <c r="F38">
        <v>78</v>
      </c>
      <c r="G38">
        <f t="shared" si="2"/>
        <v>53</v>
      </c>
      <c r="H38">
        <f t="shared" si="3"/>
        <v>242</v>
      </c>
      <c r="I38">
        <v>538</v>
      </c>
      <c r="J38">
        <v>2423</v>
      </c>
      <c r="K38" s="18" t="s">
        <v>804</v>
      </c>
      <c r="L38" s="21">
        <v>5.6</v>
      </c>
    </row>
    <row r="39" spans="1:12" x14ac:dyDescent="0.25">
      <c r="A39" t="str">
        <f t="shared" si="0"/>
        <v>2004-AH-GT -120-735-2578</v>
      </c>
      <c r="B39" t="str">
        <f t="shared" si="1"/>
        <v>2004</v>
      </c>
      <c r="C39" s="18" t="s">
        <v>803</v>
      </c>
      <c r="D39" t="s">
        <v>786</v>
      </c>
      <c r="E39" t="s">
        <v>805</v>
      </c>
      <c r="F39">
        <v>120</v>
      </c>
      <c r="G39">
        <f t="shared" si="2"/>
        <v>73</v>
      </c>
      <c r="H39">
        <f t="shared" si="3"/>
        <v>257</v>
      </c>
      <c r="I39">
        <v>735</v>
      </c>
      <c r="J39">
        <v>2578</v>
      </c>
      <c r="K39" s="18" t="s">
        <v>804</v>
      </c>
      <c r="L39" s="21">
        <v>7.3</v>
      </c>
    </row>
    <row r="40" spans="1:12" x14ac:dyDescent="0.25">
      <c r="A40" t="str">
        <f t="shared" si="0"/>
        <v>2002-AH-DIA-124-744-2598</v>
      </c>
      <c r="B40" t="str">
        <f t="shared" si="1"/>
        <v>2002</v>
      </c>
      <c r="C40" s="18" t="s">
        <v>807</v>
      </c>
      <c r="D40" t="s">
        <v>786</v>
      </c>
      <c r="E40" t="s">
        <v>806</v>
      </c>
      <c r="F40">
        <v>124</v>
      </c>
      <c r="G40">
        <f t="shared" si="2"/>
        <v>74</v>
      </c>
      <c r="H40">
        <f t="shared" si="3"/>
        <v>259</v>
      </c>
      <c r="I40">
        <v>744</v>
      </c>
      <c r="J40">
        <v>2598</v>
      </c>
      <c r="K40" s="18" t="s">
        <v>808</v>
      </c>
      <c r="L40" s="21">
        <v>7.3</v>
      </c>
    </row>
    <row r="41" spans="1:12" x14ac:dyDescent="0.25">
      <c r="A41" t="str">
        <f t="shared" si="0"/>
        <v>2002-AH-DIA-144-841-2600</v>
      </c>
      <c r="B41" t="str">
        <f t="shared" si="1"/>
        <v>2002</v>
      </c>
      <c r="C41" s="18" t="s">
        <v>807</v>
      </c>
      <c r="D41" t="s">
        <v>786</v>
      </c>
      <c r="E41" t="s">
        <v>809</v>
      </c>
      <c r="F41">
        <v>144</v>
      </c>
      <c r="G41">
        <f t="shared" si="2"/>
        <v>84</v>
      </c>
      <c r="H41">
        <f t="shared" si="3"/>
        <v>260</v>
      </c>
      <c r="I41">
        <v>841</v>
      </c>
      <c r="J41">
        <v>2600</v>
      </c>
      <c r="K41" s="18" t="s">
        <v>808</v>
      </c>
      <c r="L41" s="21">
        <v>8.1</v>
      </c>
    </row>
    <row r="42" spans="1:12" x14ac:dyDescent="0.25">
      <c r="A42" t="str">
        <f t="shared" si="0"/>
        <v>2005-AH-GT -110-655-2480</v>
      </c>
      <c r="B42" t="str">
        <f t="shared" si="1"/>
        <v>2005</v>
      </c>
      <c r="C42" s="18" t="s">
        <v>811</v>
      </c>
      <c r="D42" t="s">
        <v>786</v>
      </c>
      <c r="E42" t="s">
        <v>810</v>
      </c>
      <c r="F42">
        <v>110</v>
      </c>
      <c r="G42">
        <f t="shared" si="2"/>
        <v>65</v>
      </c>
      <c r="H42">
        <f t="shared" si="3"/>
        <v>248</v>
      </c>
      <c r="I42">
        <v>655</v>
      </c>
      <c r="J42">
        <v>2480</v>
      </c>
      <c r="K42" s="18" t="s">
        <v>804</v>
      </c>
      <c r="L42" s="21">
        <v>6.3</v>
      </c>
    </row>
    <row r="43" spans="1:12" x14ac:dyDescent="0.25">
      <c r="A43" t="str">
        <f t="shared" si="0"/>
        <v>2006-AH-TRA-67-500-2339</v>
      </c>
      <c r="B43" t="str">
        <f t="shared" si="1"/>
        <v>2006</v>
      </c>
      <c r="C43" s="18" t="s">
        <v>813</v>
      </c>
      <c r="D43" t="s">
        <v>786</v>
      </c>
      <c r="E43" t="s">
        <v>812</v>
      </c>
      <c r="F43">
        <v>67</v>
      </c>
      <c r="G43">
        <f t="shared" si="2"/>
        <v>50</v>
      </c>
      <c r="H43">
        <f t="shared" si="3"/>
        <v>233</v>
      </c>
      <c r="I43">
        <v>500</v>
      </c>
      <c r="J43">
        <v>2339</v>
      </c>
      <c r="K43" s="18" t="s">
        <v>814</v>
      </c>
      <c r="L43" s="21">
        <v>5.4</v>
      </c>
    </row>
    <row r="44" spans="1:12" x14ac:dyDescent="0.25">
      <c r="A44" t="str">
        <f t="shared" si="0"/>
        <v>2006-AH-TRA-76-548-2336</v>
      </c>
      <c r="B44" t="str">
        <f t="shared" si="1"/>
        <v>2006</v>
      </c>
      <c r="C44" s="18" t="s">
        <v>813</v>
      </c>
      <c r="D44" t="s">
        <v>786</v>
      </c>
      <c r="E44" t="s">
        <v>815</v>
      </c>
      <c r="F44">
        <v>76</v>
      </c>
      <c r="G44">
        <f t="shared" si="2"/>
        <v>54</v>
      </c>
      <c r="H44">
        <f t="shared" si="3"/>
        <v>233</v>
      </c>
      <c r="I44">
        <v>548</v>
      </c>
      <c r="J44">
        <v>2336</v>
      </c>
      <c r="K44" s="18" t="s">
        <v>814</v>
      </c>
      <c r="L44" s="21">
        <v>5.7</v>
      </c>
    </row>
    <row r="45" spans="1:12" x14ac:dyDescent="0.25">
      <c r="A45" t="str">
        <f t="shared" si="0"/>
        <v>2006-AH-TRA-82-601-2362</v>
      </c>
      <c r="B45" t="str">
        <f t="shared" si="1"/>
        <v>2006</v>
      </c>
      <c r="C45" s="18" t="s">
        <v>813</v>
      </c>
      <c r="D45" t="s">
        <v>786</v>
      </c>
      <c r="E45" t="s">
        <v>816</v>
      </c>
      <c r="F45">
        <v>82</v>
      </c>
      <c r="G45">
        <f t="shared" si="2"/>
        <v>60</v>
      </c>
      <c r="H45">
        <f t="shared" si="3"/>
        <v>236</v>
      </c>
      <c r="I45">
        <v>601</v>
      </c>
      <c r="J45">
        <v>2362</v>
      </c>
      <c r="K45" s="18" t="s">
        <v>814</v>
      </c>
      <c r="L45" s="21">
        <v>6</v>
      </c>
    </row>
    <row r="46" spans="1:12" x14ac:dyDescent="0.25">
      <c r="A46" t="str">
        <f t="shared" si="0"/>
        <v>2006-AH-TRA-113-709-2493</v>
      </c>
      <c r="B46" t="str">
        <f t="shared" si="1"/>
        <v>2006</v>
      </c>
      <c r="C46" s="18" t="s">
        <v>813</v>
      </c>
      <c r="D46" t="s">
        <v>786</v>
      </c>
      <c r="E46" t="s">
        <v>817</v>
      </c>
      <c r="F46">
        <v>113</v>
      </c>
      <c r="G46">
        <f t="shared" si="2"/>
        <v>70</v>
      </c>
      <c r="H46">
        <f t="shared" si="3"/>
        <v>249</v>
      </c>
      <c r="I46">
        <v>709</v>
      </c>
      <c r="J46">
        <v>2493</v>
      </c>
      <c r="K46" s="18" t="s">
        <v>814</v>
      </c>
      <c r="L46" s="21">
        <v>7</v>
      </c>
    </row>
    <row r="47" spans="1:12" x14ac:dyDescent="0.25">
      <c r="A47" t="str">
        <f t="shared" si="0"/>
        <v>2006-AH-TRA-120-758-2499</v>
      </c>
      <c r="B47" t="str">
        <f t="shared" si="1"/>
        <v>2006</v>
      </c>
      <c r="C47" s="18" t="s">
        <v>813</v>
      </c>
      <c r="D47" t="s">
        <v>786</v>
      </c>
      <c r="E47" t="s">
        <v>818</v>
      </c>
      <c r="F47">
        <v>120</v>
      </c>
      <c r="G47">
        <f t="shared" si="2"/>
        <v>75</v>
      </c>
      <c r="H47">
        <f t="shared" si="3"/>
        <v>249</v>
      </c>
      <c r="I47">
        <v>758</v>
      </c>
      <c r="J47">
        <v>2499</v>
      </c>
      <c r="K47" s="18" t="s">
        <v>814</v>
      </c>
      <c r="L47" s="21">
        <v>7.4</v>
      </c>
    </row>
    <row r="48" spans="1:12" x14ac:dyDescent="0.25">
      <c r="A48" t="str">
        <f t="shared" si="0"/>
        <v>2007-AH-TRA-103-655-2407</v>
      </c>
      <c r="B48" t="str">
        <f t="shared" si="1"/>
        <v>2007</v>
      </c>
      <c r="C48" s="18" t="s">
        <v>820</v>
      </c>
      <c r="D48" t="s">
        <v>786</v>
      </c>
      <c r="E48" t="s">
        <v>819</v>
      </c>
      <c r="F48">
        <v>103</v>
      </c>
      <c r="G48">
        <f t="shared" si="2"/>
        <v>65</v>
      </c>
      <c r="H48">
        <f t="shared" si="3"/>
        <v>240</v>
      </c>
      <c r="I48">
        <v>655</v>
      </c>
      <c r="J48">
        <v>2407</v>
      </c>
      <c r="K48" s="18" t="s">
        <v>821</v>
      </c>
      <c r="L48" s="21">
        <v>6.4</v>
      </c>
    </row>
    <row r="49" spans="1:12" x14ac:dyDescent="0.25">
      <c r="A49" t="str">
        <f t="shared" si="0"/>
        <v>2007-AH-TRA-104-655-2395</v>
      </c>
      <c r="B49" t="str">
        <f t="shared" si="1"/>
        <v>2007</v>
      </c>
      <c r="C49" s="18" t="s">
        <v>820</v>
      </c>
      <c r="D49" t="s">
        <v>786</v>
      </c>
      <c r="E49" t="s">
        <v>822</v>
      </c>
      <c r="F49">
        <v>104</v>
      </c>
      <c r="G49">
        <f t="shared" si="2"/>
        <v>65</v>
      </c>
      <c r="H49">
        <f t="shared" si="3"/>
        <v>239</v>
      </c>
      <c r="I49">
        <v>655</v>
      </c>
      <c r="J49">
        <v>2395</v>
      </c>
      <c r="K49" s="18" t="s">
        <v>821</v>
      </c>
      <c r="L49" s="21">
        <v>6.4</v>
      </c>
    </row>
    <row r="50" spans="1:12" x14ac:dyDescent="0.25">
      <c r="A50" t="str">
        <f t="shared" si="0"/>
        <v>2007-AH-TRA-140-800-2498</v>
      </c>
      <c r="B50" t="str">
        <f t="shared" si="1"/>
        <v>2007</v>
      </c>
      <c r="C50" s="18" t="s">
        <v>820</v>
      </c>
      <c r="D50" t="s">
        <v>786</v>
      </c>
      <c r="E50" t="s">
        <v>823</v>
      </c>
      <c r="F50">
        <v>140</v>
      </c>
      <c r="G50">
        <f t="shared" si="2"/>
        <v>80</v>
      </c>
      <c r="H50">
        <f t="shared" si="3"/>
        <v>249</v>
      </c>
      <c r="I50">
        <v>800</v>
      </c>
      <c r="J50">
        <v>2498</v>
      </c>
      <c r="K50" s="18" t="s">
        <v>821</v>
      </c>
      <c r="L50" s="21">
        <v>7.7</v>
      </c>
    </row>
    <row r="51" spans="1:12" x14ac:dyDescent="0.25">
      <c r="A51" t="str">
        <f t="shared" si="0"/>
        <v>2008-AH-SL1-63-491-2399</v>
      </c>
      <c r="B51" t="str">
        <f t="shared" si="1"/>
        <v>2008</v>
      </c>
      <c r="C51" s="18" t="s">
        <v>825</v>
      </c>
      <c r="D51" t="s">
        <v>786</v>
      </c>
      <c r="E51" t="s">
        <v>824</v>
      </c>
      <c r="F51">
        <v>63</v>
      </c>
      <c r="G51">
        <f t="shared" si="2"/>
        <v>49</v>
      </c>
      <c r="H51">
        <f t="shared" si="3"/>
        <v>239</v>
      </c>
      <c r="I51">
        <v>491</v>
      </c>
      <c r="J51">
        <v>2399</v>
      </c>
      <c r="K51" s="18" t="s">
        <v>826</v>
      </c>
      <c r="L51" s="21">
        <v>5.2</v>
      </c>
    </row>
    <row r="52" spans="1:12" x14ac:dyDescent="0.25">
      <c r="A52" t="str">
        <f t="shared" si="0"/>
        <v>2008-AH-SL1-77-551-2376</v>
      </c>
      <c r="B52" t="str">
        <f t="shared" si="1"/>
        <v>2008</v>
      </c>
      <c r="C52" s="18" t="s">
        <v>825</v>
      </c>
      <c r="D52" t="s">
        <v>786</v>
      </c>
      <c r="E52" t="s">
        <v>827</v>
      </c>
      <c r="F52">
        <v>77</v>
      </c>
      <c r="G52">
        <f t="shared" si="2"/>
        <v>55</v>
      </c>
      <c r="H52">
        <f t="shared" si="3"/>
        <v>237</v>
      </c>
      <c r="I52">
        <v>551</v>
      </c>
      <c r="J52">
        <v>2376</v>
      </c>
      <c r="K52" s="18" t="s">
        <v>826</v>
      </c>
      <c r="L52" s="21">
        <v>5.6</v>
      </c>
    </row>
    <row r="53" spans="1:12" x14ac:dyDescent="0.25">
      <c r="A53" t="str">
        <f t="shared" si="0"/>
        <v>2008-AH-SL1-90-619-2378</v>
      </c>
      <c r="B53" t="str">
        <f t="shared" si="1"/>
        <v>2008</v>
      </c>
      <c r="C53" s="18" t="s">
        <v>825</v>
      </c>
      <c r="D53" t="s">
        <v>786</v>
      </c>
      <c r="E53" t="s">
        <v>828</v>
      </c>
      <c r="F53">
        <v>90</v>
      </c>
      <c r="G53">
        <f t="shared" si="2"/>
        <v>61</v>
      </c>
      <c r="H53">
        <f t="shared" si="3"/>
        <v>237</v>
      </c>
      <c r="I53">
        <v>619</v>
      </c>
      <c r="J53">
        <v>2378</v>
      </c>
      <c r="K53" s="18" t="s">
        <v>826</v>
      </c>
      <c r="L53" s="21">
        <v>6.2</v>
      </c>
    </row>
    <row r="54" spans="1:12" x14ac:dyDescent="0.25">
      <c r="A54" t="str">
        <f t="shared" si="0"/>
        <v>2008-AH-SL1-110-668-2377</v>
      </c>
      <c r="B54" t="str">
        <f t="shared" si="1"/>
        <v>2008</v>
      </c>
      <c r="C54" s="18" t="s">
        <v>825</v>
      </c>
      <c r="D54" t="s">
        <v>786</v>
      </c>
      <c r="E54" t="s">
        <v>829</v>
      </c>
      <c r="F54">
        <v>110</v>
      </c>
      <c r="G54">
        <f t="shared" si="2"/>
        <v>66</v>
      </c>
      <c r="H54">
        <f t="shared" si="3"/>
        <v>237</v>
      </c>
      <c r="I54">
        <v>668</v>
      </c>
      <c r="J54">
        <v>2377</v>
      </c>
      <c r="K54" s="18" t="s">
        <v>826</v>
      </c>
      <c r="L54" s="21">
        <v>6.6</v>
      </c>
    </row>
    <row r="55" spans="1:12" x14ac:dyDescent="0.25">
      <c r="A55" t="str">
        <f t="shared" si="0"/>
        <v>2008-AH-SL1-121-757-2371</v>
      </c>
      <c r="B55" t="str">
        <f t="shared" si="1"/>
        <v>2008</v>
      </c>
      <c r="C55" s="18" t="s">
        <v>825</v>
      </c>
      <c r="D55" t="s">
        <v>786</v>
      </c>
      <c r="E55" t="s">
        <v>830</v>
      </c>
      <c r="F55">
        <v>121</v>
      </c>
      <c r="G55">
        <f t="shared" si="2"/>
        <v>75</v>
      </c>
      <c r="H55">
        <f t="shared" si="3"/>
        <v>237</v>
      </c>
      <c r="I55">
        <v>757</v>
      </c>
      <c r="J55">
        <v>2371</v>
      </c>
      <c r="K55" s="18" t="s">
        <v>826</v>
      </c>
      <c r="L55" s="21">
        <v>7.4</v>
      </c>
    </row>
    <row r="56" spans="1:12" x14ac:dyDescent="0.25">
      <c r="A56" t="str">
        <f t="shared" si="0"/>
        <v>2016-AH-SL2-112-677-2347</v>
      </c>
      <c r="B56" t="str">
        <f t="shared" si="1"/>
        <v>2016</v>
      </c>
      <c r="C56" s="18" t="s">
        <v>747</v>
      </c>
      <c r="D56" t="s">
        <v>786</v>
      </c>
      <c r="E56" t="s">
        <v>831</v>
      </c>
      <c r="F56">
        <v>112</v>
      </c>
      <c r="G56">
        <f t="shared" si="2"/>
        <v>67</v>
      </c>
      <c r="H56">
        <f t="shared" si="3"/>
        <v>234</v>
      </c>
      <c r="I56">
        <v>677.5</v>
      </c>
      <c r="J56">
        <v>2347</v>
      </c>
      <c r="K56" s="18" t="s">
        <v>832</v>
      </c>
      <c r="L56" s="21">
        <v>6.5</v>
      </c>
    </row>
    <row r="57" spans="1:12" x14ac:dyDescent="0.25">
      <c r="A57" t="str">
        <f t="shared" si="0"/>
        <v>2016-AH-SL2-122-757-2334</v>
      </c>
      <c r="B57" t="str">
        <f t="shared" si="1"/>
        <v>2016</v>
      </c>
      <c r="C57" s="18" t="s">
        <v>747</v>
      </c>
      <c r="D57" t="s">
        <v>786</v>
      </c>
      <c r="E57" t="s">
        <v>833</v>
      </c>
      <c r="F57">
        <v>122</v>
      </c>
      <c r="G57">
        <f t="shared" si="2"/>
        <v>75</v>
      </c>
      <c r="H57">
        <f t="shared" si="3"/>
        <v>233</v>
      </c>
      <c r="I57">
        <v>757.5</v>
      </c>
      <c r="J57">
        <v>2334.5</v>
      </c>
      <c r="K57" s="18" t="s">
        <v>832</v>
      </c>
      <c r="L57" s="21">
        <v>7</v>
      </c>
    </row>
    <row r="58" spans="1:12" x14ac:dyDescent="0.25">
      <c r="A58" t="str">
        <f t="shared" si="0"/>
        <v>2016-AH-SL2-132-794-2314</v>
      </c>
      <c r="B58" t="str">
        <f t="shared" si="1"/>
        <v>2016</v>
      </c>
      <c r="C58" s="18" t="s">
        <v>747</v>
      </c>
      <c r="D58" t="s">
        <v>786</v>
      </c>
      <c r="E58" t="s">
        <v>834</v>
      </c>
      <c r="F58">
        <v>132</v>
      </c>
      <c r="G58">
        <f t="shared" si="2"/>
        <v>79</v>
      </c>
      <c r="H58">
        <f t="shared" si="3"/>
        <v>231</v>
      </c>
      <c r="I58">
        <v>794</v>
      </c>
      <c r="J58">
        <v>2314</v>
      </c>
      <c r="K58" s="18" t="s">
        <v>832</v>
      </c>
      <c r="L58" s="21">
        <v>7.5</v>
      </c>
    </row>
    <row r="59" spans="1:12" x14ac:dyDescent="0.25">
      <c r="A59" t="str">
        <f t="shared" si="0"/>
        <v>2017-AH-SL3-105-669-2320</v>
      </c>
      <c r="B59" t="str">
        <f t="shared" si="1"/>
        <v>2017</v>
      </c>
      <c r="C59" s="18" t="s">
        <v>753</v>
      </c>
      <c r="D59" t="s">
        <v>786</v>
      </c>
      <c r="E59" t="s">
        <v>835</v>
      </c>
      <c r="F59">
        <v>105</v>
      </c>
      <c r="G59">
        <f t="shared" si="2"/>
        <v>66</v>
      </c>
      <c r="H59">
        <f t="shared" si="3"/>
        <v>232</v>
      </c>
      <c r="I59">
        <v>669</v>
      </c>
      <c r="J59">
        <v>2320</v>
      </c>
      <c r="K59" s="18" t="s">
        <v>832</v>
      </c>
      <c r="L59" s="21">
        <v>6.2</v>
      </c>
    </row>
    <row r="60" spans="1:12" x14ac:dyDescent="0.25">
      <c r="A60" t="str">
        <f t="shared" si="0"/>
        <v>2017-AH-SL3-115-720-2310</v>
      </c>
      <c r="B60" t="str">
        <f t="shared" si="1"/>
        <v>2017</v>
      </c>
      <c r="C60" s="18" t="s">
        <v>753</v>
      </c>
      <c r="D60" t="s">
        <v>786</v>
      </c>
      <c r="E60" t="s">
        <v>836</v>
      </c>
      <c r="F60">
        <v>115</v>
      </c>
      <c r="G60">
        <f t="shared" si="2"/>
        <v>72</v>
      </c>
      <c r="H60">
        <f t="shared" si="3"/>
        <v>231</v>
      </c>
      <c r="I60">
        <v>720</v>
      </c>
      <c r="J60">
        <v>2310</v>
      </c>
      <c r="K60" s="18" t="s">
        <v>832</v>
      </c>
      <c r="L60" s="21">
        <v>6.6</v>
      </c>
    </row>
    <row r="61" spans="1:12" x14ac:dyDescent="0.25">
      <c r="A61" t="str">
        <f t="shared" si="0"/>
        <v>2017-AH-SL3-128-815-2290</v>
      </c>
      <c r="B61" t="str">
        <f t="shared" si="1"/>
        <v>2017</v>
      </c>
      <c r="C61" s="18" t="s">
        <v>753</v>
      </c>
      <c r="D61" t="s">
        <v>786</v>
      </c>
      <c r="E61" t="s">
        <v>837</v>
      </c>
      <c r="F61">
        <v>128</v>
      </c>
      <c r="G61">
        <f t="shared" si="2"/>
        <v>81</v>
      </c>
      <c r="H61">
        <f t="shared" si="3"/>
        <v>229</v>
      </c>
      <c r="I61">
        <v>815</v>
      </c>
      <c r="J61">
        <v>2290</v>
      </c>
      <c r="K61" s="18" t="s">
        <v>832</v>
      </c>
      <c r="L61" s="21">
        <v>7</v>
      </c>
    </row>
    <row r="62" spans="1:12" x14ac:dyDescent="0.25">
      <c r="A62" t="str">
        <f t="shared" si="0"/>
        <v>1999-AH-DIA-83-540-2590</v>
      </c>
      <c r="B62" t="str">
        <f t="shared" si="1"/>
        <v>1999</v>
      </c>
      <c r="C62" s="18">
        <v>1999</v>
      </c>
      <c r="D62" t="s">
        <v>786</v>
      </c>
      <c r="E62" t="s">
        <v>787</v>
      </c>
      <c r="F62">
        <v>83</v>
      </c>
      <c r="G62">
        <f t="shared" si="2"/>
        <v>54</v>
      </c>
      <c r="H62">
        <f t="shared" si="3"/>
        <v>259</v>
      </c>
      <c r="I62">
        <v>540</v>
      </c>
      <c r="J62">
        <v>2590</v>
      </c>
      <c r="K62" s="18" t="s">
        <v>794</v>
      </c>
      <c r="L62" s="21">
        <v>6.2</v>
      </c>
    </row>
    <row r="63" spans="1:12" x14ac:dyDescent="0.25">
      <c r="A63" t="str">
        <f t="shared" si="0"/>
        <v>1999-AH-DIA-95-590-2640</v>
      </c>
      <c r="B63" t="str">
        <f t="shared" si="1"/>
        <v>1999</v>
      </c>
      <c r="C63" s="18">
        <v>1999</v>
      </c>
      <c r="D63" t="s">
        <v>786</v>
      </c>
      <c r="E63" t="s">
        <v>788</v>
      </c>
      <c r="F63">
        <v>95</v>
      </c>
      <c r="G63">
        <f t="shared" si="2"/>
        <v>59</v>
      </c>
      <c r="H63">
        <f t="shared" si="3"/>
        <v>264</v>
      </c>
      <c r="I63">
        <v>590</v>
      </c>
      <c r="J63">
        <v>2640</v>
      </c>
      <c r="K63" s="18" t="s">
        <v>794</v>
      </c>
      <c r="L63" s="21">
        <v>6.4</v>
      </c>
    </row>
    <row r="64" spans="1:12" x14ac:dyDescent="0.25">
      <c r="A64" t="str">
        <f t="shared" si="0"/>
        <v>1999-AH-DIA-145-670-2740</v>
      </c>
      <c r="B64" t="str">
        <f t="shared" si="1"/>
        <v>1999</v>
      </c>
      <c r="C64" s="18">
        <v>1999</v>
      </c>
      <c r="D64" t="s">
        <v>786</v>
      </c>
      <c r="E64" t="s">
        <v>789</v>
      </c>
      <c r="F64">
        <v>145</v>
      </c>
      <c r="G64">
        <f t="shared" si="2"/>
        <v>67</v>
      </c>
      <c r="H64">
        <f t="shared" si="3"/>
        <v>274</v>
      </c>
      <c r="I64">
        <v>670</v>
      </c>
      <c r="J64">
        <v>2740</v>
      </c>
      <c r="K64" s="18" t="s">
        <v>794</v>
      </c>
      <c r="L64" s="21">
        <v>7.2</v>
      </c>
    </row>
    <row r="65" spans="1:12" x14ac:dyDescent="0.25">
      <c r="A65" t="str">
        <f t="shared" si="0"/>
        <v>2010-AN-Mag-99-617-2382</v>
      </c>
      <c r="B65" t="str">
        <f t="shared" si="1"/>
        <v>2010</v>
      </c>
      <c r="C65" s="18" t="s">
        <v>840</v>
      </c>
      <c r="D65" t="s">
        <v>838</v>
      </c>
      <c r="E65" t="s">
        <v>839</v>
      </c>
      <c r="F65">
        <v>99</v>
      </c>
      <c r="G65">
        <f t="shared" si="2"/>
        <v>61</v>
      </c>
      <c r="H65">
        <f t="shared" si="3"/>
        <v>238</v>
      </c>
      <c r="I65">
        <v>617</v>
      </c>
      <c r="J65">
        <v>2382</v>
      </c>
      <c r="K65" s="18" t="s">
        <v>841</v>
      </c>
      <c r="L65" s="21">
        <v>5.9</v>
      </c>
    </row>
    <row r="66" spans="1:12" x14ac:dyDescent="0.25">
      <c r="A66" t="str">
        <f t="shared" ref="A66:A129" si="4">_xlfn.CONCAT(B66,"-",LEFT(D66,2),"-",LEFT(E66,3),"-",F66,"-",TRUNC(I66),"-",TRUNC(J66))</f>
        <v>2010-AN-Mag-130-728-2426</v>
      </c>
      <c r="B66" t="str">
        <f t="shared" ref="B66:B129" si="5">LEFT(C66,4)</f>
        <v>2010</v>
      </c>
      <c r="C66" s="18" t="s">
        <v>840</v>
      </c>
      <c r="D66" t="s">
        <v>838</v>
      </c>
      <c r="E66" t="s">
        <v>842</v>
      </c>
      <c r="F66">
        <v>130</v>
      </c>
      <c r="G66">
        <f t="shared" si="2"/>
        <v>72</v>
      </c>
      <c r="H66">
        <f t="shared" si="3"/>
        <v>242</v>
      </c>
      <c r="I66">
        <v>728</v>
      </c>
      <c r="J66">
        <v>2426</v>
      </c>
      <c r="K66" s="18" t="s">
        <v>841</v>
      </c>
      <c r="L66" s="21">
        <v>6.6</v>
      </c>
    </row>
    <row r="67" spans="1:12" x14ac:dyDescent="0.25">
      <c r="A67" t="str">
        <f t="shared" si="4"/>
        <v>2010-AN-Mag-152-837-2436</v>
      </c>
      <c r="B67" t="str">
        <f t="shared" si="5"/>
        <v>2010</v>
      </c>
      <c r="C67" s="18" t="s">
        <v>840</v>
      </c>
      <c r="D67" t="s">
        <v>838</v>
      </c>
      <c r="E67" t="s">
        <v>843</v>
      </c>
      <c r="F67">
        <v>152</v>
      </c>
      <c r="G67">
        <f t="shared" ref="G67:G130" si="6">TRUNC(I67/10)</f>
        <v>83</v>
      </c>
      <c r="H67">
        <f t="shared" ref="H67:H130" si="7">TRUNC(J67/10)</f>
        <v>243</v>
      </c>
      <c r="I67">
        <v>837</v>
      </c>
      <c r="J67">
        <v>2436</v>
      </c>
      <c r="K67" s="18" t="s">
        <v>844</v>
      </c>
      <c r="L67" s="21">
        <v>7.1</v>
      </c>
    </row>
    <row r="68" spans="1:12" x14ac:dyDescent="0.25">
      <c r="A68" t="str">
        <f t="shared" si="4"/>
        <v>2011-AN-Mag-98-590-2380</v>
      </c>
      <c r="B68" t="str">
        <f t="shared" si="5"/>
        <v>2011</v>
      </c>
      <c r="C68" s="18" t="s">
        <v>846</v>
      </c>
      <c r="D68" t="s">
        <v>838</v>
      </c>
      <c r="E68" t="s">
        <v>845</v>
      </c>
      <c r="F68">
        <v>98</v>
      </c>
      <c r="G68">
        <f t="shared" si="6"/>
        <v>59</v>
      </c>
      <c r="H68">
        <f t="shared" si="7"/>
        <v>238</v>
      </c>
      <c r="I68">
        <v>590</v>
      </c>
      <c r="J68">
        <v>2380</v>
      </c>
      <c r="K68" s="18" t="s">
        <v>847</v>
      </c>
      <c r="L68" s="21">
        <v>6.12</v>
      </c>
    </row>
    <row r="69" spans="1:12" x14ac:dyDescent="0.25">
      <c r="A69" t="str">
        <f t="shared" si="4"/>
        <v>2011-AN-Mag-116-700-2400</v>
      </c>
      <c r="B69" t="str">
        <f t="shared" si="5"/>
        <v>2011</v>
      </c>
      <c r="C69" s="18" t="s">
        <v>846</v>
      </c>
      <c r="D69" t="s">
        <v>838</v>
      </c>
      <c r="E69" t="s">
        <v>849</v>
      </c>
      <c r="F69">
        <v>116</v>
      </c>
      <c r="G69">
        <f t="shared" si="6"/>
        <v>70</v>
      </c>
      <c r="H69">
        <f t="shared" si="7"/>
        <v>240</v>
      </c>
      <c r="I69">
        <v>700</v>
      </c>
      <c r="J69">
        <v>2400</v>
      </c>
      <c r="K69" s="18" t="s">
        <v>847</v>
      </c>
      <c r="L69" s="21">
        <v>6.62</v>
      </c>
    </row>
    <row r="70" spans="1:12" x14ac:dyDescent="0.25">
      <c r="A70" t="str">
        <f t="shared" si="4"/>
        <v>2011-AN-Mag-135-844-2364</v>
      </c>
      <c r="B70" t="str">
        <f t="shared" si="5"/>
        <v>2011</v>
      </c>
      <c r="C70" s="18" t="s">
        <v>846</v>
      </c>
      <c r="D70" t="s">
        <v>838</v>
      </c>
      <c r="E70" t="s">
        <v>850</v>
      </c>
      <c r="F70">
        <v>135</v>
      </c>
      <c r="G70">
        <f t="shared" si="6"/>
        <v>84</v>
      </c>
      <c r="H70">
        <f t="shared" si="7"/>
        <v>236</v>
      </c>
      <c r="I70">
        <v>844</v>
      </c>
      <c r="J70">
        <v>2364</v>
      </c>
      <c r="K70" s="18" t="s">
        <v>847</v>
      </c>
      <c r="L70" s="21">
        <v>7.61</v>
      </c>
    </row>
    <row r="71" spans="1:12" x14ac:dyDescent="0.25">
      <c r="A71" t="str">
        <f t="shared" si="4"/>
        <v>2013-AN-Mag-98-598-2380</v>
      </c>
      <c r="B71" t="str">
        <f t="shared" si="5"/>
        <v>2013</v>
      </c>
      <c r="C71" s="18" t="s">
        <v>852</v>
      </c>
      <c r="D71" t="s">
        <v>838</v>
      </c>
      <c r="E71" t="s">
        <v>851</v>
      </c>
      <c r="F71">
        <v>98</v>
      </c>
      <c r="G71">
        <f t="shared" si="6"/>
        <v>59</v>
      </c>
      <c r="H71">
        <f t="shared" si="7"/>
        <v>238</v>
      </c>
      <c r="I71">
        <v>598</v>
      </c>
      <c r="J71">
        <v>2380</v>
      </c>
      <c r="K71" s="18" t="s">
        <v>853</v>
      </c>
      <c r="L71" s="21">
        <v>6</v>
      </c>
    </row>
    <row r="72" spans="1:12" x14ac:dyDescent="0.25">
      <c r="A72" t="str">
        <f t="shared" si="4"/>
        <v>2013-AN-Mag-116-700-2400</v>
      </c>
      <c r="B72" t="str">
        <f t="shared" si="5"/>
        <v>2013</v>
      </c>
      <c r="C72" s="18" t="s">
        <v>852</v>
      </c>
      <c r="D72" t="s">
        <v>838</v>
      </c>
      <c r="E72" t="s">
        <v>854</v>
      </c>
      <c r="F72">
        <v>116</v>
      </c>
      <c r="G72">
        <f t="shared" si="6"/>
        <v>70</v>
      </c>
      <c r="H72">
        <f t="shared" si="7"/>
        <v>240</v>
      </c>
      <c r="I72">
        <v>700</v>
      </c>
      <c r="J72">
        <v>2400</v>
      </c>
      <c r="K72" s="18" t="s">
        <v>853</v>
      </c>
      <c r="L72" s="21">
        <v>6.4</v>
      </c>
    </row>
    <row r="73" spans="1:12" x14ac:dyDescent="0.25">
      <c r="A73" t="str">
        <f t="shared" si="4"/>
        <v>2013-AN-Mag-135-844-2364</v>
      </c>
      <c r="B73" t="str">
        <f t="shared" si="5"/>
        <v>2013</v>
      </c>
      <c r="C73" s="18" t="s">
        <v>852</v>
      </c>
      <c r="D73" t="s">
        <v>838</v>
      </c>
      <c r="E73" t="s">
        <v>855</v>
      </c>
      <c r="F73">
        <v>135</v>
      </c>
      <c r="G73">
        <f t="shared" si="6"/>
        <v>84</v>
      </c>
      <c r="H73">
        <f t="shared" si="7"/>
        <v>236</v>
      </c>
      <c r="I73">
        <v>844</v>
      </c>
      <c r="J73">
        <v>2364</v>
      </c>
      <c r="K73" s="18" t="s">
        <v>853</v>
      </c>
      <c r="L73" s="21">
        <v>7.2</v>
      </c>
    </row>
    <row r="74" spans="1:12" x14ac:dyDescent="0.25">
      <c r="A74" t="str">
        <f t="shared" si="4"/>
        <v>2014-AN-Mag-100-598-2380</v>
      </c>
      <c r="B74" t="str">
        <f t="shared" si="5"/>
        <v>2014</v>
      </c>
      <c r="C74" s="18" t="s">
        <v>733</v>
      </c>
      <c r="D74" t="s">
        <v>838</v>
      </c>
      <c r="E74" t="s">
        <v>856</v>
      </c>
      <c r="F74">
        <v>100</v>
      </c>
      <c r="G74">
        <f t="shared" si="6"/>
        <v>59</v>
      </c>
      <c r="H74">
        <f t="shared" si="7"/>
        <v>238</v>
      </c>
      <c r="I74">
        <v>598</v>
      </c>
      <c r="J74">
        <v>2380</v>
      </c>
      <c r="K74" s="18" t="s">
        <v>733</v>
      </c>
      <c r="L74" s="21">
        <v>6.6</v>
      </c>
    </row>
    <row r="75" spans="1:12" x14ac:dyDescent="0.25">
      <c r="A75" t="str">
        <f t="shared" si="4"/>
        <v>2014-AN-Mag-122-712-2390</v>
      </c>
      <c r="B75" t="str">
        <f t="shared" si="5"/>
        <v>2014</v>
      </c>
      <c r="C75" s="18" t="s">
        <v>733</v>
      </c>
      <c r="D75" t="s">
        <v>838</v>
      </c>
      <c r="E75" t="s">
        <v>857</v>
      </c>
      <c r="F75">
        <v>122</v>
      </c>
      <c r="G75">
        <f t="shared" si="6"/>
        <v>71</v>
      </c>
      <c r="H75">
        <f t="shared" si="7"/>
        <v>239</v>
      </c>
      <c r="I75">
        <v>712</v>
      </c>
      <c r="J75">
        <v>2390</v>
      </c>
      <c r="K75" s="18" t="s">
        <v>733</v>
      </c>
      <c r="L75" s="21">
        <v>7</v>
      </c>
    </row>
    <row r="76" spans="1:12" x14ac:dyDescent="0.25">
      <c r="A76" t="str">
        <f t="shared" si="4"/>
        <v>2014-AN-Mag-142-847-2330</v>
      </c>
      <c r="B76" t="str">
        <f t="shared" si="5"/>
        <v>2014</v>
      </c>
      <c r="C76" s="18" t="s">
        <v>733</v>
      </c>
      <c r="D76" t="s">
        <v>838</v>
      </c>
      <c r="E76" t="s">
        <v>858</v>
      </c>
      <c r="F76">
        <v>142</v>
      </c>
      <c r="G76">
        <f t="shared" si="6"/>
        <v>84</v>
      </c>
      <c r="H76">
        <f t="shared" si="7"/>
        <v>233</v>
      </c>
      <c r="I76">
        <v>847</v>
      </c>
      <c r="J76">
        <v>2330</v>
      </c>
      <c r="K76" s="18" t="s">
        <v>733</v>
      </c>
      <c r="L76" s="21">
        <v>7.2</v>
      </c>
    </row>
    <row r="77" spans="1:12" x14ac:dyDescent="0.25">
      <c r="A77" t="str">
        <f t="shared" si="4"/>
        <v>2020-AV-Mod-98-621-2272</v>
      </c>
      <c r="B77" t="str">
        <f t="shared" si="5"/>
        <v>2020</v>
      </c>
      <c r="C77" s="18" t="s">
        <v>861</v>
      </c>
      <c r="D77" t="s">
        <v>859</v>
      </c>
      <c r="E77" t="s">
        <v>860</v>
      </c>
      <c r="F77">
        <v>98</v>
      </c>
      <c r="G77">
        <f t="shared" si="6"/>
        <v>62</v>
      </c>
      <c r="H77">
        <f t="shared" si="7"/>
        <v>227</v>
      </c>
      <c r="I77">
        <v>621</v>
      </c>
      <c r="J77">
        <v>2272</v>
      </c>
      <c r="K77" s="18" t="s">
        <v>862</v>
      </c>
      <c r="L77" s="21">
        <v>5.7</v>
      </c>
    </row>
    <row r="78" spans="1:12" x14ac:dyDescent="0.25">
      <c r="A78" t="str">
        <f t="shared" si="4"/>
        <v>2020-AV-Mod-119-725-2268</v>
      </c>
      <c r="B78" t="str">
        <f t="shared" si="5"/>
        <v>2020</v>
      </c>
      <c r="C78" s="18" t="s">
        <v>861</v>
      </c>
      <c r="D78" t="s">
        <v>859</v>
      </c>
      <c r="E78" t="s">
        <v>863</v>
      </c>
      <c r="F78">
        <v>119</v>
      </c>
      <c r="G78">
        <f t="shared" si="6"/>
        <v>72</v>
      </c>
      <c r="H78">
        <f t="shared" si="7"/>
        <v>226</v>
      </c>
      <c r="I78">
        <v>725</v>
      </c>
      <c r="J78">
        <v>2268</v>
      </c>
      <c r="K78" s="18" t="s">
        <v>862</v>
      </c>
      <c r="L78" s="21">
        <v>6.6</v>
      </c>
    </row>
    <row r="79" spans="1:12" x14ac:dyDescent="0.25">
      <c r="A79" t="str">
        <f t="shared" si="4"/>
        <v>2020-AV-Mod-130-850-2263</v>
      </c>
      <c r="B79" t="str">
        <f t="shared" si="5"/>
        <v>2020</v>
      </c>
      <c r="C79" s="18" t="s">
        <v>861</v>
      </c>
      <c r="D79" t="s">
        <v>859</v>
      </c>
      <c r="E79" t="s">
        <v>864</v>
      </c>
      <c r="F79">
        <v>130</v>
      </c>
      <c r="G79">
        <f t="shared" si="6"/>
        <v>85</v>
      </c>
      <c r="H79">
        <f t="shared" si="7"/>
        <v>226</v>
      </c>
      <c r="I79">
        <v>850</v>
      </c>
      <c r="J79">
        <v>2263</v>
      </c>
      <c r="K79" s="18" t="s">
        <v>862</v>
      </c>
      <c r="L79" s="21">
        <v>7.4</v>
      </c>
    </row>
    <row r="80" spans="1:12" x14ac:dyDescent="0.25">
      <c r="A80" t="str">
        <f t="shared" si="4"/>
        <v>2022-AV-Mod-88-600-2278</v>
      </c>
      <c r="B80" t="str">
        <f t="shared" si="5"/>
        <v>2022</v>
      </c>
      <c r="C80" s="18" t="s">
        <v>866</v>
      </c>
      <c r="D80" t="s">
        <v>859</v>
      </c>
      <c r="E80" t="s">
        <v>865</v>
      </c>
      <c r="F80">
        <v>88</v>
      </c>
      <c r="G80">
        <f t="shared" si="6"/>
        <v>60</v>
      </c>
      <c r="H80">
        <f t="shared" si="7"/>
        <v>227</v>
      </c>
      <c r="I80">
        <v>600</v>
      </c>
      <c r="J80">
        <v>2278</v>
      </c>
      <c r="K80" s="18" t="s">
        <v>867</v>
      </c>
      <c r="L80" s="21">
        <v>5.4</v>
      </c>
    </row>
    <row r="81" spans="1:12" x14ac:dyDescent="0.25">
      <c r="A81" t="str">
        <f t="shared" si="4"/>
        <v>2022-AV-Mod-98-621-2272</v>
      </c>
      <c r="B81" t="str">
        <f t="shared" si="5"/>
        <v>2022</v>
      </c>
      <c r="C81" s="18" t="s">
        <v>866</v>
      </c>
      <c r="D81" t="s">
        <v>859</v>
      </c>
      <c r="E81" t="s">
        <v>860</v>
      </c>
      <c r="F81">
        <v>98</v>
      </c>
      <c r="G81">
        <f t="shared" si="6"/>
        <v>62</v>
      </c>
      <c r="H81">
        <f t="shared" si="7"/>
        <v>227</v>
      </c>
      <c r="I81">
        <v>621</v>
      </c>
      <c r="J81">
        <v>2272</v>
      </c>
      <c r="K81" s="18" t="s">
        <v>867</v>
      </c>
      <c r="L81" s="21">
        <v>5.7</v>
      </c>
    </row>
    <row r="82" spans="1:12" x14ac:dyDescent="0.25">
      <c r="A82" t="str">
        <f t="shared" si="4"/>
        <v>2022-AV-Mod-108-680-2272</v>
      </c>
      <c r="B82" t="str">
        <f t="shared" si="5"/>
        <v>2022</v>
      </c>
      <c r="C82" s="18" t="s">
        <v>866</v>
      </c>
      <c r="D82" t="s">
        <v>859</v>
      </c>
      <c r="E82" t="s">
        <v>868</v>
      </c>
      <c r="F82">
        <v>108</v>
      </c>
      <c r="G82">
        <f t="shared" si="6"/>
        <v>68</v>
      </c>
      <c r="H82">
        <f t="shared" si="7"/>
        <v>227</v>
      </c>
      <c r="I82">
        <v>680</v>
      </c>
      <c r="J82">
        <v>2272</v>
      </c>
      <c r="K82" s="18" t="s">
        <v>867</v>
      </c>
      <c r="L82" s="21">
        <v>6.2</v>
      </c>
    </row>
    <row r="83" spans="1:12" x14ac:dyDescent="0.25">
      <c r="A83" t="str">
        <f t="shared" si="4"/>
        <v>2022-AV-Mod-119-725-2268</v>
      </c>
      <c r="B83" t="str">
        <f t="shared" si="5"/>
        <v>2022</v>
      </c>
      <c r="C83" s="18" t="s">
        <v>866</v>
      </c>
      <c r="D83" t="s">
        <v>859</v>
      </c>
      <c r="E83" t="s">
        <v>863</v>
      </c>
      <c r="F83">
        <v>119</v>
      </c>
      <c r="G83">
        <f t="shared" si="6"/>
        <v>72</v>
      </c>
      <c r="H83">
        <f t="shared" si="7"/>
        <v>226</v>
      </c>
      <c r="I83">
        <v>725</v>
      </c>
      <c r="J83">
        <v>2268</v>
      </c>
      <c r="K83" s="18" t="s">
        <v>867</v>
      </c>
      <c r="L83" s="21">
        <v>6.6</v>
      </c>
    </row>
    <row r="84" spans="1:12" x14ac:dyDescent="0.25">
      <c r="A84" t="str">
        <f t="shared" si="4"/>
        <v>2022-AV-Mod-128-769-2264</v>
      </c>
      <c r="B84" t="str">
        <f t="shared" si="5"/>
        <v>2022</v>
      </c>
      <c r="C84" s="18" t="s">
        <v>866</v>
      </c>
      <c r="D84" t="s">
        <v>859</v>
      </c>
      <c r="E84" t="s">
        <v>869</v>
      </c>
      <c r="F84">
        <v>128</v>
      </c>
      <c r="G84">
        <f t="shared" si="6"/>
        <v>76</v>
      </c>
      <c r="H84">
        <f t="shared" si="7"/>
        <v>226</v>
      </c>
      <c r="I84">
        <v>769</v>
      </c>
      <c r="J84">
        <v>2264</v>
      </c>
      <c r="K84" s="18" t="s">
        <v>867</v>
      </c>
      <c r="L84" s="21">
        <v>7</v>
      </c>
    </row>
    <row r="85" spans="1:12" x14ac:dyDescent="0.25">
      <c r="A85" t="str">
        <f t="shared" si="4"/>
        <v>2022-AV-Mod-139-849-2259</v>
      </c>
      <c r="B85" t="str">
        <f t="shared" si="5"/>
        <v>2022</v>
      </c>
      <c r="C85" s="18" t="s">
        <v>866</v>
      </c>
      <c r="D85" t="s">
        <v>859</v>
      </c>
      <c r="E85" t="s">
        <v>864</v>
      </c>
      <c r="F85">
        <v>139</v>
      </c>
      <c r="G85">
        <f t="shared" si="6"/>
        <v>84</v>
      </c>
      <c r="H85">
        <f t="shared" si="7"/>
        <v>225</v>
      </c>
      <c r="I85">
        <v>849</v>
      </c>
      <c r="J85">
        <v>2259</v>
      </c>
      <c r="K85" s="18" t="s">
        <v>867</v>
      </c>
      <c r="L85" s="21">
        <v>7.4</v>
      </c>
    </row>
    <row r="86" spans="1:12" x14ac:dyDescent="0.25">
      <c r="A86" t="str">
        <f t="shared" si="4"/>
        <v>2022-AV-Mod-178-908-2205</v>
      </c>
      <c r="B86" t="str">
        <f t="shared" si="5"/>
        <v>2022</v>
      </c>
      <c r="C86" s="18" t="s">
        <v>866</v>
      </c>
      <c r="D86" t="s">
        <v>859</v>
      </c>
      <c r="E86" t="s">
        <v>870</v>
      </c>
      <c r="F86">
        <v>178</v>
      </c>
      <c r="G86">
        <f t="shared" si="6"/>
        <v>90</v>
      </c>
      <c r="H86">
        <f t="shared" si="7"/>
        <v>220</v>
      </c>
      <c r="I86">
        <v>908</v>
      </c>
      <c r="J86">
        <v>2205</v>
      </c>
      <c r="K86" s="18" t="s">
        <v>867</v>
      </c>
      <c r="L86" s="21">
        <v>9.4</v>
      </c>
    </row>
    <row r="87" spans="1:12" x14ac:dyDescent="0.25">
      <c r="A87" t="str">
        <f t="shared" si="4"/>
        <v>2024-AV-Mod-88-600-2278</v>
      </c>
      <c r="B87" t="str">
        <f t="shared" si="5"/>
        <v>2024</v>
      </c>
      <c r="C87" s="18" t="s">
        <v>871</v>
      </c>
      <c r="D87" t="s">
        <v>859</v>
      </c>
      <c r="E87" t="s">
        <v>865</v>
      </c>
      <c r="F87">
        <v>88</v>
      </c>
      <c r="G87">
        <f t="shared" si="6"/>
        <v>60</v>
      </c>
      <c r="H87">
        <f t="shared" si="7"/>
        <v>227</v>
      </c>
      <c r="I87">
        <v>600</v>
      </c>
      <c r="J87">
        <v>2278</v>
      </c>
      <c r="K87" s="18" t="s">
        <v>872</v>
      </c>
      <c r="L87" s="21">
        <v>5.4</v>
      </c>
    </row>
    <row r="88" spans="1:12" x14ac:dyDescent="0.25">
      <c r="A88" t="str">
        <f t="shared" si="4"/>
        <v>2024-AV-Mod-98-621-2272</v>
      </c>
      <c r="B88" t="str">
        <f t="shared" si="5"/>
        <v>2024</v>
      </c>
      <c r="C88" s="18" t="s">
        <v>871</v>
      </c>
      <c r="D88" t="s">
        <v>859</v>
      </c>
      <c r="E88" t="s">
        <v>860</v>
      </c>
      <c r="F88">
        <v>98</v>
      </c>
      <c r="G88">
        <f t="shared" si="6"/>
        <v>62</v>
      </c>
      <c r="H88">
        <f t="shared" si="7"/>
        <v>227</v>
      </c>
      <c r="I88">
        <v>621</v>
      </c>
      <c r="J88">
        <v>2272</v>
      </c>
      <c r="K88" s="18" t="s">
        <v>872</v>
      </c>
      <c r="L88" s="21">
        <v>5.7</v>
      </c>
    </row>
    <row r="89" spans="1:12" x14ac:dyDescent="0.25">
      <c r="A89" t="str">
        <f t="shared" si="4"/>
        <v>2024-AV-Mod-108-680-2272</v>
      </c>
      <c r="B89" t="str">
        <f t="shared" si="5"/>
        <v>2024</v>
      </c>
      <c r="C89" s="18" t="s">
        <v>871</v>
      </c>
      <c r="D89" t="s">
        <v>859</v>
      </c>
      <c r="E89" t="s">
        <v>868</v>
      </c>
      <c r="F89">
        <v>108</v>
      </c>
      <c r="G89">
        <f t="shared" si="6"/>
        <v>68</v>
      </c>
      <c r="H89">
        <f t="shared" si="7"/>
        <v>227</v>
      </c>
      <c r="I89">
        <v>680</v>
      </c>
      <c r="J89">
        <v>2272</v>
      </c>
      <c r="K89" s="18" t="s">
        <v>872</v>
      </c>
      <c r="L89" s="21">
        <v>6.2</v>
      </c>
    </row>
    <row r="90" spans="1:12" x14ac:dyDescent="0.25">
      <c r="A90" t="str">
        <f t="shared" si="4"/>
        <v>2024-AV-Mod-119-725-2268</v>
      </c>
      <c r="B90" t="str">
        <f t="shared" si="5"/>
        <v>2024</v>
      </c>
      <c r="C90" s="18" t="s">
        <v>871</v>
      </c>
      <c r="D90" t="s">
        <v>859</v>
      </c>
      <c r="E90" t="s">
        <v>863</v>
      </c>
      <c r="F90">
        <v>119</v>
      </c>
      <c r="G90">
        <f t="shared" si="6"/>
        <v>72</v>
      </c>
      <c r="H90">
        <f t="shared" si="7"/>
        <v>226</v>
      </c>
      <c r="I90">
        <v>725</v>
      </c>
      <c r="J90">
        <v>2268</v>
      </c>
      <c r="K90" s="18" t="s">
        <v>872</v>
      </c>
      <c r="L90" s="21">
        <v>6.6</v>
      </c>
    </row>
    <row r="91" spans="1:12" x14ac:dyDescent="0.25">
      <c r="A91" t="str">
        <f t="shared" si="4"/>
        <v>2024-AV-Mod-128-769-2251</v>
      </c>
      <c r="B91" t="str">
        <f t="shared" si="5"/>
        <v>2024</v>
      </c>
      <c r="C91" s="18" t="s">
        <v>871</v>
      </c>
      <c r="D91" t="s">
        <v>859</v>
      </c>
      <c r="E91" t="s">
        <v>869</v>
      </c>
      <c r="F91">
        <v>128</v>
      </c>
      <c r="G91">
        <f t="shared" si="6"/>
        <v>76</v>
      </c>
      <c r="H91">
        <f t="shared" si="7"/>
        <v>225</v>
      </c>
      <c r="I91">
        <v>769</v>
      </c>
      <c r="J91">
        <v>2251</v>
      </c>
      <c r="K91" s="18" t="s">
        <v>872</v>
      </c>
      <c r="L91" s="21">
        <v>7</v>
      </c>
    </row>
    <row r="92" spans="1:12" x14ac:dyDescent="0.25">
      <c r="A92" t="str">
        <f t="shared" si="4"/>
        <v>2024-AV-Mod-139-849-2246</v>
      </c>
      <c r="B92" t="str">
        <f t="shared" si="5"/>
        <v>2024</v>
      </c>
      <c r="C92" s="18" t="s">
        <v>871</v>
      </c>
      <c r="D92" t="s">
        <v>859</v>
      </c>
      <c r="E92" t="s">
        <v>864</v>
      </c>
      <c r="F92">
        <v>139</v>
      </c>
      <c r="G92">
        <f t="shared" si="6"/>
        <v>84</v>
      </c>
      <c r="H92">
        <f t="shared" si="7"/>
        <v>224</v>
      </c>
      <c r="I92">
        <v>849</v>
      </c>
      <c r="J92">
        <v>2246</v>
      </c>
      <c r="K92" s="18" t="s">
        <v>872</v>
      </c>
      <c r="L92" s="21">
        <v>7.4</v>
      </c>
    </row>
    <row r="93" spans="1:12" x14ac:dyDescent="0.25">
      <c r="A93" t="str">
        <f t="shared" si="4"/>
        <v>2024-AV-Mod-175-853-2086</v>
      </c>
      <c r="B93" t="str">
        <f t="shared" si="5"/>
        <v>2024</v>
      </c>
      <c r="C93" s="18" t="s">
        <v>871</v>
      </c>
      <c r="D93" t="s">
        <v>859</v>
      </c>
      <c r="E93" t="s">
        <v>873</v>
      </c>
      <c r="F93">
        <v>175</v>
      </c>
      <c r="G93">
        <f t="shared" si="6"/>
        <v>85</v>
      </c>
      <c r="H93">
        <f t="shared" si="7"/>
        <v>208</v>
      </c>
      <c r="I93">
        <v>853</v>
      </c>
      <c r="J93">
        <v>2086</v>
      </c>
      <c r="K93" s="18" t="s">
        <v>872</v>
      </c>
      <c r="L93" s="21">
        <v>8.6</v>
      </c>
    </row>
    <row r="94" spans="1:12" x14ac:dyDescent="0.25">
      <c r="A94" t="str">
        <f t="shared" si="4"/>
        <v>2025-AV-Mod-88-600-2278</v>
      </c>
      <c r="B94" t="str">
        <f t="shared" si="5"/>
        <v>2025</v>
      </c>
      <c r="C94" s="18" t="s">
        <v>874</v>
      </c>
      <c r="D94" t="s">
        <v>859</v>
      </c>
      <c r="E94" t="s">
        <v>865</v>
      </c>
      <c r="F94">
        <v>88</v>
      </c>
      <c r="G94">
        <f t="shared" si="6"/>
        <v>60</v>
      </c>
      <c r="H94">
        <f t="shared" si="7"/>
        <v>227</v>
      </c>
      <c r="I94">
        <v>600</v>
      </c>
      <c r="J94">
        <v>2278</v>
      </c>
      <c r="K94" s="18" t="s">
        <v>875</v>
      </c>
      <c r="L94" s="21">
        <v>5.4</v>
      </c>
    </row>
    <row r="95" spans="1:12" x14ac:dyDescent="0.25">
      <c r="A95" t="str">
        <f t="shared" si="4"/>
        <v>2025-AV-Mod-98-621-2272</v>
      </c>
      <c r="B95" t="str">
        <f t="shared" si="5"/>
        <v>2025</v>
      </c>
      <c r="C95" s="18" t="s">
        <v>874</v>
      </c>
      <c r="D95" t="s">
        <v>859</v>
      </c>
      <c r="E95" t="s">
        <v>860</v>
      </c>
      <c r="F95">
        <v>98</v>
      </c>
      <c r="G95">
        <f t="shared" si="6"/>
        <v>62</v>
      </c>
      <c r="H95">
        <f t="shared" si="7"/>
        <v>227</v>
      </c>
      <c r="I95">
        <v>621</v>
      </c>
      <c r="J95">
        <v>2272</v>
      </c>
      <c r="K95" s="18" t="s">
        <v>875</v>
      </c>
      <c r="L95" s="21">
        <v>5.7</v>
      </c>
    </row>
    <row r="96" spans="1:12" x14ac:dyDescent="0.25">
      <c r="A96" t="str">
        <f t="shared" si="4"/>
        <v>2025-AV-Mod-108-680-2272</v>
      </c>
      <c r="B96" t="str">
        <f t="shared" si="5"/>
        <v>2025</v>
      </c>
      <c r="C96" s="18" t="s">
        <v>874</v>
      </c>
      <c r="D96" t="s">
        <v>859</v>
      </c>
      <c r="E96" t="s">
        <v>868</v>
      </c>
      <c r="F96">
        <v>108</v>
      </c>
      <c r="G96">
        <f t="shared" si="6"/>
        <v>68</v>
      </c>
      <c r="H96">
        <f t="shared" si="7"/>
        <v>227</v>
      </c>
      <c r="I96">
        <v>680</v>
      </c>
      <c r="J96">
        <v>2272</v>
      </c>
      <c r="K96" s="18" t="s">
        <v>875</v>
      </c>
      <c r="L96" s="21">
        <v>6.2</v>
      </c>
    </row>
    <row r="97" spans="1:12" x14ac:dyDescent="0.25">
      <c r="A97" t="str">
        <f t="shared" si="4"/>
        <v>2025-AV-Mod-119-725-2268</v>
      </c>
      <c r="B97" t="str">
        <f t="shared" si="5"/>
        <v>2025</v>
      </c>
      <c r="C97" s="18" t="s">
        <v>874</v>
      </c>
      <c r="D97" t="s">
        <v>859</v>
      </c>
      <c r="E97" t="s">
        <v>863</v>
      </c>
      <c r="F97">
        <v>119</v>
      </c>
      <c r="G97">
        <f t="shared" si="6"/>
        <v>72</v>
      </c>
      <c r="H97">
        <f t="shared" si="7"/>
        <v>226</v>
      </c>
      <c r="I97">
        <v>725</v>
      </c>
      <c r="J97">
        <v>2268</v>
      </c>
      <c r="K97" s="18" t="s">
        <v>875</v>
      </c>
      <c r="L97" s="21">
        <v>6.6</v>
      </c>
    </row>
    <row r="98" spans="1:12" x14ac:dyDescent="0.25">
      <c r="A98" t="str">
        <f t="shared" si="4"/>
        <v>2025-AV-Mod-128-769-2251</v>
      </c>
      <c r="B98" t="str">
        <f t="shared" si="5"/>
        <v>2025</v>
      </c>
      <c r="C98" s="18" t="s">
        <v>874</v>
      </c>
      <c r="D98" t="s">
        <v>859</v>
      </c>
      <c r="E98" t="s">
        <v>869</v>
      </c>
      <c r="F98">
        <v>128</v>
      </c>
      <c r="G98">
        <f t="shared" si="6"/>
        <v>76</v>
      </c>
      <c r="H98">
        <f t="shared" si="7"/>
        <v>225</v>
      </c>
      <c r="I98">
        <v>769</v>
      </c>
      <c r="J98">
        <v>2251</v>
      </c>
      <c r="K98" s="18" t="s">
        <v>875</v>
      </c>
      <c r="L98" s="21">
        <v>7</v>
      </c>
    </row>
    <row r="99" spans="1:12" x14ac:dyDescent="0.25">
      <c r="A99" t="str">
        <f t="shared" si="4"/>
        <v>2025-AV-Mod-139-849-2246</v>
      </c>
      <c r="B99" t="str">
        <f t="shared" si="5"/>
        <v>2025</v>
      </c>
      <c r="C99" s="18" t="s">
        <v>874</v>
      </c>
      <c r="D99" t="s">
        <v>859</v>
      </c>
      <c r="E99" t="s">
        <v>864</v>
      </c>
      <c r="F99">
        <v>139</v>
      </c>
      <c r="G99">
        <f t="shared" si="6"/>
        <v>84</v>
      </c>
      <c r="H99">
        <f t="shared" si="7"/>
        <v>224</v>
      </c>
      <c r="I99">
        <v>849</v>
      </c>
      <c r="J99">
        <v>2246</v>
      </c>
      <c r="K99" s="18" t="s">
        <v>875</v>
      </c>
      <c r="L99" s="21">
        <v>7.4</v>
      </c>
    </row>
    <row r="100" spans="1:12" x14ac:dyDescent="0.25">
      <c r="A100" t="str">
        <f t="shared" si="4"/>
        <v>2024-AV-Nuv-119-710-2290</v>
      </c>
      <c r="B100" t="str">
        <f t="shared" si="5"/>
        <v>2024</v>
      </c>
      <c r="C100" s="18" t="s">
        <v>871</v>
      </c>
      <c r="D100" t="s">
        <v>859</v>
      </c>
      <c r="E100" t="s">
        <v>876</v>
      </c>
      <c r="F100">
        <v>119</v>
      </c>
      <c r="G100">
        <f t="shared" si="6"/>
        <v>71</v>
      </c>
      <c r="H100">
        <f t="shared" si="7"/>
        <v>229</v>
      </c>
      <c r="I100">
        <v>710</v>
      </c>
      <c r="J100">
        <v>2290</v>
      </c>
      <c r="K100" s="18" t="s">
        <v>877</v>
      </c>
      <c r="L100" s="21">
        <v>6.8</v>
      </c>
    </row>
    <row r="101" spans="1:12" x14ac:dyDescent="0.25">
      <c r="A101" t="str">
        <f t="shared" si="4"/>
        <v>2026-AV-Mod-88-600-2278</v>
      </c>
      <c r="B101" t="str">
        <f t="shared" si="5"/>
        <v>2026</v>
      </c>
      <c r="C101" s="18" t="s">
        <v>878</v>
      </c>
      <c r="D101" t="s">
        <v>859</v>
      </c>
      <c r="E101" t="s">
        <v>865</v>
      </c>
      <c r="F101">
        <v>88</v>
      </c>
      <c r="G101">
        <f t="shared" si="6"/>
        <v>60</v>
      </c>
      <c r="H101">
        <f t="shared" si="7"/>
        <v>227</v>
      </c>
      <c r="I101">
        <v>600</v>
      </c>
      <c r="J101">
        <v>2278</v>
      </c>
      <c r="K101" s="18" t="s">
        <v>879</v>
      </c>
      <c r="L101" s="21">
        <v>5.4</v>
      </c>
    </row>
    <row r="102" spans="1:12" x14ac:dyDescent="0.25">
      <c r="A102" t="str">
        <f t="shared" si="4"/>
        <v>2026-AV-Mod-98-618-2332</v>
      </c>
      <c r="B102" t="str">
        <f t="shared" si="5"/>
        <v>2026</v>
      </c>
      <c r="C102" s="18" t="s">
        <v>878</v>
      </c>
      <c r="D102" t="s">
        <v>859</v>
      </c>
      <c r="E102" t="s">
        <v>860</v>
      </c>
      <c r="F102">
        <v>98</v>
      </c>
      <c r="G102">
        <f t="shared" si="6"/>
        <v>61</v>
      </c>
      <c r="H102">
        <f t="shared" si="7"/>
        <v>233</v>
      </c>
      <c r="I102">
        <v>618</v>
      </c>
      <c r="J102">
        <v>2332</v>
      </c>
      <c r="K102" s="18" t="s">
        <v>879</v>
      </c>
      <c r="L102" s="21">
        <v>6.4</v>
      </c>
    </row>
    <row r="103" spans="1:12" x14ac:dyDescent="0.25">
      <c r="A103" t="str">
        <f t="shared" si="4"/>
        <v>2026-AV-Mod-108-704-2352</v>
      </c>
      <c r="B103" t="str">
        <f t="shared" si="5"/>
        <v>2026</v>
      </c>
      <c r="C103" s="18" t="s">
        <v>878</v>
      </c>
      <c r="D103" t="s">
        <v>859</v>
      </c>
      <c r="E103" t="s">
        <v>868</v>
      </c>
      <c r="F103">
        <v>108</v>
      </c>
      <c r="G103">
        <f t="shared" si="6"/>
        <v>70</v>
      </c>
      <c r="H103">
        <f t="shared" si="7"/>
        <v>235</v>
      </c>
      <c r="I103">
        <v>704</v>
      </c>
      <c r="J103">
        <v>2352</v>
      </c>
      <c r="K103" s="18" t="s">
        <v>879</v>
      </c>
      <c r="L103" s="21">
        <v>6.9</v>
      </c>
    </row>
    <row r="104" spans="1:12" x14ac:dyDescent="0.25">
      <c r="A104" t="str">
        <f t="shared" si="4"/>
        <v>2026-AV-Mod-118-720-2352</v>
      </c>
      <c r="B104" t="str">
        <f t="shared" si="5"/>
        <v>2026</v>
      </c>
      <c r="C104" s="18" t="s">
        <v>878</v>
      </c>
      <c r="D104" t="s">
        <v>859</v>
      </c>
      <c r="E104" t="s">
        <v>863</v>
      </c>
      <c r="F104">
        <v>118</v>
      </c>
      <c r="G104">
        <f t="shared" si="6"/>
        <v>72</v>
      </c>
      <c r="H104">
        <f t="shared" si="7"/>
        <v>235</v>
      </c>
      <c r="I104">
        <v>720</v>
      </c>
      <c r="J104">
        <v>2352</v>
      </c>
      <c r="K104" s="18" t="s">
        <v>879</v>
      </c>
      <c r="L104" s="21">
        <v>7.1</v>
      </c>
    </row>
    <row r="105" spans="1:12" x14ac:dyDescent="0.25">
      <c r="A105" t="str">
        <f t="shared" si="4"/>
        <v>2026-AV-Mod-128-769-2251</v>
      </c>
      <c r="B105" t="str">
        <f t="shared" si="5"/>
        <v>2026</v>
      </c>
      <c r="C105" s="18" t="s">
        <v>878</v>
      </c>
      <c r="D105" t="s">
        <v>859</v>
      </c>
      <c r="E105" t="s">
        <v>869</v>
      </c>
      <c r="F105">
        <v>128</v>
      </c>
      <c r="G105">
        <f t="shared" si="6"/>
        <v>76</v>
      </c>
      <c r="H105">
        <f t="shared" si="7"/>
        <v>225</v>
      </c>
      <c r="I105">
        <v>769</v>
      </c>
      <c r="J105">
        <v>2251</v>
      </c>
      <c r="K105" s="18" t="s">
        <v>879</v>
      </c>
      <c r="L105" s="21">
        <v>7</v>
      </c>
    </row>
    <row r="106" spans="1:12" x14ac:dyDescent="0.25">
      <c r="A106" t="str">
        <f t="shared" si="4"/>
        <v>2026-AV-Mod-139-849-2246</v>
      </c>
      <c r="B106" t="str">
        <f t="shared" si="5"/>
        <v>2026</v>
      </c>
      <c r="C106" s="18" t="s">
        <v>878</v>
      </c>
      <c r="D106" t="s">
        <v>859</v>
      </c>
      <c r="E106" t="s">
        <v>864</v>
      </c>
      <c r="F106">
        <v>139</v>
      </c>
      <c r="G106">
        <f t="shared" si="6"/>
        <v>84</v>
      </c>
      <c r="H106">
        <f t="shared" si="7"/>
        <v>224</v>
      </c>
      <c r="I106">
        <v>849</v>
      </c>
      <c r="J106">
        <v>2246</v>
      </c>
      <c r="K106" s="18" t="s">
        <v>879</v>
      </c>
      <c r="L106" s="21">
        <v>7.4</v>
      </c>
    </row>
    <row r="107" spans="1:12" x14ac:dyDescent="0.25">
      <c r="A107" t="str">
        <f t="shared" si="4"/>
        <v>1999-BI-TEC-153-690-2770</v>
      </c>
      <c r="B107" t="str">
        <f t="shared" si="5"/>
        <v>1999</v>
      </c>
      <c r="C107" s="18" t="s">
        <v>794</v>
      </c>
      <c r="D107" t="s">
        <v>880</v>
      </c>
      <c r="E107" t="s">
        <v>881</v>
      </c>
      <c r="F107">
        <v>153</v>
      </c>
      <c r="G107">
        <f t="shared" si="6"/>
        <v>69</v>
      </c>
      <c r="H107">
        <f t="shared" si="7"/>
        <v>277</v>
      </c>
      <c r="I107">
        <v>690</v>
      </c>
      <c r="J107">
        <v>2770</v>
      </c>
      <c r="K107" s="18" t="s">
        <v>795</v>
      </c>
      <c r="L107" s="21">
        <v>9.1999999999999993</v>
      </c>
    </row>
    <row r="108" spans="1:12" x14ac:dyDescent="0.25">
      <c r="A108" t="str">
        <f t="shared" si="4"/>
        <v>2000-BI-FV -108-580-2770</v>
      </c>
      <c r="B108" t="str">
        <f t="shared" si="5"/>
        <v>2000</v>
      </c>
      <c r="C108" s="18" t="s">
        <v>797</v>
      </c>
      <c r="D108" t="s">
        <v>880</v>
      </c>
      <c r="E108" t="s">
        <v>882</v>
      </c>
      <c r="F108">
        <v>108</v>
      </c>
      <c r="G108">
        <f t="shared" si="6"/>
        <v>58</v>
      </c>
      <c r="H108">
        <f t="shared" si="7"/>
        <v>277</v>
      </c>
      <c r="I108">
        <v>580</v>
      </c>
      <c r="J108">
        <v>2770</v>
      </c>
      <c r="K108" s="18" t="s">
        <v>798</v>
      </c>
      <c r="L108" s="21">
        <v>6.7</v>
      </c>
    </row>
    <row r="109" spans="1:12" x14ac:dyDescent="0.25">
      <c r="A109" t="str">
        <f t="shared" si="4"/>
        <v>2009-BI-Tec-91-642-2380</v>
      </c>
      <c r="B109" t="str">
        <f t="shared" si="5"/>
        <v>2009</v>
      </c>
      <c r="C109" s="18" t="s">
        <v>884</v>
      </c>
      <c r="D109" t="s">
        <v>880</v>
      </c>
      <c r="E109" t="s">
        <v>883</v>
      </c>
      <c r="F109">
        <v>91</v>
      </c>
      <c r="G109">
        <f t="shared" si="6"/>
        <v>64</v>
      </c>
      <c r="H109">
        <f t="shared" si="7"/>
        <v>238</v>
      </c>
      <c r="I109">
        <v>642</v>
      </c>
      <c r="J109">
        <v>2380</v>
      </c>
      <c r="K109" s="18" t="s">
        <v>826</v>
      </c>
      <c r="L109" s="21">
        <v>6.85</v>
      </c>
    </row>
    <row r="110" spans="1:12" x14ac:dyDescent="0.25">
      <c r="A110" t="str">
        <f t="shared" si="4"/>
        <v>2009-BI-Tec-114-741-2353</v>
      </c>
      <c r="B110" t="str">
        <f t="shared" si="5"/>
        <v>2009</v>
      </c>
      <c r="C110" s="18" t="s">
        <v>884</v>
      </c>
      <c r="D110" t="s">
        <v>880</v>
      </c>
      <c r="E110" t="s">
        <v>885</v>
      </c>
      <c r="F110">
        <v>114</v>
      </c>
      <c r="G110">
        <f t="shared" si="6"/>
        <v>74</v>
      </c>
      <c r="H110">
        <f t="shared" si="7"/>
        <v>235</v>
      </c>
      <c r="I110">
        <v>741</v>
      </c>
      <c r="J110">
        <v>2353</v>
      </c>
      <c r="K110" s="18" t="s">
        <v>826</v>
      </c>
      <c r="L110" s="21">
        <v>7.4</v>
      </c>
    </row>
    <row r="111" spans="1:12" x14ac:dyDescent="0.25">
      <c r="A111" t="str">
        <f t="shared" si="4"/>
        <v>2026-BL-Air-168-860-2140</v>
      </c>
      <c r="B111" t="str">
        <f t="shared" si="5"/>
        <v>2026</v>
      </c>
      <c r="C111" s="18" t="s">
        <v>878</v>
      </c>
      <c r="D111" t="s">
        <v>886</v>
      </c>
      <c r="E111" t="s">
        <v>887</v>
      </c>
      <c r="F111">
        <v>168</v>
      </c>
      <c r="G111">
        <f t="shared" si="6"/>
        <v>86</v>
      </c>
      <c r="H111">
        <f t="shared" si="7"/>
        <v>214</v>
      </c>
      <c r="I111">
        <v>860</v>
      </c>
      <c r="J111">
        <v>2140</v>
      </c>
      <c r="K111" s="18" t="s">
        <v>888</v>
      </c>
      <c r="L111" s="21">
        <v>9</v>
      </c>
    </row>
    <row r="112" spans="1:12" x14ac:dyDescent="0.25">
      <c r="A112" t="str">
        <f t="shared" si="4"/>
        <v>2026-BU-MB--98-630-2270</v>
      </c>
      <c r="B112" t="str">
        <f t="shared" si="5"/>
        <v>2026</v>
      </c>
      <c r="C112" s="18" t="s">
        <v>878</v>
      </c>
      <c r="D112" t="s">
        <v>889</v>
      </c>
      <c r="E112" t="s">
        <v>890</v>
      </c>
      <c r="F112">
        <v>98</v>
      </c>
      <c r="G112">
        <f t="shared" si="6"/>
        <v>63</v>
      </c>
      <c r="H112">
        <f t="shared" si="7"/>
        <v>227</v>
      </c>
      <c r="I112">
        <v>630</v>
      </c>
      <c r="J112">
        <v>2270</v>
      </c>
      <c r="K112" s="18" t="s">
        <v>891</v>
      </c>
      <c r="L112" s="21">
        <v>6</v>
      </c>
    </row>
    <row r="113" spans="1:12" x14ac:dyDescent="0.25">
      <c r="A113" t="str">
        <f t="shared" si="4"/>
        <v>2026-BU-MB--115-710-2320</v>
      </c>
      <c r="B113" t="str">
        <f t="shared" si="5"/>
        <v>2026</v>
      </c>
      <c r="C113" s="18" t="s">
        <v>878</v>
      </c>
      <c r="D113" t="s">
        <v>889</v>
      </c>
      <c r="E113" t="s">
        <v>892</v>
      </c>
      <c r="F113">
        <v>115</v>
      </c>
      <c r="G113">
        <f t="shared" si="6"/>
        <v>71</v>
      </c>
      <c r="H113">
        <f t="shared" si="7"/>
        <v>232</v>
      </c>
      <c r="I113">
        <v>710</v>
      </c>
      <c r="J113">
        <v>2320</v>
      </c>
      <c r="K113" s="18" t="s">
        <v>891</v>
      </c>
      <c r="L113" s="21">
        <v>6.5</v>
      </c>
    </row>
    <row r="114" spans="1:12" x14ac:dyDescent="0.25">
      <c r="A114" t="str">
        <f t="shared" si="4"/>
        <v>2026-BU-MB--134-850-2280</v>
      </c>
      <c r="B114" t="str">
        <f t="shared" si="5"/>
        <v>2026</v>
      </c>
      <c r="C114" s="18" t="s">
        <v>878</v>
      </c>
      <c r="D114" t="s">
        <v>889</v>
      </c>
      <c r="E114" t="s">
        <v>893</v>
      </c>
      <c r="F114">
        <v>134</v>
      </c>
      <c r="G114">
        <f t="shared" si="6"/>
        <v>85</v>
      </c>
      <c r="H114">
        <f t="shared" si="7"/>
        <v>228</v>
      </c>
      <c r="I114">
        <v>850</v>
      </c>
      <c r="J114">
        <v>2280</v>
      </c>
      <c r="K114" s="18" t="s">
        <v>891</v>
      </c>
      <c r="L114" s="21">
        <v>9.1999999999999993</v>
      </c>
    </row>
    <row r="115" spans="1:12" x14ac:dyDescent="0.25">
      <c r="A115" t="str">
        <f t="shared" si="4"/>
        <v>2006-CA-SLA-104-620-2425</v>
      </c>
      <c r="B115" t="str">
        <f t="shared" si="5"/>
        <v>2006</v>
      </c>
      <c r="C115" s="18" t="s">
        <v>813</v>
      </c>
      <c r="D115" t="s">
        <v>894</v>
      </c>
      <c r="E115" t="s">
        <v>895</v>
      </c>
      <c r="F115">
        <v>104</v>
      </c>
      <c r="G115">
        <f t="shared" si="6"/>
        <v>62</v>
      </c>
      <c r="H115">
        <f t="shared" si="7"/>
        <v>242</v>
      </c>
      <c r="I115">
        <v>620</v>
      </c>
      <c r="J115">
        <v>2425</v>
      </c>
      <c r="K115" s="18" t="s">
        <v>896</v>
      </c>
      <c r="L115" s="21">
        <v>5.8</v>
      </c>
    </row>
    <row r="116" spans="1:12" x14ac:dyDescent="0.25">
      <c r="A116" t="str">
        <f t="shared" si="4"/>
        <v>2006-CA-SLA-86-520-2425</v>
      </c>
      <c r="B116" t="str">
        <f t="shared" si="5"/>
        <v>2006</v>
      </c>
      <c r="C116" s="18" t="s">
        <v>813</v>
      </c>
      <c r="D116" t="s">
        <v>894</v>
      </c>
      <c r="E116" t="s">
        <v>897</v>
      </c>
      <c r="F116">
        <v>86</v>
      </c>
      <c r="G116">
        <f t="shared" si="6"/>
        <v>52</v>
      </c>
      <c r="H116">
        <f t="shared" si="7"/>
        <v>242</v>
      </c>
      <c r="I116">
        <v>520</v>
      </c>
      <c r="J116">
        <v>2425</v>
      </c>
      <c r="K116" s="18" t="s">
        <v>814</v>
      </c>
      <c r="L116" s="21">
        <v>4.9000000000000004</v>
      </c>
    </row>
    <row r="117" spans="1:12" x14ac:dyDescent="0.25">
      <c r="A117" t="str">
        <f t="shared" si="4"/>
        <v>2006-CA-SLA-93-550-2425</v>
      </c>
      <c r="B117" t="str">
        <f t="shared" si="5"/>
        <v>2006</v>
      </c>
      <c r="C117" s="18" t="s">
        <v>813</v>
      </c>
      <c r="D117" t="s">
        <v>894</v>
      </c>
      <c r="E117" t="s">
        <v>898</v>
      </c>
      <c r="F117">
        <v>93</v>
      </c>
      <c r="G117">
        <f t="shared" si="6"/>
        <v>55</v>
      </c>
      <c r="H117">
        <f t="shared" si="7"/>
        <v>242</v>
      </c>
      <c r="I117">
        <v>550</v>
      </c>
      <c r="J117">
        <v>2425</v>
      </c>
      <c r="K117" s="18" t="s">
        <v>814</v>
      </c>
      <c r="L117" s="21">
        <v>5.3</v>
      </c>
    </row>
    <row r="118" spans="1:12" x14ac:dyDescent="0.25">
      <c r="A118" t="str">
        <f t="shared" si="4"/>
        <v>2006-CA-SLA-97-580-2425</v>
      </c>
      <c r="B118" t="str">
        <f t="shared" si="5"/>
        <v>2006</v>
      </c>
      <c r="C118" s="18" t="s">
        <v>813</v>
      </c>
      <c r="D118" t="s">
        <v>894</v>
      </c>
      <c r="E118" t="s">
        <v>899</v>
      </c>
      <c r="F118">
        <v>97</v>
      </c>
      <c r="G118">
        <f t="shared" si="6"/>
        <v>58</v>
      </c>
      <c r="H118">
        <f t="shared" si="7"/>
        <v>242</v>
      </c>
      <c r="I118">
        <v>580</v>
      </c>
      <c r="J118">
        <v>2425</v>
      </c>
      <c r="K118" s="18" t="s">
        <v>814</v>
      </c>
      <c r="L118" s="21">
        <v>5.6</v>
      </c>
    </row>
    <row r="119" spans="1:12" x14ac:dyDescent="0.25">
      <c r="A119" t="str">
        <f t="shared" si="4"/>
        <v>2006-CA-SLA-115-700-2425</v>
      </c>
      <c r="B119" t="str">
        <f t="shared" si="5"/>
        <v>2006</v>
      </c>
      <c r="C119" s="18" t="s">
        <v>813</v>
      </c>
      <c r="D119" t="s">
        <v>894</v>
      </c>
      <c r="E119" t="s">
        <v>901</v>
      </c>
      <c r="F119">
        <v>115</v>
      </c>
      <c r="G119">
        <f t="shared" si="6"/>
        <v>70</v>
      </c>
      <c r="H119">
        <f t="shared" si="7"/>
        <v>242</v>
      </c>
      <c r="I119">
        <v>700</v>
      </c>
      <c r="J119">
        <v>2425</v>
      </c>
      <c r="K119" s="18" t="s">
        <v>814</v>
      </c>
      <c r="L119" s="21">
        <v>6.8</v>
      </c>
    </row>
    <row r="120" spans="1:12" x14ac:dyDescent="0.25">
      <c r="A120" t="str">
        <f t="shared" si="4"/>
        <v>2006-CA-SLA-124-800-2425</v>
      </c>
      <c r="B120" t="str">
        <f t="shared" si="5"/>
        <v>2006</v>
      </c>
      <c r="C120" s="18" t="s">
        <v>813</v>
      </c>
      <c r="D120" t="s">
        <v>894</v>
      </c>
      <c r="E120" t="s">
        <v>902</v>
      </c>
      <c r="F120">
        <v>124</v>
      </c>
      <c r="G120">
        <f t="shared" si="6"/>
        <v>80</v>
      </c>
      <c r="H120">
        <f t="shared" si="7"/>
        <v>242</v>
      </c>
      <c r="I120">
        <v>800</v>
      </c>
      <c r="J120">
        <v>2425</v>
      </c>
      <c r="K120" s="18" t="s">
        <v>814</v>
      </c>
      <c r="L120" s="21">
        <v>7.5</v>
      </c>
    </row>
    <row r="121" spans="1:12" x14ac:dyDescent="0.25">
      <c r="A121" t="str">
        <f t="shared" si="4"/>
        <v>2008-CA-SLA-87-520-2485</v>
      </c>
      <c r="B121" t="str">
        <f t="shared" si="5"/>
        <v>2008</v>
      </c>
      <c r="C121" s="18" t="s">
        <v>825</v>
      </c>
      <c r="D121" t="s">
        <v>894</v>
      </c>
      <c r="E121" t="s">
        <v>897</v>
      </c>
      <c r="F121">
        <v>87</v>
      </c>
      <c r="G121">
        <f t="shared" si="6"/>
        <v>52</v>
      </c>
      <c r="H121">
        <f t="shared" si="7"/>
        <v>248</v>
      </c>
      <c r="I121">
        <v>520</v>
      </c>
      <c r="J121">
        <v>2485</v>
      </c>
      <c r="K121" s="18" t="s">
        <v>826</v>
      </c>
      <c r="L121" s="21">
        <v>5.2</v>
      </c>
    </row>
    <row r="122" spans="1:12" x14ac:dyDescent="0.25">
      <c r="A122" t="str">
        <f t="shared" si="4"/>
        <v>2008-CA-SLA-94-550-2485</v>
      </c>
      <c r="B122" t="str">
        <f t="shared" si="5"/>
        <v>2008</v>
      </c>
      <c r="C122" s="18" t="s">
        <v>825</v>
      </c>
      <c r="D122" t="s">
        <v>894</v>
      </c>
      <c r="E122" t="s">
        <v>898</v>
      </c>
      <c r="F122">
        <v>94</v>
      </c>
      <c r="G122">
        <f t="shared" si="6"/>
        <v>55</v>
      </c>
      <c r="H122">
        <f t="shared" si="7"/>
        <v>248</v>
      </c>
      <c r="I122">
        <v>550</v>
      </c>
      <c r="J122">
        <v>2485</v>
      </c>
      <c r="K122" s="18" t="s">
        <v>826</v>
      </c>
      <c r="L122" s="21">
        <v>5.5</v>
      </c>
    </row>
    <row r="123" spans="1:12" x14ac:dyDescent="0.25">
      <c r="A123" t="str">
        <f t="shared" si="4"/>
        <v>2008-CA-SLA-98-580-2485</v>
      </c>
      <c r="B123" t="str">
        <f t="shared" si="5"/>
        <v>2008</v>
      </c>
      <c r="C123" s="18" t="s">
        <v>825</v>
      </c>
      <c r="D123" t="s">
        <v>894</v>
      </c>
      <c r="E123" t="s">
        <v>899</v>
      </c>
      <c r="F123">
        <v>98</v>
      </c>
      <c r="G123">
        <f t="shared" si="6"/>
        <v>58</v>
      </c>
      <c r="H123">
        <f t="shared" si="7"/>
        <v>248</v>
      </c>
      <c r="I123">
        <v>580</v>
      </c>
      <c r="J123">
        <v>2485</v>
      </c>
      <c r="K123" s="18" t="s">
        <v>826</v>
      </c>
      <c r="L123" s="21">
        <v>5.8</v>
      </c>
    </row>
    <row r="124" spans="1:12" x14ac:dyDescent="0.25">
      <c r="A124" t="str">
        <f t="shared" si="4"/>
        <v>2008-CA-SLA-103-620-2485</v>
      </c>
      <c r="B124" t="str">
        <f t="shared" si="5"/>
        <v>2008</v>
      </c>
      <c r="C124" s="18" t="s">
        <v>825</v>
      </c>
      <c r="D124" t="s">
        <v>894</v>
      </c>
      <c r="E124" t="s">
        <v>895</v>
      </c>
      <c r="F124">
        <v>103</v>
      </c>
      <c r="G124">
        <f t="shared" si="6"/>
        <v>62</v>
      </c>
      <c r="H124">
        <f t="shared" si="7"/>
        <v>248</v>
      </c>
      <c r="I124">
        <v>620</v>
      </c>
      <c r="J124">
        <v>2485</v>
      </c>
      <c r="K124" s="18" t="s">
        <v>826</v>
      </c>
      <c r="L124" s="21">
        <v>6.1</v>
      </c>
    </row>
    <row r="125" spans="1:12" x14ac:dyDescent="0.25">
      <c r="A125" t="str">
        <f t="shared" si="4"/>
        <v>2008-CA-SLA-113-700-2425</v>
      </c>
      <c r="B125" t="str">
        <f t="shared" si="5"/>
        <v>2008</v>
      </c>
      <c r="C125" s="18" t="s">
        <v>825</v>
      </c>
      <c r="D125" t="s">
        <v>894</v>
      </c>
      <c r="E125" t="s">
        <v>901</v>
      </c>
      <c r="F125">
        <v>113</v>
      </c>
      <c r="G125">
        <f t="shared" si="6"/>
        <v>70</v>
      </c>
      <c r="H125">
        <f t="shared" si="7"/>
        <v>242</v>
      </c>
      <c r="I125">
        <v>700</v>
      </c>
      <c r="J125">
        <v>2425</v>
      </c>
      <c r="K125" s="18" t="s">
        <v>826</v>
      </c>
      <c r="L125" s="21">
        <v>6.7</v>
      </c>
    </row>
    <row r="126" spans="1:12" x14ac:dyDescent="0.25">
      <c r="A126" t="str">
        <f t="shared" si="4"/>
        <v>2008-CA-SLA-124-800-2425</v>
      </c>
      <c r="B126" t="str">
        <f t="shared" si="5"/>
        <v>2008</v>
      </c>
      <c r="C126" s="18" t="s">
        <v>825</v>
      </c>
      <c r="D126" t="s">
        <v>894</v>
      </c>
      <c r="E126" t="s">
        <v>902</v>
      </c>
      <c r="F126">
        <v>124</v>
      </c>
      <c r="G126">
        <f t="shared" si="6"/>
        <v>80</v>
      </c>
      <c r="H126">
        <f t="shared" si="7"/>
        <v>242</v>
      </c>
      <c r="I126">
        <v>800</v>
      </c>
      <c r="J126">
        <v>2425</v>
      </c>
      <c r="K126" s="18" t="s">
        <v>826</v>
      </c>
      <c r="L126" s="21">
        <v>7.4</v>
      </c>
    </row>
    <row r="127" spans="1:12" x14ac:dyDescent="0.25">
      <c r="A127" t="str">
        <f t="shared" si="4"/>
        <v>2008-CA-SPE-60-400-2335</v>
      </c>
      <c r="B127" t="str">
        <f t="shared" si="5"/>
        <v>2008</v>
      </c>
      <c r="C127" s="18" t="s">
        <v>825</v>
      </c>
      <c r="D127" t="s">
        <v>894</v>
      </c>
      <c r="E127" t="s">
        <v>903</v>
      </c>
      <c r="F127">
        <v>60</v>
      </c>
      <c r="G127">
        <f t="shared" si="6"/>
        <v>40</v>
      </c>
      <c r="H127">
        <f t="shared" si="7"/>
        <v>233</v>
      </c>
      <c r="I127">
        <v>400</v>
      </c>
      <c r="J127">
        <v>2335</v>
      </c>
      <c r="K127" s="18" t="s">
        <v>826</v>
      </c>
      <c r="L127" s="21">
        <v>4.4000000000000004</v>
      </c>
    </row>
    <row r="128" spans="1:12" x14ac:dyDescent="0.25">
      <c r="A128" t="str">
        <f t="shared" si="4"/>
        <v>2008-CA-SPE-65-440-2365</v>
      </c>
      <c r="B128" t="str">
        <f t="shared" si="5"/>
        <v>2008</v>
      </c>
      <c r="C128" s="18" t="s">
        <v>825</v>
      </c>
      <c r="D128" t="s">
        <v>894</v>
      </c>
      <c r="E128" t="s">
        <v>904</v>
      </c>
      <c r="F128">
        <v>65</v>
      </c>
      <c r="G128">
        <f t="shared" si="6"/>
        <v>44</v>
      </c>
      <c r="H128">
        <f t="shared" si="7"/>
        <v>236</v>
      </c>
      <c r="I128">
        <v>440</v>
      </c>
      <c r="J128">
        <v>2365</v>
      </c>
      <c r="K128" s="18" t="s">
        <v>826</v>
      </c>
      <c r="L128" s="21">
        <v>4.7</v>
      </c>
    </row>
    <row r="129" spans="1:12" x14ac:dyDescent="0.25">
      <c r="A129" t="str">
        <f t="shared" si="4"/>
        <v>2008-CA-SPE-75-470-2385</v>
      </c>
      <c r="B129" t="str">
        <f t="shared" si="5"/>
        <v>2008</v>
      </c>
      <c r="C129" s="18" t="s">
        <v>825</v>
      </c>
      <c r="D129" t="s">
        <v>894</v>
      </c>
      <c r="E129" t="s">
        <v>905</v>
      </c>
      <c r="F129">
        <v>75</v>
      </c>
      <c r="G129">
        <f t="shared" si="6"/>
        <v>47</v>
      </c>
      <c r="H129">
        <f t="shared" si="7"/>
        <v>238</v>
      </c>
      <c r="I129">
        <v>470</v>
      </c>
      <c r="J129">
        <v>2385</v>
      </c>
      <c r="K129" s="18" t="s">
        <v>826</v>
      </c>
      <c r="L129" s="21">
        <v>4.9000000000000004</v>
      </c>
    </row>
    <row r="130" spans="1:12" x14ac:dyDescent="0.25">
      <c r="A130" t="str">
        <f t="shared" ref="A130:A193" si="8">_xlfn.CONCAT(B130,"-",LEFT(D130,2),"-",LEFT(E130,3),"-",F130,"-",TRUNC(I130),"-",TRUNC(J130))</f>
        <v>2016-CA-SL -87-590-2390</v>
      </c>
      <c r="B130" t="str">
        <f t="shared" ref="B130:B193" si="9">LEFT(C130,4)</f>
        <v>2016</v>
      </c>
      <c r="C130" s="18" t="s">
        <v>747</v>
      </c>
      <c r="D130" t="s">
        <v>894</v>
      </c>
      <c r="E130" t="s">
        <v>906</v>
      </c>
      <c r="F130">
        <v>87</v>
      </c>
      <c r="G130">
        <f t="shared" si="6"/>
        <v>59</v>
      </c>
      <c r="H130">
        <f t="shared" si="7"/>
        <v>239</v>
      </c>
      <c r="I130">
        <v>590</v>
      </c>
      <c r="J130">
        <v>2390</v>
      </c>
      <c r="K130" s="18" t="s">
        <v>907</v>
      </c>
      <c r="L130" s="21">
        <v>5.6</v>
      </c>
    </row>
    <row r="131" spans="1:12" x14ac:dyDescent="0.25">
      <c r="A131" t="str">
        <f t="shared" si="8"/>
        <v>2016-CA-SL -93-630-2390</v>
      </c>
      <c r="B131" t="str">
        <f t="shared" si="9"/>
        <v>2016</v>
      </c>
      <c r="C131" s="18" t="s">
        <v>747</v>
      </c>
      <c r="D131" t="s">
        <v>894</v>
      </c>
      <c r="E131" t="s">
        <v>908</v>
      </c>
      <c r="F131">
        <v>93</v>
      </c>
      <c r="G131">
        <f t="shared" ref="G131:G194" si="10">TRUNC(I131/10)</f>
        <v>63</v>
      </c>
      <c r="H131">
        <f t="shared" ref="H131:H194" si="11">TRUNC(J131/10)</f>
        <v>239</v>
      </c>
      <c r="I131">
        <v>630</v>
      </c>
      <c r="J131">
        <v>2390</v>
      </c>
      <c r="K131" s="18" t="s">
        <v>907</v>
      </c>
      <c r="L131" s="21">
        <v>5.9</v>
      </c>
    </row>
    <row r="132" spans="1:12" x14ac:dyDescent="0.25">
      <c r="A132" t="str">
        <f t="shared" si="8"/>
        <v>2016-CA-SL -103-680-2380</v>
      </c>
      <c r="B132" t="str">
        <f t="shared" si="9"/>
        <v>2016</v>
      </c>
      <c r="C132" s="18" t="s">
        <v>747</v>
      </c>
      <c r="D132" t="s">
        <v>894</v>
      </c>
      <c r="E132" t="s">
        <v>909</v>
      </c>
      <c r="F132">
        <v>103</v>
      </c>
      <c r="G132">
        <f t="shared" si="10"/>
        <v>68</v>
      </c>
      <c r="H132">
        <f t="shared" si="11"/>
        <v>238</v>
      </c>
      <c r="I132">
        <v>680</v>
      </c>
      <c r="J132">
        <v>2380</v>
      </c>
      <c r="K132" s="18" t="s">
        <v>907</v>
      </c>
      <c r="L132" s="21">
        <v>6.4</v>
      </c>
    </row>
    <row r="133" spans="1:12" x14ac:dyDescent="0.25">
      <c r="A133" t="str">
        <f t="shared" si="8"/>
        <v>2016-CA-SL -112-740-2380</v>
      </c>
      <c r="B133" t="str">
        <f t="shared" si="9"/>
        <v>2016</v>
      </c>
      <c r="C133" s="18" t="s">
        <v>747</v>
      </c>
      <c r="D133" t="s">
        <v>894</v>
      </c>
      <c r="E133" t="s">
        <v>910</v>
      </c>
      <c r="F133">
        <v>112</v>
      </c>
      <c r="G133">
        <f t="shared" si="10"/>
        <v>74</v>
      </c>
      <c r="H133">
        <f t="shared" si="11"/>
        <v>238</v>
      </c>
      <c r="I133">
        <v>740</v>
      </c>
      <c r="J133">
        <v>2380</v>
      </c>
      <c r="K133" s="18" t="s">
        <v>907</v>
      </c>
      <c r="L133" s="21">
        <v>6.6</v>
      </c>
    </row>
    <row r="134" spans="1:12" x14ac:dyDescent="0.25">
      <c r="A134" t="str">
        <f t="shared" si="8"/>
        <v>2016-CA-SL -121-700-2370</v>
      </c>
      <c r="B134" t="str">
        <f t="shared" si="9"/>
        <v>2016</v>
      </c>
      <c r="C134" s="18" t="s">
        <v>747</v>
      </c>
      <c r="D134" t="s">
        <v>894</v>
      </c>
      <c r="E134" t="s">
        <v>911</v>
      </c>
      <c r="F134">
        <v>121</v>
      </c>
      <c r="G134">
        <f t="shared" si="10"/>
        <v>70</v>
      </c>
      <c r="H134">
        <f t="shared" si="11"/>
        <v>237</v>
      </c>
      <c r="I134">
        <v>700</v>
      </c>
      <c r="J134">
        <v>2370</v>
      </c>
      <c r="K134" s="18" t="s">
        <v>907</v>
      </c>
      <c r="L134" s="21">
        <v>6.9</v>
      </c>
    </row>
    <row r="135" spans="1:12" x14ac:dyDescent="0.25">
      <c r="A135" t="str">
        <f t="shared" si="8"/>
        <v>2016-CA-SL -128-850-2370</v>
      </c>
      <c r="B135" t="str">
        <f t="shared" si="9"/>
        <v>2016</v>
      </c>
      <c r="C135" s="18" t="s">
        <v>747</v>
      </c>
      <c r="D135" t="s">
        <v>894</v>
      </c>
      <c r="E135" t="s">
        <v>912</v>
      </c>
      <c r="F135">
        <v>128</v>
      </c>
      <c r="G135">
        <f t="shared" si="10"/>
        <v>85</v>
      </c>
      <c r="H135">
        <f t="shared" si="11"/>
        <v>237</v>
      </c>
      <c r="I135">
        <v>850</v>
      </c>
      <c r="J135">
        <v>2370</v>
      </c>
      <c r="K135" s="18" t="s">
        <v>907</v>
      </c>
      <c r="L135" s="21">
        <v>7.4</v>
      </c>
    </row>
    <row r="136" spans="1:12" x14ac:dyDescent="0.25">
      <c r="A136" t="str">
        <f t="shared" si="8"/>
        <v>1999-DR-FL1-156-750-2750</v>
      </c>
      <c r="B136" t="str">
        <f t="shared" si="9"/>
        <v>1999</v>
      </c>
      <c r="C136" s="18" t="s">
        <v>794</v>
      </c>
      <c r="D136" t="s">
        <v>913</v>
      </c>
      <c r="E136" t="s">
        <v>914</v>
      </c>
      <c r="F136">
        <v>156</v>
      </c>
      <c r="G136">
        <f t="shared" si="10"/>
        <v>75</v>
      </c>
      <c r="H136">
        <f t="shared" si="11"/>
        <v>275</v>
      </c>
      <c r="I136">
        <v>750</v>
      </c>
      <c r="J136">
        <v>2750</v>
      </c>
      <c r="K136" s="18" t="s">
        <v>795</v>
      </c>
      <c r="L136" s="21">
        <v>7.5</v>
      </c>
    </row>
    <row r="137" spans="1:12" x14ac:dyDescent="0.25">
      <c r="A137" t="str">
        <f t="shared" si="8"/>
        <v>2000-DR-FL1-165-800-2610</v>
      </c>
      <c r="B137" t="str">
        <f t="shared" si="9"/>
        <v>2000</v>
      </c>
      <c r="C137" s="18" t="s">
        <v>797</v>
      </c>
      <c r="D137" t="s">
        <v>913</v>
      </c>
      <c r="E137" t="s">
        <v>915</v>
      </c>
      <c r="F137">
        <v>165</v>
      </c>
      <c r="G137">
        <f t="shared" si="10"/>
        <v>80</v>
      </c>
      <c r="H137">
        <f t="shared" si="11"/>
        <v>261</v>
      </c>
      <c r="I137">
        <v>800</v>
      </c>
      <c r="J137">
        <v>2610</v>
      </c>
      <c r="K137" s="18" t="s">
        <v>798</v>
      </c>
      <c r="L137" s="21">
        <v>7.3</v>
      </c>
    </row>
    <row r="138" spans="1:12" x14ac:dyDescent="0.25">
      <c r="A138" t="str">
        <f t="shared" si="8"/>
        <v>1999-DR-RAC-158-750-2730</v>
      </c>
      <c r="B138" t="str">
        <f t="shared" si="9"/>
        <v>1999</v>
      </c>
      <c r="C138" s="18" t="s">
        <v>794</v>
      </c>
      <c r="D138" t="s">
        <v>913</v>
      </c>
      <c r="E138" t="s">
        <v>916</v>
      </c>
      <c r="F138">
        <v>158</v>
      </c>
      <c r="G138">
        <f t="shared" si="10"/>
        <v>75</v>
      </c>
      <c r="H138">
        <f t="shared" si="11"/>
        <v>273</v>
      </c>
      <c r="I138">
        <v>750</v>
      </c>
      <c r="J138">
        <v>2730</v>
      </c>
      <c r="K138" s="18" t="s">
        <v>798</v>
      </c>
      <c r="L138" s="21">
        <v>7.2</v>
      </c>
    </row>
    <row r="139" spans="1:12" x14ac:dyDescent="0.25">
      <c r="A139" t="str">
        <f t="shared" si="8"/>
        <v>1998-DR-8'1-96-530-2700</v>
      </c>
      <c r="B139" t="str">
        <f t="shared" si="9"/>
        <v>1998</v>
      </c>
      <c r="C139" s="18" t="s">
        <v>918</v>
      </c>
      <c r="D139" t="s">
        <v>913</v>
      </c>
      <c r="E139" t="s">
        <v>917</v>
      </c>
      <c r="F139">
        <v>96</v>
      </c>
      <c r="G139">
        <f t="shared" si="10"/>
        <v>53</v>
      </c>
      <c r="H139">
        <f t="shared" si="11"/>
        <v>270</v>
      </c>
      <c r="I139">
        <v>530</v>
      </c>
      <c r="J139">
        <v>2700</v>
      </c>
      <c r="K139" s="18" t="s">
        <v>900</v>
      </c>
      <c r="L139" s="21">
        <v>5.2</v>
      </c>
    </row>
    <row r="140" spans="1:12" x14ac:dyDescent="0.25">
      <c r="A140" t="str">
        <f t="shared" si="8"/>
        <v>2007-DR-GLI-106-647-2383</v>
      </c>
      <c r="B140" t="str">
        <f t="shared" si="9"/>
        <v>2007</v>
      </c>
      <c r="C140" s="18" t="s">
        <v>820</v>
      </c>
      <c r="D140" t="s">
        <v>913</v>
      </c>
      <c r="E140" t="s">
        <v>919</v>
      </c>
      <c r="F140">
        <v>106</v>
      </c>
      <c r="G140">
        <f t="shared" si="10"/>
        <v>64</v>
      </c>
      <c r="H140">
        <f t="shared" si="11"/>
        <v>238</v>
      </c>
      <c r="I140">
        <v>647</v>
      </c>
      <c r="J140">
        <v>2383</v>
      </c>
      <c r="K140" s="18" t="s">
        <v>821</v>
      </c>
      <c r="L140" s="21">
        <v>7.1</v>
      </c>
    </row>
    <row r="141" spans="1:12" x14ac:dyDescent="0.25">
      <c r="A141" t="str">
        <f t="shared" si="8"/>
        <v>2007-DR-GLI-116-673-2375</v>
      </c>
      <c r="B141" t="str">
        <f t="shared" si="9"/>
        <v>2007</v>
      </c>
      <c r="C141" s="18" t="s">
        <v>820</v>
      </c>
      <c r="D141" t="s">
        <v>913</v>
      </c>
      <c r="E141" t="s">
        <v>920</v>
      </c>
      <c r="F141">
        <v>116</v>
      </c>
      <c r="G141">
        <f t="shared" si="10"/>
        <v>67</v>
      </c>
      <c r="H141">
        <f t="shared" si="11"/>
        <v>237</v>
      </c>
      <c r="I141">
        <v>673</v>
      </c>
      <c r="J141">
        <v>2375</v>
      </c>
      <c r="K141" s="18" t="s">
        <v>821</v>
      </c>
      <c r="L141" s="21">
        <v>7.3</v>
      </c>
    </row>
    <row r="142" spans="1:12" x14ac:dyDescent="0.25">
      <c r="A142" t="str">
        <f t="shared" si="8"/>
        <v>2007-DR-GLI-126-756-2405</v>
      </c>
      <c r="B142" t="str">
        <f t="shared" si="9"/>
        <v>2007</v>
      </c>
      <c r="C142" s="18" t="s">
        <v>820</v>
      </c>
      <c r="D142" t="s">
        <v>913</v>
      </c>
      <c r="E142" t="s">
        <v>921</v>
      </c>
      <c r="F142">
        <v>126</v>
      </c>
      <c r="G142">
        <f t="shared" si="10"/>
        <v>75</v>
      </c>
      <c r="H142">
        <f t="shared" si="11"/>
        <v>240</v>
      </c>
      <c r="I142">
        <v>756</v>
      </c>
      <c r="J142">
        <v>2405</v>
      </c>
      <c r="K142" s="18" t="s">
        <v>821</v>
      </c>
      <c r="L142" s="21">
        <v>7.8</v>
      </c>
    </row>
    <row r="143" spans="1:12" x14ac:dyDescent="0.25">
      <c r="A143" t="str">
        <f t="shared" si="8"/>
        <v>2010-DR-KRA-120-750-2298</v>
      </c>
      <c r="B143" t="str">
        <f t="shared" si="9"/>
        <v>2010</v>
      </c>
      <c r="C143" s="18" t="s">
        <v>840</v>
      </c>
      <c r="D143" t="s">
        <v>913</v>
      </c>
      <c r="E143" t="s">
        <v>922</v>
      </c>
      <c r="F143">
        <v>120</v>
      </c>
      <c r="G143">
        <f t="shared" si="10"/>
        <v>75</v>
      </c>
      <c r="H143">
        <f t="shared" si="11"/>
        <v>229</v>
      </c>
      <c r="I143">
        <v>750</v>
      </c>
      <c r="J143">
        <v>2298</v>
      </c>
      <c r="K143" s="18" t="s">
        <v>841</v>
      </c>
      <c r="L143" s="21">
        <v>6.3</v>
      </c>
    </row>
    <row r="144" spans="1:12" x14ac:dyDescent="0.25">
      <c r="A144" t="str">
        <f t="shared" si="8"/>
        <v>2010-DR-KRA-135-850-2215</v>
      </c>
      <c r="B144" t="str">
        <f t="shared" si="9"/>
        <v>2010</v>
      </c>
      <c r="C144" s="18" t="s">
        <v>840</v>
      </c>
      <c r="D144" t="s">
        <v>913</v>
      </c>
      <c r="E144" t="s">
        <v>923</v>
      </c>
      <c r="F144">
        <v>135</v>
      </c>
      <c r="G144">
        <f t="shared" si="10"/>
        <v>85</v>
      </c>
      <c r="H144">
        <f t="shared" si="11"/>
        <v>221</v>
      </c>
      <c r="I144">
        <v>850</v>
      </c>
      <c r="J144">
        <v>2215</v>
      </c>
      <c r="K144" s="18" t="s">
        <v>841</v>
      </c>
      <c r="L144" s="21">
        <v>6.7</v>
      </c>
    </row>
    <row r="145" spans="1:12" x14ac:dyDescent="0.25">
      <c r="A145" t="str">
        <f t="shared" si="8"/>
        <v>2010-DR-KRA-96-635-2326</v>
      </c>
      <c r="B145" t="str">
        <f t="shared" si="9"/>
        <v>2010</v>
      </c>
      <c r="C145" s="18" t="s">
        <v>840</v>
      </c>
      <c r="D145" t="s">
        <v>913</v>
      </c>
      <c r="E145" t="s">
        <v>924</v>
      </c>
      <c r="F145">
        <v>96</v>
      </c>
      <c r="G145">
        <f t="shared" si="10"/>
        <v>63</v>
      </c>
      <c r="H145">
        <f t="shared" si="11"/>
        <v>232</v>
      </c>
      <c r="I145">
        <v>635</v>
      </c>
      <c r="J145">
        <v>2326</v>
      </c>
      <c r="K145" s="18" t="s">
        <v>844</v>
      </c>
      <c r="L145" s="21">
        <v>6.2</v>
      </c>
    </row>
    <row r="146" spans="1:12" x14ac:dyDescent="0.25">
      <c r="A146" t="str">
        <f t="shared" si="8"/>
        <v>2010-DR-KRA-106-685-2325</v>
      </c>
      <c r="B146" t="str">
        <f t="shared" si="9"/>
        <v>2010</v>
      </c>
      <c r="C146" s="18" t="s">
        <v>840</v>
      </c>
      <c r="D146" t="s">
        <v>913</v>
      </c>
      <c r="E146" t="s">
        <v>925</v>
      </c>
      <c r="F146">
        <v>106</v>
      </c>
      <c r="G146">
        <f t="shared" si="10"/>
        <v>68</v>
      </c>
      <c r="H146">
        <f t="shared" si="11"/>
        <v>232</v>
      </c>
      <c r="I146">
        <v>685</v>
      </c>
      <c r="J146">
        <v>2325</v>
      </c>
      <c r="K146" s="18" t="s">
        <v>844</v>
      </c>
      <c r="L146" s="21">
        <v>6.7</v>
      </c>
    </row>
    <row r="147" spans="1:12" x14ac:dyDescent="0.25">
      <c r="A147" t="str">
        <f t="shared" si="8"/>
        <v>2011-DR-KRA-89-586-2385</v>
      </c>
      <c r="B147" t="str">
        <f t="shared" si="9"/>
        <v>2011</v>
      </c>
      <c r="C147" s="18" t="s">
        <v>846</v>
      </c>
      <c r="D147" t="s">
        <v>913</v>
      </c>
      <c r="E147" t="s">
        <v>926</v>
      </c>
      <c r="F147">
        <v>89</v>
      </c>
      <c r="G147">
        <f t="shared" si="10"/>
        <v>58</v>
      </c>
      <c r="H147">
        <f t="shared" si="11"/>
        <v>238</v>
      </c>
      <c r="I147">
        <v>586</v>
      </c>
      <c r="J147">
        <v>2385</v>
      </c>
      <c r="K147" s="18" t="s">
        <v>844</v>
      </c>
      <c r="L147" s="21">
        <v>5.9</v>
      </c>
    </row>
    <row r="148" spans="1:12" x14ac:dyDescent="0.25">
      <c r="A148" t="str">
        <f t="shared" si="8"/>
        <v>2012-DR-KRA-128-780-2265</v>
      </c>
      <c r="B148" t="str">
        <f t="shared" si="9"/>
        <v>2012</v>
      </c>
      <c r="C148" s="18" t="s">
        <v>928</v>
      </c>
      <c r="D148" t="s">
        <v>913</v>
      </c>
      <c r="E148" t="s">
        <v>927</v>
      </c>
      <c r="F148">
        <v>128</v>
      </c>
      <c r="G148">
        <f t="shared" si="10"/>
        <v>78</v>
      </c>
      <c r="H148">
        <f t="shared" si="11"/>
        <v>226</v>
      </c>
      <c r="I148">
        <v>780</v>
      </c>
      <c r="J148">
        <v>2265</v>
      </c>
      <c r="K148" s="18" t="s">
        <v>929</v>
      </c>
      <c r="L148" s="21">
        <v>6.6</v>
      </c>
    </row>
    <row r="149" spans="1:12" x14ac:dyDescent="0.25">
      <c r="A149" t="e">
        <f t="shared" si="8"/>
        <v>#VALUE!</v>
      </c>
      <c r="B149" t="str">
        <f t="shared" si="9"/>
        <v>2012</v>
      </c>
      <c r="C149" s="18" t="s">
        <v>928</v>
      </c>
      <c r="D149" t="s">
        <v>913</v>
      </c>
      <c r="E149" t="s">
        <v>930</v>
      </c>
      <c r="F149">
        <v>128</v>
      </c>
      <c r="G149" t="e">
        <f t="shared" si="10"/>
        <v>#VALUE!</v>
      </c>
      <c r="H149">
        <f t="shared" si="11"/>
        <v>226</v>
      </c>
      <c r="I149" t="s">
        <v>153</v>
      </c>
      <c r="J149">
        <v>2265</v>
      </c>
      <c r="K149" s="18" t="s">
        <v>929</v>
      </c>
      <c r="L149" s="21">
        <v>6.6</v>
      </c>
    </row>
    <row r="150" spans="1:12" x14ac:dyDescent="0.25">
      <c r="A150" t="str">
        <f t="shared" si="8"/>
        <v>2024-Du-Fal-173-850-2080</v>
      </c>
      <c r="B150" t="str">
        <f t="shared" si="9"/>
        <v>2024</v>
      </c>
      <c r="C150" s="18" t="s">
        <v>871</v>
      </c>
      <c r="D150" t="s">
        <v>931</v>
      </c>
      <c r="E150" t="s">
        <v>932</v>
      </c>
      <c r="F150">
        <v>173</v>
      </c>
      <c r="G150">
        <f t="shared" si="10"/>
        <v>85</v>
      </c>
      <c r="H150">
        <f t="shared" si="11"/>
        <v>208</v>
      </c>
      <c r="I150">
        <v>850</v>
      </c>
      <c r="J150">
        <v>2080</v>
      </c>
      <c r="K150" s="18" t="s">
        <v>933</v>
      </c>
      <c r="L150" s="21">
        <v>8.8000000000000007</v>
      </c>
    </row>
    <row r="151" spans="1:12" x14ac:dyDescent="0.25">
      <c r="A151" t="str">
        <f t="shared" si="8"/>
        <v>2024-Du-Fal-89-601-2319</v>
      </c>
      <c r="B151" t="str">
        <f t="shared" si="9"/>
        <v>2024</v>
      </c>
      <c r="C151" s="18" t="s">
        <v>871</v>
      </c>
      <c r="D151" t="s">
        <v>931</v>
      </c>
      <c r="E151" t="s">
        <v>934</v>
      </c>
      <c r="F151">
        <v>89</v>
      </c>
      <c r="G151">
        <f t="shared" si="10"/>
        <v>60</v>
      </c>
      <c r="H151">
        <f t="shared" si="11"/>
        <v>231</v>
      </c>
      <c r="I151">
        <v>601</v>
      </c>
      <c r="J151">
        <v>2319</v>
      </c>
      <c r="K151" s="18" t="s">
        <v>933</v>
      </c>
      <c r="L151" s="21">
        <v>6.1</v>
      </c>
    </row>
    <row r="152" spans="1:12" x14ac:dyDescent="0.25">
      <c r="A152" t="str">
        <f t="shared" si="8"/>
        <v>2024-Du-Fal-96-630-2319</v>
      </c>
      <c r="B152" t="str">
        <f t="shared" si="9"/>
        <v>2024</v>
      </c>
      <c r="C152" s="18" t="s">
        <v>871</v>
      </c>
      <c r="D152" t="s">
        <v>931</v>
      </c>
      <c r="E152" t="s">
        <v>935</v>
      </c>
      <c r="F152">
        <v>96</v>
      </c>
      <c r="G152">
        <f t="shared" si="10"/>
        <v>63</v>
      </c>
      <c r="H152">
        <f t="shared" si="11"/>
        <v>231</v>
      </c>
      <c r="I152">
        <v>630</v>
      </c>
      <c r="J152">
        <v>2319</v>
      </c>
      <c r="K152" s="18" t="s">
        <v>933</v>
      </c>
      <c r="L152" s="21">
        <v>6.5</v>
      </c>
    </row>
    <row r="153" spans="1:12" x14ac:dyDescent="0.25">
      <c r="A153" t="str">
        <f t="shared" si="8"/>
        <v>2024-Du-Fal-110-685-2320</v>
      </c>
      <c r="B153" t="str">
        <f t="shared" si="9"/>
        <v>2024</v>
      </c>
      <c r="C153" s="18" t="s">
        <v>871</v>
      </c>
      <c r="D153" t="s">
        <v>931</v>
      </c>
      <c r="E153" t="s">
        <v>936</v>
      </c>
      <c r="F153">
        <v>110</v>
      </c>
      <c r="G153">
        <f t="shared" si="10"/>
        <v>68</v>
      </c>
      <c r="H153">
        <f t="shared" si="11"/>
        <v>232</v>
      </c>
      <c r="I153">
        <v>685</v>
      </c>
      <c r="J153">
        <v>2320</v>
      </c>
      <c r="K153" s="18" t="s">
        <v>933</v>
      </c>
      <c r="L153" s="21">
        <v>6.5</v>
      </c>
    </row>
    <row r="154" spans="1:12" x14ac:dyDescent="0.25">
      <c r="A154" t="str">
        <f t="shared" si="8"/>
        <v>2024-Du-Fal-117-715-2294</v>
      </c>
      <c r="B154" t="str">
        <f t="shared" si="9"/>
        <v>2024</v>
      </c>
      <c r="C154" s="18" t="s">
        <v>871</v>
      </c>
      <c r="D154" t="s">
        <v>931</v>
      </c>
      <c r="E154" t="s">
        <v>937</v>
      </c>
      <c r="F154">
        <v>117</v>
      </c>
      <c r="G154">
        <f t="shared" si="10"/>
        <v>71</v>
      </c>
      <c r="H154">
        <f t="shared" si="11"/>
        <v>229</v>
      </c>
      <c r="I154">
        <v>715</v>
      </c>
      <c r="J154">
        <v>2294</v>
      </c>
      <c r="K154" s="18" t="s">
        <v>933</v>
      </c>
      <c r="L154" s="21">
        <v>6.6</v>
      </c>
    </row>
    <row r="155" spans="1:12" x14ac:dyDescent="0.25">
      <c r="A155" t="str">
        <f t="shared" si="8"/>
        <v>2024-Du-Fal-133-800-2295</v>
      </c>
      <c r="B155" t="str">
        <f t="shared" si="9"/>
        <v>2024</v>
      </c>
      <c r="C155" s="18" t="s">
        <v>871</v>
      </c>
      <c r="D155" t="s">
        <v>931</v>
      </c>
      <c r="E155" t="s">
        <v>938</v>
      </c>
      <c r="F155">
        <v>133</v>
      </c>
      <c r="G155">
        <f t="shared" si="10"/>
        <v>80</v>
      </c>
      <c r="H155">
        <f t="shared" si="11"/>
        <v>229</v>
      </c>
      <c r="I155">
        <v>800</v>
      </c>
      <c r="J155">
        <v>2295</v>
      </c>
      <c r="K155" s="18" t="s">
        <v>933</v>
      </c>
      <c r="L155" s="21">
        <v>7.2</v>
      </c>
    </row>
    <row r="156" spans="1:12" x14ac:dyDescent="0.25">
      <c r="A156" t="str">
        <f t="shared" si="8"/>
        <v>2024-Du-Fal-138-847-2279</v>
      </c>
      <c r="B156" t="str">
        <f t="shared" si="9"/>
        <v>2024</v>
      </c>
      <c r="C156" s="18" t="s">
        <v>871</v>
      </c>
      <c r="D156" t="s">
        <v>931</v>
      </c>
      <c r="E156" t="s">
        <v>939</v>
      </c>
      <c r="F156">
        <v>138</v>
      </c>
      <c r="G156">
        <f t="shared" si="10"/>
        <v>84</v>
      </c>
      <c r="H156">
        <f t="shared" si="11"/>
        <v>227</v>
      </c>
      <c r="I156">
        <v>847</v>
      </c>
      <c r="J156">
        <v>2279</v>
      </c>
      <c r="K156" s="18" t="s">
        <v>933</v>
      </c>
      <c r="L156" s="21">
        <v>7.6</v>
      </c>
    </row>
    <row r="157" spans="1:12" x14ac:dyDescent="0.25">
      <c r="A157" t="str">
        <f t="shared" si="8"/>
        <v>2025-Du-Fal-173-850-2050</v>
      </c>
      <c r="B157" t="str">
        <f t="shared" si="9"/>
        <v>2025</v>
      </c>
      <c r="C157" s="18" t="s">
        <v>874</v>
      </c>
      <c r="D157" t="s">
        <v>931</v>
      </c>
      <c r="E157" t="s">
        <v>932</v>
      </c>
      <c r="F157">
        <v>173</v>
      </c>
      <c r="G157">
        <f t="shared" si="10"/>
        <v>85</v>
      </c>
      <c r="H157">
        <f t="shared" si="11"/>
        <v>205</v>
      </c>
      <c r="I157">
        <v>850</v>
      </c>
      <c r="J157">
        <v>2050</v>
      </c>
      <c r="K157" s="18" t="s">
        <v>940</v>
      </c>
      <c r="L157" s="21">
        <v>8.8000000000000007</v>
      </c>
    </row>
    <row r="158" spans="1:12" x14ac:dyDescent="0.25">
      <c r="A158" t="str">
        <f t="shared" si="8"/>
        <v>2026-Du-Fal-89-602-2269</v>
      </c>
      <c r="B158" t="str">
        <f t="shared" si="9"/>
        <v>2026</v>
      </c>
      <c r="C158" s="18" t="s">
        <v>878</v>
      </c>
      <c r="D158" t="s">
        <v>931</v>
      </c>
      <c r="E158" t="s">
        <v>941</v>
      </c>
      <c r="F158">
        <v>89</v>
      </c>
      <c r="G158">
        <f t="shared" si="10"/>
        <v>60</v>
      </c>
      <c r="H158">
        <f t="shared" si="11"/>
        <v>226</v>
      </c>
      <c r="I158">
        <v>602</v>
      </c>
      <c r="J158">
        <v>2269</v>
      </c>
      <c r="K158" s="18" t="s">
        <v>942</v>
      </c>
      <c r="L158" s="21">
        <v>89</v>
      </c>
    </row>
    <row r="159" spans="1:12" x14ac:dyDescent="0.25">
      <c r="A159" t="str">
        <f t="shared" si="8"/>
        <v>2026-Du-Fal-98-632-2271</v>
      </c>
      <c r="B159" t="str">
        <f t="shared" si="9"/>
        <v>2026</v>
      </c>
      <c r="C159" s="18" t="s">
        <v>878</v>
      </c>
      <c r="D159" t="s">
        <v>931</v>
      </c>
      <c r="E159" t="s">
        <v>943</v>
      </c>
      <c r="F159">
        <v>98</v>
      </c>
      <c r="G159">
        <f t="shared" si="10"/>
        <v>63</v>
      </c>
      <c r="H159">
        <f t="shared" si="11"/>
        <v>227</v>
      </c>
      <c r="I159">
        <v>632</v>
      </c>
      <c r="J159">
        <v>2271</v>
      </c>
      <c r="K159" s="18" t="s">
        <v>942</v>
      </c>
      <c r="L159" s="21">
        <v>98</v>
      </c>
    </row>
    <row r="160" spans="1:12" x14ac:dyDescent="0.25">
      <c r="A160" t="str">
        <f t="shared" si="8"/>
        <v>2026-Du-Fal-111-680-2263</v>
      </c>
      <c r="B160" t="str">
        <f t="shared" si="9"/>
        <v>2026</v>
      </c>
      <c r="C160" s="18" t="s">
        <v>878</v>
      </c>
      <c r="D160" t="s">
        <v>931</v>
      </c>
      <c r="E160" t="s">
        <v>944</v>
      </c>
      <c r="F160">
        <v>111</v>
      </c>
      <c r="G160">
        <f t="shared" si="10"/>
        <v>68</v>
      </c>
      <c r="H160">
        <f t="shared" si="11"/>
        <v>226</v>
      </c>
      <c r="I160">
        <v>680</v>
      </c>
      <c r="J160">
        <v>2263</v>
      </c>
      <c r="K160" s="18" t="s">
        <v>942</v>
      </c>
      <c r="L160" s="21">
        <v>111</v>
      </c>
    </row>
    <row r="161" spans="1:12" x14ac:dyDescent="0.25">
      <c r="A161" t="str">
        <f t="shared" si="8"/>
        <v>2026-Du-Fal-118-719-2264</v>
      </c>
      <c r="B161" t="str">
        <f t="shared" si="9"/>
        <v>2026</v>
      </c>
      <c r="C161" s="18" t="s">
        <v>878</v>
      </c>
      <c r="D161" t="s">
        <v>931</v>
      </c>
      <c r="E161" t="s">
        <v>945</v>
      </c>
      <c r="F161">
        <v>118</v>
      </c>
      <c r="G161">
        <f t="shared" si="10"/>
        <v>71</v>
      </c>
      <c r="H161">
        <f t="shared" si="11"/>
        <v>226</v>
      </c>
      <c r="I161">
        <v>719</v>
      </c>
      <c r="J161">
        <v>2264</v>
      </c>
      <c r="K161" s="18" t="s">
        <v>942</v>
      </c>
      <c r="L161" s="21">
        <v>118</v>
      </c>
    </row>
    <row r="162" spans="1:12" x14ac:dyDescent="0.25">
      <c r="A162" t="str">
        <f t="shared" si="8"/>
        <v>2026-Du-Fal-124-761-2263</v>
      </c>
      <c r="B162" t="str">
        <f t="shared" si="9"/>
        <v>2026</v>
      </c>
      <c r="C162" s="18" t="s">
        <v>878</v>
      </c>
      <c r="D162" t="s">
        <v>931</v>
      </c>
      <c r="E162" t="s">
        <v>946</v>
      </c>
      <c r="F162">
        <v>124</v>
      </c>
      <c r="G162">
        <f t="shared" si="10"/>
        <v>76</v>
      </c>
      <c r="H162">
        <f t="shared" si="11"/>
        <v>226</v>
      </c>
      <c r="I162">
        <v>761</v>
      </c>
      <c r="J162">
        <v>2263</v>
      </c>
      <c r="K162" s="18" t="s">
        <v>942</v>
      </c>
      <c r="L162" s="21">
        <v>124</v>
      </c>
    </row>
    <row r="163" spans="1:12" x14ac:dyDescent="0.25">
      <c r="A163" t="str">
        <f t="shared" si="8"/>
        <v>2026-Du-Fal-129-796-2256</v>
      </c>
      <c r="B163" t="str">
        <f t="shared" si="9"/>
        <v>2026</v>
      </c>
      <c r="C163" s="18" t="s">
        <v>878</v>
      </c>
      <c r="D163" t="s">
        <v>931</v>
      </c>
      <c r="E163" t="s">
        <v>947</v>
      </c>
      <c r="F163">
        <v>129</v>
      </c>
      <c r="G163">
        <f t="shared" si="10"/>
        <v>79</v>
      </c>
      <c r="H163">
        <f t="shared" si="11"/>
        <v>225</v>
      </c>
      <c r="I163">
        <v>796</v>
      </c>
      <c r="J163">
        <v>2256</v>
      </c>
      <c r="K163" s="18" t="s">
        <v>942</v>
      </c>
      <c r="L163" s="21">
        <v>129</v>
      </c>
    </row>
    <row r="164" spans="1:12" x14ac:dyDescent="0.25">
      <c r="A164" t="str">
        <f t="shared" si="8"/>
        <v>2026-Du-Fal-139-848-2257</v>
      </c>
      <c r="B164" t="str">
        <f t="shared" si="9"/>
        <v>2026</v>
      </c>
      <c r="C164" s="18" t="s">
        <v>878</v>
      </c>
      <c r="D164" t="s">
        <v>931</v>
      </c>
      <c r="E164" t="s">
        <v>948</v>
      </c>
      <c r="F164">
        <v>139</v>
      </c>
      <c r="G164">
        <f t="shared" si="10"/>
        <v>84</v>
      </c>
      <c r="H164">
        <f t="shared" si="11"/>
        <v>225</v>
      </c>
      <c r="I164">
        <v>848</v>
      </c>
      <c r="J164">
        <v>2257</v>
      </c>
      <c r="K164" s="18" t="s">
        <v>942</v>
      </c>
      <c r="L164" s="21">
        <v>139</v>
      </c>
    </row>
    <row r="165" spans="1:12" x14ac:dyDescent="0.25">
      <c r="A165" t="str">
        <f t="shared" si="8"/>
        <v>1999-EX-RAC-170-730-2830</v>
      </c>
      <c r="B165" t="str">
        <f t="shared" si="9"/>
        <v>1999</v>
      </c>
      <c r="C165" s="18" t="s">
        <v>794</v>
      </c>
      <c r="D165" t="s">
        <v>949</v>
      </c>
      <c r="E165" t="s">
        <v>950</v>
      </c>
      <c r="F165">
        <v>170</v>
      </c>
      <c r="G165">
        <f t="shared" si="10"/>
        <v>73</v>
      </c>
      <c r="H165">
        <f t="shared" si="11"/>
        <v>283</v>
      </c>
      <c r="I165">
        <v>730</v>
      </c>
      <c r="J165">
        <v>2830</v>
      </c>
      <c r="K165" s="18" t="s">
        <v>798</v>
      </c>
      <c r="L165" s="21">
        <v>8.8000000000000007</v>
      </c>
    </row>
    <row r="166" spans="1:12" x14ac:dyDescent="0.25">
      <c r="A166" t="str">
        <f t="shared" si="8"/>
        <v>2000-EX-MAG-170-770-2760</v>
      </c>
      <c r="B166" t="str">
        <f t="shared" si="9"/>
        <v>2000</v>
      </c>
      <c r="C166" s="18" t="s">
        <v>797</v>
      </c>
      <c r="D166" t="s">
        <v>949</v>
      </c>
      <c r="E166" t="s">
        <v>951</v>
      </c>
      <c r="F166">
        <v>170</v>
      </c>
      <c r="G166">
        <f t="shared" si="10"/>
        <v>77</v>
      </c>
      <c r="H166">
        <f t="shared" si="11"/>
        <v>276</v>
      </c>
      <c r="I166">
        <v>770</v>
      </c>
      <c r="J166">
        <v>2760</v>
      </c>
      <c r="K166" s="18" t="s">
        <v>798</v>
      </c>
      <c r="L166" s="21">
        <v>9</v>
      </c>
    </row>
    <row r="167" spans="1:12" x14ac:dyDescent="0.25">
      <c r="A167" t="str">
        <f t="shared" si="8"/>
        <v>2004-EX-TUR-80-574-2314</v>
      </c>
      <c r="B167" t="str">
        <f t="shared" si="9"/>
        <v>2004</v>
      </c>
      <c r="C167" s="18" t="s">
        <v>803</v>
      </c>
      <c r="D167" t="s">
        <v>949</v>
      </c>
      <c r="E167" t="s">
        <v>952</v>
      </c>
      <c r="F167">
        <v>80</v>
      </c>
      <c r="G167">
        <f t="shared" si="10"/>
        <v>57</v>
      </c>
      <c r="H167">
        <f t="shared" si="11"/>
        <v>231</v>
      </c>
      <c r="I167">
        <v>574</v>
      </c>
      <c r="J167">
        <v>2314</v>
      </c>
      <c r="K167" s="18" t="s">
        <v>804</v>
      </c>
      <c r="L167" s="21">
        <v>5.3</v>
      </c>
    </row>
    <row r="168" spans="1:12" x14ac:dyDescent="0.25">
      <c r="A168" t="str">
        <f t="shared" si="8"/>
        <v>2004-EX-TUR-90-620-2350</v>
      </c>
      <c r="B168" t="str">
        <f t="shared" si="9"/>
        <v>2004</v>
      </c>
      <c r="C168" s="18" t="s">
        <v>803</v>
      </c>
      <c r="D168" t="s">
        <v>949</v>
      </c>
      <c r="E168" t="s">
        <v>953</v>
      </c>
      <c r="F168">
        <v>90</v>
      </c>
      <c r="G168">
        <f t="shared" si="10"/>
        <v>62</v>
      </c>
      <c r="H168">
        <f t="shared" si="11"/>
        <v>235</v>
      </c>
      <c r="I168">
        <v>620</v>
      </c>
      <c r="J168">
        <v>2350</v>
      </c>
      <c r="K168" s="18" t="s">
        <v>804</v>
      </c>
      <c r="L168" s="21">
        <v>5.6</v>
      </c>
    </row>
    <row r="169" spans="1:12" x14ac:dyDescent="0.25">
      <c r="A169" t="str">
        <f t="shared" si="8"/>
        <v>2004-EX-TUR-100-667-2402</v>
      </c>
      <c r="B169" t="str">
        <f t="shared" si="9"/>
        <v>2004</v>
      </c>
      <c r="C169" s="18" t="s">
        <v>803</v>
      </c>
      <c r="D169" t="s">
        <v>949</v>
      </c>
      <c r="E169" t="s">
        <v>954</v>
      </c>
      <c r="F169">
        <v>100</v>
      </c>
      <c r="G169">
        <f t="shared" si="10"/>
        <v>66</v>
      </c>
      <c r="H169">
        <f t="shared" si="11"/>
        <v>240</v>
      </c>
      <c r="I169">
        <v>667</v>
      </c>
      <c r="J169">
        <v>2402</v>
      </c>
      <c r="K169" s="18" t="s">
        <v>804</v>
      </c>
      <c r="L169" s="21">
        <v>6.1</v>
      </c>
    </row>
    <row r="170" spans="1:12" x14ac:dyDescent="0.25">
      <c r="A170" t="str">
        <f t="shared" si="8"/>
        <v>2003-EX-TUR-85-539-2501</v>
      </c>
      <c r="B170" t="str">
        <f t="shared" si="9"/>
        <v>2003</v>
      </c>
      <c r="C170" s="18" t="s">
        <v>800</v>
      </c>
      <c r="D170" t="s">
        <v>949</v>
      </c>
      <c r="E170" t="s">
        <v>955</v>
      </c>
      <c r="F170">
        <v>85</v>
      </c>
      <c r="G170">
        <f t="shared" si="10"/>
        <v>53</v>
      </c>
      <c r="H170">
        <f t="shared" si="11"/>
        <v>250</v>
      </c>
      <c r="I170">
        <v>539</v>
      </c>
      <c r="J170">
        <v>2501</v>
      </c>
      <c r="K170" s="18" t="s">
        <v>804</v>
      </c>
      <c r="L170" s="21">
        <v>5.6</v>
      </c>
    </row>
    <row r="171" spans="1:12" x14ac:dyDescent="0.25">
      <c r="A171" t="str">
        <f t="shared" si="8"/>
        <v>2003-EX-TUR-110-654-2590</v>
      </c>
      <c r="B171" t="str">
        <f t="shared" si="9"/>
        <v>2003</v>
      </c>
      <c r="C171" s="18" t="s">
        <v>800</v>
      </c>
      <c r="D171" t="s">
        <v>949</v>
      </c>
      <c r="E171" t="s">
        <v>956</v>
      </c>
      <c r="F171">
        <v>110</v>
      </c>
      <c r="G171">
        <f t="shared" si="10"/>
        <v>65</v>
      </c>
      <c r="H171">
        <f t="shared" si="11"/>
        <v>259</v>
      </c>
      <c r="I171">
        <v>654</v>
      </c>
      <c r="J171">
        <v>2590</v>
      </c>
      <c r="K171" s="18" t="s">
        <v>804</v>
      </c>
      <c r="L171" s="21">
        <v>6.6</v>
      </c>
    </row>
    <row r="172" spans="1:12" x14ac:dyDescent="0.25">
      <c r="A172" t="str">
        <f t="shared" si="8"/>
        <v>2003-EX-TUR-128-752-2599</v>
      </c>
      <c r="B172" t="str">
        <f t="shared" si="9"/>
        <v>2003</v>
      </c>
      <c r="C172" s="18" t="s">
        <v>800</v>
      </c>
      <c r="D172" t="s">
        <v>949</v>
      </c>
      <c r="E172" t="s">
        <v>957</v>
      </c>
      <c r="F172">
        <v>128</v>
      </c>
      <c r="G172">
        <f t="shared" si="10"/>
        <v>75</v>
      </c>
      <c r="H172">
        <f t="shared" si="11"/>
        <v>259</v>
      </c>
      <c r="I172">
        <v>752</v>
      </c>
      <c r="J172">
        <v>2599</v>
      </c>
      <c r="K172" s="18" t="s">
        <v>804</v>
      </c>
      <c r="L172" s="21">
        <v>7.2</v>
      </c>
    </row>
    <row r="173" spans="1:12" x14ac:dyDescent="0.25">
      <c r="A173" t="str">
        <f t="shared" si="8"/>
        <v>2004-EX-S4-125-806-2348</v>
      </c>
      <c r="B173" t="str">
        <f t="shared" si="9"/>
        <v>2004</v>
      </c>
      <c r="C173" s="18" t="s">
        <v>803</v>
      </c>
      <c r="D173" t="s">
        <v>949</v>
      </c>
      <c r="E173" t="s">
        <v>958</v>
      </c>
      <c r="F173">
        <v>125</v>
      </c>
      <c r="G173">
        <f t="shared" si="10"/>
        <v>80</v>
      </c>
      <c r="H173">
        <f t="shared" si="11"/>
        <v>234</v>
      </c>
      <c r="I173">
        <v>806</v>
      </c>
      <c r="J173">
        <v>2348</v>
      </c>
      <c r="K173" s="18" t="s">
        <v>804</v>
      </c>
      <c r="L173" s="21">
        <v>7.4</v>
      </c>
    </row>
    <row r="174" spans="1:12" x14ac:dyDescent="0.25">
      <c r="A174" t="str">
        <f t="shared" si="8"/>
        <v>2004-EX-S3-105-709-2342</v>
      </c>
      <c r="B174" t="str">
        <f t="shared" si="9"/>
        <v>2004</v>
      </c>
      <c r="C174" s="18" t="s">
        <v>803</v>
      </c>
      <c r="D174" t="s">
        <v>949</v>
      </c>
      <c r="E174" t="s">
        <v>959</v>
      </c>
      <c r="F174">
        <v>105</v>
      </c>
      <c r="G174">
        <f t="shared" si="10"/>
        <v>70</v>
      </c>
      <c r="H174">
        <f t="shared" si="11"/>
        <v>234</v>
      </c>
      <c r="I174">
        <v>709</v>
      </c>
      <c r="J174">
        <v>2342</v>
      </c>
      <c r="K174" s="18" t="s">
        <v>804</v>
      </c>
      <c r="L174" s="21">
        <v>6.7</v>
      </c>
    </row>
    <row r="175" spans="1:12" x14ac:dyDescent="0.25">
      <c r="A175" t="str">
        <f t="shared" si="8"/>
        <v>2005-EX-WAR-68-507-2302</v>
      </c>
      <c r="B175" t="str">
        <f t="shared" si="9"/>
        <v>2005</v>
      </c>
      <c r="C175" s="18" t="s">
        <v>811</v>
      </c>
      <c r="D175" t="s">
        <v>949</v>
      </c>
      <c r="E175" t="s">
        <v>960</v>
      </c>
      <c r="F175">
        <v>68</v>
      </c>
      <c r="G175">
        <f t="shared" si="10"/>
        <v>50</v>
      </c>
      <c r="H175">
        <f t="shared" si="11"/>
        <v>230</v>
      </c>
      <c r="I175">
        <v>507</v>
      </c>
      <c r="J175">
        <v>2302</v>
      </c>
      <c r="K175" s="18" t="s">
        <v>804</v>
      </c>
      <c r="L175" s="21">
        <v>5</v>
      </c>
    </row>
    <row r="176" spans="1:12" x14ac:dyDescent="0.25">
      <c r="A176" t="str">
        <f t="shared" si="8"/>
        <v>2006-EX-S31-105-709-2340</v>
      </c>
      <c r="B176" t="str">
        <f t="shared" si="9"/>
        <v>2006</v>
      </c>
      <c r="C176" s="18" t="s">
        <v>813</v>
      </c>
      <c r="D176" t="s">
        <v>949</v>
      </c>
      <c r="E176" t="s">
        <v>961</v>
      </c>
      <c r="F176">
        <v>105</v>
      </c>
      <c r="G176">
        <f t="shared" si="10"/>
        <v>70</v>
      </c>
      <c r="H176">
        <f t="shared" si="11"/>
        <v>234</v>
      </c>
      <c r="I176">
        <v>709</v>
      </c>
      <c r="J176">
        <v>2340</v>
      </c>
      <c r="K176" s="18" t="s">
        <v>896</v>
      </c>
      <c r="L176" s="21">
        <v>6.5</v>
      </c>
    </row>
    <row r="177" spans="1:12" x14ac:dyDescent="0.25">
      <c r="A177" t="str">
        <f t="shared" si="8"/>
        <v>2006-EX-S41-125-808-2350</v>
      </c>
      <c r="B177" t="str">
        <f t="shared" si="9"/>
        <v>2006</v>
      </c>
      <c r="C177" s="18" t="s">
        <v>813</v>
      </c>
      <c r="D177" t="s">
        <v>949</v>
      </c>
      <c r="E177" t="s">
        <v>962</v>
      </c>
      <c r="F177">
        <v>125</v>
      </c>
      <c r="G177">
        <f t="shared" si="10"/>
        <v>80</v>
      </c>
      <c r="H177">
        <f t="shared" si="11"/>
        <v>235</v>
      </c>
      <c r="I177">
        <v>808</v>
      </c>
      <c r="J177">
        <v>2350</v>
      </c>
      <c r="K177" s="18" t="s">
        <v>896</v>
      </c>
      <c r="L177" s="21">
        <v>7.1</v>
      </c>
    </row>
    <row r="178" spans="1:12" x14ac:dyDescent="0.25">
      <c r="A178" t="str">
        <f t="shared" si="8"/>
        <v>2007-EX-WAR-80-574-2310</v>
      </c>
      <c r="B178" t="str">
        <f t="shared" si="9"/>
        <v>2007</v>
      </c>
      <c r="C178" s="18" t="s">
        <v>820</v>
      </c>
      <c r="D178" t="s">
        <v>949</v>
      </c>
      <c r="E178" t="s">
        <v>963</v>
      </c>
      <c r="F178">
        <v>80</v>
      </c>
      <c r="G178">
        <f t="shared" si="10"/>
        <v>57</v>
      </c>
      <c r="H178">
        <f t="shared" si="11"/>
        <v>231</v>
      </c>
      <c r="I178">
        <v>574</v>
      </c>
      <c r="J178">
        <v>2310</v>
      </c>
      <c r="K178" s="18" t="s">
        <v>814</v>
      </c>
      <c r="L178" s="21">
        <v>5.2</v>
      </c>
    </row>
    <row r="179" spans="1:12" x14ac:dyDescent="0.25">
      <c r="A179" t="str">
        <f t="shared" si="8"/>
        <v>2007-EX-WAR-90-620-2347</v>
      </c>
      <c r="B179" t="str">
        <f t="shared" si="9"/>
        <v>2007</v>
      </c>
      <c r="C179" s="18" t="s">
        <v>820</v>
      </c>
      <c r="D179" t="s">
        <v>949</v>
      </c>
      <c r="E179" t="s">
        <v>964</v>
      </c>
      <c r="F179">
        <v>90</v>
      </c>
      <c r="G179">
        <f t="shared" si="10"/>
        <v>62</v>
      </c>
      <c r="H179">
        <f t="shared" si="11"/>
        <v>234</v>
      </c>
      <c r="I179">
        <v>620</v>
      </c>
      <c r="J179">
        <v>2347</v>
      </c>
      <c r="K179" s="18" t="s">
        <v>814</v>
      </c>
      <c r="L179" s="21">
        <v>5.6</v>
      </c>
    </row>
    <row r="180" spans="1:12" x14ac:dyDescent="0.25">
      <c r="A180" t="str">
        <f t="shared" si="8"/>
        <v>2007-EX-WAR-105-669-2400</v>
      </c>
      <c r="B180" t="str">
        <f t="shared" si="9"/>
        <v>2007</v>
      </c>
      <c r="C180" s="18" t="s">
        <v>820</v>
      </c>
      <c r="D180" t="s">
        <v>949</v>
      </c>
      <c r="E180" t="s">
        <v>965</v>
      </c>
      <c r="F180">
        <v>105</v>
      </c>
      <c r="G180">
        <f t="shared" si="10"/>
        <v>66</v>
      </c>
      <c r="H180">
        <f t="shared" si="11"/>
        <v>240</v>
      </c>
      <c r="I180">
        <v>669</v>
      </c>
      <c r="J180">
        <v>2400</v>
      </c>
      <c r="K180" s="18" t="s">
        <v>814</v>
      </c>
      <c r="L180" s="21">
        <v>6.3</v>
      </c>
    </row>
    <row r="181" spans="1:12" x14ac:dyDescent="0.25">
      <c r="A181" t="str">
        <f t="shared" si="8"/>
        <v>2007-EX-WAR-125-733-2390</v>
      </c>
      <c r="B181" t="str">
        <f t="shared" si="9"/>
        <v>2007</v>
      </c>
      <c r="C181" s="18" t="s">
        <v>820</v>
      </c>
      <c r="D181" t="s">
        <v>949</v>
      </c>
      <c r="E181" t="s">
        <v>966</v>
      </c>
      <c r="F181">
        <v>125</v>
      </c>
      <c r="G181">
        <f t="shared" si="10"/>
        <v>73</v>
      </c>
      <c r="H181">
        <f t="shared" si="11"/>
        <v>239</v>
      </c>
      <c r="I181">
        <v>733</v>
      </c>
      <c r="J181">
        <v>2390</v>
      </c>
      <c r="K181" s="18" t="s">
        <v>814</v>
      </c>
      <c r="L181" s="21">
        <v>7.3</v>
      </c>
    </row>
    <row r="182" spans="1:12" x14ac:dyDescent="0.25">
      <c r="A182" t="str">
        <f t="shared" si="8"/>
        <v>2007-EX-WAR-145-795-2410</v>
      </c>
      <c r="B182" t="str">
        <f t="shared" si="9"/>
        <v>2007</v>
      </c>
      <c r="C182" s="18" t="s">
        <v>820</v>
      </c>
      <c r="D182" t="s">
        <v>949</v>
      </c>
      <c r="E182" t="s">
        <v>967</v>
      </c>
      <c r="F182">
        <v>145</v>
      </c>
      <c r="G182">
        <f t="shared" si="10"/>
        <v>79</v>
      </c>
      <c r="H182">
        <f t="shared" si="11"/>
        <v>241</v>
      </c>
      <c r="I182">
        <v>795</v>
      </c>
      <c r="J182">
        <v>2410</v>
      </c>
      <c r="K182" s="18" t="s">
        <v>814</v>
      </c>
      <c r="L182" s="21">
        <v>7.7</v>
      </c>
    </row>
    <row r="183" spans="1:12" x14ac:dyDescent="0.25">
      <c r="A183" t="str">
        <f t="shared" si="8"/>
        <v>2008-EX-War-82-565-2346</v>
      </c>
      <c r="B183" t="str">
        <f t="shared" si="9"/>
        <v>2008</v>
      </c>
      <c r="C183" s="18" t="s">
        <v>825</v>
      </c>
      <c r="D183" t="s">
        <v>949</v>
      </c>
      <c r="E183" t="s">
        <v>968</v>
      </c>
      <c r="F183">
        <v>82</v>
      </c>
      <c r="G183">
        <f t="shared" si="10"/>
        <v>56</v>
      </c>
      <c r="H183">
        <f t="shared" si="11"/>
        <v>234</v>
      </c>
      <c r="I183">
        <v>565</v>
      </c>
      <c r="J183">
        <v>2346</v>
      </c>
      <c r="K183" s="18" t="s">
        <v>826</v>
      </c>
      <c r="L183" s="21">
        <v>5</v>
      </c>
    </row>
    <row r="184" spans="1:12" x14ac:dyDescent="0.25">
      <c r="A184" t="str">
        <f t="shared" si="8"/>
        <v>2008-EX-War-94-615-2387</v>
      </c>
      <c r="B184" t="str">
        <f t="shared" si="9"/>
        <v>2008</v>
      </c>
      <c r="C184" s="18" t="s">
        <v>825</v>
      </c>
      <c r="D184" t="s">
        <v>949</v>
      </c>
      <c r="E184" t="s">
        <v>969</v>
      </c>
      <c r="F184">
        <v>94</v>
      </c>
      <c r="G184">
        <f t="shared" si="10"/>
        <v>61</v>
      </c>
      <c r="H184">
        <f t="shared" si="11"/>
        <v>238</v>
      </c>
      <c r="I184">
        <v>615</v>
      </c>
      <c r="J184">
        <v>2387</v>
      </c>
      <c r="K184" s="18" t="s">
        <v>826</v>
      </c>
      <c r="L184" s="21">
        <v>5.4</v>
      </c>
    </row>
    <row r="185" spans="1:12" x14ac:dyDescent="0.25">
      <c r="A185" t="str">
        <f t="shared" si="8"/>
        <v>2008-EX-War-105-665-2424</v>
      </c>
      <c r="B185" t="str">
        <f t="shared" si="9"/>
        <v>2008</v>
      </c>
      <c r="C185" s="18" t="s">
        <v>825</v>
      </c>
      <c r="D185" t="s">
        <v>949</v>
      </c>
      <c r="E185" t="s">
        <v>970</v>
      </c>
      <c r="F185">
        <v>105</v>
      </c>
      <c r="G185">
        <f t="shared" si="10"/>
        <v>66</v>
      </c>
      <c r="H185">
        <f t="shared" si="11"/>
        <v>242</v>
      </c>
      <c r="I185">
        <v>665</v>
      </c>
      <c r="J185">
        <v>2424</v>
      </c>
      <c r="K185" s="18" t="s">
        <v>826</v>
      </c>
      <c r="L185" s="21">
        <v>6</v>
      </c>
    </row>
    <row r="186" spans="1:12" x14ac:dyDescent="0.25">
      <c r="A186" t="str">
        <f t="shared" si="8"/>
        <v>2008-EX-War-118-704-2453</v>
      </c>
      <c r="B186" t="str">
        <f t="shared" si="9"/>
        <v>2008</v>
      </c>
      <c r="C186" s="18" t="s">
        <v>825</v>
      </c>
      <c r="D186" t="s">
        <v>949</v>
      </c>
      <c r="E186" t="s">
        <v>971</v>
      </c>
      <c r="F186">
        <v>118</v>
      </c>
      <c r="G186">
        <f t="shared" si="10"/>
        <v>70</v>
      </c>
      <c r="H186">
        <f t="shared" si="11"/>
        <v>245</v>
      </c>
      <c r="I186">
        <v>704</v>
      </c>
      <c r="J186">
        <v>2453</v>
      </c>
      <c r="K186" s="18" t="s">
        <v>826</v>
      </c>
      <c r="L186" s="21">
        <v>6.8</v>
      </c>
    </row>
    <row r="187" spans="1:12" x14ac:dyDescent="0.25">
      <c r="A187" t="str">
        <f t="shared" si="8"/>
        <v>2008-EX-War-120-759-2480</v>
      </c>
      <c r="B187" t="str">
        <f t="shared" si="9"/>
        <v>2008</v>
      </c>
      <c r="C187" s="18" t="s">
        <v>825</v>
      </c>
      <c r="D187" t="s">
        <v>949</v>
      </c>
      <c r="E187" t="s">
        <v>972</v>
      </c>
      <c r="F187">
        <v>120</v>
      </c>
      <c r="G187">
        <f t="shared" si="10"/>
        <v>75</v>
      </c>
      <c r="H187">
        <f t="shared" si="11"/>
        <v>248</v>
      </c>
      <c r="I187">
        <v>759</v>
      </c>
      <c r="J187">
        <v>2480</v>
      </c>
      <c r="K187" s="18" t="s">
        <v>826</v>
      </c>
      <c r="L187" s="21">
        <v>7.5</v>
      </c>
    </row>
    <row r="188" spans="1:12" x14ac:dyDescent="0.25">
      <c r="A188" t="str">
        <f t="shared" si="8"/>
        <v>2008-EX-War-145-850-2498</v>
      </c>
      <c r="B188" t="str">
        <f t="shared" si="9"/>
        <v>2008</v>
      </c>
      <c r="C188" s="18" t="s">
        <v>825</v>
      </c>
      <c r="D188" t="s">
        <v>949</v>
      </c>
      <c r="E188" t="s">
        <v>973</v>
      </c>
      <c r="F188">
        <v>145</v>
      </c>
      <c r="G188">
        <f t="shared" si="10"/>
        <v>85</v>
      </c>
      <c r="H188">
        <f t="shared" si="11"/>
        <v>249</v>
      </c>
      <c r="I188">
        <v>850</v>
      </c>
      <c r="J188">
        <v>2498</v>
      </c>
      <c r="K188" s="18" t="s">
        <v>826</v>
      </c>
      <c r="L188" s="21">
        <v>8.1999999999999993</v>
      </c>
    </row>
    <row r="189" spans="1:12" x14ac:dyDescent="0.25">
      <c r="A189" t="str">
        <f t="shared" si="8"/>
        <v>2009-EX-War-66-508-2300</v>
      </c>
      <c r="B189" t="str">
        <f t="shared" si="9"/>
        <v>2009</v>
      </c>
      <c r="C189" s="18" t="s">
        <v>884</v>
      </c>
      <c r="D189" t="s">
        <v>949</v>
      </c>
      <c r="E189" t="s">
        <v>974</v>
      </c>
      <c r="F189">
        <v>66</v>
      </c>
      <c r="G189">
        <f t="shared" si="10"/>
        <v>50</v>
      </c>
      <c r="H189">
        <f t="shared" si="11"/>
        <v>230</v>
      </c>
      <c r="I189">
        <v>508</v>
      </c>
      <c r="J189">
        <v>2300</v>
      </c>
      <c r="K189" s="18" t="s">
        <v>826</v>
      </c>
      <c r="L189" s="21">
        <v>4.8</v>
      </c>
    </row>
    <row r="190" spans="1:12" x14ac:dyDescent="0.25">
      <c r="A190" t="str">
        <f t="shared" si="8"/>
        <v>2009-EX-War-129-777-2467</v>
      </c>
      <c r="B190" t="str">
        <f t="shared" si="9"/>
        <v>2009</v>
      </c>
      <c r="C190" s="18" t="s">
        <v>884</v>
      </c>
      <c r="D190" t="s">
        <v>949</v>
      </c>
      <c r="E190" t="s">
        <v>975</v>
      </c>
      <c r="F190">
        <v>129</v>
      </c>
      <c r="G190">
        <f t="shared" si="10"/>
        <v>77</v>
      </c>
      <c r="H190">
        <f t="shared" si="11"/>
        <v>246</v>
      </c>
      <c r="I190">
        <v>777</v>
      </c>
      <c r="J190">
        <v>2467</v>
      </c>
      <c r="K190" s="18" t="s">
        <v>841</v>
      </c>
      <c r="L190" s="21">
        <v>6.9</v>
      </c>
    </row>
    <row r="191" spans="1:12" x14ac:dyDescent="0.25">
      <c r="A191" t="str">
        <f t="shared" si="8"/>
        <v>11-EX-RS5-115-730-2274</v>
      </c>
      <c r="B191" t="str">
        <f t="shared" si="9"/>
        <v>11</v>
      </c>
      <c r="C191" s="18" t="s">
        <v>847</v>
      </c>
      <c r="D191" t="s">
        <v>949</v>
      </c>
      <c r="E191" t="s">
        <v>976</v>
      </c>
      <c r="F191">
        <v>115</v>
      </c>
      <c r="G191">
        <f t="shared" si="10"/>
        <v>73</v>
      </c>
      <c r="H191">
        <f t="shared" si="11"/>
        <v>227</v>
      </c>
      <c r="I191">
        <v>730</v>
      </c>
      <c r="J191">
        <v>2274</v>
      </c>
      <c r="K191" s="18" t="s">
        <v>844</v>
      </c>
      <c r="L191" s="21">
        <v>6.4</v>
      </c>
    </row>
    <row r="192" spans="1:12" x14ac:dyDescent="0.25">
      <c r="A192" t="str">
        <f t="shared" si="8"/>
        <v>11-EX-RS6-130-820-2300</v>
      </c>
      <c r="B192" t="str">
        <f t="shared" si="9"/>
        <v>11</v>
      </c>
      <c r="C192" s="18" t="s">
        <v>847</v>
      </c>
      <c r="D192" t="s">
        <v>949</v>
      </c>
      <c r="E192" t="s">
        <v>977</v>
      </c>
      <c r="F192">
        <v>130</v>
      </c>
      <c r="G192">
        <f t="shared" si="10"/>
        <v>82</v>
      </c>
      <c r="H192">
        <f t="shared" si="11"/>
        <v>230</v>
      </c>
      <c r="I192">
        <v>820</v>
      </c>
      <c r="J192">
        <v>2300</v>
      </c>
      <c r="K192" s="18" t="s">
        <v>844</v>
      </c>
      <c r="L192" s="21">
        <v>6.7</v>
      </c>
    </row>
    <row r="193" spans="1:12" x14ac:dyDescent="0.25">
      <c r="A193" t="str">
        <f t="shared" si="8"/>
        <v>11-EX-RS1-80-554-2320</v>
      </c>
      <c r="B193" t="str">
        <f t="shared" si="9"/>
        <v>11</v>
      </c>
      <c r="C193" s="18" t="s">
        <v>847</v>
      </c>
      <c r="D193" t="s">
        <v>949</v>
      </c>
      <c r="E193" t="s">
        <v>978</v>
      </c>
      <c r="F193">
        <v>80</v>
      </c>
      <c r="G193">
        <f t="shared" si="10"/>
        <v>55</v>
      </c>
      <c r="H193">
        <f t="shared" si="11"/>
        <v>232</v>
      </c>
      <c r="I193">
        <v>554</v>
      </c>
      <c r="J193">
        <v>2320</v>
      </c>
      <c r="K193" s="18" t="s">
        <v>844</v>
      </c>
      <c r="L193" s="21">
        <v>5.0999999999999996</v>
      </c>
    </row>
    <row r="194" spans="1:12" x14ac:dyDescent="0.25">
      <c r="A194" t="str">
        <f t="shared" ref="A194:A257" si="12">_xlfn.CONCAT(B194,"-",LEFT(D194,2),"-",LEFT(E194,3),"-",F194,"-",TRUNC(I194),"-",TRUNC(J194))</f>
        <v>11-EX-RS2-90-594-2330</v>
      </c>
      <c r="B194" t="str">
        <f t="shared" ref="B194:B257" si="13">LEFT(C194,4)</f>
        <v>11</v>
      </c>
      <c r="C194" s="18" t="s">
        <v>847</v>
      </c>
      <c r="D194" t="s">
        <v>949</v>
      </c>
      <c r="E194" t="s">
        <v>979</v>
      </c>
      <c r="F194">
        <v>90</v>
      </c>
      <c r="G194">
        <f t="shared" si="10"/>
        <v>59</v>
      </c>
      <c r="H194">
        <f t="shared" si="11"/>
        <v>233</v>
      </c>
      <c r="I194">
        <v>594</v>
      </c>
      <c r="J194">
        <v>2330</v>
      </c>
      <c r="K194" s="18" t="s">
        <v>844</v>
      </c>
      <c r="L194" s="21">
        <v>5.5</v>
      </c>
    </row>
    <row r="195" spans="1:12" x14ac:dyDescent="0.25">
      <c r="A195" t="str">
        <f t="shared" si="12"/>
        <v>11-EX-RS3-100-646-2330</v>
      </c>
      <c r="B195" t="str">
        <f t="shared" si="13"/>
        <v>11</v>
      </c>
      <c r="C195" s="18" t="s">
        <v>847</v>
      </c>
      <c r="D195" t="s">
        <v>949</v>
      </c>
      <c r="E195" t="s">
        <v>980</v>
      </c>
      <c r="F195">
        <v>100</v>
      </c>
      <c r="G195">
        <f t="shared" ref="G195:G258" si="14">TRUNC(I195/10)</f>
        <v>64</v>
      </c>
      <c r="H195">
        <f t="shared" ref="H195:H258" si="15">TRUNC(J195/10)</f>
        <v>233</v>
      </c>
      <c r="I195">
        <v>646</v>
      </c>
      <c r="J195">
        <v>2330</v>
      </c>
      <c r="K195" s="18" t="s">
        <v>844</v>
      </c>
      <c r="L195" s="21">
        <v>5.8</v>
      </c>
    </row>
    <row r="196" spans="1:12" x14ac:dyDescent="0.25">
      <c r="A196" t="str">
        <f t="shared" si="12"/>
        <v>11-EX-RS4-110-685-2330</v>
      </c>
      <c r="B196" t="str">
        <f t="shared" si="13"/>
        <v>11</v>
      </c>
      <c r="C196" s="18" t="s">
        <v>847</v>
      </c>
      <c r="D196" t="s">
        <v>949</v>
      </c>
      <c r="E196" t="s">
        <v>981</v>
      </c>
      <c r="F196">
        <v>110</v>
      </c>
      <c r="G196">
        <f t="shared" si="14"/>
        <v>68</v>
      </c>
      <c r="H196">
        <f t="shared" si="15"/>
        <v>233</v>
      </c>
      <c r="I196">
        <v>685</v>
      </c>
      <c r="J196">
        <v>2330</v>
      </c>
      <c r="K196" s="18" t="s">
        <v>844</v>
      </c>
      <c r="L196" s="21">
        <v>6.1</v>
      </c>
    </row>
    <row r="197" spans="1:12" x14ac:dyDescent="0.25">
      <c r="A197" t="str">
        <f t="shared" si="12"/>
        <v>12-EX-RS1-80-554-2348</v>
      </c>
      <c r="B197" t="str">
        <f t="shared" si="13"/>
        <v>12</v>
      </c>
      <c r="C197" s="18" t="s">
        <v>929</v>
      </c>
      <c r="D197" t="s">
        <v>949</v>
      </c>
      <c r="E197" t="s">
        <v>978</v>
      </c>
      <c r="F197">
        <v>80</v>
      </c>
      <c r="G197">
        <f t="shared" si="14"/>
        <v>55</v>
      </c>
      <c r="H197">
        <f t="shared" si="15"/>
        <v>234</v>
      </c>
      <c r="I197">
        <v>554</v>
      </c>
      <c r="J197">
        <v>2348</v>
      </c>
      <c r="K197" s="18" t="s">
        <v>929</v>
      </c>
      <c r="L197" s="21">
        <v>5.0999999999999996</v>
      </c>
    </row>
    <row r="198" spans="1:12" x14ac:dyDescent="0.25">
      <c r="A198" t="str">
        <f t="shared" si="12"/>
        <v>12-EX-RS2-90-590-2350</v>
      </c>
      <c r="B198" t="str">
        <f t="shared" si="13"/>
        <v>12</v>
      </c>
      <c r="C198" s="18" t="s">
        <v>929</v>
      </c>
      <c r="D198" t="s">
        <v>949</v>
      </c>
      <c r="E198" t="s">
        <v>979</v>
      </c>
      <c r="F198">
        <v>90</v>
      </c>
      <c r="G198">
        <f t="shared" si="14"/>
        <v>59</v>
      </c>
      <c r="H198">
        <f t="shared" si="15"/>
        <v>235</v>
      </c>
      <c r="I198">
        <v>590</v>
      </c>
      <c r="J198">
        <v>2350</v>
      </c>
      <c r="K198" s="18" t="s">
        <v>929</v>
      </c>
      <c r="L198" s="21">
        <v>5.9</v>
      </c>
    </row>
    <row r="199" spans="1:12" x14ac:dyDescent="0.25">
      <c r="A199" t="str">
        <f t="shared" si="12"/>
        <v>12-EX-RS3-100-646-2350</v>
      </c>
      <c r="B199" t="str">
        <f t="shared" si="13"/>
        <v>12</v>
      </c>
      <c r="C199" s="18" t="s">
        <v>929</v>
      </c>
      <c r="D199" t="s">
        <v>949</v>
      </c>
      <c r="E199" t="s">
        <v>980</v>
      </c>
      <c r="F199">
        <v>100</v>
      </c>
      <c r="G199">
        <f t="shared" si="14"/>
        <v>64</v>
      </c>
      <c r="H199">
        <f t="shared" si="15"/>
        <v>235</v>
      </c>
      <c r="I199">
        <v>646</v>
      </c>
      <c r="J199">
        <v>2350</v>
      </c>
      <c r="K199" s="18" t="s">
        <v>929</v>
      </c>
      <c r="L199" s="21">
        <v>5.8</v>
      </c>
    </row>
    <row r="200" spans="1:12" x14ac:dyDescent="0.25">
      <c r="A200" t="str">
        <f t="shared" si="12"/>
        <v>12-EX-RS4-111-685-2350</v>
      </c>
      <c r="B200" t="str">
        <f t="shared" si="13"/>
        <v>12</v>
      </c>
      <c r="C200" s="18" t="s">
        <v>929</v>
      </c>
      <c r="D200" t="s">
        <v>949</v>
      </c>
      <c r="E200" t="s">
        <v>981</v>
      </c>
      <c r="F200">
        <v>111</v>
      </c>
      <c r="G200">
        <f t="shared" si="14"/>
        <v>68</v>
      </c>
      <c r="H200">
        <f t="shared" si="15"/>
        <v>235</v>
      </c>
      <c r="I200">
        <v>685</v>
      </c>
      <c r="J200">
        <v>2350</v>
      </c>
      <c r="K200" s="18" t="s">
        <v>929</v>
      </c>
      <c r="L200" s="21">
        <v>6.1</v>
      </c>
    </row>
    <row r="201" spans="1:12" x14ac:dyDescent="0.25">
      <c r="A201" t="str">
        <f t="shared" si="12"/>
        <v>12-EX-RS5-122-761-2295</v>
      </c>
      <c r="B201" t="str">
        <f t="shared" si="13"/>
        <v>12</v>
      </c>
      <c r="C201" s="18" t="s">
        <v>929</v>
      </c>
      <c r="D201" t="s">
        <v>949</v>
      </c>
      <c r="E201" t="s">
        <v>976</v>
      </c>
      <c r="F201">
        <v>122</v>
      </c>
      <c r="G201">
        <f t="shared" si="14"/>
        <v>76</v>
      </c>
      <c r="H201">
        <f t="shared" si="15"/>
        <v>229</v>
      </c>
      <c r="I201">
        <v>761</v>
      </c>
      <c r="J201">
        <v>2295</v>
      </c>
      <c r="K201" s="18" t="s">
        <v>929</v>
      </c>
      <c r="L201" s="21">
        <v>7</v>
      </c>
    </row>
    <row r="202" spans="1:12" x14ac:dyDescent="0.25">
      <c r="A202" t="str">
        <f t="shared" si="12"/>
        <v>12-EX-RS6-134-822-2296</v>
      </c>
      <c r="B202" t="str">
        <f t="shared" si="13"/>
        <v>12</v>
      </c>
      <c r="C202" s="18" t="s">
        <v>929</v>
      </c>
      <c r="D202" t="s">
        <v>949</v>
      </c>
      <c r="E202" t="s">
        <v>977</v>
      </c>
      <c r="F202">
        <v>134</v>
      </c>
      <c r="G202">
        <f t="shared" si="14"/>
        <v>82</v>
      </c>
      <c r="H202">
        <f t="shared" si="15"/>
        <v>229</v>
      </c>
      <c r="I202">
        <v>822</v>
      </c>
      <c r="J202">
        <v>2296</v>
      </c>
      <c r="K202" s="18" t="s">
        <v>929</v>
      </c>
      <c r="L202" s="21">
        <v>7.5</v>
      </c>
    </row>
    <row r="203" spans="1:12" x14ac:dyDescent="0.25">
      <c r="A203" t="str">
        <f t="shared" si="12"/>
        <v>14-EX-RS5-125-792-2327</v>
      </c>
      <c r="B203" t="str">
        <f t="shared" si="13"/>
        <v>14</v>
      </c>
      <c r="C203" s="18" t="s">
        <v>983</v>
      </c>
      <c r="D203" t="s">
        <v>949</v>
      </c>
      <c r="E203" t="s">
        <v>982</v>
      </c>
      <c r="F203">
        <v>125</v>
      </c>
      <c r="G203">
        <f t="shared" si="14"/>
        <v>79</v>
      </c>
      <c r="H203">
        <f t="shared" si="15"/>
        <v>232</v>
      </c>
      <c r="I203">
        <v>792</v>
      </c>
      <c r="J203">
        <v>2327</v>
      </c>
      <c r="K203" s="18" t="s">
        <v>733</v>
      </c>
      <c r="L203" s="21">
        <v>7.4</v>
      </c>
    </row>
    <row r="204" spans="1:12" x14ac:dyDescent="0.25">
      <c r="A204" t="str">
        <f t="shared" si="12"/>
        <v>14-EX-RS6-138-851-2326</v>
      </c>
      <c r="B204" t="str">
        <f t="shared" si="13"/>
        <v>14</v>
      </c>
      <c r="C204" s="18" t="s">
        <v>983</v>
      </c>
      <c r="D204" t="s">
        <v>949</v>
      </c>
      <c r="E204" t="s">
        <v>984</v>
      </c>
      <c r="F204">
        <v>138</v>
      </c>
      <c r="G204">
        <f t="shared" si="14"/>
        <v>85</v>
      </c>
      <c r="H204">
        <f t="shared" si="15"/>
        <v>232</v>
      </c>
      <c r="I204">
        <v>851</v>
      </c>
      <c r="J204">
        <v>2326</v>
      </c>
      <c r="K204" s="18" t="s">
        <v>733</v>
      </c>
      <c r="L204" s="21">
        <v>7.8</v>
      </c>
    </row>
    <row r="205" spans="1:12" x14ac:dyDescent="0.25">
      <c r="A205" t="str">
        <f t="shared" si="12"/>
        <v>2016-EX-RS2-89-60-2349</v>
      </c>
      <c r="B205" t="str">
        <f t="shared" si="13"/>
        <v>2016</v>
      </c>
      <c r="C205" s="18" t="s">
        <v>747</v>
      </c>
      <c r="D205" t="s">
        <v>949</v>
      </c>
      <c r="E205" t="s">
        <v>979</v>
      </c>
      <c r="F205">
        <v>89</v>
      </c>
      <c r="G205">
        <f t="shared" si="14"/>
        <v>6</v>
      </c>
      <c r="H205">
        <f t="shared" si="15"/>
        <v>234</v>
      </c>
      <c r="I205">
        <v>60</v>
      </c>
      <c r="J205">
        <v>2349</v>
      </c>
      <c r="K205" s="18" t="s">
        <v>985</v>
      </c>
      <c r="L205" s="21">
        <v>5.8</v>
      </c>
    </row>
    <row r="206" spans="1:12" x14ac:dyDescent="0.25">
      <c r="A206" t="str">
        <f t="shared" si="12"/>
        <v>2016-EX-RS3-100-650-2347</v>
      </c>
      <c r="B206" t="str">
        <f t="shared" si="13"/>
        <v>2016</v>
      </c>
      <c r="C206" s="18" t="s">
        <v>747</v>
      </c>
      <c r="D206" t="s">
        <v>949</v>
      </c>
      <c r="E206" t="s">
        <v>980</v>
      </c>
      <c r="F206">
        <v>100</v>
      </c>
      <c r="G206">
        <f t="shared" si="14"/>
        <v>65</v>
      </c>
      <c r="H206">
        <f t="shared" si="15"/>
        <v>234</v>
      </c>
      <c r="I206">
        <v>650</v>
      </c>
      <c r="J206">
        <v>2347</v>
      </c>
      <c r="K206" s="18" t="s">
        <v>985</v>
      </c>
      <c r="L206" s="21">
        <v>6.3</v>
      </c>
    </row>
    <row r="207" spans="1:12" x14ac:dyDescent="0.25">
      <c r="A207" t="str">
        <f t="shared" si="12"/>
        <v>2016-EX-RS4-111-691-2344</v>
      </c>
      <c r="B207" t="str">
        <f t="shared" si="13"/>
        <v>2016</v>
      </c>
      <c r="C207" s="18" t="s">
        <v>747</v>
      </c>
      <c r="D207" t="s">
        <v>949</v>
      </c>
      <c r="E207" t="s">
        <v>981</v>
      </c>
      <c r="F207">
        <v>111</v>
      </c>
      <c r="G207">
        <f t="shared" si="14"/>
        <v>69</v>
      </c>
      <c r="H207">
        <f t="shared" si="15"/>
        <v>234</v>
      </c>
      <c r="I207">
        <v>691</v>
      </c>
      <c r="J207">
        <v>2344</v>
      </c>
      <c r="K207" s="18" t="s">
        <v>985</v>
      </c>
      <c r="L207" s="21">
        <v>6.8</v>
      </c>
    </row>
    <row r="208" spans="1:12" x14ac:dyDescent="0.25">
      <c r="A208" t="str">
        <f t="shared" si="12"/>
        <v>2016-EX-RS6-154-823-2346</v>
      </c>
      <c r="B208" t="str">
        <f t="shared" si="13"/>
        <v>2016</v>
      </c>
      <c r="C208" s="18" t="s">
        <v>747</v>
      </c>
      <c r="D208" t="s">
        <v>949</v>
      </c>
      <c r="E208" t="s">
        <v>977</v>
      </c>
      <c r="F208">
        <v>154</v>
      </c>
      <c r="G208">
        <f t="shared" si="14"/>
        <v>82</v>
      </c>
      <c r="H208">
        <f t="shared" si="15"/>
        <v>234</v>
      </c>
      <c r="I208">
        <v>823</v>
      </c>
      <c r="J208">
        <v>2346</v>
      </c>
      <c r="K208" s="18" t="s">
        <v>985</v>
      </c>
      <c r="L208" s="21">
        <v>8.1</v>
      </c>
    </row>
    <row r="209" spans="1:12" x14ac:dyDescent="0.25">
      <c r="A209" t="str">
        <f t="shared" si="12"/>
        <v>2018-EX-RS1-76-546-2335</v>
      </c>
      <c r="B209" t="str">
        <f t="shared" si="13"/>
        <v>2018</v>
      </c>
      <c r="C209" s="18" t="s">
        <v>760</v>
      </c>
      <c r="D209" t="s">
        <v>949</v>
      </c>
      <c r="E209" t="s">
        <v>978</v>
      </c>
      <c r="F209">
        <v>76</v>
      </c>
      <c r="G209">
        <f t="shared" si="14"/>
        <v>54</v>
      </c>
      <c r="H209">
        <f t="shared" si="15"/>
        <v>233</v>
      </c>
      <c r="I209">
        <v>546</v>
      </c>
      <c r="J209">
        <v>2335</v>
      </c>
      <c r="K209" s="18" t="s">
        <v>986</v>
      </c>
      <c r="L209" s="21">
        <v>5.8</v>
      </c>
    </row>
    <row r="210" spans="1:12" x14ac:dyDescent="0.25">
      <c r="A210" t="str">
        <f t="shared" si="12"/>
        <v>2018-EX-RS2-89-599-2342</v>
      </c>
      <c r="B210" t="str">
        <f t="shared" si="13"/>
        <v>2018</v>
      </c>
      <c r="C210" s="18" t="s">
        <v>760</v>
      </c>
      <c r="D210" t="s">
        <v>949</v>
      </c>
      <c r="E210" t="s">
        <v>979</v>
      </c>
      <c r="F210">
        <v>89</v>
      </c>
      <c r="G210">
        <f t="shared" si="14"/>
        <v>59</v>
      </c>
      <c r="H210">
        <f t="shared" si="15"/>
        <v>234</v>
      </c>
      <c r="I210">
        <v>599</v>
      </c>
      <c r="J210">
        <v>2342</v>
      </c>
      <c r="K210" s="18" t="s">
        <v>986</v>
      </c>
      <c r="L210" s="21">
        <v>6.4</v>
      </c>
    </row>
    <row r="211" spans="1:12" x14ac:dyDescent="0.25">
      <c r="A211" t="str">
        <f t="shared" si="12"/>
        <v>2018-EX-RS3-99-639-2297</v>
      </c>
      <c r="B211" t="str">
        <f t="shared" si="13"/>
        <v>2018</v>
      </c>
      <c r="C211" s="18" t="s">
        <v>760</v>
      </c>
      <c r="D211" t="s">
        <v>949</v>
      </c>
      <c r="E211" t="s">
        <v>980</v>
      </c>
      <c r="F211">
        <v>99</v>
      </c>
      <c r="G211">
        <f t="shared" si="14"/>
        <v>63</v>
      </c>
      <c r="H211">
        <f t="shared" si="15"/>
        <v>229</v>
      </c>
      <c r="I211">
        <v>639</v>
      </c>
      <c r="J211">
        <v>2297</v>
      </c>
      <c r="K211" s="18" t="s">
        <v>986</v>
      </c>
      <c r="L211" s="21">
        <v>6.7</v>
      </c>
    </row>
    <row r="212" spans="1:12" x14ac:dyDescent="0.25">
      <c r="A212" t="str">
        <f t="shared" si="12"/>
        <v>2018-EX-RS4-106-688-2288</v>
      </c>
      <c r="B212" t="str">
        <f t="shared" si="13"/>
        <v>2018</v>
      </c>
      <c r="C212" s="18" t="s">
        <v>760</v>
      </c>
      <c r="D212" t="s">
        <v>949</v>
      </c>
      <c r="E212" t="s">
        <v>981</v>
      </c>
      <c r="F212">
        <v>106</v>
      </c>
      <c r="G212">
        <f t="shared" si="14"/>
        <v>68</v>
      </c>
      <c r="H212">
        <f t="shared" si="15"/>
        <v>228</v>
      </c>
      <c r="I212">
        <v>688</v>
      </c>
      <c r="J212">
        <v>2288</v>
      </c>
      <c r="K212" s="18" t="s">
        <v>986</v>
      </c>
      <c r="L212" s="21">
        <v>7.3</v>
      </c>
    </row>
    <row r="213" spans="1:12" x14ac:dyDescent="0.25">
      <c r="A213" t="str">
        <f t="shared" si="12"/>
        <v>2018-EX-RS5-128-772-2302</v>
      </c>
      <c r="B213" t="str">
        <f t="shared" si="13"/>
        <v>2018</v>
      </c>
      <c r="C213" s="18" t="s">
        <v>760</v>
      </c>
      <c r="D213" t="s">
        <v>949</v>
      </c>
      <c r="E213" t="s">
        <v>976</v>
      </c>
      <c r="F213">
        <v>128</v>
      </c>
      <c r="G213">
        <f t="shared" si="14"/>
        <v>77</v>
      </c>
      <c r="H213">
        <f t="shared" si="15"/>
        <v>230</v>
      </c>
      <c r="I213">
        <v>772</v>
      </c>
      <c r="J213">
        <v>2302</v>
      </c>
      <c r="K213" s="18" t="s">
        <v>986</v>
      </c>
      <c r="L213" s="21">
        <v>7.9</v>
      </c>
    </row>
    <row r="214" spans="1:12" x14ac:dyDescent="0.25">
      <c r="A214" t="str">
        <f t="shared" si="12"/>
        <v>2018-EX-RS6-154-821-2346</v>
      </c>
      <c r="B214" t="str">
        <f t="shared" si="13"/>
        <v>2018</v>
      </c>
      <c r="C214" s="18" t="s">
        <v>760</v>
      </c>
      <c r="D214" t="s">
        <v>949</v>
      </c>
      <c r="E214" t="s">
        <v>977</v>
      </c>
      <c r="F214">
        <v>154</v>
      </c>
      <c r="G214">
        <f t="shared" si="14"/>
        <v>82</v>
      </c>
      <c r="H214">
        <f t="shared" si="15"/>
        <v>234</v>
      </c>
      <c r="I214">
        <v>821</v>
      </c>
      <c r="J214">
        <v>2346</v>
      </c>
      <c r="K214" s="18" t="s">
        <v>986</v>
      </c>
      <c r="L214" s="21">
        <v>9.1999999999999993</v>
      </c>
    </row>
    <row r="215" spans="1:12" x14ac:dyDescent="0.25">
      <c r="A215" t="str">
        <f t="shared" si="12"/>
        <v>2020-EX-RS -79-581-2291</v>
      </c>
      <c r="B215" t="str">
        <f t="shared" si="13"/>
        <v>2020</v>
      </c>
      <c r="C215" s="18" t="s">
        <v>861</v>
      </c>
      <c r="D215" t="s">
        <v>949</v>
      </c>
      <c r="E215" t="s">
        <v>987</v>
      </c>
      <c r="F215">
        <v>79</v>
      </c>
      <c r="G215">
        <f t="shared" si="14"/>
        <v>58</v>
      </c>
      <c r="H215">
        <f t="shared" si="15"/>
        <v>229</v>
      </c>
      <c r="I215">
        <v>581</v>
      </c>
      <c r="J215">
        <v>2291</v>
      </c>
      <c r="K215" s="18" t="s">
        <v>988</v>
      </c>
      <c r="L215" s="21">
        <v>6.2</v>
      </c>
    </row>
    <row r="216" spans="1:12" x14ac:dyDescent="0.25">
      <c r="A216" t="str">
        <f t="shared" si="12"/>
        <v>2020-EX-RS -94-620-2293</v>
      </c>
      <c r="B216" t="str">
        <f t="shared" si="13"/>
        <v>2020</v>
      </c>
      <c r="C216" s="18" t="s">
        <v>861</v>
      </c>
      <c r="D216" t="s">
        <v>949</v>
      </c>
      <c r="E216" t="s">
        <v>989</v>
      </c>
      <c r="F216">
        <v>94</v>
      </c>
      <c r="G216">
        <f t="shared" si="14"/>
        <v>62</v>
      </c>
      <c r="H216">
        <f t="shared" si="15"/>
        <v>229</v>
      </c>
      <c r="I216">
        <v>620</v>
      </c>
      <c r="J216">
        <v>2293</v>
      </c>
      <c r="K216" s="18" t="s">
        <v>988</v>
      </c>
      <c r="L216" s="21">
        <v>6.6</v>
      </c>
    </row>
    <row r="217" spans="1:12" x14ac:dyDescent="0.25">
      <c r="A217" t="str">
        <f t="shared" si="12"/>
        <v>2020-EX-RS -117-710-2293</v>
      </c>
      <c r="B217" t="str">
        <f t="shared" si="13"/>
        <v>2020</v>
      </c>
      <c r="C217" s="18" t="s">
        <v>861</v>
      </c>
      <c r="D217" t="s">
        <v>949</v>
      </c>
      <c r="E217" t="s">
        <v>990</v>
      </c>
      <c r="F217">
        <v>117</v>
      </c>
      <c r="G217">
        <f t="shared" si="14"/>
        <v>71</v>
      </c>
      <c r="H217">
        <f t="shared" si="15"/>
        <v>229</v>
      </c>
      <c r="I217">
        <v>710</v>
      </c>
      <c r="J217">
        <v>2293</v>
      </c>
      <c r="K217" s="18" t="s">
        <v>988</v>
      </c>
      <c r="L217" s="21">
        <v>7.4</v>
      </c>
    </row>
    <row r="218" spans="1:12" x14ac:dyDescent="0.25">
      <c r="A218" t="str">
        <f t="shared" si="12"/>
        <v>2020-EX-RS -145-849-2295</v>
      </c>
      <c r="B218" t="str">
        <f t="shared" si="13"/>
        <v>2020</v>
      </c>
      <c r="C218" s="18" t="s">
        <v>861</v>
      </c>
      <c r="D218" t="s">
        <v>949</v>
      </c>
      <c r="E218" t="s">
        <v>991</v>
      </c>
      <c r="F218">
        <v>145</v>
      </c>
      <c r="G218">
        <f t="shared" si="14"/>
        <v>84</v>
      </c>
      <c r="H218">
        <f t="shared" si="15"/>
        <v>229</v>
      </c>
      <c r="I218">
        <v>849</v>
      </c>
      <c r="J218">
        <v>2295</v>
      </c>
      <c r="K218" s="18" t="s">
        <v>988</v>
      </c>
      <c r="L218" s="21">
        <v>8.5</v>
      </c>
    </row>
    <row r="219" spans="1:12" x14ac:dyDescent="0.25">
      <c r="A219" t="str">
        <f t="shared" si="12"/>
        <v>2024-EX-RS -86-580-2320</v>
      </c>
      <c r="B219" t="str">
        <f t="shared" si="13"/>
        <v>2024</v>
      </c>
      <c r="C219" s="18" t="s">
        <v>871</v>
      </c>
      <c r="D219" t="s">
        <v>949</v>
      </c>
      <c r="E219" t="s">
        <v>992</v>
      </c>
      <c r="F219">
        <v>86</v>
      </c>
      <c r="G219">
        <f t="shared" si="14"/>
        <v>58</v>
      </c>
      <c r="H219">
        <f t="shared" si="15"/>
        <v>232</v>
      </c>
      <c r="I219">
        <v>580</v>
      </c>
      <c r="J219">
        <v>2320</v>
      </c>
      <c r="K219" s="18" t="s">
        <v>993</v>
      </c>
      <c r="L219" s="21">
        <v>6.1</v>
      </c>
    </row>
    <row r="220" spans="1:12" x14ac:dyDescent="0.25">
      <c r="A220" t="str">
        <f t="shared" si="12"/>
        <v>2024-EX-RS -95-620-2320</v>
      </c>
      <c r="B220" t="str">
        <f t="shared" si="13"/>
        <v>2024</v>
      </c>
      <c r="C220" s="18" t="s">
        <v>871</v>
      </c>
      <c r="D220" t="s">
        <v>949</v>
      </c>
      <c r="E220" t="s">
        <v>994</v>
      </c>
      <c r="F220">
        <v>95</v>
      </c>
      <c r="G220">
        <f t="shared" si="14"/>
        <v>62</v>
      </c>
      <c r="H220">
        <f t="shared" si="15"/>
        <v>232</v>
      </c>
      <c r="I220">
        <v>620</v>
      </c>
      <c r="J220">
        <v>2320</v>
      </c>
      <c r="K220" s="18" t="s">
        <v>993</v>
      </c>
      <c r="L220" s="21">
        <v>6.5</v>
      </c>
    </row>
    <row r="221" spans="1:12" x14ac:dyDescent="0.25">
      <c r="A221" t="str">
        <f t="shared" si="12"/>
        <v>2024-EX-RS -118-710-2334</v>
      </c>
      <c r="B221" t="str">
        <f t="shared" si="13"/>
        <v>2024</v>
      </c>
      <c r="C221" s="18" t="s">
        <v>871</v>
      </c>
      <c r="D221" t="s">
        <v>949</v>
      </c>
      <c r="E221" t="s">
        <v>995</v>
      </c>
      <c r="F221">
        <v>118</v>
      </c>
      <c r="G221">
        <f t="shared" si="14"/>
        <v>71</v>
      </c>
      <c r="H221">
        <f t="shared" si="15"/>
        <v>233</v>
      </c>
      <c r="I221">
        <v>710</v>
      </c>
      <c r="J221">
        <v>2334</v>
      </c>
      <c r="K221" s="18" t="s">
        <v>993</v>
      </c>
      <c r="L221" s="21">
        <v>7.4</v>
      </c>
    </row>
    <row r="222" spans="1:12" x14ac:dyDescent="0.25">
      <c r="A222" t="str">
        <f t="shared" si="12"/>
        <v>2024-EX-RS -142-850-2320</v>
      </c>
      <c r="B222" t="str">
        <f t="shared" si="13"/>
        <v>2024</v>
      </c>
      <c r="C222" s="18" t="s">
        <v>871</v>
      </c>
      <c r="D222" t="s">
        <v>949</v>
      </c>
      <c r="E222" t="s">
        <v>996</v>
      </c>
      <c r="F222">
        <v>142</v>
      </c>
      <c r="G222">
        <f t="shared" si="14"/>
        <v>85</v>
      </c>
      <c r="H222">
        <f t="shared" si="15"/>
        <v>232</v>
      </c>
      <c r="I222">
        <v>850</v>
      </c>
      <c r="J222">
        <v>2320</v>
      </c>
      <c r="K222" s="18" t="s">
        <v>993</v>
      </c>
      <c r="L222" s="21">
        <v>8.6999999999999993</v>
      </c>
    </row>
    <row r="223" spans="1:12" x14ac:dyDescent="0.25">
      <c r="A223" t="str">
        <f t="shared" si="12"/>
        <v>2024-EX-RF -187-810-2088</v>
      </c>
      <c r="B223" t="str">
        <f t="shared" si="13"/>
        <v>2024</v>
      </c>
      <c r="C223" s="18" t="s">
        <v>871</v>
      </c>
      <c r="D223" t="s">
        <v>949</v>
      </c>
      <c r="E223" t="s">
        <v>997</v>
      </c>
      <c r="F223">
        <v>187</v>
      </c>
      <c r="G223">
        <f t="shared" si="14"/>
        <v>81</v>
      </c>
      <c r="H223">
        <f t="shared" si="15"/>
        <v>208</v>
      </c>
      <c r="I223">
        <v>810</v>
      </c>
      <c r="J223">
        <v>2088</v>
      </c>
      <c r="K223" s="18" t="s">
        <v>993</v>
      </c>
      <c r="L223" s="21">
        <v>10.9</v>
      </c>
    </row>
    <row r="224" spans="1:12" x14ac:dyDescent="0.25">
      <c r="A224" t="str">
        <f t="shared" si="12"/>
        <v>2024-EX-RF -187-810-2088</v>
      </c>
      <c r="B224" t="str">
        <f t="shared" si="13"/>
        <v>2024</v>
      </c>
      <c r="C224" s="18" t="s">
        <v>871</v>
      </c>
      <c r="D224" t="s">
        <v>949</v>
      </c>
      <c r="E224" t="s">
        <v>998</v>
      </c>
      <c r="F224">
        <v>187</v>
      </c>
      <c r="G224">
        <f t="shared" si="14"/>
        <v>81</v>
      </c>
      <c r="H224">
        <f t="shared" si="15"/>
        <v>208</v>
      </c>
      <c r="I224">
        <v>810</v>
      </c>
      <c r="J224">
        <v>2088</v>
      </c>
      <c r="K224" s="18" t="s">
        <v>993</v>
      </c>
      <c r="L224" s="21">
        <v>9.3000000000000007</v>
      </c>
    </row>
    <row r="225" spans="1:12" x14ac:dyDescent="0.25">
      <c r="A225" t="str">
        <f t="shared" si="12"/>
        <v>2024-EX-RF -214-850-2100</v>
      </c>
      <c r="B225" t="str">
        <f t="shared" si="13"/>
        <v>2024</v>
      </c>
      <c r="C225" s="18" t="s">
        <v>871</v>
      </c>
      <c r="D225" t="s">
        <v>949</v>
      </c>
      <c r="E225" t="s">
        <v>999</v>
      </c>
      <c r="F225">
        <v>214</v>
      </c>
      <c r="G225">
        <f t="shared" si="14"/>
        <v>85</v>
      </c>
      <c r="H225">
        <f t="shared" si="15"/>
        <v>210</v>
      </c>
      <c r="I225">
        <v>850</v>
      </c>
      <c r="J225">
        <v>2100</v>
      </c>
      <c r="K225" s="18" t="s">
        <v>993</v>
      </c>
      <c r="L225" s="21">
        <v>10.7</v>
      </c>
    </row>
    <row r="226" spans="1:12" x14ac:dyDescent="0.25">
      <c r="A226" t="str">
        <f t="shared" si="12"/>
        <v>2024-EX-RF -229-910-2100</v>
      </c>
      <c r="B226" t="str">
        <f t="shared" si="13"/>
        <v>2024</v>
      </c>
      <c r="C226" s="18" t="s">
        <v>871</v>
      </c>
      <c r="D226" t="s">
        <v>949</v>
      </c>
      <c r="E226" t="s">
        <v>1000</v>
      </c>
      <c r="F226">
        <v>229</v>
      </c>
      <c r="G226">
        <f t="shared" si="14"/>
        <v>91</v>
      </c>
      <c r="H226">
        <f t="shared" si="15"/>
        <v>210</v>
      </c>
      <c r="I226">
        <v>910</v>
      </c>
      <c r="J226">
        <v>2100</v>
      </c>
      <c r="K226" s="18" t="s">
        <v>993</v>
      </c>
      <c r="L226" s="21">
        <v>11.3</v>
      </c>
    </row>
    <row r="227" spans="1:12" x14ac:dyDescent="0.25">
      <c r="A227" t="str">
        <f t="shared" si="12"/>
        <v>2005-F2-MIS-66-504-2280</v>
      </c>
      <c r="B227" t="str">
        <f t="shared" si="13"/>
        <v>2005</v>
      </c>
      <c r="C227" s="18" t="s">
        <v>811</v>
      </c>
      <c r="D227" t="s">
        <v>1001</v>
      </c>
      <c r="E227" t="s">
        <v>1002</v>
      </c>
      <c r="F227">
        <v>66</v>
      </c>
      <c r="G227">
        <f t="shared" si="14"/>
        <v>50</v>
      </c>
      <c r="H227">
        <f t="shared" si="15"/>
        <v>228</v>
      </c>
      <c r="I227">
        <v>504</v>
      </c>
      <c r="J227">
        <v>2280</v>
      </c>
      <c r="K227" s="18" t="s">
        <v>804</v>
      </c>
      <c r="L227" s="21">
        <v>4.8</v>
      </c>
    </row>
    <row r="228" spans="1:12" x14ac:dyDescent="0.25">
      <c r="A228" t="str">
        <f t="shared" si="12"/>
        <v>2001-F2-T'M-83-530-2670</v>
      </c>
      <c r="B228" t="str">
        <f t="shared" si="13"/>
        <v>2001</v>
      </c>
      <c r="C228" s="18" t="s">
        <v>1004</v>
      </c>
      <c r="D228" t="s">
        <v>1001</v>
      </c>
      <c r="E228" t="s">
        <v>1003</v>
      </c>
      <c r="F228">
        <v>83</v>
      </c>
      <c r="G228">
        <f t="shared" si="14"/>
        <v>53</v>
      </c>
      <c r="H228">
        <f t="shared" si="15"/>
        <v>267</v>
      </c>
      <c r="I228">
        <v>530</v>
      </c>
      <c r="J228">
        <v>2670</v>
      </c>
      <c r="K228" s="18" t="s">
        <v>798</v>
      </c>
      <c r="L228" s="21">
        <v>5.6</v>
      </c>
    </row>
    <row r="229" spans="1:12" x14ac:dyDescent="0.25">
      <c r="A229" t="str">
        <f t="shared" si="12"/>
        <v>2001-F2-T'M-95-560-2710</v>
      </c>
      <c r="B229" t="str">
        <f t="shared" si="13"/>
        <v>2001</v>
      </c>
      <c r="C229" s="18" t="s">
        <v>1004</v>
      </c>
      <c r="D229" t="s">
        <v>1001</v>
      </c>
      <c r="E229" t="s">
        <v>1005</v>
      </c>
      <c r="F229">
        <v>95</v>
      </c>
      <c r="G229">
        <f t="shared" si="14"/>
        <v>56</v>
      </c>
      <c r="H229">
        <f t="shared" si="15"/>
        <v>271</v>
      </c>
      <c r="I229">
        <v>560</v>
      </c>
      <c r="J229">
        <v>2710</v>
      </c>
      <c r="K229" s="18" t="s">
        <v>798</v>
      </c>
      <c r="L229" s="21">
        <v>5.9</v>
      </c>
    </row>
    <row r="230" spans="1:12" x14ac:dyDescent="0.25">
      <c r="A230" t="str">
        <f t="shared" si="12"/>
        <v>1999-F2-THO-93-550-2690</v>
      </c>
      <c r="B230" t="str">
        <f t="shared" si="13"/>
        <v>1999</v>
      </c>
      <c r="C230" s="18" t="s">
        <v>794</v>
      </c>
      <c r="D230" t="s">
        <v>1001</v>
      </c>
      <c r="E230" t="s">
        <v>1006</v>
      </c>
      <c r="F230">
        <v>93</v>
      </c>
      <c r="G230">
        <f t="shared" si="14"/>
        <v>55</v>
      </c>
      <c r="H230">
        <f t="shared" si="15"/>
        <v>269</v>
      </c>
      <c r="I230">
        <v>550</v>
      </c>
      <c r="J230">
        <v>2690</v>
      </c>
      <c r="K230" s="18" t="s">
        <v>795</v>
      </c>
      <c r="L230" s="21">
        <v>5.9</v>
      </c>
    </row>
    <row r="231" spans="1:12" x14ac:dyDescent="0.25">
      <c r="A231" t="str">
        <f t="shared" si="12"/>
        <v>1999-F2-T'M-156-680-2780</v>
      </c>
      <c r="B231" t="str">
        <f t="shared" si="13"/>
        <v>1999</v>
      </c>
      <c r="C231" s="18" t="s">
        <v>794</v>
      </c>
      <c r="D231" t="s">
        <v>1001</v>
      </c>
      <c r="E231" t="s">
        <v>1007</v>
      </c>
      <c r="F231">
        <v>156</v>
      </c>
      <c r="G231">
        <f t="shared" si="14"/>
        <v>68</v>
      </c>
      <c r="H231">
        <f t="shared" si="15"/>
        <v>278</v>
      </c>
      <c r="I231">
        <v>680</v>
      </c>
      <c r="J231">
        <v>2780</v>
      </c>
      <c r="K231" s="18" t="s">
        <v>795</v>
      </c>
      <c r="L231" s="21">
        <v>7.4</v>
      </c>
    </row>
    <row r="232" spans="1:12" x14ac:dyDescent="0.25">
      <c r="A232" t="str">
        <f t="shared" si="12"/>
        <v>1999-F2-T'M-171-730-2780</v>
      </c>
      <c r="B232" t="str">
        <f t="shared" si="13"/>
        <v>1999</v>
      </c>
      <c r="C232" s="18" t="s">
        <v>794</v>
      </c>
      <c r="D232" t="s">
        <v>1001</v>
      </c>
      <c r="E232" t="s">
        <v>1008</v>
      </c>
      <c r="F232">
        <v>171</v>
      </c>
      <c r="G232">
        <f t="shared" si="14"/>
        <v>73</v>
      </c>
      <c r="H232">
        <f t="shared" si="15"/>
        <v>278</v>
      </c>
      <c r="I232">
        <v>730</v>
      </c>
      <c r="J232">
        <v>2780</v>
      </c>
      <c r="K232" s="18" t="s">
        <v>795</v>
      </c>
      <c r="L232" s="21">
        <v>8.4</v>
      </c>
    </row>
    <row r="233" spans="1:12" x14ac:dyDescent="0.25">
      <c r="A233" t="str">
        <f t="shared" si="12"/>
        <v>2000-F2-T'M-171-720-2790</v>
      </c>
      <c r="B233" t="str">
        <f t="shared" si="13"/>
        <v>2000</v>
      </c>
      <c r="C233" s="18" t="s">
        <v>797</v>
      </c>
      <c r="D233" t="s">
        <v>1001</v>
      </c>
      <c r="E233" t="s">
        <v>1008</v>
      </c>
      <c r="F233">
        <v>171</v>
      </c>
      <c r="G233">
        <f t="shared" si="14"/>
        <v>72</v>
      </c>
      <c r="H233">
        <f t="shared" si="15"/>
        <v>279</v>
      </c>
      <c r="I233">
        <v>720</v>
      </c>
      <c r="J233">
        <v>2790</v>
      </c>
      <c r="K233" s="18" t="s">
        <v>798</v>
      </c>
      <c r="L233" s="21">
        <v>8.4</v>
      </c>
    </row>
    <row r="234" spans="1:12" x14ac:dyDescent="0.25">
      <c r="A234" t="str">
        <f t="shared" si="12"/>
        <v>2001-F2-T'M-168-750-2780</v>
      </c>
      <c r="B234" t="str">
        <f t="shared" si="13"/>
        <v>2001</v>
      </c>
      <c r="C234" s="18" t="s">
        <v>1004</v>
      </c>
      <c r="D234" t="s">
        <v>1001</v>
      </c>
      <c r="E234" t="s">
        <v>1009</v>
      </c>
      <c r="F234">
        <v>168</v>
      </c>
      <c r="G234">
        <f t="shared" si="14"/>
        <v>75</v>
      </c>
      <c r="H234">
        <f t="shared" si="15"/>
        <v>278</v>
      </c>
      <c r="I234">
        <v>750</v>
      </c>
      <c r="J234">
        <v>2780</v>
      </c>
      <c r="K234" s="18" t="s">
        <v>798</v>
      </c>
      <c r="L234" s="21">
        <v>8.1999999999999993</v>
      </c>
    </row>
    <row r="235" spans="1:12" x14ac:dyDescent="0.25">
      <c r="A235" t="str">
        <f t="shared" si="12"/>
        <v>2000-F2-T'M-185-800-2800</v>
      </c>
      <c r="B235" t="str">
        <f t="shared" si="13"/>
        <v>2000</v>
      </c>
      <c r="C235" s="18" t="s">
        <v>797</v>
      </c>
      <c r="D235" t="s">
        <v>1001</v>
      </c>
      <c r="E235" t="s">
        <v>1010</v>
      </c>
      <c r="F235">
        <v>185</v>
      </c>
      <c r="G235">
        <f t="shared" si="14"/>
        <v>80</v>
      </c>
      <c r="H235">
        <f t="shared" si="15"/>
        <v>280</v>
      </c>
      <c r="I235">
        <v>800</v>
      </c>
      <c r="J235">
        <v>2800</v>
      </c>
      <c r="K235" s="18" t="s">
        <v>798</v>
      </c>
      <c r="L235" s="21">
        <v>8.6</v>
      </c>
    </row>
    <row r="236" spans="1:12" x14ac:dyDescent="0.25">
      <c r="A236" t="str">
        <f t="shared" si="12"/>
        <v>2003-F2-X-S-110-641-2683</v>
      </c>
      <c r="B236" t="str">
        <f t="shared" si="13"/>
        <v>2003</v>
      </c>
      <c r="C236" s="18" t="s">
        <v>800</v>
      </c>
      <c r="D236" t="s">
        <v>1001</v>
      </c>
      <c r="E236" t="s">
        <v>1011</v>
      </c>
      <c r="F236">
        <v>110</v>
      </c>
      <c r="G236">
        <f t="shared" si="14"/>
        <v>64</v>
      </c>
      <c r="H236">
        <f t="shared" si="15"/>
        <v>268</v>
      </c>
      <c r="I236">
        <v>641</v>
      </c>
      <c r="J236">
        <v>2683</v>
      </c>
      <c r="K236" s="18" t="s">
        <v>1012</v>
      </c>
      <c r="L236" s="21">
        <v>6.5</v>
      </c>
    </row>
    <row r="237" spans="1:12" x14ac:dyDescent="0.25">
      <c r="A237" t="str">
        <f t="shared" si="12"/>
        <v>2003-F2-X-S-125-670-2683</v>
      </c>
      <c r="B237" t="str">
        <f t="shared" si="13"/>
        <v>2003</v>
      </c>
      <c r="C237" s="18" t="s">
        <v>800</v>
      </c>
      <c r="D237" t="s">
        <v>1001</v>
      </c>
      <c r="E237" t="s">
        <v>1013</v>
      </c>
      <c r="F237">
        <v>125</v>
      </c>
      <c r="G237">
        <f t="shared" si="14"/>
        <v>67</v>
      </c>
      <c r="H237">
        <f t="shared" si="15"/>
        <v>268</v>
      </c>
      <c r="I237">
        <v>670</v>
      </c>
      <c r="J237">
        <v>2683</v>
      </c>
      <c r="K237" s="18" t="s">
        <v>801</v>
      </c>
      <c r="L237" s="21">
        <v>6.9</v>
      </c>
    </row>
    <row r="238" spans="1:12" x14ac:dyDescent="0.25">
      <c r="A238" t="str">
        <f t="shared" si="12"/>
        <v>2001-F2-X-S-152-769-2750</v>
      </c>
      <c r="B238" t="str">
        <f t="shared" si="13"/>
        <v>2001</v>
      </c>
      <c r="C238" s="18" t="s">
        <v>1004</v>
      </c>
      <c r="D238" t="s">
        <v>1001</v>
      </c>
      <c r="E238" t="s">
        <v>1014</v>
      </c>
      <c r="F238">
        <v>152</v>
      </c>
      <c r="G238">
        <f t="shared" si="14"/>
        <v>76</v>
      </c>
      <c r="H238">
        <f t="shared" si="15"/>
        <v>275</v>
      </c>
      <c r="I238">
        <v>769</v>
      </c>
      <c r="J238">
        <v>2750</v>
      </c>
      <c r="K238" s="18" t="s">
        <v>1012</v>
      </c>
      <c r="L238" s="21">
        <v>8.1999999999999993</v>
      </c>
    </row>
    <row r="239" spans="1:12" x14ac:dyDescent="0.25">
      <c r="A239" t="str">
        <f t="shared" si="12"/>
        <v>2005-F2-SX -90-585-2298</v>
      </c>
      <c r="B239" t="str">
        <f t="shared" si="13"/>
        <v>2005</v>
      </c>
      <c r="C239" s="18" t="s">
        <v>811</v>
      </c>
      <c r="D239" t="s">
        <v>1001</v>
      </c>
      <c r="E239" t="s">
        <v>1015</v>
      </c>
      <c r="F239">
        <v>90</v>
      </c>
      <c r="G239">
        <f t="shared" si="14"/>
        <v>58</v>
      </c>
      <c r="H239">
        <f t="shared" si="15"/>
        <v>229</v>
      </c>
      <c r="I239">
        <v>585</v>
      </c>
      <c r="J239">
        <v>2298</v>
      </c>
      <c r="K239" s="18" t="s">
        <v>896</v>
      </c>
      <c r="L239" s="21">
        <v>5.4</v>
      </c>
    </row>
    <row r="240" spans="1:12" x14ac:dyDescent="0.25">
      <c r="A240" t="str">
        <f t="shared" si="12"/>
        <v>2004-F2-SX -141-770-2590</v>
      </c>
      <c r="B240" t="str">
        <f t="shared" si="13"/>
        <v>2004</v>
      </c>
      <c r="C240" s="18" t="s">
        <v>803</v>
      </c>
      <c r="D240" t="s">
        <v>1001</v>
      </c>
      <c r="E240" t="s">
        <v>1016</v>
      </c>
      <c r="F240">
        <v>141</v>
      </c>
      <c r="G240">
        <f t="shared" si="14"/>
        <v>77</v>
      </c>
      <c r="H240">
        <f t="shared" si="15"/>
        <v>259</v>
      </c>
      <c r="I240">
        <v>770</v>
      </c>
      <c r="J240">
        <v>2590</v>
      </c>
      <c r="K240" s="18" t="s">
        <v>801</v>
      </c>
      <c r="L240" s="21">
        <v>7.5</v>
      </c>
    </row>
    <row r="241" spans="1:12" x14ac:dyDescent="0.25">
      <c r="A241" t="str">
        <f t="shared" si="12"/>
        <v>2004-F2-SX -111-672-2394</v>
      </c>
      <c r="B241" t="str">
        <f t="shared" si="13"/>
        <v>2004</v>
      </c>
      <c r="C241" s="18" t="s">
        <v>803</v>
      </c>
      <c r="D241" t="s">
        <v>1001</v>
      </c>
      <c r="E241" t="s">
        <v>1017</v>
      </c>
      <c r="F241">
        <v>111</v>
      </c>
      <c r="G241">
        <f t="shared" si="14"/>
        <v>67</v>
      </c>
      <c r="H241">
        <f t="shared" si="15"/>
        <v>239</v>
      </c>
      <c r="I241">
        <v>672</v>
      </c>
      <c r="J241">
        <v>2394</v>
      </c>
      <c r="K241" s="18" t="s">
        <v>804</v>
      </c>
      <c r="L241" s="21">
        <v>5.8</v>
      </c>
    </row>
    <row r="242" spans="1:12" x14ac:dyDescent="0.25">
      <c r="A242" t="str">
        <f t="shared" si="12"/>
        <v>2005-F2-SX -105-678-2344</v>
      </c>
      <c r="B242" t="str">
        <f t="shared" si="13"/>
        <v>2005</v>
      </c>
      <c r="C242" s="18" t="s">
        <v>811</v>
      </c>
      <c r="D242" t="s">
        <v>1001</v>
      </c>
      <c r="E242" t="s">
        <v>1018</v>
      </c>
      <c r="F242">
        <v>105</v>
      </c>
      <c r="G242">
        <f t="shared" si="14"/>
        <v>67</v>
      </c>
      <c r="H242">
        <f t="shared" si="15"/>
        <v>234</v>
      </c>
      <c r="I242">
        <v>678</v>
      </c>
      <c r="J242">
        <v>2344</v>
      </c>
      <c r="K242" s="18" t="s">
        <v>896</v>
      </c>
      <c r="L242" s="21">
        <v>5.9</v>
      </c>
    </row>
    <row r="243" spans="1:12" x14ac:dyDescent="0.25">
      <c r="A243" t="str">
        <f t="shared" si="12"/>
        <v>2004-F2-SX -108-670-2490</v>
      </c>
      <c r="B243" t="str">
        <f t="shared" si="13"/>
        <v>2004</v>
      </c>
      <c r="C243" s="18" t="s">
        <v>803</v>
      </c>
      <c r="D243" t="s">
        <v>1001</v>
      </c>
      <c r="E243" t="s">
        <v>1019</v>
      </c>
      <c r="F243">
        <v>108</v>
      </c>
      <c r="G243">
        <f t="shared" si="14"/>
        <v>67</v>
      </c>
      <c r="H243">
        <f t="shared" si="15"/>
        <v>249</v>
      </c>
      <c r="I243">
        <v>670</v>
      </c>
      <c r="J243">
        <v>2490</v>
      </c>
      <c r="K243" s="18" t="s">
        <v>801</v>
      </c>
      <c r="L243" s="21">
        <v>6.5</v>
      </c>
    </row>
    <row r="244" spans="1:12" x14ac:dyDescent="0.25">
      <c r="A244" t="str">
        <f t="shared" si="12"/>
        <v>2004-F2-SX -141-786-2465</v>
      </c>
      <c r="B244" t="str">
        <f t="shared" si="13"/>
        <v>2004</v>
      </c>
      <c r="C244" s="18" t="s">
        <v>803</v>
      </c>
      <c r="D244" t="s">
        <v>1001</v>
      </c>
      <c r="E244" t="s">
        <v>1020</v>
      </c>
      <c r="F244">
        <v>141</v>
      </c>
      <c r="G244">
        <f t="shared" si="14"/>
        <v>78</v>
      </c>
      <c r="H244">
        <f t="shared" si="15"/>
        <v>246</v>
      </c>
      <c r="I244">
        <v>786</v>
      </c>
      <c r="J244">
        <v>2465</v>
      </c>
      <c r="K244" s="18" t="s">
        <v>804</v>
      </c>
      <c r="L244" s="21">
        <v>6.8</v>
      </c>
    </row>
    <row r="245" spans="1:12" x14ac:dyDescent="0.25">
      <c r="A245" t="str">
        <f t="shared" si="12"/>
        <v>2005-F2-SX -135-793-2394</v>
      </c>
      <c r="B245" t="str">
        <f t="shared" si="13"/>
        <v>2005</v>
      </c>
      <c r="C245" s="18" t="s">
        <v>811</v>
      </c>
      <c r="D245" t="s">
        <v>1001</v>
      </c>
      <c r="E245" t="s">
        <v>1021</v>
      </c>
      <c r="F245">
        <v>135</v>
      </c>
      <c r="G245">
        <f t="shared" si="14"/>
        <v>79</v>
      </c>
      <c r="H245">
        <f t="shared" si="15"/>
        <v>239</v>
      </c>
      <c r="I245">
        <v>793</v>
      </c>
      <c r="J245">
        <v>2394</v>
      </c>
      <c r="K245" s="18" t="s">
        <v>896</v>
      </c>
      <c r="L245" s="21">
        <v>6.9</v>
      </c>
    </row>
    <row r="246" spans="1:12" x14ac:dyDescent="0.25">
      <c r="A246" t="str">
        <f t="shared" si="12"/>
        <v>2006-F2-SX -84-579-2288</v>
      </c>
      <c r="B246" t="str">
        <f t="shared" si="13"/>
        <v>2006</v>
      </c>
      <c r="C246" s="18" t="s">
        <v>813</v>
      </c>
      <c r="D246" t="s">
        <v>1001</v>
      </c>
      <c r="E246" t="s">
        <v>1022</v>
      </c>
      <c r="F246">
        <v>84</v>
      </c>
      <c r="G246">
        <f t="shared" si="14"/>
        <v>57</v>
      </c>
      <c r="H246">
        <f t="shared" si="15"/>
        <v>228</v>
      </c>
      <c r="I246">
        <v>579</v>
      </c>
      <c r="J246">
        <v>2288</v>
      </c>
      <c r="K246" s="18" t="s">
        <v>896</v>
      </c>
      <c r="L246" s="21">
        <v>5.9</v>
      </c>
    </row>
    <row r="247" spans="1:12" x14ac:dyDescent="0.25">
      <c r="A247" t="str">
        <f t="shared" si="12"/>
        <v>2006-F2-SX -102-678-2320</v>
      </c>
      <c r="B247" t="str">
        <f t="shared" si="13"/>
        <v>2006</v>
      </c>
      <c r="C247" s="18" t="s">
        <v>813</v>
      </c>
      <c r="D247" t="s">
        <v>1001</v>
      </c>
      <c r="E247" t="s">
        <v>1023</v>
      </c>
      <c r="F247">
        <v>102</v>
      </c>
      <c r="G247">
        <f t="shared" si="14"/>
        <v>67</v>
      </c>
      <c r="H247">
        <f t="shared" si="15"/>
        <v>232</v>
      </c>
      <c r="I247">
        <v>678</v>
      </c>
      <c r="J247">
        <v>2320</v>
      </c>
      <c r="K247" s="18" t="s">
        <v>896</v>
      </c>
      <c r="L247" s="21">
        <v>6.4</v>
      </c>
    </row>
    <row r="248" spans="1:12" x14ac:dyDescent="0.25">
      <c r="A248" t="str">
        <f t="shared" si="12"/>
        <v>2006-F2-SX -123-794-2400</v>
      </c>
      <c r="B248" t="str">
        <f t="shared" si="13"/>
        <v>2006</v>
      </c>
      <c r="C248" s="18" t="s">
        <v>813</v>
      </c>
      <c r="D248" t="s">
        <v>1001</v>
      </c>
      <c r="E248" t="s">
        <v>1024</v>
      </c>
      <c r="F248">
        <v>123</v>
      </c>
      <c r="G248">
        <f t="shared" si="14"/>
        <v>79</v>
      </c>
      <c r="H248">
        <f t="shared" si="15"/>
        <v>240</v>
      </c>
      <c r="I248">
        <v>794</v>
      </c>
      <c r="J248">
        <v>2400</v>
      </c>
      <c r="K248" s="18" t="s">
        <v>896</v>
      </c>
      <c r="L248" s="21">
        <v>6.8</v>
      </c>
    </row>
    <row r="249" spans="1:12" x14ac:dyDescent="0.25">
      <c r="A249" t="str">
        <f t="shared" si="12"/>
        <v>2006-F2-MIS-63-482-2240</v>
      </c>
      <c r="B249" t="str">
        <f t="shared" si="13"/>
        <v>2006</v>
      </c>
      <c r="C249" s="18" t="s">
        <v>813</v>
      </c>
      <c r="D249" t="s">
        <v>1001</v>
      </c>
      <c r="E249" t="s">
        <v>1025</v>
      </c>
      <c r="F249">
        <v>63</v>
      </c>
      <c r="G249">
        <f t="shared" si="14"/>
        <v>48</v>
      </c>
      <c r="H249">
        <f t="shared" si="15"/>
        <v>224</v>
      </c>
      <c r="I249">
        <v>482</v>
      </c>
      <c r="J249">
        <v>2240</v>
      </c>
      <c r="K249" s="18" t="s">
        <v>896</v>
      </c>
      <c r="L249" s="21">
        <v>5.5</v>
      </c>
    </row>
    <row r="250" spans="1:12" x14ac:dyDescent="0.25">
      <c r="A250" t="str">
        <f t="shared" si="12"/>
        <v>2006-F2-MIS-54-432-2235</v>
      </c>
      <c r="B250" t="str">
        <f t="shared" si="13"/>
        <v>2006</v>
      </c>
      <c r="C250" s="18" t="s">
        <v>1027</v>
      </c>
      <c r="D250" t="s">
        <v>1001</v>
      </c>
      <c r="E250" t="s">
        <v>1026</v>
      </c>
      <c r="F250">
        <v>54</v>
      </c>
      <c r="G250">
        <f t="shared" si="14"/>
        <v>43</v>
      </c>
      <c r="H250">
        <f t="shared" si="15"/>
        <v>223</v>
      </c>
      <c r="I250">
        <v>432</v>
      </c>
      <c r="J250">
        <v>2235</v>
      </c>
      <c r="K250" s="18" t="s">
        <v>814</v>
      </c>
      <c r="L250" s="21">
        <v>4.5</v>
      </c>
    </row>
    <row r="251" spans="1:12" x14ac:dyDescent="0.25">
      <c r="A251" t="str">
        <f t="shared" si="12"/>
        <v>2006-F2-MIS-63-482-2250</v>
      </c>
      <c r="B251" t="str">
        <f t="shared" si="13"/>
        <v>2006</v>
      </c>
      <c r="C251" s="18" t="s">
        <v>1027</v>
      </c>
      <c r="D251" t="s">
        <v>1001</v>
      </c>
      <c r="E251" t="s">
        <v>1028</v>
      </c>
      <c r="F251">
        <v>63</v>
      </c>
      <c r="G251">
        <f t="shared" si="14"/>
        <v>48</v>
      </c>
      <c r="H251">
        <f t="shared" si="15"/>
        <v>225</v>
      </c>
      <c r="I251">
        <v>482</v>
      </c>
      <c r="J251">
        <v>2250</v>
      </c>
      <c r="K251" s="18" t="s">
        <v>814</v>
      </c>
      <c r="L251" s="21">
        <v>4.8</v>
      </c>
    </row>
    <row r="252" spans="1:12" x14ac:dyDescent="0.25">
      <c r="A252" t="str">
        <f t="shared" si="12"/>
        <v>2006-F2-SX -81-539-2337</v>
      </c>
      <c r="B252" t="str">
        <f t="shared" si="13"/>
        <v>2006</v>
      </c>
      <c r="C252" s="18" t="s">
        <v>1027</v>
      </c>
      <c r="D252" t="s">
        <v>1001</v>
      </c>
      <c r="E252" t="s">
        <v>1029</v>
      </c>
      <c r="F252">
        <v>81</v>
      </c>
      <c r="G252">
        <f t="shared" si="14"/>
        <v>53</v>
      </c>
      <c r="H252">
        <f t="shared" si="15"/>
        <v>233</v>
      </c>
      <c r="I252">
        <v>539</v>
      </c>
      <c r="J252">
        <v>2337</v>
      </c>
      <c r="K252" s="18" t="s">
        <v>814</v>
      </c>
      <c r="L252" s="21">
        <v>5.4</v>
      </c>
    </row>
    <row r="253" spans="1:12" x14ac:dyDescent="0.25">
      <c r="A253" t="str">
        <f t="shared" si="12"/>
        <v>2006-F2-SX -102-678-2325</v>
      </c>
      <c r="B253" t="str">
        <f t="shared" si="13"/>
        <v>2006</v>
      </c>
      <c r="C253" s="18" t="s">
        <v>1031</v>
      </c>
      <c r="D253" t="s">
        <v>1001</v>
      </c>
      <c r="E253" t="s">
        <v>1030</v>
      </c>
      <c r="F253">
        <v>102</v>
      </c>
      <c r="G253">
        <f t="shared" si="14"/>
        <v>67</v>
      </c>
      <c r="H253">
        <f t="shared" si="15"/>
        <v>232</v>
      </c>
      <c r="I253">
        <v>678</v>
      </c>
      <c r="J253">
        <v>2325</v>
      </c>
      <c r="K253" s="18" t="s">
        <v>814</v>
      </c>
      <c r="L253" s="21">
        <v>6.8</v>
      </c>
    </row>
    <row r="254" spans="1:12" x14ac:dyDescent="0.25">
      <c r="A254" t="str">
        <f t="shared" si="12"/>
        <v>2006-F2-SX -123-750-2300</v>
      </c>
      <c r="B254" t="str">
        <f t="shared" si="13"/>
        <v>2006</v>
      </c>
      <c r="C254" s="18" t="s">
        <v>1031</v>
      </c>
      <c r="D254" t="s">
        <v>1001</v>
      </c>
      <c r="E254" t="s">
        <v>1024</v>
      </c>
      <c r="F254">
        <v>123</v>
      </c>
      <c r="G254">
        <f t="shared" si="14"/>
        <v>75</v>
      </c>
      <c r="H254">
        <f t="shared" si="15"/>
        <v>230</v>
      </c>
      <c r="I254">
        <v>750</v>
      </c>
      <c r="J254">
        <v>2300</v>
      </c>
      <c r="K254" s="18" t="s">
        <v>814</v>
      </c>
      <c r="L254" s="21">
        <v>7.3</v>
      </c>
    </row>
    <row r="255" spans="1:12" x14ac:dyDescent="0.25">
      <c r="A255" t="str">
        <f t="shared" si="12"/>
        <v>2006-F2-SX -84-579-2288</v>
      </c>
      <c r="B255" t="str">
        <f t="shared" si="13"/>
        <v>2006</v>
      </c>
      <c r="C255" s="18" t="s">
        <v>1031</v>
      </c>
      <c r="D255" t="s">
        <v>1001</v>
      </c>
      <c r="E255" t="s">
        <v>1032</v>
      </c>
      <c r="F255">
        <v>84</v>
      </c>
      <c r="G255">
        <f t="shared" si="14"/>
        <v>57</v>
      </c>
      <c r="H255">
        <f t="shared" si="15"/>
        <v>228</v>
      </c>
      <c r="I255">
        <v>579</v>
      </c>
      <c r="J255">
        <v>2288</v>
      </c>
      <c r="K255" s="18" t="s">
        <v>814</v>
      </c>
      <c r="L255" s="21">
        <v>5.9</v>
      </c>
    </row>
    <row r="256" spans="1:12" x14ac:dyDescent="0.25">
      <c r="A256" t="str">
        <f t="shared" si="12"/>
        <v>2006-F2-SX -135-800-2315</v>
      </c>
      <c r="B256" t="str">
        <f t="shared" si="13"/>
        <v>2006</v>
      </c>
      <c r="C256" s="18" t="s">
        <v>1031</v>
      </c>
      <c r="D256" t="s">
        <v>1001</v>
      </c>
      <c r="E256" t="s">
        <v>1033</v>
      </c>
      <c r="F256">
        <v>135</v>
      </c>
      <c r="G256">
        <f t="shared" si="14"/>
        <v>80</v>
      </c>
      <c r="H256">
        <f t="shared" si="15"/>
        <v>231</v>
      </c>
      <c r="I256">
        <v>800</v>
      </c>
      <c r="J256">
        <v>2315</v>
      </c>
      <c r="K256" s="18" t="s">
        <v>814</v>
      </c>
      <c r="L256" s="21">
        <v>7.8</v>
      </c>
    </row>
    <row r="257" spans="1:12" x14ac:dyDescent="0.25">
      <c r="A257" t="str">
        <f t="shared" si="12"/>
        <v>2006-F2-SX -147-850-2325</v>
      </c>
      <c r="B257" t="str">
        <f t="shared" si="13"/>
        <v>2006</v>
      </c>
      <c r="C257" s="18" t="s">
        <v>1031</v>
      </c>
      <c r="D257" t="s">
        <v>1001</v>
      </c>
      <c r="E257" t="s">
        <v>1034</v>
      </c>
      <c r="F257">
        <v>147</v>
      </c>
      <c r="G257">
        <f t="shared" si="14"/>
        <v>85</v>
      </c>
      <c r="H257">
        <f t="shared" si="15"/>
        <v>232</v>
      </c>
      <c r="I257">
        <v>850</v>
      </c>
      <c r="J257">
        <v>2325</v>
      </c>
      <c r="K257" s="18" t="s">
        <v>814</v>
      </c>
      <c r="L257" s="21">
        <v>8.3000000000000007</v>
      </c>
    </row>
    <row r="258" spans="1:12" x14ac:dyDescent="0.25">
      <c r="A258" t="str">
        <f t="shared" ref="A258:A321" si="16">_xlfn.CONCAT(B258,"-",LEFT(D258,2),"-",LEFT(E258,3),"-",F258,"-",TRUNC(I258),"-",TRUNC(J258))</f>
        <v>2007-F2-MIS-66-493-2256</v>
      </c>
      <c r="B258" t="str">
        <f t="shared" ref="B258:B321" si="17">LEFT(C258,4)</f>
        <v>2007</v>
      </c>
      <c r="C258" s="18" t="s">
        <v>1035</v>
      </c>
      <c r="D258" t="s">
        <v>1001</v>
      </c>
      <c r="E258" t="s">
        <v>1028</v>
      </c>
      <c r="F258">
        <v>66</v>
      </c>
      <c r="G258">
        <f t="shared" si="14"/>
        <v>49</v>
      </c>
      <c r="H258">
        <f t="shared" si="15"/>
        <v>225</v>
      </c>
      <c r="I258">
        <v>493</v>
      </c>
      <c r="J258">
        <v>2256</v>
      </c>
      <c r="K258" s="18" t="s">
        <v>821</v>
      </c>
      <c r="L258" s="21">
        <v>4.5</v>
      </c>
    </row>
    <row r="259" spans="1:12" x14ac:dyDescent="0.25">
      <c r="A259" t="str">
        <f t="shared" si="16"/>
        <v>2007-F2-MIS-54-432-2235</v>
      </c>
      <c r="B259" t="str">
        <f t="shared" si="17"/>
        <v>2007</v>
      </c>
      <c r="C259" s="18" t="s">
        <v>1035</v>
      </c>
      <c r="D259" t="s">
        <v>1001</v>
      </c>
      <c r="E259" t="s">
        <v>1036</v>
      </c>
      <c r="F259">
        <v>54</v>
      </c>
      <c r="G259">
        <f t="shared" ref="G259:G322" si="18">TRUNC(I259/10)</f>
        <v>43</v>
      </c>
      <c r="H259">
        <f t="shared" ref="H259:H322" si="19">TRUNC(J259/10)</f>
        <v>223</v>
      </c>
      <c r="I259">
        <v>432</v>
      </c>
      <c r="J259">
        <v>2235</v>
      </c>
      <c r="K259" s="18" t="s">
        <v>821</v>
      </c>
      <c r="L259" s="21">
        <v>3.9</v>
      </c>
    </row>
    <row r="260" spans="1:12" x14ac:dyDescent="0.25">
      <c r="A260" t="str">
        <f t="shared" si="16"/>
        <v>2008-F2-SX--81-539-2307</v>
      </c>
      <c r="B260" t="str">
        <f t="shared" si="17"/>
        <v>2008</v>
      </c>
      <c r="C260" s="18" t="s">
        <v>825</v>
      </c>
      <c r="D260" t="s">
        <v>1001</v>
      </c>
      <c r="E260" t="s">
        <v>1037</v>
      </c>
      <c r="F260">
        <v>81</v>
      </c>
      <c r="G260">
        <f t="shared" si="18"/>
        <v>53</v>
      </c>
      <c r="H260">
        <f t="shared" si="19"/>
        <v>230</v>
      </c>
      <c r="I260">
        <v>539</v>
      </c>
      <c r="J260">
        <v>2307</v>
      </c>
      <c r="K260" s="18" t="s">
        <v>826</v>
      </c>
      <c r="L260" s="21">
        <v>5.14</v>
      </c>
    </row>
    <row r="261" spans="1:12" x14ac:dyDescent="0.25">
      <c r="A261" t="str">
        <f t="shared" si="16"/>
        <v>2008-F2-SX--90-571-2312</v>
      </c>
      <c r="B261" t="str">
        <f t="shared" si="17"/>
        <v>2008</v>
      </c>
      <c r="C261" s="18" t="s">
        <v>825</v>
      </c>
      <c r="D261" t="s">
        <v>1001</v>
      </c>
      <c r="E261" t="s">
        <v>1038</v>
      </c>
      <c r="F261">
        <v>90</v>
      </c>
      <c r="G261">
        <f t="shared" si="18"/>
        <v>57</v>
      </c>
      <c r="H261">
        <f t="shared" si="19"/>
        <v>231</v>
      </c>
      <c r="I261">
        <v>571</v>
      </c>
      <c r="J261">
        <v>2312</v>
      </c>
      <c r="K261" s="18" t="s">
        <v>826</v>
      </c>
      <c r="L261" s="21">
        <v>5.36</v>
      </c>
    </row>
    <row r="262" spans="1:12" x14ac:dyDescent="0.25">
      <c r="A262" t="str">
        <f t="shared" si="16"/>
        <v>2008-F2-SX--102-678-2295</v>
      </c>
      <c r="B262" t="str">
        <f t="shared" si="17"/>
        <v>2008</v>
      </c>
      <c r="C262" s="18" t="s">
        <v>825</v>
      </c>
      <c r="D262" t="s">
        <v>1001</v>
      </c>
      <c r="E262" t="s">
        <v>1039</v>
      </c>
      <c r="F262">
        <v>102</v>
      </c>
      <c r="G262">
        <f t="shared" si="18"/>
        <v>67</v>
      </c>
      <c r="H262">
        <f t="shared" si="19"/>
        <v>229</v>
      </c>
      <c r="I262">
        <v>678</v>
      </c>
      <c r="J262">
        <v>2295</v>
      </c>
      <c r="K262" s="18" t="s">
        <v>826</v>
      </c>
      <c r="L262" s="21">
        <v>6.42</v>
      </c>
    </row>
    <row r="263" spans="1:12" x14ac:dyDescent="0.25">
      <c r="A263" t="str">
        <f t="shared" si="16"/>
        <v>2008-F2-SX--123-750-2300</v>
      </c>
      <c r="B263" t="str">
        <f t="shared" si="17"/>
        <v>2008</v>
      </c>
      <c r="C263" s="18" t="s">
        <v>825</v>
      </c>
      <c r="D263" t="s">
        <v>1001</v>
      </c>
      <c r="E263" t="s">
        <v>1040</v>
      </c>
      <c r="F263">
        <v>123</v>
      </c>
      <c r="G263">
        <f t="shared" si="18"/>
        <v>75</v>
      </c>
      <c r="H263">
        <f t="shared" si="19"/>
        <v>230</v>
      </c>
      <c r="I263">
        <v>750</v>
      </c>
      <c r="J263">
        <v>2300</v>
      </c>
      <c r="K263" s="18" t="s">
        <v>826</v>
      </c>
      <c r="L263" s="21">
        <v>6.97</v>
      </c>
    </row>
    <row r="264" spans="1:12" x14ac:dyDescent="0.25">
      <c r="A264" t="str">
        <f t="shared" si="16"/>
        <v>2008-F2-SX--135-800-2285</v>
      </c>
      <c r="B264" t="str">
        <f t="shared" si="17"/>
        <v>2008</v>
      </c>
      <c r="C264" s="18" t="s">
        <v>825</v>
      </c>
      <c r="D264" t="s">
        <v>1001</v>
      </c>
      <c r="E264" t="s">
        <v>1041</v>
      </c>
      <c r="F264">
        <v>135</v>
      </c>
      <c r="G264">
        <f t="shared" si="18"/>
        <v>80</v>
      </c>
      <c r="H264">
        <f t="shared" si="19"/>
        <v>228</v>
      </c>
      <c r="I264">
        <v>800</v>
      </c>
      <c r="J264">
        <v>2285</v>
      </c>
      <c r="K264" s="18" t="s">
        <v>826</v>
      </c>
      <c r="L264" s="21">
        <v>7.29</v>
      </c>
    </row>
    <row r="265" spans="1:12" x14ac:dyDescent="0.25">
      <c r="A265" t="str">
        <f t="shared" si="16"/>
        <v>2008-F2-SX--147-851-2295</v>
      </c>
      <c r="B265" t="str">
        <f t="shared" si="17"/>
        <v>2008</v>
      </c>
      <c r="C265" s="18" t="s">
        <v>825</v>
      </c>
      <c r="D265" t="s">
        <v>1001</v>
      </c>
      <c r="E265" t="s">
        <v>1042</v>
      </c>
      <c r="F265">
        <v>147</v>
      </c>
      <c r="G265">
        <f t="shared" si="18"/>
        <v>85</v>
      </c>
      <c r="H265">
        <f t="shared" si="19"/>
        <v>229</v>
      </c>
      <c r="I265">
        <v>851</v>
      </c>
      <c r="J265">
        <v>2295</v>
      </c>
      <c r="K265" s="18" t="s">
        <v>826</v>
      </c>
      <c r="L265" s="21">
        <v>7.81</v>
      </c>
    </row>
    <row r="266" spans="1:12" x14ac:dyDescent="0.25">
      <c r="A266" t="str">
        <f t="shared" si="16"/>
        <v>2009-F2-SX -78-560-2338</v>
      </c>
      <c r="B266" t="str">
        <f t="shared" si="17"/>
        <v>2009</v>
      </c>
      <c r="C266" s="18" t="s">
        <v>884</v>
      </c>
      <c r="D266" t="s">
        <v>1001</v>
      </c>
      <c r="E266" t="s">
        <v>1043</v>
      </c>
      <c r="F266">
        <v>78</v>
      </c>
      <c r="G266">
        <f t="shared" si="18"/>
        <v>56</v>
      </c>
      <c r="H266">
        <f t="shared" si="19"/>
        <v>233</v>
      </c>
      <c r="I266">
        <v>560</v>
      </c>
      <c r="J266">
        <v>2338</v>
      </c>
      <c r="K266" s="18" t="s">
        <v>841</v>
      </c>
      <c r="L266" s="21">
        <v>5.3</v>
      </c>
    </row>
    <row r="267" spans="1:12" x14ac:dyDescent="0.25">
      <c r="A267" t="str">
        <f t="shared" si="16"/>
        <v>2009-F2-SX -81-581-2295</v>
      </c>
      <c r="B267" t="str">
        <f t="shared" si="17"/>
        <v>2009</v>
      </c>
      <c r="C267" s="18" t="s">
        <v>884</v>
      </c>
      <c r="D267" t="s">
        <v>1001</v>
      </c>
      <c r="E267" t="s">
        <v>1044</v>
      </c>
      <c r="F267">
        <v>81</v>
      </c>
      <c r="G267">
        <f t="shared" si="18"/>
        <v>58</v>
      </c>
      <c r="H267">
        <f t="shared" si="19"/>
        <v>229</v>
      </c>
      <c r="I267">
        <v>581</v>
      </c>
      <c r="J267">
        <v>2295</v>
      </c>
      <c r="K267" s="18" t="s">
        <v>841</v>
      </c>
      <c r="L267" s="21">
        <v>5.4</v>
      </c>
    </row>
    <row r="268" spans="1:12" x14ac:dyDescent="0.25">
      <c r="A268" t="str">
        <f t="shared" si="16"/>
        <v>2009-F2-SX -91-631-2302</v>
      </c>
      <c r="B268" t="str">
        <f t="shared" si="17"/>
        <v>2009</v>
      </c>
      <c r="C268" s="18" t="s">
        <v>884</v>
      </c>
      <c r="D268" t="s">
        <v>1001</v>
      </c>
      <c r="E268" t="s">
        <v>1045</v>
      </c>
      <c r="F268">
        <v>91</v>
      </c>
      <c r="G268">
        <f t="shared" si="18"/>
        <v>63</v>
      </c>
      <c r="H268">
        <f t="shared" si="19"/>
        <v>230</v>
      </c>
      <c r="I268">
        <v>631</v>
      </c>
      <c r="J268">
        <v>2302</v>
      </c>
      <c r="K268" s="18" t="s">
        <v>841</v>
      </c>
      <c r="L268" s="21">
        <v>5.8</v>
      </c>
    </row>
    <row r="269" spans="1:12" x14ac:dyDescent="0.25">
      <c r="A269" t="str">
        <f t="shared" si="16"/>
        <v>2009-F2-SX -105-681-2309</v>
      </c>
      <c r="B269" t="str">
        <f t="shared" si="17"/>
        <v>2009</v>
      </c>
      <c r="C269" s="18" t="s">
        <v>884</v>
      </c>
      <c r="D269" t="s">
        <v>1001</v>
      </c>
      <c r="E269" t="s">
        <v>1046</v>
      </c>
      <c r="F269">
        <v>105</v>
      </c>
      <c r="G269">
        <f t="shared" si="18"/>
        <v>68</v>
      </c>
      <c r="H269">
        <f t="shared" si="19"/>
        <v>230</v>
      </c>
      <c r="I269">
        <v>681</v>
      </c>
      <c r="J269">
        <v>2309</v>
      </c>
      <c r="K269" s="18" t="s">
        <v>841</v>
      </c>
      <c r="L269" s="21">
        <v>6.2</v>
      </c>
    </row>
    <row r="270" spans="1:12" x14ac:dyDescent="0.25">
      <c r="A270" t="str">
        <f t="shared" si="16"/>
        <v>2009-F2-SX -119-771-2309</v>
      </c>
      <c r="B270" t="str">
        <f t="shared" si="17"/>
        <v>2009</v>
      </c>
      <c r="C270" s="18" t="s">
        <v>884</v>
      </c>
      <c r="D270" t="s">
        <v>1001</v>
      </c>
      <c r="E270" t="s">
        <v>1047</v>
      </c>
      <c r="F270">
        <v>119</v>
      </c>
      <c r="G270">
        <f t="shared" si="18"/>
        <v>77</v>
      </c>
      <c r="H270">
        <f t="shared" si="19"/>
        <v>230</v>
      </c>
      <c r="I270">
        <v>771</v>
      </c>
      <c r="J270">
        <v>2309</v>
      </c>
      <c r="K270" s="18" t="s">
        <v>841</v>
      </c>
      <c r="L270" s="21">
        <v>6.8</v>
      </c>
    </row>
    <row r="271" spans="1:12" x14ac:dyDescent="0.25">
      <c r="A271" t="str">
        <f t="shared" si="16"/>
        <v>2009-F2-SX8-132-811-2308</v>
      </c>
      <c r="B271" t="str">
        <f t="shared" si="17"/>
        <v>2009</v>
      </c>
      <c r="C271" s="18" t="s">
        <v>884</v>
      </c>
      <c r="D271" t="s">
        <v>1001</v>
      </c>
      <c r="E271" t="s">
        <v>1048</v>
      </c>
      <c r="F271">
        <v>132</v>
      </c>
      <c r="G271">
        <f t="shared" si="18"/>
        <v>81</v>
      </c>
      <c r="H271">
        <f t="shared" si="19"/>
        <v>230</v>
      </c>
      <c r="I271">
        <v>811</v>
      </c>
      <c r="J271">
        <v>2308</v>
      </c>
      <c r="K271" s="18" t="s">
        <v>841</v>
      </c>
      <c r="L271" s="21">
        <v>7.2</v>
      </c>
    </row>
    <row r="272" spans="1:12" x14ac:dyDescent="0.25">
      <c r="A272" t="str">
        <f t="shared" si="16"/>
        <v>2009-F2-SX8-147-851-2295</v>
      </c>
      <c r="B272" t="str">
        <f t="shared" si="17"/>
        <v>2009</v>
      </c>
      <c r="C272" s="18" t="s">
        <v>884</v>
      </c>
      <c r="D272" t="s">
        <v>1001</v>
      </c>
      <c r="E272" t="s">
        <v>1049</v>
      </c>
      <c r="F272">
        <v>147</v>
      </c>
      <c r="G272">
        <f t="shared" si="18"/>
        <v>85</v>
      </c>
      <c r="H272">
        <f t="shared" si="19"/>
        <v>229</v>
      </c>
      <c r="I272">
        <v>851</v>
      </c>
      <c r="J272">
        <v>2295</v>
      </c>
      <c r="K272" s="18" t="s">
        <v>841</v>
      </c>
      <c r="L272" s="21">
        <v>7.8</v>
      </c>
    </row>
    <row r="273" spans="1:12" x14ac:dyDescent="0.25">
      <c r="A273" t="str">
        <f t="shared" si="16"/>
        <v>2010-F2-SX--78-560-2338</v>
      </c>
      <c r="B273" t="str">
        <f t="shared" si="17"/>
        <v>2010</v>
      </c>
      <c r="C273" s="18" t="s">
        <v>840</v>
      </c>
      <c r="D273" t="s">
        <v>1001</v>
      </c>
      <c r="E273" t="s">
        <v>1050</v>
      </c>
      <c r="F273">
        <v>78</v>
      </c>
      <c r="G273">
        <f t="shared" si="18"/>
        <v>56</v>
      </c>
      <c r="H273">
        <f t="shared" si="19"/>
        <v>233</v>
      </c>
      <c r="I273">
        <v>560</v>
      </c>
      <c r="J273">
        <v>2338</v>
      </c>
      <c r="K273" s="18" t="s">
        <v>844</v>
      </c>
      <c r="L273" s="21">
        <v>5.3</v>
      </c>
    </row>
    <row r="274" spans="1:12" x14ac:dyDescent="0.25">
      <c r="A274" t="str">
        <f t="shared" si="16"/>
        <v>2010-F2-SX--81-581-2295</v>
      </c>
      <c r="B274" t="str">
        <f t="shared" si="17"/>
        <v>2010</v>
      </c>
      <c r="C274" s="18" t="s">
        <v>840</v>
      </c>
      <c r="D274" t="s">
        <v>1001</v>
      </c>
      <c r="E274" t="s">
        <v>1051</v>
      </c>
      <c r="F274">
        <v>81</v>
      </c>
      <c r="G274">
        <f t="shared" si="18"/>
        <v>58</v>
      </c>
      <c r="H274">
        <f t="shared" si="19"/>
        <v>229</v>
      </c>
      <c r="I274">
        <v>581</v>
      </c>
      <c r="J274">
        <v>2295</v>
      </c>
      <c r="K274" s="18" t="s">
        <v>844</v>
      </c>
      <c r="L274" s="21">
        <v>5.4</v>
      </c>
    </row>
    <row r="275" spans="1:12" x14ac:dyDescent="0.25">
      <c r="A275" t="str">
        <f t="shared" si="16"/>
        <v>2010-F2-SX--91-631-2302</v>
      </c>
      <c r="B275" t="str">
        <f t="shared" si="17"/>
        <v>2010</v>
      </c>
      <c r="C275" s="18" t="s">
        <v>840</v>
      </c>
      <c r="D275" t="s">
        <v>1001</v>
      </c>
      <c r="E275" t="s">
        <v>1052</v>
      </c>
      <c r="F275">
        <v>91</v>
      </c>
      <c r="G275">
        <f t="shared" si="18"/>
        <v>63</v>
      </c>
      <c r="H275">
        <f t="shared" si="19"/>
        <v>230</v>
      </c>
      <c r="I275">
        <v>631</v>
      </c>
      <c r="J275">
        <v>2302</v>
      </c>
      <c r="K275" s="18" t="s">
        <v>844</v>
      </c>
      <c r="L275" s="21">
        <v>5.8</v>
      </c>
    </row>
    <row r="276" spans="1:12" x14ac:dyDescent="0.25">
      <c r="A276" t="str">
        <f t="shared" si="16"/>
        <v>2010-F2-SX--105-681-2309</v>
      </c>
      <c r="B276" t="str">
        <f t="shared" si="17"/>
        <v>2010</v>
      </c>
      <c r="C276" s="18" t="s">
        <v>840</v>
      </c>
      <c r="D276" t="s">
        <v>1001</v>
      </c>
      <c r="E276" t="s">
        <v>1053</v>
      </c>
      <c r="F276">
        <v>105</v>
      </c>
      <c r="G276">
        <f t="shared" si="18"/>
        <v>68</v>
      </c>
      <c r="H276">
        <f t="shared" si="19"/>
        <v>230</v>
      </c>
      <c r="I276">
        <v>681</v>
      </c>
      <c r="J276">
        <v>2309</v>
      </c>
      <c r="K276" s="18" t="s">
        <v>844</v>
      </c>
      <c r="L276" s="21">
        <v>6.2</v>
      </c>
    </row>
    <row r="277" spans="1:12" x14ac:dyDescent="0.25">
      <c r="A277" t="str">
        <f t="shared" si="16"/>
        <v>2010-F2-SX--119-771-2309</v>
      </c>
      <c r="B277" t="str">
        <f t="shared" si="17"/>
        <v>2010</v>
      </c>
      <c r="C277" s="18" t="s">
        <v>840</v>
      </c>
      <c r="D277" t="s">
        <v>1001</v>
      </c>
      <c r="E277" t="s">
        <v>1054</v>
      </c>
      <c r="F277">
        <v>119</v>
      </c>
      <c r="G277">
        <f t="shared" si="18"/>
        <v>77</v>
      </c>
      <c r="H277">
        <f t="shared" si="19"/>
        <v>230</v>
      </c>
      <c r="I277">
        <v>771</v>
      </c>
      <c r="J277">
        <v>2309</v>
      </c>
      <c r="K277" s="18" t="s">
        <v>844</v>
      </c>
      <c r="L277" s="21">
        <v>6.8</v>
      </c>
    </row>
    <row r="278" spans="1:12" x14ac:dyDescent="0.25">
      <c r="A278" t="str">
        <f t="shared" si="16"/>
        <v>2010-F2-SX--132-811-2308</v>
      </c>
      <c r="B278" t="str">
        <f t="shared" si="17"/>
        <v>2010</v>
      </c>
      <c r="C278" s="18" t="s">
        <v>840</v>
      </c>
      <c r="D278" t="s">
        <v>1001</v>
      </c>
      <c r="E278" t="s">
        <v>1055</v>
      </c>
      <c r="F278">
        <v>132</v>
      </c>
      <c r="G278">
        <f t="shared" si="18"/>
        <v>81</v>
      </c>
      <c r="H278">
        <f t="shared" si="19"/>
        <v>230</v>
      </c>
      <c r="I278">
        <v>811</v>
      </c>
      <c r="J278">
        <v>2308</v>
      </c>
      <c r="K278" s="18" t="s">
        <v>844</v>
      </c>
      <c r="L278" s="21">
        <v>7.2</v>
      </c>
    </row>
    <row r="279" spans="1:12" x14ac:dyDescent="0.25">
      <c r="A279" t="str">
        <f t="shared" si="16"/>
        <v>2011-F2-SX--91-585-2366</v>
      </c>
      <c r="B279" t="str">
        <f t="shared" si="17"/>
        <v>2011</v>
      </c>
      <c r="C279" s="18" t="s">
        <v>846</v>
      </c>
      <c r="D279" t="s">
        <v>1001</v>
      </c>
      <c r="E279" t="s">
        <v>1056</v>
      </c>
      <c r="F279">
        <v>91</v>
      </c>
      <c r="G279">
        <f t="shared" si="18"/>
        <v>58</v>
      </c>
      <c r="H279">
        <f t="shared" si="19"/>
        <v>236</v>
      </c>
      <c r="I279">
        <v>585</v>
      </c>
      <c r="J279">
        <v>2366</v>
      </c>
      <c r="K279" s="18" t="s">
        <v>847</v>
      </c>
      <c r="L279" s="21">
        <v>5.6</v>
      </c>
    </row>
    <row r="280" spans="1:12" x14ac:dyDescent="0.25">
      <c r="A280" t="str">
        <f t="shared" si="16"/>
        <v>2011-F2-SX--111-693-2298</v>
      </c>
      <c r="B280" t="str">
        <f t="shared" si="17"/>
        <v>2011</v>
      </c>
      <c r="C280" s="18" t="s">
        <v>846</v>
      </c>
      <c r="D280" t="s">
        <v>1001</v>
      </c>
      <c r="E280" t="s">
        <v>1057</v>
      </c>
      <c r="F280">
        <v>111</v>
      </c>
      <c r="G280">
        <f t="shared" si="18"/>
        <v>69</v>
      </c>
      <c r="H280">
        <f t="shared" si="19"/>
        <v>229</v>
      </c>
      <c r="I280">
        <v>693</v>
      </c>
      <c r="J280">
        <v>2298</v>
      </c>
      <c r="K280" s="18" t="s">
        <v>847</v>
      </c>
      <c r="L280" s="21">
        <v>6.4</v>
      </c>
    </row>
    <row r="281" spans="1:12" x14ac:dyDescent="0.25">
      <c r="A281" t="str">
        <f t="shared" si="16"/>
        <v>2011-F2-SX--134-812-2307</v>
      </c>
      <c r="B281" t="str">
        <f t="shared" si="17"/>
        <v>2011</v>
      </c>
      <c r="C281" s="18" t="s">
        <v>846</v>
      </c>
      <c r="D281" t="s">
        <v>1001</v>
      </c>
      <c r="E281" t="s">
        <v>1058</v>
      </c>
      <c r="F281">
        <v>134</v>
      </c>
      <c r="G281">
        <f t="shared" si="18"/>
        <v>81</v>
      </c>
      <c r="H281">
        <f t="shared" si="19"/>
        <v>230</v>
      </c>
      <c r="I281">
        <v>812</v>
      </c>
      <c r="J281">
        <v>2307</v>
      </c>
      <c r="K281" s="18" t="s">
        <v>847</v>
      </c>
      <c r="L281" s="21">
        <v>7.3</v>
      </c>
    </row>
    <row r="282" spans="1:12" x14ac:dyDescent="0.25">
      <c r="A282" t="str">
        <f t="shared" si="16"/>
        <v>2011-F2-SX--147-850-2295</v>
      </c>
      <c r="B282" t="str">
        <f t="shared" si="17"/>
        <v>2011</v>
      </c>
      <c r="C282" s="18" t="s">
        <v>846</v>
      </c>
      <c r="D282" t="s">
        <v>1001</v>
      </c>
      <c r="E282" t="s">
        <v>1059</v>
      </c>
      <c r="F282">
        <v>147</v>
      </c>
      <c r="G282">
        <f t="shared" si="18"/>
        <v>85</v>
      </c>
      <c r="H282">
        <f t="shared" si="19"/>
        <v>229</v>
      </c>
      <c r="I282">
        <v>850</v>
      </c>
      <c r="J282">
        <v>2295</v>
      </c>
      <c r="K282" s="18" t="s">
        <v>847</v>
      </c>
      <c r="L282" s="21">
        <v>7.8</v>
      </c>
    </row>
    <row r="283" spans="1:12" x14ac:dyDescent="0.25">
      <c r="A283" t="str">
        <f t="shared" si="16"/>
        <v>2011-F2-SX--91-585-2366</v>
      </c>
      <c r="B283" t="str">
        <f t="shared" si="17"/>
        <v>2011</v>
      </c>
      <c r="C283" s="18" t="s">
        <v>846</v>
      </c>
      <c r="D283" t="s">
        <v>1001</v>
      </c>
      <c r="E283" t="s">
        <v>1060</v>
      </c>
      <c r="F283">
        <v>91</v>
      </c>
      <c r="G283">
        <f t="shared" si="18"/>
        <v>58</v>
      </c>
      <c r="H283">
        <f t="shared" si="19"/>
        <v>236</v>
      </c>
      <c r="I283">
        <v>585</v>
      </c>
      <c r="J283">
        <v>2366</v>
      </c>
      <c r="K283" s="18" t="s">
        <v>847</v>
      </c>
      <c r="L283" s="21">
        <v>5.3</v>
      </c>
    </row>
    <row r="284" spans="1:12" x14ac:dyDescent="0.25">
      <c r="A284" t="str">
        <f t="shared" si="16"/>
        <v>2011-F2-SX--111-693-2298</v>
      </c>
      <c r="B284" t="str">
        <f t="shared" si="17"/>
        <v>2011</v>
      </c>
      <c r="C284" s="18" t="s">
        <v>846</v>
      </c>
      <c r="D284" t="s">
        <v>1001</v>
      </c>
      <c r="E284" t="s">
        <v>1061</v>
      </c>
      <c r="F284">
        <v>111</v>
      </c>
      <c r="G284">
        <f t="shared" si="18"/>
        <v>69</v>
      </c>
      <c r="H284">
        <f t="shared" si="19"/>
        <v>229</v>
      </c>
      <c r="I284">
        <v>693</v>
      </c>
      <c r="J284">
        <v>2298</v>
      </c>
      <c r="K284" s="18" t="s">
        <v>847</v>
      </c>
      <c r="L284" s="21">
        <v>5.9</v>
      </c>
    </row>
    <row r="285" spans="1:12" x14ac:dyDescent="0.25">
      <c r="A285" t="str">
        <f t="shared" si="16"/>
        <v>2011-F2-SX--134-812-2307</v>
      </c>
      <c r="B285" t="str">
        <f t="shared" si="17"/>
        <v>2011</v>
      </c>
      <c r="C285" s="18" t="s">
        <v>846</v>
      </c>
      <c r="D285" t="s">
        <v>1001</v>
      </c>
      <c r="E285" t="s">
        <v>1062</v>
      </c>
      <c r="F285">
        <v>134</v>
      </c>
      <c r="G285">
        <f t="shared" si="18"/>
        <v>81</v>
      </c>
      <c r="H285">
        <f t="shared" si="19"/>
        <v>230</v>
      </c>
      <c r="I285">
        <v>812</v>
      </c>
      <c r="J285">
        <v>2307</v>
      </c>
      <c r="K285" s="18" t="s">
        <v>847</v>
      </c>
      <c r="L285" s="21">
        <v>6.8</v>
      </c>
    </row>
    <row r="286" spans="1:12" x14ac:dyDescent="0.25">
      <c r="A286" t="str">
        <f t="shared" si="16"/>
        <v>2011-F2-SX--147-850-2295</v>
      </c>
      <c r="B286" t="str">
        <f t="shared" si="17"/>
        <v>2011</v>
      </c>
      <c r="C286" s="18" t="s">
        <v>846</v>
      </c>
      <c r="D286" t="s">
        <v>1001</v>
      </c>
      <c r="E286" t="s">
        <v>1063</v>
      </c>
      <c r="F286">
        <v>147</v>
      </c>
      <c r="G286">
        <f t="shared" si="18"/>
        <v>85</v>
      </c>
      <c r="H286">
        <f t="shared" si="19"/>
        <v>229</v>
      </c>
      <c r="I286">
        <v>850</v>
      </c>
      <c r="J286">
        <v>2295</v>
      </c>
      <c r="K286" s="18" t="s">
        <v>847</v>
      </c>
      <c r="L286" s="21">
        <v>7.3</v>
      </c>
    </row>
    <row r="287" spans="1:12" x14ac:dyDescent="0.25">
      <c r="A287" t="str">
        <f t="shared" si="16"/>
        <v>2012-F2-SX--150-850-2297</v>
      </c>
      <c r="B287" t="str">
        <f t="shared" si="17"/>
        <v>2012</v>
      </c>
      <c r="C287" s="18" t="s">
        <v>928</v>
      </c>
      <c r="D287" t="s">
        <v>1001</v>
      </c>
      <c r="E287" t="s">
        <v>1059</v>
      </c>
      <c r="F287">
        <v>150</v>
      </c>
      <c r="G287">
        <f t="shared" si="18"/>
        <v>85</v>
      </c>
      <c r="H287">
        <f t="shared" si="19"/>
        <v>229</v>
      </c>
      <c r="I287">
        <v>850</v>
      </c>
      <c r="J287">
        <v>2297</v>
      </c>
      <c r="K287" s="18" t="s">
        <v>847</v>
      </c>
      <c r="L287" s="21">
        <v>7.3</v>
      </c>
    </row>
    <row r="288" spans="1:12" x14ac:dyDescent="0.25">
      <c r="A288" t="str">
        <f t="shared" si="16"/>
        <v>2012-F2-SX--150-850-2297</v>
      </c>
      <c r="B288" t="str">
        <f t="shared" si="17"/>
        <v>2012</v>
      </c>
      <c r="C288" s="18" t="s">
        <v>928</v>
      </c>
      <c r="D288" t="s">
        <v>1001</v>
      </c>
      <c r="E288" t="s">
        <v>1063</v>
      </c>
      <c r="F288">
        <v>150</v>
      </c>
      <c r="G288">
        <f t="shared" si="18"/>
        <v>85</v>
      </c>
      <c r="H288">
        <f t="shared" si="19"/>
        <v>229</v>
      </c>
      <c r="I288">
        <v>850</v>
      </c>
      <c r="J288">
        <v>2297</v>
      </c>
      <c r="K288" s="18" t="s">
        <v>847</v>
      </c>
      <c r="L288" s="21">
        <v>7.7</v>
      </c>
    </row>
    <row r="289" spans="1:12" x14ac:dyDescent="0.25">
      <c r="A289" t="str">
        <f t="shared" si="16"/>
        <v>2013-F2-SX -124-771-2326</v>
      </c>
      <c r="B289" t="str">
        <f t="shared" si="17"/>
        <v>2013</v>
      </c>
      <c r="C289" s="18" t="s">
        <v>852</v>
      </c>
      <c r="D289" t="s">
        <v>1001</v>
      </c>
      <c r="E289" t="s">
        <v>1064</v>
      </c>
      <c r="F289">
        <v>124</v>
      </c>
      <c r="G289">
        <f t="shared" si="18"/>
        <v>77</v>
      </c>
      <c r="H289">
        <f t="shared" si="19"/>
        <v>232</v>
      </c>
      <c r="I289">
        <v>771</v>
      </c>
      <c r="J289">
        <v>2326</v>
      </c>
      <c r="K289" s="18" t="s">
        <v>853</v>
      </c>
      <c r="L289" s="21">
        <v>6.7</v>
      </c>
    </row>
    <row r="290" spans="1:12" x14ac:dyDescent="0.25">
      <c r="A290" t="str">
        <f t="shared" si="16"/>
        <v>2013-F2-SX -150-850-2327</v>
      </c>
      <c r="B290" t="str">
        <f t="shared" si="17"/>
        <v>2013</v>
      </c>
      <c r="C290" s="18" t="s">
        <v>852</v>
      </c>
      <c r="D290" t="s">
        <v>1001</v>
      </c>
      <c r="E290" t="s">
        <v>1065</v>
      </c>
      <c r="F290">
        <v>150</v>
      </c>
      <c r="G290">
        <f t="shared" si="18"/>
        <v>85</v>
      </c>
      <c r="H290">
        <f t="shared" si="19"/>
        <v>232</v>
      </c>
      <c r="I290">
        <v>850</v>
      </c>
      <c r="J290">
        <v>2327</v>
      </c>
      <c r="K290" s="18" t="s">
        <v>853</v>
      </c>
      <c r="L290" s="21">
        <v>7.6</v>
      </c>
    </row>
    <row r="291" spans="1:12" x14ac:dyDescent="0.25">
      <c r="A291" t="str">
        <f t="shared" si="16"/>
        <v>1999-FA-FAL-136-660-2720</v>
      </c>
      <c r="B291" t="str">
        <f t="shared" si="17"/>
        <v>1999</v>
      </c>
      <c r="C291" s="18" t="s">
        <v>794</v>
      </c>
      <c r="D291" t="s">
        <v>1066</v>
      </c>
      <c r="E291" t="s">
        <v>1067</v>
      </c>
      <c r="F291">
        <v>136</v>
      </c>
      <c r="G291">
        <f t="shared" si="18"/>
        <v>66</v>
      </c>
      <c r="H291">
        <f t="shared" si="19"/>
        <v>272</v>
      </c>
      <c r="I291">
        <v>660</v>
      </c>
      <c r="J291">
        <v>2720</v>
      </c>
      <c r="K291" s="18" t="s">
        <v>795</v>
      </c>
      <c r="L291" s="21">
        <v>6.6</v>
      </c>
    </row>
    <row r="292" spans="1:12" x14ac:dyDescent="0.25">
      <c r="A292" t="str">
        <f t="shared" si="16"/>
        <v>1999-FA-FAL-146-720-2720</v>
      </c>
      <c r="B292" t="str">
        <f t="shared" si="17"/>
        <v>1999</v>
      </c>
      <c r="C292" s="18" t="s">
        <v>794</v>
      </c>
      <c r="D292" t="s">
        <v>1066</v>
      </c>
      <c r="E292" t="s">
        <v>1068</v>
      </c>
      <c r="F292">
        <v>146</v>
      </c>
      <c r="G292">
        <f t="shared" si="18"/>
        <v>72</v>
      </c>
      <c r="H292">
        <f t="shared" si="19"/>
        <v>272</v>
      </c>
      <c r="I292">
        <v>720</v>
      </c>
      <c r="J292">
        <v>2720</v>
      </c>
      <c r="K292" s="18" t="s">
        <v>795</v>
      </c>
      <c r="L292" s="21">
        <v>7.2</v>
      </c>
    </row>
    <row r="293" spans="1:12" x14ac:dyDescent="0.25">
      <c r="A293" t="str">
        <f t="shared" si="16"/>
        <v>2000-FA-FAL-152-740-2740</v>
      </c>
      <c r="B293" t="str">
        <f t="shared" si="17"/>
        <v>2000</v>
      </c>
      <c r="C293" s="18" t="s">
        <v>797</v>
      </c>
      <c r="D293" t="s">
        <v>1066</v>
      </c>
      <c r="E293" t="s">
        <v>1069</v>
      </c>
      <c r="F293">
        <v>152</v>
      </c>
      <c r="G293">
        <f t="shared" si="18"/>
        <v>74</v>
      </c>
      <c r="H293">
        <f t="shared" si="19"/>
        <v>274</v>
      </c>
      <c r="I293">
        <v>740</v>
      </c>
      <c r="J293">
        <v>2740</v>
      </c>
      <c r="K293" s="18" t="s">
        <v>798</v>
      </c>
      <c r="L293" s="21">
        <v>7.4</v>
      </c>
    </row>
    <row r="294" spans="1:12" x14ac:dyDescent="0.25">
      <c r="A294" t="str">
        <f t="shared" si="16"/>
        <v>1999-FA-FAL-83-530-2680</v>
      </c>
      <c r="B294" t="str">
        <f t="shared" si="17"/>
        <v>1999</v>
      </c>
      <c r="C294" s="18" t="s">
        <v>794</v>
      </c>
      <c r="D294" t="s">
        <v>1066</v>
      </c>
      <c r="E294" t="s">
        <v>1070</v>
      </c>
      <c r="F294">
        <v>83</v>
      </c>
      <c r="G294">
        <f t="shared" si="18"/>
        <v>53</v>
      </c>
      <c r="H294">
        <f t="shared" si="19"/>
        <v>268</v>
      </c>
      <c r="I294">
        <v>530</v>
      </c>
      <c r="J294">
        <v>2680</v>
      </c>
      <c r="K294" s="18" t="s">
        <v>795</v>
      </c>
      <c r="L294" s="21">
        <v>5.4</v>
      </c>
    </row>
    <row r="295" spans="1:12" x14ac:dyDescent="0.25">
      <c r="A295" t="str">
        <f t="shared" si="16"/>
        <v>1999-FA-FAL-100-550-2770</v>
      </c>
      <c r="B295" t="str">
        <f t="shared" si="17"/>
        <v>1999</v>
      </c>
      <c r="C295" s="18" t="s">
        <v>794</v>
      </c>
      <c r="D295" t="s">
        <v>1066</v>
      </c>
      <c r="E295" t="s">
        <v>1071</v>
      </c>
      <c r="F295">
        <v>100</v>
      </c>
      <c r="G295">
        <f t="shared" si="18"/>
        <v>55</v>
      </c>
      <c r="H295">
        <f t="shared" si="19"/>
        <v>277</v>
      </c>
      <c r="I295">
        <v>550</v>
      </c>
      <c r="J295">
        <v>2770</v>
      </c>
      <c r="K295" s="18" t="s">
        <v>795</v>
      </c>
      <c r="L295" s="21">
        <v>5.9</v>
      </c>
    </row>
    <row r="296" spans="1:12" x14ac:dyDescent="0.25">
      <c r="A296" t="str">
        <f t="shared" si="16"/>
        <v>2000-FA-FAL-94-560-2740</v>
      </c>
      <c r="B296" t="str">
        <f t="shared" si="17"/>
        <v>2000</v>
      </c>
      <c r="C296" s="18" t="s">
        <v>797</v>
      </c>
      <c r="D296" t="s">
        <v>1066</v>
      </c>
      <c r="E296" t="s">
        <v>1072</v>
      </c>
      <c r="F296">
        <v>94</v>
      </c>
      <c r="G296">
        <f t="shared" si="18"/>
        <v>56</v>
      </c>
      <c r="H296">
        <f t="shared" si="19"/>
        <v>274</v>
      </c>
      <c r="I296">
        <v>560</v>
      </c>
      <c r="J296">
        <v>2740</v>
      </c>
      <c r="K296" s="18" t="s">
        <v>798</v>
      </c>
      <c r="L296" s="21">
        <v>6.2</v>
      </c>
    </row>
    <row r="297" spans="1:12" x14ac:dyDescent="0.25">
      <c r="A297" t="str">
        <f t="shared" si="16"/>
        <v>1997-FA-FAL-92-530-2700</v>
      </c>
      <c r="B297" t="str">
        <f t="shared" si="17"/>
        <v>1997</v>
      </c>
      <c r="C297" s="18" t="s">
        <v>1074</v>
      </c>
      <c r="D297" t="s">
        <v>1066</v>
      </c>
      <c r="E297" t="s">
        <v>1073</v>
      </c>
      <c r="F297">
        <v>92</v>
      </c>
      <c r="G297">
        <f t="shared" si="18"/>
        <v>53</v>
      </c>
      <c r="H297">
        <f t="shared" si="19"/>
        <v>270</v>
      </c>
      <c r="I297">
        <v>530</v>
      </c>
      <c r="J297">
        <v>2700</v>
      </c>
      <c r="K297" s="18" t="s">
        <v>900</v>
      </c>
      <c r="L297" s="21">
        <v>5.7</v>
      </c>
    </row>
    <row r="298" spans="1:12" x14ac:dyDescent="0.25">
      <c r="A298" t="str">
        <f t="shared" si="16"/>
        <v>2003-FA-FAL-96-720-2530</v>
      </c>
      <c r="B298" t="str">
        <f t="shared" si="17"/>
        <v>2003</v>
      </c>
      <c r="C298" s="18" t="s">
        <v>800</v>
      </c>
      <c r="D298" t="s">
        <v>1066</v>
      </c>
      <c r="E298" t="s">
        <v>1075</v>
      </c>
      <c r="F298">
        <v>96</v>
      </c>
      <c r="G298">
        <f t="shared" si="18"/>
        <v>72</v>
      </c>
      <c r="H298">
        <f t="shared" si="19"/>
        <v>253</v>
      </c>
      <c r="I298">
        <v>720</v>
      </c>
      <c r="J298">
        <v>2530</v>
      </c>
      <c r="K298" s="18" t="s">
        <v>801</v>
      </c>
      <c r="L298" s="21">
        <v>6</v>
      </c>
    </row>
    <row r="299" spans="1:12" x14ac:dyDescent="0.25">
      <c r="A299" t="str">
        <f t="shared" si="16"/>
        <v>2004-FA-FAL-114-740-2500</v>
      </c>
      <c r="B299" t="str">
        <f t="shared" si="17"/>
        <v>2004</v>
      </c>
      <c r="C299" s="18" t="s">
        <v>1077</v>
      </c>
      <c r="D299" t="s">
        <v>1066</v>
      </c>
      <c r="E299" t="s">
        <v>1076</v>
      </c>
      <c r="F299">
        <v>114</v>
      </c>
      <c r="G299">
        <f t="shared" si="18"/>
        <v>74</v>
      </c>
      <c r="H299">
        <f t="shared" si="19"/>
        <v>250</v>
      </c>
      <c r="I299">
        <v>740</v>
      </c>
      <c r="J299">
        <v>2500</v>
      </c>
      <c r="K299" s="18" t="s">
        <v>804</v>
      </c>
      <c r="L299" s="21">
        <v>6.3</v>
      </c>
    </row>
    <row r="300" spans="1:12" x14ac:dyDescent="0.25">
      <c r="A300" t="str">
        <f t="shared" si="16"/>
        <v>2004-FA-FAL-78-600-2500</v>
      </c>
      <c r="B300" t="str">
        <f t="shared" si="17"/>
        <v>2004</v>
      </c>
      <c r="C300" s="18" t="s">
        <v>1077</v>
      </c>
      <c r="D300" t="s">
        <v>1066</v>
      </c>
      <c r="E300" t="s">
        <v>1078</v>
      </c>
      <c r="F300">
        <v>78</v>
      </c>
      <c r="G300">
        <f t="shared" si="18"/>
        <v>60</v>
      </c>
      <c r="H300">
        <f t="shared" si="19"/>
        <v>250</v>
      </c>
      <c r="I300">
        <v>600</v>
      </c>
      <c r="J300">
        <v>2500</v>
      </c>
      <c r="K300" s="18" t="s">
        <v>804</v>
      </c>
      <c r="L300" s="21">
        <v>5.7</v>
      </c>
    </row>
    <row r="301" spans="1:12" x14ac:dyDescent="0.25">
      <c r="A301" t="str">
        <f t="shared" si="16"/>
        <v>2005-FA-FAL-102-672-2500</v>
      </c>
      <c r="B301" t="str">
        <f t="shared" si="17"/>
        <v>2005</v>
      </c>
      <c r="C301" s="18" t="s">
        <v>811</v>
      </c>
      <c r="D301" t="s">
        <v>1066</v>
      </c>
      <c r="E301" t="s">
        <v>1079</v>
      </c>
      <c r="F301">
        <v>102</v>
      </c>
      <c r="G301">
        <f t="shared" si="18"/>
        <v>67</v>
      </c>
      <c r="H301">
        <f t="shared" si="19"/>
        <v>250</v>
      </c>
      <c r="I301">
        <v>672</v>
      </c>
      <c r="J301">
        <v>2500</v>
      </c>
      <c r="K301" s="18" t="s">
        <v>896</v>
      </c>
      <c r="L301" s="21">
        <v>6</v>
      </c>
    </row>
    <row r="302" spans="1:12" x14ac:dyDescent="0.25">
      <c r="A302" t="str">
        <f t="shared" si="16"/>
        <v>2006-FA-FAL-132-796-2460</v>
      </c>
      <c r="B302" t="str">
        <f t="shared" si="17"/>
        <v>2006</v>
      </c>
      <c r="C302" s="18" t="s">
        <v>813</v>
      </c>
      <c r="D302" t="s">
        <v>1066</v>
      </c>
      <c r="E302" t="s">
        <v>1080</v>
      </c>
      <c r="F302">
        <v>132</v>
      </c>
      <c r="G302">
        <f t="shared" si="18"/>
        <v>79</v>
      </c>
      <c r="H302">
        <f t="shared" si="19"/>
        <v>246</v>
      </c>
      <c r="I302">
        <v>796</v>
      </c>
      <c r="J302">
        <v>2460</v>
      </c>
      <c r="K302" s="18" t="s">
        <v>896</v>
      </c>
      <c r="L302" s="21">
        <v>6.9</v>
      </c>
    </row>
    <row r="303" spans="1:12" x14ac:dyDescent="0.25">
      <c r="A303" t="str">
        <f t="shared" si="16"/>
        <v>2006-FA-FAL-111-691-2457</v>
      </c>
      <c r="B303" t="str">
        <f t="shared" si="17"/>
        <v>2006</v>
      </c>
      <c r="C303" s="18" t="s">
        <v>813</v>
      </c>
      <c r="D303" t="s">
        <v>1066</v>
      </c>
      <c r="E303" t="s">
        <v>1081</v>
      </c>
      <c r="F303">
        <v>111</v>
      </c>
      <c r="G303">
        <f t="shared" si="18"/>
        <v>69</v>
      </c>
      <c r="H303">
        <f t="shared" si="19"/>
        <v>245</v>
      </c>
      <c r="I303">
        <v>691</v>
      </c>
      <c r="J303">
        <v>2457</v>
      </c>
      <c r="K303" s="18" t="s">
        <v>896</v>
      </c>
      <c r="L303" s="21">
        <v>6.4</v>
      </c>
    </row>
    <row r="304" spans="1:12" x14ac:dyDescent="0.25">
      <c r="A304" t="str">
        <f t="shared" si="16"/>
        <v>2006-FA-FAL-90-611-2450</v>
      </c>
      <c r="B304" t="str">
        <f t="shared" si="17"/>
        <v>2006</v>
      </c>
      <c r="C304" s="18" t="s">
        <v>813</v>
      </c>
      <c r="D304" t="s">
        <v>1066</v>
      </c>
      <c r="E304" t="s">
        <v>1082</v>
      </c>
      <c r="F304">
        <v>90</v>
      </c>
      <c r="G304">
        <f t="shared" si="18"/>
        <v>61</v>
      </c>
      <c r="H304">
        <f t="shared" si="19"/>
        <v>245</v>
      </c>
      <c r="I304">
        <v>611</v>
      </c>
      <c r="J304">
        <v>2450</v>
      </c>
      <c r="K304" s="18" t="s">
        <v>896</v>
      </c>
      <c r="L304" s="21">
        <v>5.7</v>
      </c>
    </row>
    <row r="305" spans="1:12" x14ac:dyDescent="0.25">
      <c r="A305" t="str">
        <f t="shared" si="16"/>
        <v>2007-FA-FAL-78-549-2445</v>
      </c>
      <c r="B305" t="str">
        <f t="shared" si="17"/>
        <v>2007</v>
      </c>
      <c r="C305" s="18" t="s">
        <v>820</v>
      </c>
      <c r="D305" t="s">
        <v>1066</v>
      </c>
      <c r="E305" t="s">
        <v>1083</v>
      </c>
      <c r="F305">
        <v>78</v>
      </c>
      <c r="G305">
        <f t="shared" si="18"/>
        <v>54</v>
      </c>
      <c r="H305">
        <f t="shared" si="19"/>
        <v>244</v>
      </c>
      <c r="I305">
        <v>549</v>
      </c>
      <c r="J305">
        <v>2445</v>
      </c>
      <c r="K305" s="18" t="s">
        <v>814</v>
      </c>
      <c r="L305" s="21">
        <v>5.4</v>
      </c>
    </row>
    <row r="306" spans="1:12" x14ac:dyDescent="0.25">
      <c r="A306" t="str">
        <f t="shared" si="16"/>
        <v>2007-FA-FAL-90-612-2444</v>
      </c>
      <c r="B306" t="str">
        <f t="shared" si="17"/>
        <v>2007</v>
      </c>
      <c r="C306" s="23" t="s">
        <v>820</v>
      </c>
      <c r="D306" s="22" t="s">
        <v>1066</v>
      </c>
      <c r="E306" s="22" t="s">
        <v>1078</v>
      </c>
      <c r="F306" s="22">
        <v>90</v>
      </c>
      <c r="G306">
        <f t="shared" si="18"/>
        <v>61</v>
      </c>
      <c r="H306">
        <f t="shared" si="19"/>
        <v>244</v>
      </c>
      <c r="I306" s="22">
        <v>612</v>
      </c>
      <c r="J306" s="22">
        <v>2444</v>
      </c>
      <c r="K306" s="23" t="s">
        <v>814</v>
      </c>
      <c r="L306" s="24">
        <v>5.8</v>
      </c>
    </row>
    <row r="307" spans="1:12" x14ac:dyDescent="0.25">
      <c r="A307" t="str">
        <f t="shared" si="16"/>
        <v>2007-FA-FAL-111-676-2450</v>
      </c>
      <c r="B307" t="str">
        <f t="shared" si="17"/>
        <v>2007</v>
      </c>
      <c r="C307" s="18" t="s">
        <v>820</v>
      </c>
      <c r="D307" t="s">
        <v>1066</v>
      </c>
      <c r="E307" t="s">
        <v>1079</v>
      </c>
      <c r="F307">
        <v>111</v>
      </c>
      <c r="G307">
        <f t="shared" si="18"/>
        <v>67</v>
      </c>
      <c r="H307">
        <f t="shared" si="19"/>
        <v>245</v>
      </c>
      <c r="I307">
        <v>676</v>
      </c>
      <c r="J307">
        <v>2450</v>
      </c>
      <c r="K307" s="18" t="s">
        <v>814</v>
      </c>
      <c r="L307" s="21">
        <v>6.1</v>
      </c>
    </row>
    <row r="308" spans="1:12" x14ac:dyDescent="0.25">
      <c r="A308" t="str">
        <f t="shared" si="16"/>
        <v>2007-FA-FAL-123-761-2450</v>
      </c>
      <c r="B308" t="str">
        <f t="shared" si="17"/>
        <v>2007</v>
      </c>
      <c r="C308" s="18" t="s">
        <v>820</v>
      </c>
      <c r="D308" t="s">
        <v>1066</v>
      </c>
      <c r="E308" t="s">
        <v>1084</v>
      </c>
      <c r="F308">
        <v>123</v>
      </c>
      <c r="G308">
        <f t="shared" si="18"/>
        <v>76</v>
      </c>
      <c r="H308">
        <f t="shared" si="19"/>
        <v>245</v>
      </c>
      <c r="I308">
        <v>761</v>
      </c>
      <c r="J308">
        <v>2450</v>
      </c>
      <c r="K308" s="18" t="s">
        <v>814</v>
      </c>
      <c r="L308" s="21">
        <v>6.6</v>
      </c>
    </row>
    <row r="309" spans="1:12" x14ac:dyDescent="0.25">
      <c r="A309" t="str">
        <f t="shared" si="16"/>
        <v>2007-FA-FAL-144-852-2450</v>
      </c>
      <c r="B309" t="str">
        <f t="shared" si="17"/>
        <v>2007</v>
      </c>
      <c r="C309" s="18" t="s">
        <v>820</v>
      </c>
      <c r="D309" t="s">
        <v>1066</v>
      </c>
      <c r="E309" t="s">
        <v>1085</v>
      </c>
      <c r="F309">
        <v>144</v>
      </c>
      <c r="G309">
        <f t="shared" si="18"/>
        <v>85</v>
      </c>
      <c r="H309">
        <f t="shared" si="19"/>
        <v>245</v>
      </c>
      <c r="I309">
        <v>852</v>
      </c>
      <c r="J309">
        <v>2450</v>
      </c>
      <c r="K309" s="18" t="s">
        <v>814</v>
      </c>
      <c r="L309" s="21">
        <v>7.2</v>
      </c>
    </row>
    <row r="310" spans="1:12" x14ac:dyDescent="0.25">
      <c r="A310" t="str">
        <f t="shared" si="16"/>
        <v>2007-FA-FAL-66-481-2415</v>
      </c>
      <c r="B310" t="str">
        <f t="shared" si="17"/>
        <v>2007</v>
      </c>
      <c r="C310" s="18" t="s">
        <v>820</v>
      </c>
      <c r="D310" t="s">
        <v>1066</v>
      </c>
      <c r="E310" t="s">
        <v>504</v>
      </c>
      <c r="F310">
        <v>66</v>
      </c>
      <c r="G310">
        <f t="shared" si="18"/>
        <v>48</v>
      </c>
      <c r="H310">
        <f t="shared" si="19"/>
        <v>241</v>
      </c>
      <c r="I310">
        <v>481</v>
      </c>
      <c r="J310">
        <v>2415</v>
      </c>
      <c r="K310" s="18" t="s">
        <v>814</v>
      </c>
      <c r="L310" s="21">
        <v>4.5999999999999996</v>
      </c>
    </row>
    <row r="311" spans="1:12" x14ac:dyDescent="0.25">
      <c r="A311" t="str">
        <f t="shared" si="16"/>
        <v>2007-FA-FAL-79-551-2450</v>
      </c>
      <c r="B311" t="str">
        <f t="shared" si="17"/>
        <v>2007</v>
      </c>
      <c r="C311" s="18" t="s">
        <v>1087</v>
      </c>
      <c r="D311" t="s">
        <v>1066</v>
      </c>
      <c r="E311" t="s">
        <v>1086</v>
      </c>
      <c r="F311">
        <v>79</v>
      </c>
      <c r="G311">
        <f t="shared" si="18"/>
        <v>55</v>
      </c>
      <c r="H311">
        <f t="shared" si="19"/>
        <v>245</v>
      </c>
      <c r="I311">
        <v>551</v>
      </c>
      <c r="J311">
        <v>2450</v>
      </c>
      <c r="K311" s="18" t="s">
        <v>821</v>
      </c>
      <c r="L311" s="21">
        <v>5.7</v>
      </c>
    </row>
    <row r="312" spans="1:12" x14ac:dyDescent="0.25">
      <c r="A312" t="str">
        <f t="shared" si="16"/>
        <v>2007-FA-FAL-90-612-2444</v>
      </c>
      <c r="B312" t="str">
        <f t="shared" si="17"/>
        <v>2007</v>
      </c>
      <c r="C312" s="18" t="s">
        <v>1087</v>
      </c>
      <c r="D312" t="s">
        <v>1066</v>
      </c>
      <c r="E312" t="s">
        <v>1088</v>
      </c>
      <c r="F312">
        <v>90</v>
      </c>
      <c r="G312">
        <f t="shared" si="18"/>
        <v>61</v>
      </c>
      <c r="H312">
        <f t="shared" si="19"/>
        <v>244</v>
      </c>
      <c r="I312">
        <v>612</v>
      </c>
      <c r="J312">
        <v>2444</v>
      </c>
      <c r="K312" s="18" t="s">
        <v>821</v>
      </c>
      <c r="L312" s="21">
        <v>5.8</v>
      </c>
    </row>
    <row r="313" spans="1:12" x14ac:dyDescent="0.25">
      <c r="A313" t="str">
        <f t="shared" si="16"/>
        <v>2007-FA-FAL-104-672-2450</v>
      </c>
      <c r="B313" t="str">
        <f t="shared" si="17"/>
        <v>2007</v>
      </c>
      <c r="C313" s="18" t="s">
        <v>1087</v>
      </c>
      <c r="D313" t="s">
        <v>1066</v>
      </c>
      <c r="E313" t="s">
        <v>1089</v>
      </c>
      <c r="F313">
        <v>104</v>
      </c>
      <c r="G313">
        <f t="shared" si="18"/>
        <v>67</v>
      </c>
      <c r="H313">
        <f t="shared" si="19"/>
        <v>245</v>
      </c>
      <c r="I313">
        <v>672</v>
      </c>
      <c r="J313">
        <v>2450</v>
      </c>
      <c r="K313" s="18" t="s">
        <v>821</v>
      </c>
      <c r="L313" s="21">
        <v>5.9</v>
      </c>
    </row>
    <row r="314" spans="1:12" x14ac:dyDescent="0.25">
      <c r="A314" t="str">
        <f t="shared" si="16"/>
        <v>2007-FA-FAL-123-761-2450</v>
      </c>
      <c r="B314" t="str">
        <f t="shared" si="17"/>
        <v>2007</v>
      </c>
      <c r="C314" s="18" t="s">
        <v>1087</v>
      </c>
      <c r="D314" t="s">
        <v>1066</v>
      </c>
      <c r="E314" t="s">
        <v>1090</v>
      </c>
      <c r="F314">
        <v>123</v>
      </c>
      <c r="G314">
        <f t="shared" si="18"/>
        <v>76</v>
      </c>
      <c r="H314">
        <f t="shared" si="19"/>
        <v>245</v>
      </c>
      <c r="I314">
        <v>761</v>
      </c>
      <c r="J314">
        <v>2450</v>
      </c>
      <c r="K314" s="18" t="s">
        <v>821</v>
      </c>
      <c r="L314" s="21">
        <v>6.6</v>
      </c>
    </row>
    <row r="315" spans="1:12" x14ac:dyDescent="0.25">
      <c r="A315" t="str">
        <f t="shared" si="16"/>
        <v>2008-FA-RAY-95-588-2443</v>
      </c>
      <c r="B315" t="str">
        <f t="shared" si="17"/>
        <v>2008</v>
      </c>
      <c r="C315" s="18" t="s">
        <v>1092</v>
      </c>
      <c r="D315" t="s">
        <v>1066</v>
      </c>
      <c r="E315" t="s">
        <v>1091</v>
      </c>
      <c r="F315">
        <v>95</v>
      </c>
      <c r="G315">
        <f t="shared" si="18"/>
        <v>58</v>
      </c>
      <c r="H315">
        <f t="shared" si="19"/>
        <v>244</v>
      </c>
      <c r="I315">
        <v>588</v>
      </c>
      <c r="J315">
        <v>2443</v>
      </c>
      <c r="K315" s="18" t="s">
        <v>826</v>
      </c>
      <c r="L315" s="21">
        <v>6.5</v>
      </c>
    </row>
    <row r="316" spans="1:12" x14ac:dyDescent="0.25">
      <c r="A316" t="str">
        <f t="shared" si="16"/>
        <v>2008-FA-RAY-110-649-2445</v>
      </c>
      <c r="B316" t="str">
        <f t="shared" si="17"/>
        <v>2008</v>
      </c>
      <c r="C316" s="18" t="s">
        <v>1092</v>
      </c>
      <c r="D316" t="s">
        <v>1066</v>
      </c>
      <c r="E316" t="s">
        <v>1093</v>
      </c>
      <c r="F316">
        <v>110</v>
      </c>
      <c r="G316">
        <f t="shared" si="18"/>
        <v>64</v>
      </c>
      <c r="H316">
        <f t="shared" si="19"/>
        <v>244</v>
      </c>
      <c r="I316">
        <v>649</v>
      </c>
      <c r="J316">
        <v>2445</v>
      </c>
      <c r="K316" s="18" t="s">
        <v>826</v>
      </c>
      <c r="L316" s="21">
        <v>7</v>
      </c>
    </row>
    <row r="317" spans="1:12" x14ac:dyDescent="0.25">
      <c r="A317" t="str">
        <f t="shared" si="16"/>
        <v>2008-FA-RAY-125-700-2444</v>
      </c>
      <c r="B317" t="str">
        <f t="shared" si="17"/>
        <v>2008</v>
      </c>
      <c r="C317" s="18" t="s">
        <v>1092</v>
      </c>
      <c r="D317" t="s">
        <v>1066</v>
      </c>
      <c r="E317" t="s">
        <v>1094</v>
      </c>
      <c r="F317">
        <v>125</v>
      </c>
      <c r="G317">
        <f t="shared" si="18"/>
        <v>70</v>
      </c>
      <c r="H317">
        <f t="shared" si="19"/>
        <v>244</v>
      </c>
      <c r="I317">
        <v>700</v>
      </c>
      <c r="J317">
        <v>2444</v>
      </c>
      <c r="K317" s="18" t="s">
        <v>826</v>
      </c>
      <c r="L317" s="21">
        <v>7.5</v>
      </c>
    </row>
    <row r="318" spans="1:12" x14ac:dyDescent="0.25">
      <c r="A318" t="str">
        <f t="shared" si="16"/>
        <v>2008-FA-RAY-140-769-2446</v>
      </c>
      <c r="B318" t="str">
        <f t="shared" si="17"/>
        <v>2008</v>
      </c>
      <c r="C318" s="18" t="s">
        <v>1092</v>
      </c>
      <c r="D318" t="s">
        <v>1066</v>
      </c>
      <c r="E318" t="s">
        <v>1095</v>
      </c>
      <c r="F318">
        <v>140</v>
      </c>
      <c r="G318">
        <f t="shared" si="18"/>
        <v>76</v>
      </c>
      <c r="H318">
        <f t="shared" si="19"/>
        <v>244</v>
      </c>
      <c r="I318">
        <v>769</v>
      </c>
      <c r="J318">
        <v>2446</v>
      </c>
      <c r="K318" s="18" t="s">
        <v>826</v>
      </c>
      <c r="L318" s="21">
        <v>8.3000000000000007</v>
      </c>
    </row>
    <row r="319" spans="1:12" x14ac:dyDescent="0.25">
      <c r="A319" t="str">
        <f t="shared" si="16"/>
        <v>2008-FA-FAL-79-551-2450</v>
      </c>
      <c r="B319" t="str">
        <f t="shared" si="17"/>
        <v>2008</v>
      </c>
      <c r="C319" s="18" t="s">
        <v>1092</v>
      </c>
      <c r="D319" t="s">
        <v>1066</v>
      </c>
      <c r="E319" t="s">
        <v>1086</v>
      </c>
      <c r="F319">
        <v>79</v>
      </c>
      <c r="G319">
        <f t="shared" si="18"/>
        <v>55</v>
      </c>
      <c r="H319">
        <f t="shared" si="19"/>
        <v>245</v>
      </c>
      <c r="I319">
        <v>551</v>
      </c>
      <c r="J319">
        <v>2450</v>
      </c>
      <c r="K319" s="18" t="s">
        <v>826</v>
      </c>
      <c r="L319" s="21">
        <v>5.7</v>
      </c>
    </row>
    <row r="320" spans="1:12" x14ac:dyDescent="0.25">
      <c r="A320" t="str">
        <f t="shared" si="16"/>
        <v>2008-FA-FAL-95-609-2394</v>
      </c>
      <c r="B320" t="str">
        <f t="shared" si="17"/>
        <v>2008</v>
      </c>
      <c r="C320" s="18" t="s">
        <v>1092</v>
      </c>
      <c r="D320" t="s">
        <v>1066</v>
      </c>
      <c r="E320" t="s">
        <v>1096</v>
      </c>
      <c r="F320">
        <v>95</v>
      </c>
      <c r="G320">
        <f t="shared" si="18"/>
        <v>60</v>
      </c>
      <c r="H320">
        <f t="shared" si="19"/>
        <v>239</v>
      </c>
      <c r="I320">
        <v>609</v>
      </c>
      <c r="J320">
        <v>2394</v>
      </c>
      <c r="K320" s="18" t="s">
        <v>826</v>
      </c>
      <c r="L320" s="21">
        <v>5.5</v>
      </c>
    </row>
    <row r="321" spans="1:12" x14ac:dyDescent="0.25">
      <c r="A321" t="str">
        <f t="shared" si="16"/>
        <v>2008-FA-FAL-110-668-2394</v>
      </c>
      <c r="B321" t="str">
        <f t="shared" si="17"/>
        <v>2008</v>
      </c>
      <c r="C321" s="23" t="s">
        <v>1092</v>
      </c>
      <c r="D321" s="22" t="s">
        <v>1066</v>
      </c>
      <c r="E321" s="22" t="s">
        <v>1097</v>
      </c>
      <c r="F321" s="22">
        <v>110</v>
      </c>
      <c r="G321">
        <f t="shared" si="18"/>
        <v>66</v>
      </c>
      <c r="H321">
        <f t="shared" si="19"/>
        <v>239</v>
      </c>
      <c r="I321" s="22">
        <v>668</v>
      </c>
      <c r="J321" s="22">
        <v>2394</v>
      </c>
      <c r="K321" s="23" t="s">
        <v>826</v>
      </c>
      <c r="L321" s="24">
        <v>6.1</v>
      </c>
    </row>
    <row r="322" spans="1:12" x14ac:dyDescent="0.25">
      <c r="A322" t="str">
        <f t="shared" ref="A322:A385" si="20">_xlfn.CONCAT(B322,"-",LEFT(D322,2),"-",LEFT(E322,3),"-",F322,"-",TRUNC(I322),"-",TRUNC(J322))</f>
        <v>2008-FA-FAL-125-729-2394</v>
      </c>
      <c r="B322" t="str">
        <f t="shared" ref="B322:B385" si="21">LEFT(C322,4)</f>
        <v>2008</v>
      </c>
      <c r="C322" s="18" t="s">
        <v>1092</v>
      </c>
      <c r="D322" t="s">
        <v>1066</v>
      </c>
      <c r="E322" t="s">
        <v>1084</v>
      </c>
      <c r="F322">
        <v>125</v>
      </c>
      <c r="G322">
        <f t="shared" si="18"/>
        <v>72</v>
      </c>
      <c r="H322">
        <f t="shared" si="19"/>
        <v>239</v>
      </c>
      <c r="I322">
        <v>729</v>
      </c>
      <c r="J322">
        <v>2394</v>
      </c>
      <c r="K322" s="18" t="s">
        <v>826</v>
      </c>
      <c r="L322" s="21">
        <v>6.7</v>
      </c>
    </row>
    <row r="323" spans="1:12" x14ac:dyDescent="0.25">
      <c r="A323" t="str">
        <f t="shared" si="20"/>
        <v>2008-FA-FAL-140-789-2394</v>
      </c>
      <c r="B323" t="str">
        <f t="shared" si="21"/>
        <v>2008</v>
      </c>
      <c r="C323" s="18" t="s">
        <v>1092</v>
      </c>
      <c r="D323" t="s">
        <v>1066</v>
      </c>
      <c r="E323" t="s">
        <v>1098</v>
      </c>
      <c r="F323">
        <v>140</v>
      </c>
      <c r="G323">
        <f t="shared" ref="G323:G386" si="22">TRUNC(I323/10)</f>
        <v>78</v>
      </c>
      <c r="H323">
        <f t="shared" ref="H323:H386" si="23">TRUNC(J323/10)</f>
        <v>239</v>
      </c>
      <c r="I323">
        <v>789</v>
      </c>
      <c r="J323">
        <v>2394</v>
      </c>
      <c r="K323" s="18" t="s">
        <v>826</v>
      </c>
      <c r="L323" s="21">
        <v>7.1</v>
      </c>
    </row>
    <row r="324" spans="1:12" x14ac:dyDescent="0.25">
      <c r="A324" t="str">
        <f t="shared" si="20"/>
        <v>2009-FA-FAL-85-580-2395</v>
      </c>
      <c r="B324" t="str">
        <f t="shared" si="21"/>
        <v>2009</v>
      </c>
      <c r="C324" s="18" t="s">
        <v>1100</v>
      </c>
      <c r="D324" t="s">
        <v>1066</v>
      </c>
      <c r="E324" t="s">
        <v>1099</v>
      </c>
      <c r="F324">
        <v>85</v>
      </c>
      <c r="G324">
        <f t="shared" si="22"/>
        <v>58</v>
      </c>
      <c r="H324">
        <f t="shared" si="23"/>
        <v>239</v>
      </c>
      <c r="I324">
        <v>580</v>
      </c>
      <c r="J324">
        <v>2395</v>
      </c>
      <c r="K324" s="18" t="s">
        <v>841</v>
      </c>
      <c r="L324" s="21">
        <v>5.6</v>
      </c>
    </row>
    <row r="325" spans="1:12" x14ac:dyDescent="0.25">
      <c r="A325" t="str">
        <f t="shared" si="20"/>
        <v>2009-FA-FAL-103-631-2346</v>
      </c>
      <c r="B325" t="str">
        <f t="shared" si="21"/>
        <v>2009</v>
      </c>
      <c r="C325" s="18" t="s">
        <v>1100</v>
      </c>
      <c r="D325" t="s">
        <v>1066</v>
      </c>
      <c r="E325" t="s">
        <v>1101</v>
      </c>
      <c r="F325">
        <v>103</v>
      </c>
      <c r="G325">
        <f t="shared" si="22"/>
        <v>63</v>
      </c>
      <c r="H325">
        <f t="shared" si="23"/>
        <v>234</v>
      </c>
      <c r="I325">
        <v>631</v>
      </c>
      <c r="J325">
        <v>2346</v>
      </c>
      <c r="K325" s="18" t="s">
        <v>841</v>
      </c>
      <c r="L325" s="21">
        <v>6.2</v>
      </c>
    </row>
    <row r="326" spans="1:12" x14ac:dyDescent="0.25">
      <c r="A326" t="str">
        <f t="shared" si="20"/>
        <v>2009-FA-FAL-115-690-2345</v>
      </c>
      <c r="B326" t="str">
        <f t="shared" si="21"/>
        <v>2009</v>
      </c>
      <c r="C326" s="18" t="s">
        <v>1100</v>
      </c>
      <c r="D326" t="s">
        <v>1066</v>
      </c>
      <c r="E326" t="s">
        <v>1102</v>
      </c>
      <c r="F326">
        <v>115</v>
      </c>
      <c r="G326">
        <f t="shared" si="22"/>
        <v>69</v>
      </c>
      <c r="H326">
        <f t="shared" si="23"/>
        <v>234</v>
      </c>
      <c r="I326">
        <v>690</v>
      </c>
      <c r="J326">
        <v>2345</v>
      </c>
      <c r="K326" s="18" t="s">
        <v>841</v>
      </c>
      <c r="L326" s="21">
        <v>6.4</v>
      </c>
    </row>
    <row r="327" spans="1:12" x14ac:dyDescent="0.25">
      <c r="A327" t="str">
        <f t="shared" si="20"/>
        <v>2009-FA-FAL-123-750-2296</v>
      </c>
      <c r="B327" t="str">
        <f t="shared" si="21"/>
        <v>2009</v>
      </c>
      <c r="C327" s="18" t="s">
        <v>1100</v>
      </c>
      <c r="D327" t="s">
        <v>1066</v>
      </c>
      <c r="E327" t="s">
        <v>1103</v>
      </c>
      <c r="F327">
        <v>123</v>
      </c>
      <c r="G327">
        <f t="shared" si="22"/>
        <v>75</v>
      </c>
      <c r="H327">
        <f t="shared" si="23"/>
        <v>229</v>
      </c>
      <c r="I327">
        <v>750</v>
      </c>
      <c r="J327">
        <v>2296</v>
      </c>
      <c r="K327" s="18" t="s">
        <v>841</v>
      </c>
      <c r="L327" s="21">
        <v>6.7</v>
      </c>
    </row>
    <row r="328" spans="1:12" x14ac:dyDescent="0.25">
      <c r="A328" t="str">
        <f t="shared" si="20"/>
        <v>2009-FA-FAL-130-789-2295</v>
      </c>
      <c r="B328" t="str">
        <f t="shared" si="21"/>
        <v>2009</v>
      </c>
      <c r="C328" s="18" t="s">
        <v>1100</v>
      </c>
      <c r="D328" t="s">
        <v>1066</v>
      </c>
      <c r="E328" t="s">
        <v>1104</v>
      </c>
      <c r="F328">
        <v>130</v>
      </c>
      <c r="G328">
        <f t="shared" si="22"/>
        <v>78</v>
      </c>
      <c r="H328">
        <f t="shared" si="23"/>
        <v>229</v>
      </c>
      <c r="I328">
        <v>789</v>
      </c>
      <c r="J328">
        <v>2295</v>
      </c>
      <c r="K328" s="18" t="s">
        <v>841</v>
      </c>
      <c r="L328" s="21">
        <v>6.9</v>
      </c>
    </row>
    <row r="329" spans="1:12" x14ac:dyDescent="0.25">
      <c r="A329" t="str">
        <f t="shared" si="20"/>
        <v>2009-FA-FAL-143-849-2295</v>
      </c>
      <c r="B329" t="str">
        <f t="shared" si="21"/>
        <v>2009</v>
      </c>
      <c r="C329" s="18" t="s">
        <v>1100</v>
      </c>
      <c r="D329" t="s">
        <v>1066</v>
      </c>
      <c r="E329" t="s">
        <v>1085</v>
      </c>
      <c r="F329">
        <v>143</v>
      </c>
      <c r="G329">
        <f t="shared" si="22"/>
        <v>84</v>
      </c>
      <c r="H329">
        <f t="shared" si="23"/>
        <v>229</v>
      </c>
      <c r="I329">
        <v>849</v>
      </c>
      <c r="J329">
        <v>2295</v>
      </c>
      <c r="K329" s="18" t="s">
        <v>841</v>
      </c>
      <c r="L329" s="21">
        <v>7.1</v>
      </c>
    </row>
    <row r="330" spans="1:12" x14ac:dyDescent="0.25">
      <c r="A330" t="str">
        <f t="shared" si="20"/>
        <v>2010-FA-FAL-85-580-2396</v>
      </c>
      <c r="B330" t="str">
        <f t="shared" si="21"/>
        <v>2010</v>
      </c>
      <c r="C330" s="18" t="s">
        <v>1106</v>
      </c>
      <c r="D330" t="s">
        <v>1066</v>
      </c>
      <c r="E330" t="s">
        <v>1105</v>
      </c>
      <c r="F330">
        <v>85</v>
      </c>
      <c r="G330">
        <f t="shared" si="22"/>
        <v>58</v>
      </c>
      <c r="H330">
        <f t="shared" si="23"/>
        <v>239</v>
      </c>
      <c r="I330">
        <v>580</v>
      </c>
      <c r="J330">
        <v>2396</v>
      </c>
      <c r="K330" s="18" t="s">
        <v>844</v>
      </c>
      <c r="L330" s="21">
        <v>5.6</v>
      </c>
    </row>
    <row r="331" spans="1:12" x14ac:dyDescent="0.25">
      <c r="A331" t="str">
        <f t="shared" si="20"/>
        <v>2010-FA-FAL-94-630-2394</v>
      </c>
      <c r="B331" t="str">
        <f t="shared" si="21"/>
        <v>2010</v>
      </c>
      <c r="C331" s="18" t="s">
        <v>1106</v>
      </c>
      <c r="D331" t="s">
        <v>1066</v>
      </c>
      <c r="E331" t="s">
        <v>1107</v>
      </c>
      <c r="F331">
        <v>94</v>
      </c>
      <c r="G331">
        <f t="shared" si="22"/>
        <v>63</v>
      </c>
      <c r="H331">
        <f t="shared" si="23"/>
        <v>239</v>
      </c>
      <c r="I331">
        <v>630</v>
      </c>
      <c r="J331">
        <v>2394</v>
      </c>
      <c r="K331" s="18" t="s">
        <v>844</v>
      </c>
      <c r="L331" s="21">
        <v>6.3</v>
      </c>
    </row>
    <row r="332" spans="1:12" x14ac:dyDescent="0.25">
      <c r="A332" t="str">
        <f t="shared" si="20"/>
        <v>2010-FA-FAL-109-691-2347</v>
      </c>
      <c r="B332" t="str">
        <f t="shared" si="21"/>
        <v>2010</v>
      </c>
      <c r="C332" s="18" t="s">
        <v>1106</v>
      </c>
      <c r="D332" t="s">
        <v>1066</v>
      </c>
      <c r="E332" t="s">
        <v>1081</v>
      </c>
      <c r="F332">
        <v>109</v>
      </c>
      <c r="G332">
        <f t="shared" si="22"/>
        <v>69</v>
      </c>
      <c r="H332">
        <f t="shared" si="23"/>
        <v>234</v>
      </c>
      <c r="I332">
        <v>691</v>
      </c>
      <c r="J332">
        <v>2347</v>
      </c>
      <c r="K332" s="18" t="s">
        <v>844</v>
      </c>
      <c r="L332" s="21">
        <v>6.5</v>
      </c>
    </row>
    <row r="333" spans="1:12" x14ac:dyDescent="0.25">
      <c r="A333" t="str">
        <f t="shared" si="20"/>
        <v>2010-FA-FAL-124-749-2295</v>
      </c>
      <c r="B333" t="str">
        <f t="shared" si="21"/>
        <v>2010</v>
      </c>
      <c r="C333" s="18" t="s">
        <v>1106</v>
      </c>
      <c r="D333" t="s">
        <v>1066</v>
      </c>
      <c r="E333" t="s">
        <v>1108</v>
      </c>
      <c r="F333">
        <v>124</v>
      </c>
      <c r="G333">
        <f t="shared" si="22"/>
        <v>74</v>
      </c>
      <c r="H333">
        <f t="shared" si="23"/>
        <v>229</v>
      </c>
      <c r="I333">
        <v>749</v>
      </c>
      <c r="J333">
        <v>2295</v>
      </c>
      <c r="K333" s="18" t="s">
        <v>844</v>
      </c>
      <c r="L333" s="21">
        <v>6.8</v>
      </c>
    </row>
    <row r="334" spans="1:12" x14ac:dyDescent="0.25">
      <c r="A334" t="str">
        <f t="shared" si="20"/>
        <v>2010-FA-FAL-138-820-2295</v>
      </c>
      <c r="B334" t="str">
        <f t="shared" si="21"/>
        <v>2010</v>
      </c>
      <c r="C334" s="18" t="s">
        <v>1106</v>
      </c>
      <c r="D334" t="s">
        <v>1066</v>
      </c>
      <c r="E334" t="s">
        <v>1109</v>
      </c>
      <c r="F334">
        <v>138</v>
      </c>
      <c r="G334">
        <f t="shared" si="22"/>
        <v>82</v>
      </c>
      <c r="H334">
        <f t="shared" si="23"/>
        <v>229</v>
      </c>
      <c r="I334">
        <v>820</v>
      </c>
      <c r="J334">
        <v>2295</v>
      </c>
      <c r="K334" s="18" t="s">
        <v>844</v>
      </c>
      <c r="L334" s="21">
        <v>7</v>
      </c>
    </row>
    <row r="335" spans="1:12" x14ac:dyDescent="0.25">
      <c r="A335" t="str">
        <f t="shared" si="20"/>
        <v>2010-FA-FAL-150-848-2295</v>
      </c>
      <c r="B335" t="str">
        <f t="shared" si="21"/>
        <v>2010</v>
      </c>
      <c r="C335" s="18" t="s">
        <v>1106</v>
      </c>
      <c r="D335" t="s">
        <v>1066</v>
      </c>
      <c r="E335" t="s">
        <v>1110</v>
      </c>
      <c r="F335">
        <v>150</v>
      </c>
      <c r="G335">
        <f t="shared" si="22"/>
        <v>84</v>
      </c>
      <c r="H335">
        <f t="shared" si="23"/>
        <v>229</v>
      </c>
      <c r="I335">
        <v>848</v>
      </c>
      <c r="J335">
        <v>2295</v>
      </c>
      <c r="K335" s="18" t="s">
        <v>844</v>
      </c>
      <c r="L335" s="21">
        <v>7.2</v>
      </c>
    </row>
    <row r="336" spans="1:12" x14ac:dyDescent="0.25">
      <c r="A336" t="str">
        <f t="shared" si="20"/>
        <v>2011-FA-FAL-79-559-2345</v>
      </c>
      <c r="B336" t="str">
        <f t="shared" si="21"/>
        <v>2011</v>
      </c>
      <c r="C336" s="18" t="s">
        <v>1111</v>
      </c>
      <c r="D336" t="s">
        <v>1066</v>
      </c>
      <c r="E336" t="s">
        <v>1086</v>
      </c>
      <c r="F336">
        <v>79</v>
      </c>
      <c r="G336">
        <f t="shared" si="22"/>
        <v>55</v>
      </c>
      <c r="H336">
        <f t="shared" si="23"/>
        <v>234</v>
      </c>
      <c r="I336">
        <v>559</v>
      </c>
      <c r="J336">
        <v>2345</v>
      </c>
      <c r="K336" s="18" t="s">
        <v>929</v>
      </c>
      <c r="L336" s="21">
        <v>5.3</v>
      </c>
    </row>
    <row r="337" spans="1:12" x14ac:dyDescent="0.25">
      <c r="A337" t="str">
        <f t="shared" si="20"/>
        <v>2011-FA-FAL-86-590-2397</v>
      </c>
      <c r="B337" t="str">
        <f t="shared" si="21"/>
        <v>2011</v>
      </c>
      <c r="C337" s="18" t="s">
        <v>1111</v>
      </c>
      <c r="D337" t="s">
        <v>1066</v>
      </c>
      <c r="E337" t="s">
        <v>1088</v>
      </c>
      <c r="F337">
        <v>86</v>
      </c>
      <c r="G337">
        <f t="shared" si="22"/>
        <v>59</v>
      </c>
      <c r="H337">
        <f t="shared" si="23"/>
        <v>239</v>
      </c>
      <c r="I337">
        <v>590</v>
      </c>
      <c r="J337">
        <v>2397</v>
      </c>
      <c r="K337" s="18" t="s">
        <v>929</v>
      </c>
      <c r="L337" s="21">
        <v>5.5</v>
      </c>
    </row>
    <row r="338" spans="1:12" x14ac:dyDescent="0.25">
      <c r="A338" t="str">
        <f t="shared" si="20"/>
        <v>2011-FA-FAL-95-620-2344</v>
      </c>
      <c r="B338" t="str">
        <f t="shared" si="21"/>
        <v>2011</v>
      </c>
      <c r="C338" s="18" t="s">
        <v>1111</v>
      </c>
      <c r="D338" t="s">
        <v>1066</v>
      </c>
      <c r="E338" t="s">
        <v>1112</v>
      </c>
      <c r="F338">
        <v>95</v>
      </c>
      <c r="G338">
        <f t="shared" si="22"/>
        <v>62</v>
      </c>
      <c r="H338">
        <f t="shared" si="23"/>
        <v>234</v>
      </c>
      <c r="I338">
        <v>620</v>
      </c>
      <c r="J338">
        <v>2344</v>
      </c>
      <c r="K338" s="18" t="s">
        <v>929</v>
      </c>
      <c r="L338" s="21">
        <v>5.8</v>
      </c>
    </row>
    <row r="339" spans="1:12" x14ac:dyDescent="0.25">
      <c r="A339" t="str">
        <f t="shared" si="20"/>
        <v>2011-FA-FAL-107-690-2345</v>
      </c>
      <c r="B339" t="str">
        <f t="shared" si="21"/>
        <v>2011</v>
      </c>
      <c r="C339" s="18" t="s">
        <v>1111</v>
      </c>
      <c r="D339" t="s">
        <v>1066</v>
      </c>
      <c r="E339" t="s">
        <v>1113</v>
      </c>
      <c r="F339">
        <v>107</v>
      </c>
      <c r="G339">
        <f t="shared" si="22"/>
        <v>69</v>
      </c>
      <c r="H339">
        <f t="shared" si="23"/>
        <v>234</v>
      </c>
      <c r="I339">
        <v>690</v>
      </c>
      <c r="J339">
        <v>2345</v>
      </c>
      <c r="K339" s="18" t="s">
        <v>929</v>
      </c>
      <c r="L339" s="21">
        <v>6</v>
      </c>
    </row>
    <row r="340" spans="1:12" x14ac:dyDescent="0.25">
      <c r="A340" t="str">
        <f t="shared" si="20"/>
        <v>2011-FA-FAL-130-789-2294</v>
      </c>
      <c r="B340" t="str">
        <f t="shared" si="21"/>
        <v>2011</v>
      </c>
      <c r="C340" s="18" t="s">
        <v>1111</v>
      </c>
      <c r="D340" t="s">
        <v>1066</v>
      </c>
      <c r="E340" t="s">
        <v>1084</v>
      </c>
      <c r="F340">
        <v>130</v>
      </c>
      <c r="G340">
        <f t="shared" si="22"/>
        <v>78</v>
      </c>
      <c r="H340">
        <f t="shared" si="23"/>
        <v>229</v>
      </c>
      <c r="I340">
        <v>789</v>
      </c>
      <c r="J340">
        <v>2294</v>
      </c>
      <c r="K340" s="18" t="s">
        <v>929</v>
      </c>
      <c r="L340" s="21">
        <v>6.8</v>
      </c>
    </row>
    <row r="341" spans="1:12" x14ac:dyDescent="0.25">
      <c r="A341" t="str">
        <f t="shared" si="20"/>
        <v>2011-FA-FAL-138-849-2294</v>
      </c>
      <c r="B341" t="str">
        <f t="shared" si="21"/>
        <v>2011</v>
      </c>
      <c r="C341" s="18" t="s">
        <v>1111</v>
      </c>
      <c r="D341" t="s">
        <v>1066</v>
      </c>
      <c r="E341" t="s">
        <v>1098</v>
      </c>
      <c r="F341">
        <v>138</v>
      </c>
      <c r="G341">
        <f t="shared" si="22"/>
        <v>84</v>
      </c>
      <c r="H341">
        <f t="shared" si="23"/>
        <v>229</v>
      </c>
      <c r="I341">
        <v>849</v>
      </c>
      <c r="J341">
        <v>2294</v>
      </c>
      <c r="K341" s="18" t="s">
        <v>929</v>
      </c>
      <c r="L341" s="21">
        <v>7.3</v>
      </c>
    </row>
    <row r="342" spans="1:12" x14ac:dyDescent="0.25">
      <c r="A342" t="str">
        <f t="shared" si="20"/>
        <v>2013-FA-FAL-102-633-2352</v>
      </c>
      <c r="B342" t="str">
        <f t="shared" si="21"/>
        <v>2013</v>
      </c>
      <c r="C342" s="18" t="s">
        <v>852</v>
      </c>
      <c r="D342" t="s">
        <v>1066</v>
      </c>
      <c r="E342" t="s">
        <v>1101</v>
      </c>
      <c r="F342">
        <v>102</v>
      </c>
      <c r="G342">
        <f t="shared" si="22"/>
        <v>63</v>
      </c>
      <c r="H342">
        <f t="shared" si="23"/>
        <v>235</v>
      </c>
      <c r="I342">
        <v>633</v>
      </c>
      <c r="J342">
        <v>2352</v>
      </c>
      <c r="K342" s="18" t="s">
        <v>929</v>
      </c>
      <c r="L342" s="21">
        <v>6.1</v>
      </c>
    </row>
    <row r="343" spans="1:12" x14ac:dyDescent="0.25">
      <c r="A343" t="str">
        <f t="shared" si="20"/>
        <v>2013-FA-FAL-112-693-2349</v>
      </c>
      <c r="B343" t="str">
        <f t="shared" si="21"/>
        <v>2013</v>
      </c>
      <c r="C343" s="18" t="s">
        <v>852</v>
      </c>
      <c r="D343" t="s">
        <v>1066</v>
      </c>
      <c r="E343" t="s">
        <v>1102</v>
      </c>
      <c r="F343">
        <v>112</v>
      </c>
      <c r="G343">
        <f t="shared" si="22"/>
        <v>69</v>
      </c>
      <c r="H343">
        <f t="shared" si="23"/>
        <v>234</v>
      </c>
      <c r="I343">
        <v>693</v>
      </c>
      <c r="J343">
        <v>2349</v>
      </c>
      <c r="K343" s="18" t="s">
        <v>929</v>
      </c>
      <c r="L343" s="21">
        <v>6.3</v>
      </c>
    </row>
    <row r="344" spans="1:12" x14ac:dyDescent="0.25">
      <c r="A344" t="str">
        <f t="shared" si="20"/>
        <v>2013-FA-FAL-122-763-2296</v>
      </c>
      <c r="B344" t="str">
        <f t="shared" si="21"/>
        <v>2013</v>
      </c>
      <c r="C344" s="18" t="s">
        <v>852</v>
      </c>
      <c r="D344" t="s">
        <v>1066</v>
      </c>
      <c r="E344" t="s">
        <v>1103</v>
      </c>
      <c r="F344">
        <v>122</v>
      </c>
      <c r="G344">
        <f t="shared" si="22"/>
        <v>76</v>
      </c>
      <c r="H344">
        <f t="shared" si="23"/>
        <v>229</v>
      </c>
      <c r="I344">
        <v>763</v>
      </c>
      <c r="J344">
        <v>2296</v>
      </c>
      <c r="K344" s="18" t="s">
        <v>929</v>
      </c>
      <c r="L344" s="21">
        <v>6.7</v>
      </c>
    </row>
    <row r="345" spans="1:12" x14ac:dyDescent="0.25">
      <c r="A345" t="str">
        <f t="shared" si="20"/>
        <v>2013-FA-FAL-132-812-2296</v>
      </c>
      <c r="B345" t="str">
        <f t="shared" si="21"/>
        <v>2013</v>
      </c>
      <c r="C345" s="18" t="s">
        <v>852</v>
      </c>
      <c r="D345" t="s">
        <v>1066</v>
      </c>
      <c r="E345" t="s">
        <v>1114</v>
      </c>
      <c r="F345">
        <v>132</v>
      </c>
      <c r="G345">
        <f t="shared" si="22"/>
        <v>81</v>
      </c>
      <c r="H345">
        <f t="shared" si="23"/>
        <v>229</v>
      </c>
      <c r="I345">
        <v>812</v>
      </c>
      <c r="J345">
        <v>2296</v>
      </c>
      <c r="K345" s="18" t="s">
        <v>929</v>
      </c>
      <c r="L345" s="21">
        <v>6.9</v>
      </c>
    </row>
    <row r="346" spans="1:12" x14ac:dyDescent="0.25">
      <c r="A346" t="str">
        <f t="shared" si="20"/>
        <v>2013-FA-FAL-142-849-2296</v>
      </c>
      <c r="B346" t="str">
        <f t="shared" si="21"/>
        <v>2013</v>
      </c>
      <c r="C346" s="18" t="s">
        <v>852</v>
      </c>
      <c r="D346" t="s">
        <v>1066</v>
      </c>
      <c r="E346" t="s">
        <v>1115</v>
      </c>
      <c r="F346">
        <v>142</v>
      </c>
      <c r="G346">
        <f t="shared" si="22"/>
        <v>84</v>
      </c>
      <c r="H346">
        <f t="shared" si="23"/>
        <v>229</v>
      </c>
      <c r="I346">
        <v>849</v>
      </c>
      <c r="J346">
        <v>2296</v>
      </c>
      <c r="K346" s="18" t="s">
        <v>929</v>
      </c>
      <c r="L346" s="21">
        <v>7.4</v>
      </c>
    </row>
    <row r="347" spans="1:12" x14ac:dyDescent="0.25">
      <c r="A347" t="str">
        <f t="shared" si="20"/>
        <v>2013-FA-FAL-152-902-2297</v>
      </c>
      <c r="B347" t="str">
        <f t="shared" si="21"/>
        <v>2013</v>
      </c>
      <c r="C347" s="18" t="s">
        <v>852</v>
      </c>
      <c r="D347" t="s">
        <v>1066</v>
      </c>
      <c r="E347" t="s">
        <v>1116</v>
      </c>
      <c r="F347">
        <v>152</v>
      </c>
      <c r="G347">
        <f t="shared" si="22"/>
        <v>90</v>
      </c>
      <c r="H347">
        <f t="shared" si="23"/>
        <v>229</v>
      </c>
      <c r="I347">
        <v>902</v>
      </c>
      <c r="J347">
        <v>2297</v>
      </c>
      <c r="K347" s="18" t="s">
        <v>929</v>
      </c>
      <c r="L347" s="21">
        <v>7.9</v>
      </c>
    </row>
    <row r="348" spans="1:12" x14ac:dyDescent="0.25">
      <c r="A348" t="str">
        <f t="shared" si="20"/>
        <v>2013-FA-FAL-79-559-2345</v>
      </c>
      <c r="B348" t="str">
        <f t="shared" si="21"/>
        <v>2013</v>
      </c>
      <c r="C348" s="18" t="s">
        <v>852</v>
      </c>
      <c r="D348" t="s">
        <v>1066</v>
      </c>
      <c r="E348" t="s">
        <v>1086</v>
      </c>
      <c r="F348">
        <v>79</v>
      </c>
      <c r="G348">
        <f t="shared" si="22"/>
        <v>55</v>
      </c>
      <c r="H348">
        <f t="shared" si="23"/>
        <v>234</v>
      </c>
      <c r="I348">
        <v>559</v>
      </c>
      <c r="J348">
        <v>2345</v>
      </c>
      <c r="K348" s="18" t="s">
        <v>929</v>
      </c>
      <c r="L348" s="21">
        <v>5.3</v>
      </c>
    </row>
    <row r="349" spans="1:12" x14ac:dyDescent="0.25">
      <c r="A349" t="str">
        <f t="shared" si="20"/>
        <v>2013-FA-FAL-89-590-2397</v>
      </c>
      <c r="B349" t="str">
        <f t="shared" si="21"/>
        <v>2013</v>
      </c>
      <c r="C349" s="18" t="s">
        <v>852</v>
      </c>
      <c r="D349" t="s">
        <v>1066</v>
      </c>
      <c r="E349" t="s">
        <v>1088</v>
      </c>
      <c r="F349">
        <v>89</v>
      </c>
      <c r="G349">
        <f t="shared" si="22"/>
        <v>59</v>
      </c>
      <c r="H349">
        <f t="shared" si="23"/>
        <v>239</v>
      </c>
      <c r="I349">
        <v>590</v>
      </c>
      <c r="J349">
        <v>2397</v>
      </c>
      <c r="K349" s="18" t="s">
        <v>929</v>
      </c>
      <c r="L349" s="21">
        <v>5.5</v>
      </c>
    </row>
    <row r="350" spans="1:12" x14ac:dyDescent="0.25">
      <c r="A350" t="str">
        <f t="shared" si="20"/>
        <v>2014-FA-FAL-79-559-2325</v>
      </c>
      <c r="B350" t="str">
        <f t="shared" si="21"/>
        <v>2014</v>
      </c>
      <c r="C350" s="18" t="s">
        <v>733</v>
      </c>
      <c r="D350" t="s">
        <v>1066</v>
      </c>
      <c r="E350" t="s">
        <v>1086</v>
      </c>
      <c r="F350">
        <v>79</v>
      </c>
      <c r="G350">
        <f t="shared" si="22"/>
        <v>55</v>
      </c>
      <c r="H350">
        <f t="shared" si="23"/>
        <v>232</v>
      </c>
      <c r="I350">
        <v>559</v>
      </c>
      <c r="J350">
        <v>2325</v>
      </c>
      <c r="K350" s="18" t="s">
        <v>853</v>
      </c>
      <c r="L350" s="21">
        <v>5.3</v>
      </c>
    </row>
    <row r="351" spans="1:12" x14ac:dyDescent="0.25">
      <c r="A351" t="str">
        <f t="shared" si="20"/>
        <v>2014-FA-FAL-90-591-2328</v>
      </c>
      <c r="B351" t="str">
        <f t="shared" si="21"/>
        <v>2014</v>
      </c>
      <c r="C351" s="18" t="s">
        <v>733</v>
      </c>
      <c r="D351" t="s">
        <v>1066</v>
      </c>
      <c r="E351" t="s">
        <v>1078</v>
      </c>
      <c r="F351">
        <v>90</v>
      </c>
      <c r="G351">
        <f t="shared" si="22"/>
        <v>59</v>
      </c>
      <c r="H351">
        <f t="shared" si="23"/>
        <v>232</v>
      </c>
      <c r="I351">
        <v>591</v>
      </c>
      <c r="J351">
        <v>2328</v>
      </c>
      <c r="K351" s="18" t="s">
        <v>853</v>
      </c>
      <c r="L351" s="21">
        <v>5.7</v>
      </c>
    </row>
    <row r="352" spans="1:12" x14ac:dyDescent="0.25">
      <c r="A352" t="str">
        <f t="shared" si="20"/>
        <v>2014-FA-FAL-100-633-2332</v>
      </c>
      <c r="B352" t="str">
        <f t="shared" si="21"/>
        <v>2014</v>
      </c>
      <c r="C352" s="18" t="s">
        <v>733</v>
      </c>
      <c r="D352" t="s">
        <v>1066</v>
      </c>
      <c r="E352" t="s">
        <v>1117</v>
      </c>
      <c r="F352">
        <v>100</v>
      </c>
      <c r="G352">
        <f t="shared" si="22"/>
        <v>63</v>
      </c>
      <c r="H352">
        <f t="shared" si="23"/>
        <v>233</v>
      </c>
      <c r="I352">
        <v>633</v>
      </c>
      <c r="J352">
        <v>2332</v>
      </c>
      <c r="K352" s="18" t="s">
        <v>853</v>
      </c>
      <c r="L352" s="21">
        <v>6.1</v>
      </c>
    </row>
    <row r="353" spans="1:12" x14ac:dyDescent="0.25">
      <c r="A353" t="str">
        <f t="shared" si="20"/>
        <v>2014-FA-FAL-109-693-2330</v>
      </c>
      <c r="B353" t="str">
        <f t="shared" si="21"/>
        <v>2014</v>
      </c>
      <c r="C353" s="18" t="s">
        <v>733</v>
      </c>
      <c r="D353" t="s">
        <v>1066</v>
      </c>
      <c r="E353" t="s">
        <v>1097</v>
      </c>
      <c r="F353">
        <v>109</v>
      </c>
      <c r="G353">
        <f t="shared" si="22"/>
        <v>69</v>
      </c>
      <c r="H353">
        <f t="shared" si="23"/>
        <v>233</v>
      </c>
      <c r="I353">
        <v>693</v>
      </c>
      <c r="J353">
        <v>2330</v>
      </c>
      <c r="K353" s="18" t="s">
        <v>853</v>
      </c>
      <c r="L353" s="21">
        <v>6.4</v>
      </c>
    </row>
    <row r="354" spans="1:12" x14ac:dyDescent="0.25">
      <c r="A354" t="str">
        <f t="shared" si="20"/>
        <v>2014-FA-FAL-117-742-2328</v>
      </c>
      <c r="B354" t="str">
        <f t="shared" si="21"/>
        <v>2014</v>
      </c>
      <c r="C354" s="18" t="s">
        <v>733</v>
      </c>
      <c r="D354" t="s">
        <v>1066</v>
      </c>
      <c r="E354" t="s">
        <v>1076</v>
      </c>
      <c r="F354">
        <v>117</v>
      </c>
      <c r="G354">
        <f t="shared" si="22"/>
        <v>74</v>
      </c>
      <c r="H354">
        <f t="shared" si="23"/>
        <v>232</v>
      </c>
      <c r="I354">
        <v>742</v>
      </c>
      <c r="J354">
        <v>2328</v>
      </c>
      <c r="K354" s="18" t="s">
        <v>853</v>
      </c>
      <c r="L354" s="21">
        <v>6.8</v>
      </c>
    </row>
    <row r="355" spans="1:12" x14ac:dyDescent="0.25">
      <c r="A355" t="str">
        <f t="shared" si="20"/>
        <v>2014-FA-FAL-133-812-2276</v>
      </c>
      <c r="B355" t="str">
        <f t="shared" si="21"/>
        <v>2014</v>
      </c>
      <c r="C355" s="18" t="s">
        <v>733</v>
      </c>
      <c r="D355" t="s">
        <v>1066</v>
      </c>
      <c r="E355" t="s">
        <v>1118</v>
      </c>
      <c r="F355">
        <v>133</v>
      </c>
      <c r="G355">
        <f t="shared" si="22"/>
        <v>81</v>
      </c>
      <c r="H355">
        <f t="shared" si="23"/>
        <v>227</v>
      </c>
      <c r="I355">
        <v>812</v>
      </c>
      <c r="J355">
        <v>2276</v>
      </c>
      <c r="K355" s="18" t="s">
        <v>853</v>
      </c>
      <c r="L355" s="21">
        <v>6.9</v>
      </c>
    </row>
    <row r="356" spans="1:12" x14ac:dyDescent="0.25">
      <c r="A356" t="str">
        <f t="shared" si="20"/>
        <v>2014-FA-FAL-141-849-2276</v>
      </c>
      <c r="B356" t="str">
        <f t="shared" si="21"/>
        <v>2014</v>
      </c>
      <c r="C356" s="18" t="s">
        <v>733</v>
      </c>
      <c r="D356" t="s">
        <v>1066</v>
      </c>
      <c r="E356" t="s">
        <v>1098</v>
      </c>
      <c r="F356">
        <v>141</v>
      </c>
      <c r="G356">
        <f t="shared" si="22"/>
        <v>84</v>
      </c>
      <c r="H356">
        <f t="shared" si="23"/>
        <v>227</v>
      </c>
      <c r="I356">
        <v>849</v>
      </c>
      <c r="J356">
        <v>2276</v>
      </c>
      <c r="K356" s="18" t="s">
        <v>853</v>
      </c>
      <c r="L356" s="21">
        <v>7.5</v>
      </c>
    </row>
    <row r="357" spans="1:12" x14ac:dyDescent="0.25">
      <c r="A357" t="str">
        <f t="shared" si="20"/>
        <v>2014-FA-FAL-152-902-2277</v>
      </c>
      <c r="B357" t="str">
        <f t="shared" si="21"/>
        <v>2014</v>
      </c>
      <c r="C357" s="18" t="s">
        <v>733</v>
      </c>
      <c r="D357" t="s">
        <v>1066</v>
      </c>
      <c r="E357" t="s">
        <v>1116</v>
      </c>
      <c r="F357">
        <v>152</v>
      </c>
      <c r="G357">
        <f t="shared" si="22"/>
        <v>90</v>
      </c>
      <c r="H357">
        <f t="shared" si="23"/>
        <v>227</v>
      </c>
      <c r="I357">
        <v>902</v>
      </c>
      <c r="J357">
        <v>2277</v>
      </c>
      <c r="K357" s="18" t="s">
        <v>853</v>
      </c>
      <c r="L357" s="21">
        <v>8</v>
      </c>
    </row>
    <row r="358" spans="1:12" x14ac:dyDescent="0.25">
      <c r="A358" t="str">
        <f t="shared" si="20"/>
        <v>2015-FA-FAL-85-591-2328</v>
      </c>
      <c r="B358" t="str">
        <f t="shared" si="21"/>
        <v>2015</v>
      </c>
      <c r="C358" s="18" t="s">
        <v>741</v>
      </c>
      <c r="D358" t="s">
        <v>1066</v>
      </c>
      <c r="E358" t="s">
        <v>1078</v>
      </c>
      <c r="F358">
        <v>85</v>
      </c>
      <c r="G358">
        <f t="shared" si="22"/>
        <v>59</v>
      </c>
      <c r="H358">
        <f t="shared" si="23"/>
        <v>232</v>
      </c>
      <c r="I358">
        <v>591</v>
      </c>
      <c r="J358">
        <v>2328</v>
      </c>
      <c r="K358" s="18" t="s">
        <v>733</v>
      </c>
      <c r="L358" s="21">
        <v>5.8</v>
      </c>
    </row>
    <row r="359" spans="1:12" x14ac:dyDescent="0.25">
      <c r="A359" t="str">
        <f t="shared" si="20"/>
        <v>2015-FA-FAL-94-630-2326</v>
      </c>
      <c r="B359" t="str">
        <f t="shared" si="21"/>
        <v>2015</v>
      </c>
      <c r="C359" s="18" t="s">
        <v>741</v>
      </c>
      <c r="D359" t="s">
        <v>1066</v>
      </c>
      <c r="E359" t="s">
        <v>1112</v>
      </c>
      <c r="F359">
        <v>94</v>
      </c>
      <c r="G359">
        <f t="shared" si="22"/>
        <v>63</v>
      </c>
      <c r="H359">
        <f t="shared" si="23"/>
        <v>232</v>
      </c>
      <c r="I359">
        <v>630</v>
      </c>
      <c r="J359">
        <v>2326</v>
      </c>
      <c r="K359" s="18" t="s">
        <v>733</v>
      </c>
      <c r="L359" s="21">
        <v>6.1</v>
      </c>
    </row>
    <row r="360" spans="1:12" x14ac:dyDescent="0.25">
      <c r="A360" t="str">
        <f t="shared" si="20"/>
        <v>2015-FA-FAL-114-690-2325</v>
      </c>
      <c r="B360" t="str">
        <f t="shared" si="21"/>
        <v>2015</v>
      </c>
      <c r="C360" s="18" t="s">
        <v>741</v>
      </c>
      <c r="D360" t="s">
        <v>1066</v>
      </c>
      <c r="E360" t="s">
        <v>1081</v>
      </c>
      <c r="F360">
        <v>114</v>
      </c>
      <c r="G360">
        <f t="shared" si="22"/>
        <v>69</v>
      </c>
      <c r="H360">
        <f t="shared" si="23"/>
        <v>232</v>
      </c>
      <c r="I360">
        <v>690</v>
      </c>
      <c r="J360">
        <v>2325</v>
      </c>
      <c r="K360" s="18" t="s">
        <v>733</v>
      </c>
      <c r="L360" s="21">
        <v>6.4</v>
      </c>
    </row>
    <row r="361" spans="1:12" x14ac:dyDescent="0.25">
      <c r="A361" t="str">
        <f t="shared" si="20"/>
        <v>2015-FA-FAL-117-742-2328</v>
      </c>
      <c r="B361" t="str">
        <f t="shared" si="21"/>
        <v>2015</v>
      </c>
      <c r="C361" s="18" t="s">
        <v>741</v>
      </c>
      <c r="D361" t="s">
        <v>1066</v>
      </c>
      <c r="E361" t="s">
        <v>1076</v>
      </c>
      <c r="F361">
        <v>117</v>
      </c>
      <c r="G361">
        <f t="shared" si="22"/>
        <v>74</v>
      </c>
      <c r="H361">
        <f t="shared" si="23"/>
        <v>232</v>
      </c>
      <c r="I361">
        <v>742</v>
      </c>
      <c r="J361">
        <v>2328</v>
      </c>
      <c r="K361" s="18" t="s">
        <v>733</v>
      </c>
      <c r="L361" s="21">
        <v>6.7</v>
      </c>
    </row>
    <row r="362" spans="1:12" x14ac:dyDescent="0.25">
      <c r="A362" t="str">
        <f t="shared" si="20"/>
        <v>2015-FA-FAL-133-812-2276</v>
      </c>
      <c r="B362" t="str">
        <f t="shared" si="21"/>
        <v>2015</v>
      </c>
      <c r="C362" s="18" t="s">
        <v>741</v>
      </c>
      <c r="D362" t="s">
        <v>1066</v>
      </c>
      <c r="E362" t="s">
        <v>1118</v>
      </c>
      <c r="F362">
        <v>133</v>
      </c>
      <c r="G362">
        <f t="shared" si="22"/>
        <v>81</v>
      </c>
      <c r="H362">
        <f t="shared" si="23"/>
        <v>227</v>
      </c>
      <c r="I362">
        <v>812</v>
      </c>
      <c r="J362">
        <v>2276</v>
      </c>
      <c r="K362" s="18" t="s">
        <v>733</v>
      </c>
      <c r="L362" s="21">
        <v>7.1</v>
      </c>
    </row>
    <row r="363" spans="1:12" x14ac:dyDescent="0.25">
      <c r="A363" t="str">
        <f t="shared" si="20"/>
        <v>2015-FA-FAL-138-847-2275</v>
      </c>
      <c r="B363" t="str">
        <f t="shared" si="21"/>
        <v>2015</v>
      </c>
      <c r="C363" s="18" t="s">
        <v>741</v>
      </c>
      <c r="D363" t="s">
        <v>1066</v>
      </c>
      <c r="E363" t="s">
        <v>1119</v>
      </c>
      <c r="F363">
        <v>138</v>
      </c>
      <c r="G363">
        <f t="shared" si="22"/>
        <v>84</v>
      </c>
      <c r="H363">
        <f t="shared" si="23"/>
        <v>227</v>
      </c>
      <c r="I363">
        <v>847</v>
      </c>
      <c r="J363">
        <v>2275</v>
      </c>
      <c r="K363" s="18" t="s">
        <v>733</v>
      </c>
      <c r="L363" s="21">
        <v>7.4</v>
      </c>
    </row>
    <row r="364" spans="1:12" x14ac:dyDescent="0.25">
      <c r="A364" t="str">
        <f t="shared" si="20"/>
        <v>2015-FA-FAL-157-902-2277</v>
      </c>
      <c r="B364" t="str">
        <f t="shared" si="21"/>
        <v>2015</v>
      </c>
      <c r="C364" s="18" t="s">
        <v>741</v>
      </c>
      <c r="D364" t="s">
        <v>1066</v>
      </c>
      <c r="E364" t="s">
        <v>1116</v>
      </c>
      <c r="F364">
        <v>157</v>
      </c>
      <c r="G364">
        <f t="shared" si="22"/>
        <v>90</v>
      </c>
      <c r="H364">
        <f t="shared" si="23"/>
        <v>227</v>
      </c>
      <c r="I364">
        <v>902</v>
      </c>
      <c r="J364">
        <v>2277</v>
      </c>
      <c r="K364" s="18" t="s">
        <v>733</v>
      </c>
      <c r="L364" s="21">
        <v>8</v>
      </c>
    </row>
    <row r="365" spans="1:12" x14ac:dyDescent="0.25">
      <c r="A365" t="str">
        <f t="shared" si="20"/>
        <v>2016-FA-FAL-85-591-2348</v>
      </c>
      <c r="B365" t="str">
        <f t="shared" si="21"/>
        <v>2016</v>
      </c>
      <c r="C365" s="18" t="s">
        <v>747</v>
      </c>
      <c r="D365" t="s">
        <v>1066</v>
      </c>
      <c r="E365" t="s">
        <v>1078</v>
      </c>
      <c r="F365">
        <v>85</v>
      </c>
      <c r="G365">
        <f t="shared" si="22"/>
        <v>59</v>
      </c>
      <c r="H365">
        <f t="shared" si="23"/>
        <v>234</v>
      </c>
      <c r="I365">
        <v>591</v>
      </c>
      <c r="J365">
        <v>2348</v>
      </c>
      <c r="K365" s="18" t="s">
        <v>1120</v>
      </c>
      <c r="L365" s="21">
        <v>5.9</v>
      </c>
    </row>
    <row r="366" spans="1:12" x14ac:dyDescent="0.25">
      <c r="A366" t="str">
        <f t="shared" si="20"/>
        <v>2016-FA-FAL-94-630-2346</v>
      </c>
      <c r="B366" t="str">
        <f t="shared" si="21"/>
        <v>2016</v>
      </c>
      <c r="C366" s="18" t="s">
        <v>747</v>
      </c>
      <c r="D366" t="s">
        <v>1066</v>
      </c>
      <c r="E366" t="s">
        <v>1112</v>
      </c>
      <c r="F366">
        <v>94</v>
      </c>
      <c r="G366">
        <f t="shared" si="22"/>
        <v>63</v>
      </c>
      <c r="H366">
        <f t="shared" si="23"/>
        <v>234</v>
      </c>
      <c r="I366">
        <v>630</v>
      </c>
      <c r="J366">
        <v>2346</v>
      </c>
      <c r="K366" s="18" t="s">
        <v>1120</v>
      </c>
      <c r="L366" s="21">
        <v>6.2</v>
      </c>
    </row>
    <row r="367" spans="1:12" x14ac:dyDescent="0.25">
      <c r="A367" t="str">
        <f t="shared" si="20"/>
        <v>2016-FA-FAL-114-701-2296</v>
      </c>
      <c r="B367" t="str">
        <f t="shared" si="21"/>
        <v>2016</v>
      </c>
      <c r="C367" s="18" t="s">
        <v>747</v>
      </c>
      <c r="D367" t="s">
        <v>1066</v>
      </c>
      <c r="E367" t="s">
        <v>1102</v>
      </c>
      <c r="F367">
        <v>114</v>
      </c>
      <c r="G367">
        <f t="shared" si="22"/>
        <v>70</v>
      </c>
      <c r="H367">
        <f t="shared" si="23"/>
        <v>229</v>
      </c>
      <c r="I367">
        <v>701</v>
      </c>
      <c r="J367">
        <v>2296</v>
      </c>
      <c r="K367" s="18" t="s">
        <v>1120</v>
      </c>
      <c r="L367" s="21">
        <v>6.35</v>
      </c>
    </row>
    <row r="368" spans="1:12" x14ac:dyDescent="0.25">
      <c r="A368" t="str">
        <f t="shared" si="20"/>
        <v>2016-FA-FAL-121-751-2294</v>
      </c>
      <c r="B368" t="str">
        <f t="shared" si="21"/>
        <v>2016</v>
      </c>
      <c r="C368" s="18" t="s">
        <v>747</v>
      </c>
      <c r="D368" t="s">
        <v>1066</v>
      </c>
      <c r="E368" t="s">
        <v>1108</v>
      </c>
      <c r="F368">
        <v>121</v>
      </c>
      <c r="G368">
        <f t="shared" si="22"/>
        <v>75</v>
      </c>
      <c r="H368">
        <f t="shared" si="23"/>
        <v>229</v>
      </c>
      <c r="I368">
        <v>751</v>
      </c>
      <c r="J368">
        <v>2294</v>
      </c>
      <c r="K368" s="18" t="s">
        <v>1120</v>
      </c>
      <c r="L368" s="21">
        <v>6.7</v>
      </c>
    </row>
    <row r="369" spans="1:12" x14ac:dyDescent="0.25">
      <c r="A369" t="str">
        <f t="shared" si="20"/>
        <v>2016-FA-FAL-130-800-2293</v>
      </c>
      <c r="B369" t="str">
        <f t="shared" si="21"/>
        <v>2016</v>
      </c>
      <c r="C369" s="18" t="s">
        <v>747</v>
      </c>
      <c r="D369" t="s">
        <v>1066</v>
      </c>
      <c r="E369" t="s">
        <v>1121</v>
      </c>
      <c r="F369">
        <v>130</v>
      </c>
      <c r="G369">
        <f t="shared" si="22"/>
        <v>80</v>
      </c>
      <c r="H369">
        <f t="shared" si="23"/>
        <v>229</v>
      </c>
      <c r="I369">
        <v>800</v>
      </c>
      <c r="J369">
        <v>2293</v>
      </c>
      <c r="K369" s="18" t="s">
        <v>1120</v>
      </c>
      <c r="L369" s="21">
        <v>7.2</v>
      </c>
    </row>
    <row r="370" spans="1:12" x14ac:dyDescent="0.25">
      <c r="A370" t="str">
        <f t="shared" si="20"/>
        <v>2016-FA-FAL-138-847-2295</v>
      </c>
      <c r="B370" t="str">
        <f t="shared" si="21"/>
        <v>2016</v>
      </c>
      <c r="C370" s="18" t="s">
        <v>747</v>
      </c>
      <c r="D370" t="s">
        <v>1066</v>
      </c>
      <c r="E370" t="s">
        <v>1119</v>
      </c>
      <c r="F370">
        <v>138</v>
      </c>
      <c r="G370">
        <f t="shared" si="22"/>
        <v>84</v>
      </c>
      <c r="H370">
        <f t="shared" si="23"/>
        <v>229</v>
      </c>
      <c r="I370">
        <v>847</v>
      </c>
      <c r="J370">
        <v>2295</v>
      </c>
      <c r="K370" s="18" t="s">
        <v>1120</v>
      </c>
      <c r="L370" s="21">
        <v>7.4</v>
      </c>
    </row>
    <row r="371" spans="1:12" x14ac:dyDescent="0.25">
      <c r="A371" t="str">
        <f t="shared" si="20"/>
        <v>2016-FA-FAL-157-902-2297</v>
      </c>
      <c r="B371" t="str">
        <f t="shared" si="21"/>
        <v>2016</v>
      </c>
      <c r="C371" s="18" t="s">
        <v>747</v>
      </c>
      <c r="D371" t="s">
        <v>1066</v>
      </c>
      <c r="E371" t="s">
        <v>1116</v>
      </c>
      <c r="F371">
        <v>157</v>
      </c>
      <c r="G371">
        <f t="shared" si="22"/>
        <v>90</v>
      </c>
      <c r="H371">
        <f t="shared" si="23"/>
        <v>229</v>
      </c>
      <c r="I371">
        <v>902</v>
      </c>
      <c r="J371">
        <v>2297</v>
      </c>
      <c r="K371" s="18" t="s">
        <v>1120</v>
      </c>
      <c r="L371" s="21">
        <v>8.0500000000000007</v>
      </c>
    </row>
    <row r="372" spans="1:12" x14ac:dyDescent="0.25">
      <c r="A372" t="str">
        <f t="shared" si="20"/>
        <v>2017-FA-FAL-86-599-2343</v>
      </c>
      <c r="B372" t="str">
        <f t="shared" si="21"/>
        <v>2017</v>
      </c>
      <c r="C372" s="18" t="s">
        <v>753</v>
      </c>
      <c r="D372" t="s">
        <v>1066</v>
      </c>
      <c r="E372" t="s">
        <v>1088</v>
      </c>
      <c r="F372">
        <v>86</v>
      </c>
      <c r="G372">
        <f t="shared" si="22"/>
        <v>59</v>
      </c>
      <c r="H372">
        <f t="shared" si="23"/>
        <v>234</v>
      </c>
      <c r="I372">
        <v>599</v>
      </c>
      <c r="J372">
        <v>2343</v>
      </c>
      <c r="K372" s="18" t="s">
        <v>1122</v>
      </c>
      <c r="L372" s="21">
        <v>5.9</v>
      </c>
    </row>
    <row r="373" spans="1:12" x14ac:dyDescent="0.25">
      <c r="A373" t="str">
        <f t="shared" si="20"/>
        <v>2017-FA-FAL-94-630-2346</v>
      </c>
      <c r="B373" t="str">
        <f t="shared" si="21"/>
        <v>2017</v>
      </c>
      <c r="C373" s="18" t="s">
        <v>753</v>
      </c>
      <c r="D373" t="s">
        <v>1066</v>
      </c>
      <c r="E373" t="s">
        <v>1112</v>
      </c>
      <c r="F373">
        <v>94</v>
      </c>
      <c r="G373">
        <f t="shared" si="22"/>
        <v>63</v>
      </c>
      <c r="H373">
        <f t="shared" si="23"/>
        <v>234</v>
      </c>
      <c r="I373">
        <v>630</v>
      </c>
      <c r="J373">
        <v>2346</v>
      </c>
      <c r="K373" s="18" t="s">
        <v>1122</v>
      </c>
      <c r="L373" s="21">
        <v>6.2</v>
      </c>
    </row>
    <row r="374" spans="1:12" x14ac:dyDescent="0.25">
      <c r="A374" t="str">
        <f t="shared" si="20"/>
        <v>2017-FA-FAL-114-710-2295</v>
      </c>
      <c r="B374" t="str">
        <f t="shared" si="21"/>
        <v>2017</v>
      </c>
      <c r="C374" s="18" t="s">
        <v>753</v>
      </c>
      <c r="D374" t="s">
        <v>1066</v>
      </c>
      <c r="E374" t="s">
        <v>1123</v>
      </c>
      <c r="F374">
        <v>114</v>
      </c>
      <c r="G374">
        <f t="shared" si="22"/>
        <v>71</v>
      </c>
      <c r="H374">
        <f t="shared" si="23"/>
        <v>229</v>
      </c>
      <c r="I374">
        <v>710</v>
      </c>
      <c r="J374">
        <v>2295</v>
      </c>
      <c r="K374" s="18" t="s">
        <v>1122</v>
      </c>
      <c r="L374" s="21">
        <v>6.35</v>
      </c>
    </row>
    <row r="375" spans="1:12" x14ac:dyDescent="0.25">
      <c r="A375" t="str">
        <f t="shared" si="20"/>
        <v>2017-FA-FAL-121-751-2294</v>
      </c>
      <c r="B375" t="str">
        <f t="shared" si="21"/>
        <v>2017</v>
      </c>
      <c r="C375" s="18" t="s">
        <v>753</v>
      </c>
      <c r="D375" t="s">
        <v>1066</v>
      </c>
      <c r="E375" t="s">
        <v>1108</v>
      </c>
      <c r="F375">
        <v>121</v>
      </c>
      <c r="G375">
        <f t="shared" si="22"/>
        <v>75</v>
      </c>
      <c r="H375">
        <f t="shared" si="23"/>
        <v>229</v>
      </c>
      <c r="I375">
        <v>751</v>
      </c>
      <c r="J375">
        <v>2294</v>
      </c>
      <c r="K375" s="18" t="s">
        <v>1122</v>
      </c>
      <c r="L375" s="21">
        <v>6.7</v>
      </c>
    </row>
    <row r="376" spans="1:12" x14ac:dyDescent="0.25">
      <c r="A376" t="str">
        <f t="shared" si="20"/>
        <v>2017-FA-FAL-130-800-2293</v>
      </c>
      <c r="B376" t="str">
        <f t="shared" si="21"/>
        <v>2017</v>
      </c>
      <c r="C376" s="18" t="s">
        <v>753</v>
      </c>
      <c r="D376" t="s">
        <v>1066</v>
      </c>
      <c r="E376" t="s">
        <v>1121</v>
      </c>
      <c r="F376">
        <v>130</v>
      </c>
      <c r="G376">
        <f t="shared" si="22"/>
        <v>80</v>
      </c>
      <c r="H376">
        <f t="shared" si="23"/>
        <v>229</v>
      </c>
      <c r="I376">
        <v>800</v>
      </c>
      <c r="J376">
        <v>2293</v>
      </c>
      <c r="K376" s="18" t="s">
        <v>1122</v>
      </c>
      <c r="L376" s="21">
        <v>7.2</v>
      </c>
    </row>
    <row r="377" spans="1:12" x14ac:dyDescent="0.25">
      <c r="A377" t="str">
        <f t="shared" si="20"/>
        <v>2017-FA-FAL-137-850-2246</v>
      </c>
      <c r="B377" t="str">
        <f t="shared" si="21"/>
        <v>2017</v>
      </c>
      <c r="C377" s="18" t="s">
        <v>753</v>
      </c>
      <c r="D377" t="s">
        <v>1066</v>
      </c>
      <c r="E377" t="s">
        <v>1124</v>
      </c>
      <c r="F377">
        <v>137</v>
      </c>
      <c r="G377">
        <f t="shared" si="22"/>
        <v>85</v>
      </c>
      <c r="H377">
        <f t="shared" si="23"/>
        <v>224</v>
      </c>
      <c r="I377">
        <v>850</v>
      </c>
      <c r="J377">
        <v>2246</v>
      </c>
      <c r="K377" s="18" t="s">
        <v>1122</v>
      </c>
      <c r="L377" s="21">
        <v>7.4</v>
      </c>
    </row>
    <row r="378" spans="1:12" x14ac:dyDescent="0.25">
      <c r="A378" t="str">
        <f t="shared" si="20"/>
        <v>2017-FA-FAL-161-900-2297</v>
      </c>
      <c r="B378" t="str">
        <f t="shared" si="21"/>
        <v>2017</v>
      </c>
      <c r="C378" s="18" t="s">
        <v>753</v>
      </c>
      <c r="D378" t="s">
        <v>1066</v>
      </c>
      <c r="E378" t="s">
        <v>1125</v>
      </c>
      <c r="F378">
        <v>161</v>
      </c>
      <c r="G378">
        <f t="shared" si="22"/>
        <v>90</v>
      </c>
      <c r="H378">
        <f t="shared" si="23"/>
        <v>229</v>
      </c>
      <c r="I378">
        <v>900</v>
      </c>
      <c r="J378">
        <v>2297</v>
      </c>
      <c r="K378" s="18" t="s">
        <v>1122</v>
      </c>
      <c r="L378" s="21">
        <v>8.9499999999999993</v>
      </c>
    </row>
    <row r="379" spans="1:12" x14ac:dyDescent="0.25">
      <c r="A379" t="str">
        <f t="shared" si="20"/>
        <v>2018-FA-FAL-86-599-2343</v>
      </c>
      <c r="B379" t="str">
        <f t="shared" si="21"/>
        <v>2018</v>
      </c>
      <c r="C379" s="18" t="s">
        <v>760</v>
      </c>
      <c r="D379" t="s">
        <v>1066</v>
      </c>
      <c r="E379" t="s">
        <v>1126</v>
      </c>
      <c r="F379">
        <v>86</v>
      </c>
      <c r="G379">
        <f t="shared" si="22"/>
        <v>59</v>
      </c>
      <c r="H379">
        <f t="shared" si="23"/>
        <v>234</v>
      </c>
      <c r="I379">
        <v>599</v>
      </c>
      <c r="J379">
        <v>2343</v>
      </c>
      <c r="K379" s="18" t="s">
        <v>1127</v>
      </c>
      <c r="L379" s="21">
        <v>6.15</v>
      </c>
    </row>
    <row r="380" spans="1:12" x14ac:dyDescent="0.25">
      <c r="A380" t="str">
        <f t="shared" si="20"/>
        <v>2018-FA-FAL-98-631-2317</v>
      </c>
      <c r="B380" t="str">
        <f t="shared" si="21"/>
        <v>2018</v>
      </c>
      <c r="C380" s="23" t="s">
        <v>760</v>
      </c>
      <c r="D380" s="22" t="s">
        <v>1066</v>
      </c>
      <c r="E380" s="22" t="s">
        <v>1128</v>
      </c>
      <c r="F380" s="22">
        <v>98</v>
      </c>
      <c r="G380">
        <f t="shared" si="22"/>
        <v>63</v>
      </c>
      <c r="H380">
        <f t="shared" si="23"/>
        <v>231</v>
      </c>
      <c r="I380" s="22">
        <v>631</v>
      </c>
      <c r="J380" s="22">
        <v>2317</v>
      </c>
      <c r="K380" s="23" t="s">
        <v>1127</v>
      </c>
      <c r="L380" s="24">
        <v>6.2</v>
      </c>
    </row>
    <row r="381" spans="1:12" x14ac:dyDescent="0.25">
      <c r="A381" t="str">
        <f t="shared" si="20"/>
        <v>2018-FA-FAL-114-710-2295</v>
      </c>
      <c r="B381" t="str">
        <f t="shared" si="21"/>
        <v>2018</v>
      </c>
      <c r="C381" s="18" t="s">
        <v>760</v>
      </c>
      <c r="D381" t="s">
        <v>1066</v>
      </c>
      <c r="E381" t="s">
        <v>1129</v>
      </c>
      <c r="F381">
        <v>114</v>
      </c>
      <c r="G381">
        <f t="shared" si="22"/>
        <v>71</v>
      </c>
      <c r="H381">
        <f t="shared" si="23"/>
        <v>229</v>
      </c>
      <c r="I381">
        <v>710</v>
      </c>
      <c r="J381">
        <v>2295</v>
      </c>
      <c r="K381" s="18" t="s">
        <v>1127</v>
      </c>
      <c r="L381" s="21">
        <v>6.45</v>
      </c>
    </row>
    <row r="382" spans="1:12" x14ac:dyDescent="0.25">
      <c r="A382" t="str">
        <f t="shared" si="20"/>
        <v>2018-FA-FAL-121-751-2294</v>
      </c>
      <c r="B382" t="str">
        <f t="shared" si="21"/>
        <v>2018</v>
      </c>
      <c r="C382" s="18" t="s">
        <v>760</v>
      </c>
      <c r="D382" t="s">
        <v>1066</v>
      </c>
      <c r="E382" t="s">
        <v>1130</v>
      </c>
      <c r="F382">
        <v>121</v>
      </c>
      <c r="G382">
        <f t="shared" si="22"/>
        <v>75</v>
      </c>
      <c r="H382">
        <f t="shared" si="23"/>
        <v>229</v>
      </c>
      <c r="I382">
        <v>751</v>
      </c>
      <c r="J382">
        <v>2294</v>
      </c>
      <c r="K382" s="18" t="s">
        <v>1127</v>
      </c>
      <c r="L382" s="21">
        <v>6.85</v>
      </c>
    </row>
    <row r="383" spans="1:12" x14ac:dyDescent="0.25">
      <c r="A383" t="str">
        <f t="shared" si="20"/>
        <v>2018-FA-FAL-130-800-2293</v>
      </c>
      <c r="B383" t="str">
        <f t="shared" si="21"/>
        <v>2018</v>
      </c>
      <c r="C383" s="18" t="s">
        <v>760</v>
      </c>
      <c r="D383" t="s">
        <v>1066</v>
      </c>
      <c r="E383" t="s">
        <v>1131</v>
      </c>
      <c r="F383">
        <v>130</v>
      </c>
      <c r="G383">
        <f t="shared" si="22"/>
        <v>80</v>
      </c>
      <c r="H383">
        <f t="shared" si="23"/>
        <v>229</v>
      </c>
      <c r="I383">
        <v>800</v>
      </c>
      <c r="J383">
        <v>2293</v>
      </c>
      <c r="K383" s="18" t="s">
        <v>1127</v>
      </c>
      <c r="L383" s="21">
        <v>7.2</v>
      </c>
    </row>
    <row r="384" spans="1:12" x14ac:dyDescent="0.25">
      <c r="A384" t="str">
        <f t="shared" si="20"/>
        <v>2018-FA-FAL-137-850-2246</v>
      </c>
      <c r="B384" t="str">
        <f t="shared" si="21"/>
        <v>2018</v>
      </c>
      <c r="C384" s="18" t="s">
        <v>760</v>
      </c>
      <c r="D384" t="s">
        <v>1066</v>
      </c>
      <c r="E384" t="s">
        <v>1132</v>
      </c>
      <c r="F384">
        <v>137</v>
      </c>
      <c r="G384">
        <f t="shared" si="22"/>
        <v>85</v>
      </c>
      <c r="H384">
        <f t="shared" si="23"/>
        <v>224</v>
      </c>
      <c r="I384">
        <v>850</v>
      </c>
      <c r="J384">
        <v>2246</v>
      </c>
      <c r="K384" s="18" t="s">
        <v>1127</v>
      </c>
      <c r="L384" s="21">
        <v>7.65</v>
      </c>
    </row>
    <row r="385" spans="1:12" x14ac:dyDescent="0.25">
      <c r="A385" t="str">
        <f t="shared" si="20"/>
        <v>2018-FA-FAL-161-900-2297</v>
      </c>
      <c r="B385" t="str">
        <f t="shared" si="21"/>
        <v>2018</v>
      </c>
      <c r="C385" s="18" t="s">
        <v>760</v>
      </c>
      <c r="D385" t="s">
        <v>1066</v>
      </c>
      <c r="E385" t="s">
        <v>1133</v>
      </c>
      <c r="F385">
        <v>161</v>
      </c>
      <c r="G385">
        <f t="shared" si="22"/>
        <v>90</v>
      </c>
      <c r="H385">
        <f t="shared" si="23"/>
        <v>229</v>
      </c>
      <c r="I385">
        <v>900</v>
      </c>
      <c r="J385">
        <v>2297</v>
      </c>
      <c r="K385" s="18" t="s">
        <v>1127</v>
      </c>
      <c r="L385" s="21">
        <v>8.9499999999999993</v>
      </c>
    </row>
    <row r="386" spans="1:12" x14ac:dyDescent="0.25">
      <c r="A386" t="str">
        <f t="shared" ref="A386:A449" si="24">_xlfn.CONCAT(B386,"-",LEFT(D386,2),"-",LEFT(E386,3),"-",F386,"-",TRUNC(I386),"-",TRUNC(J386))</f>
        <v>2019-FA-FAL-86-599-2343</v>
      </c>
      <c r="B386" t="str">
        <f t="shared" ref="B386:B449" si="25">LEFT(C386,4)</f>
        <v>2019</v>
      </c>
      <c r="C386" s="18" t="s">
        <v>763</v>
      </c>
      <c r="D386" t="s">
        <v>1066</v>
      </c>
      <c r="E386" t="s">
        <v>1126</v>
      </c>
      <c r="F386">
        <v>86</v>
      </c>
      <c r="G386">
        <f t="shared" si="22"/>
        <v>59</v>
      </c>
      <c r="H386">
        <f t="shared" si="23"/>
        <v>234</v>
      </c>
      <c r="I386">
        <v>599</v>
      </c>
      <c r="J386">
        <v>2343</v>
      </c>
      <c r="K386" s="18" t="s">
        <v>1134</v>
      </c>
      <c r="L386" s="21">
        <v>6.3</v>
      </c>
    </row>
    <row r="387" spans="1:12" x14ac:dyDescent="0.25">
      <c r="A387" t="str">
        <f t="shared" si="24"/>
        <v>2019-FA-FAL-98-631-2317</v>
      </c>
      <c r="B387" t="str">
        <f t="shared" si="25"/>
        <v>2019</v>
      </c>
      <c r="C387" s="23" t="s">
        <v>763</v>
      </c>
      <c r="D387" s="22" t="s">
        <v>1066</v>
      </c>
      <c r="E387" s="22" t="s">
        <v>1128</v>
      </c>
      <c r="F387" s="22">
        <v>98</v>
      </c>
      <c r="G387">
        <f t="shared" ref="G387:G450" si="26">TRUNC(I387/10)</f>
        <v>63</v>
      </c>
      <c r="H387">
        <f t="shared" ref="H387:H450" si="27">TRUNC(J387/10)</f>
        <v>231</v>
      </c>
      <c r="I387" s="22">
        <v>631</v>
      </c>
      <c r="J387" s="22">
        <v>2317</v>
      </c>
      <c r="K387" s="23" t="s">
        <v>1134</v>
      </c>
      <c r="L387" s="24">
        <v>6.4</v>
      </c>
    </row>
    <row r="388" spans="1:12" x14ac:dyDescent="0.25">
      <c r="A388" t="str">
        <f t="shared" si="24"/>
        <v>2019-FA-FAL-107-680-2342</v>
      </c>
      <c r="B388" t="str">
        <f t="shared" si="25"/>
        <v>2019</v>
      </c>
      <c r="C388" s="18" t="s">
        <v>763</v>
      </c>
      <c r="D388" t="s">
        <v>1066</v>
      </c>
      <c r="E388" t="s">
        <v>1135</v>
      </c>
      <c r="F388">
        <v>107</v>
      </c>
      <c r="G388">
        <f t="shared" si="26"/>
        <v>68</v>
      </c>
      <c r="H388">
        <f t="shared" si="27"/>
        <v>234</v>
      </c>
      <c r="I388">
        <v>680</v>
      </c>
      <c r="J388">
        <v>2342</v>
      </c>
      <c r="K388" s="18" t="s">
        <v>1134</v>
      </c>
      <c r="L388" s="21">
        <v>6.65</v>
      </c>
    </row>
    <row r="389" spans="1:12" x14ac:dyDescent="0.25">
      <c r="A389" t="str">
        <f t="shared" si="24"/>
        <v>2019-FA-FAL-116-715-2293</v>
      </c>
      <c r="B389" t="str">
        <f t="shared" si="25"/>
        <v>2019</v>
      </c>
      <c r="C389" s="18" t="s">
        <v>763</v>
      </c>
      <c r="D389" t="s">
        <v>1066</v>
      </c>
      <c r="E389" t="s">
        <v>1136</v>
      </c>
      <c r="F389">
        <v>116</v>
      </c>
      <c r="G389">
        <f t="shared" si="26"/>
        <v>71</v>
      </c>
      <c r="H389">
        <f t="shared" si="27"/>
        <v>229</v>
      </c>
      <c r="I389">
        <v>715</v>
      </c>
      <c r="J389">
        <v>2293</v>
      </c>
      <c r="K389" s="18" t="s">
        <v>1134</v>
      </c>
      <c r="L389" s="21">
        <v>6.75</v>
      </c>
    </row>
    <row r="390" spans="1:12" x14ac:dyDescent="0.25">
      <c r="A390" t="str">
        <f t="shared" si="24"/>
        <v>2019-FA-FAL-121-751-2294</v>
      </c>
      <c r="B390" t="str">
        <f t="shared" si="25"/>
        <v>2019</v>
      </c>
      <c r="C390" s="18" t="s">
        <v>763</v>
      </c>
      <c r="D390" t="s">
        <v>1066</v>
      </c>
      <c r="E390" t="s">
        <v>1130</v>
      </c>
      <c r="F390">
        <v>121</v>
      </c>
      <c r="G390">
        <f t="shared" si="26"/>
        <v>75</v>
      </c>
      <c r="H390">
        <f t="shared" si="27"/>
        <v>229</v>
      </c>
      <c r="I390">
        <v>751</v>
      </c>
      <c r="J390">
        <v>2294</v>
      </c>
      <c r="K390" s="18" t="s">
        <v>1134</v>
      </c>
      <c r="L390" s="21">
        <v>7.2</v>
      </c>
    </row>
    <row r="391" spans="1:12" x14ac:dyDescent="0.25">
      <c r="A391" t="str">
        <f t="shared" si="24"/>
        <v>2019-FA-FAL-133-800-2295</v>
      </c>
      <c r="B391" t="str">
        <f t="shared" si="25"/>
        <v>2019</v>
      </c>
      <c r="C391" s="18" t="s">
        <v>763</v>
      </c>
      <c r="D391" t="s">
        <v>1066</v>
      </c>
      <c r="E391" t="s">
        <v>1137</v>
      </c>
      <c r="F391">
        <v>133</v>
      </c>
      <c r="G391">
        <f t="shared" si="26"/>
        <v>80</v>
      </c>
      <c r="H391">
        <f t="shared" si="27"/>
        <v>229</v>
      </c>
      <c r="I391">
        <v>800</v>
      </c>
      <c r="J391">
        <v>2295</v>
      </c>
      <c r="K391" s="18" t="s">
        <v>1134</v>
      </c>
      <c r="L391" s="21">
        <v>7.65</v>
      </c>
    </row>
    <row r="392" spans="1:12" x14ac:dyDescent="0.25">
      <c r="A392" t="str">
        <f t="shared" si="24"/>
        <v>2019-FA-FAL-138-847-2279</v>
      </c>
      <c r="B392" t="str">
        <f t="shared" si="25"/>
        <v>2019</v>
      </c>
      <c r="C392" s="18" t="s">
        <v>763</v>
      </c>
      <c r="D392" t="s">
        <v>1066</v>
      </c>
      <c r="E392" t="s">
        <v>1138</v>
      </c>
      <c r="F392">
        <v>138</v>
      </c>
      <c r="G392">
        <f t="shared" si="26"/>
        <v>84</v>
      </c>
      <c r="H392">
        <f t="shared" si="27"/>
        <v>227</v>
      </c>
      <c r="I392">
        <v>847</v>
      </c>
      <c r="J392">
        <v>2279</v>
      </c>
      <c r="K392" s="18" t="s">
        <v>1134</v>
      </c>
      <c r="L392" s="21">
        <v>7.6</v>
      </c>
    </row>
    <row r="393" spans="1:12" x14ac:dyDescent="0.25">
      <c r="A393" t="str">
        <f t="shared" si="24"/>
        <v>2019-FA-FAL-161-900-2297</v>
      </c>
      <c r="B393" t="str">
        <f t="shared" si="25"/>
        <v>2019</v>
      </c>
      <c r="C393" s="18" t="s">
        <v>763</v>
      </c>
      <c r="D393" t="s">
        <v>1066</v>
      </c>
      <c r="E393" t="s">
        <v>1139</v>
      </c>
      <c r="F393">
        <v>161</v>
      </c>
      <c r="G393">
        <f t="shared" si="26"/>
        <v>90</v>
      </c>
      <c r="H393">
        <f t="shared" si="27"/>
        <v>229</v>
      </c>
      <c r="I393">
        <v>900</v>
      </c>
      <c r="J393">
        <v>2297</v>
      </c>
      <c r="K393" s="18" t="s">
        <v>1134</v>
      </c>
      <c r="L393" s="21">
        <v>8.8000000000000007</v>
      </c>
    </row>
    <row r="394" spans="1:12" x14ac:dyDescent="0.25">
      <c r="A394" t="str">
        <f t="shared" si="24"/>
        <v>2019-FA-FAL-184-910-2251</v>
      </c>
      <c r="B394" t="str">
        <f t="shared" si="25"/>
        <v>2019</v>
      </c>
      <c r="C394" s="18" t="s">
        <v>763</v>
      </c>
      <c r="D394" t="s">
        <v>1066</v>
      </c>
      <c r="E394" t="s">
        <v>1140</v>
      </c>
      <c r="F394">
        <v>184</v>
      </c>
      <c r="G394">
        <f t="shared" si="26"/>
        <v>91</v>
      </c>
      <c r="H394">
        <f t="shared" si="27"/>
        <v>225</v>
      </c>
      <c r="I394">
        <v>910</v>
      </c>
      <c r="J394">
        <v>2251</v>
      </c>
      <c r="K394" s="18" t="s">
        <v>1134</v>
      </c>
      <c r="L394" s="21">
        <v>9.4</v>
      </c>
    </row>
    <row r="395" spans="1:12" x14ac:dyDescent="0.25">
      <c r="A395" t="str">
        <f t="shared" si="24"/>
        <v>2019-FA-FAL-192-910-2298</v>
      </c>
      <c r="B395" t="str">
        <f t="shared" si="25"/>
        <v>2019</v>
      </c>
      <c r="C395" s="18" t="s">
        <v>763</v>
      </c>
      <c r="D395" t="s">
        <v>1066</v>
      </c>
      <c r="E395" t="s">
        <v>1141</v>
      </c>
      <c r="F395">
        <v>192</v>
      </c>
      <c r="G395">
        <f t="shared" si="26"/>
        <v>91</v>
      </c>
      <c r="H395">
        <f t="shared" si="27"/>
        <v>229</v>
      </c>
      <c r="I395">
        <v>910</v>
      </c>
      <c r="J395">
        <v>2298</v>
      </c>
      <c r="K395" s="18" t="s">
        <v>1142</v>
      </c>
      <c r="L395" s="21">
        <v>9.6</v>
      </c>
    </row>
    <row r="396" spans="1:12" x14ac:dyDescent="0.25">
      <c r="A396" t="str">
        <f t="shared" si="24"/>
        <v>2020-FA-Fal-82-560-2319</v>
      </c>
      <c r="B396" t="str">
        <f t="shared" si="25"/>
        <v>2020</v>
      </c>
      <c r="C396" s="18" t="s">
        <v>861</v>
      </c>
      <c r="D396" t="s">
        <v>1066</v>
      </c>
      <c r="E396" t="s">
        <v>1143</v>
      </c>
      <c r="F396">
        <v>82</v>
      </c>
      <c r="G396">
        <f t="shared" si="26"/>
        <v>56</v>
      </c>
      <c r="H396">
        <f t="shared" si="27"/>
        <v>231</v>
      </c>
      <c r="I396">
        <v>560</v>
      </c>
      <c r="J396">
        <v>2319</v>
      </c>
      <c r="K396" s="18" t="s">
        <v>1144</v>
      </c>
      <c r="L396" s="21">
        <v>6.2</v>
      </c>
    </row>
    <row r="397" spans="1:12" x14ac:dyDescent="0.25">
      <c r="A397" t="str">
        <f t="shared" si="24"/>
        <v>2020-FA-Fal-89-601-2319</v>
      </c>
      <c r="B397" t="str">
        <f t="shared" si="25"/>
        <v>2020</v>
      </c>
      <c r="C397" s="18" t="s">
        <v>861</v>
      </c>
      <c r="D397" t="s">
        <v>1066</v>
      </c>
      <c r="E397" t="s">
        <v>1145</v>
      </c>
      <c r="F397">
        <v>89</v>
      </c>
      <c r="G397">
        <f t="shared" si="26"/>
        <v>60</v>
      </c>
      <c r="H397">
        <f t="shared" si="27"/>
        <v>231</v>
      </c>
      <c r="I397">
        <v>601</v>
      </c>
      <c r="J397">
        <v>2319</v>
      </c>
      <c r="K397" s="18" t="s">
        <v>1144</v>
      </c>
      <c r="L397" s="21">
        <v>6.3</v>
      </c>
    </row>
    <row r="398" spans="1:12" x14ac:dyDescent="0.25">
      <c r="A398" t="str">
        <f t="shared" si="24"/>
        <v>2020-FA-Fal-96-621-2320</v>
      </c>
      <c r="B398" t="str">
        <f t="shared" si="25"/>
        <v>2020</v>
      </c>
      <c r="C398" s="26" t="s">
        <v>861</v>
      </c>
      <c r="D398" s="25" t="s">
        <v>1066</v>
      </c>
      <c r="E398" s="25" t="s">
        <v>1146</v>
      </c>
      <c r="F398" s="25">
        <v>96</v>
      </c>
      <c r="G398">
        <f t="shared" si="26"/>
        <v>62</v>
      </c>
      <c r="H398">
        <f t="shared" si="27"/>
        <v>232</v>
      </c>
      <c r="I398" s="25">
        <v>621</v>
      </c>
      <c r="J398" s="25">
        <v>2320</v>
      </c>
      <c r="K398" s="26" t="s">
        <v>1144</v>
      </c>
      <c r="L398" s="27">
        <v>6.4</v>
      </c>
    </row>
    <row r="399" spans="1:12" x14ac:dyDescent="0.25">
      <c r="A399" t="str">
        <f t="shared" si="24"/>
        <v>2020-FA-Fal-107-680-2342</v>
      </c>
      <c r="B399" t="str">
        <f t="shared" si="25"/>
        <v>2020</v>
      </c>
      <c r="C399" s="18" t="s">
        <v>861</v>
      </c>
      <c r="D399" t="s">
        <v>1066</v>
      </c>
      <c r="E399" t="s">
        <v>1147</v>
      </c>
      <c r="F399">
        <v>107</v>
      </c>
      <c r="G399">
        <f t="shared" si="26"/>
        <v>68</v>
      </c>
      <c r="H399">
        <f t="shared" si="27"/>
        <v>234</v>
      </c>
      <c r="I399">
        <v>680</v>
      </c>
      <c r="J399">
        <v>2342</v>
      </c>
      <c r="K399" s="18" t="s">
        <v>1144</v>
      </c>
      <c r="L399" s="21">
        <v>6.6</v>
      </c>
    </row>
    <row r="400" spans="1:12" x14ac:dyDescent="0.25">
      <c r="A400" t="str">
        <f t="shared" si="24"/>
        <v>2020-FA-Fal-116-715-2293</v>
      </c>
      <c r="B400" t="str">
        <f t="shared" si="25"/>
        <v>2020</v>
      </c>
      <c r="C400" s="18" t="s">
        <v>861</v>
      </c>
      <c r="D400" t="s">
        <v>1066</v>
      </c>
      <c r="E400" t="s">
        <v>1148</v>
      </c>
      <c r="F400">
        <v>116</v>
      </c>
      <c r="G400">
        <f t="shared" si="26"/>
        <v>71</v>
      </c>
      <c r="H400">
        <f t="shared" si="27"/>
        <v>229</v>
      </c>
      <c r="I400">
        <v>715</v>
      </c>
      <c r="J400">
        <v>2293</v>
      </c>
      <c r="K400" s="18" t="s">
        <v>1144</v>
      </c>
      <c r="L400" s="21">
        <v>6.9</v>
      </c>
    </row>
    <row r="401" spans="1:12" x14ac:dyDescent="0.25">
      <c r="A401" t="str">
        <f t="shared" si="24"/>
        <v>2020-FA-Fal-121-751-2294</v>
      </c>
      <c r="B401" t="str">
        <f t="shared" si="25"/>
        <v>2020</v>
      </c>
      <c r="C401" s="18" t="s">
        <v>861</v>
      </c>
      <c r="D401" t="s">
        <v>1066</v>
      </c>
      <c r="E401" t="s">
        <v>1149</v>
      </c>
      <c r="F401">
        <v>121</v>
      </c>
      <c r="G401">
        <f t="shared" si="26"/>
        <v>75</v>
      </c>
      <c r="H401">
        <f t="shared" si="27"/>
        <v>229</v>
      </c>
      <c r="I401">
        <v>751</v>
      </c>
      <c r="J401">
        <v>2294</v>
      </c>
      <c r="K401" s="18" t="s">
        <v>1144</v>
      </c>
      <c r="L401" s="21">
        <v>7.2</v>
      </c>
    </row>
    <row r="402" spans="1:12" x14ac:dyDescent="0.25">
      <c r="A402" t="str">
        <f t="shared" si="24"/>
        <v>2020-FA-Fal-133-800-2295</v>
      </c>
      <c r="B402" t="str">
        <f t="shared" si="25"/>
        <v>2020</v>
      </c>
      <c r="C402" s="18" t="s">
        <v>861</v>
      </c>
      <c r="D402" t="s">
        <v>1066</v>
      </c>
      <c r="E402" t="s">
        <v>1150</v>
      </c>
      <c r="F402">
        <v>133</v>
      </c>
      <c r="G402">
        <f t="shared" si="26"/>
        <v>80</v>
      </c>
      <c r="H402">
        <f t="shared" si="27"/>
        <v>229</v>
      </c>
      <c r="I402">
        <v>800</v>
      </c>
      <c r="J402">
        <v>2295</v>
      </c>
      <c r="K402" s="18" t="s">
        <v>1144</v>
      </c>
      <c r="L402" s="21">
        <v>7.2</v>
      </c>
    </row>
    <row r="403" spans="1:12" x14ac:dyDescent="0.25">
      <c r="A403" t="str">
        <f t="shared" si="24"/>
        <v>2020-FA-Fal-138-847-2279</v>
      </c>
      <c r="B403" t="str">
        <f t="shared" si="25"/>
        <v>2020</v>
      </c>
      <c r="C403" s="18" t="s">
        <v>861</v>
      </c>
      <c r="D403" t="s">
        <v>1066</v>
      </c>
      <c r="E403" t="s">
        <v>1151</v>
      </c>
      <c r="F403">
        <v>138</v>
      </c>
      <c r="G403">
        <f t="shared" si="26"/>
        <v>84</v>
      </c>
      <c r="H403">
        <f t="shared" si="27"/>
        <v>227</v>
      </c>
      <c r="I403">
        <v>847</v>
      </c>
      <c r="J403">
        <v>2279</v>
      </c>
      <c r="K403" s="18" t="s">
        <v>1144</v>
      </c>
      <c r="L403" s="21">
        <v>7.8</v>
      </c>
    </row>
    <row r="404" spans="1:12" x14ac:dyDescent="0.25">
      <c r="A404" t="str">
        <f t="shared" si="24"/>
        <v>2021-FA-Fal-82-560-2319</v>
      </c>
      <c r="B404" t="str">
        <f t="shared" si="25"/>
        <v>2021</v>
      </c>
      <c r="C404" s="18" t="s">
        <v>1152</v>
      </c>
      <c r="D404" t="s">
        <v>1066</v>
      </c>
      <c r="E404" t="s">
        <v>1143</v>
      </c>
      <c r="F404">
        <v>82</v>
      </c>
      <c r="G404">
        <f t="shared" si="26"/>
        <v>56</v>
      </c>
      <c r="H404">
        <f t="shared" si="27"/>
        <v>231</v>
      </c>
      <c r="I404">
        <v>560</v>
      </c>
      <c r="J404">
        <v>2319</v>
      </c>
      <c r="K404" s="18" t="s">
        <v>1153</v>
      </c>
      <c r="L404" s="21">
        <v>6.2</v>
      </c>
    </row>
    <row r="405" spans="1:12" x14ac:dyDescent="0.25">
      <c r="A405" t="str">
        <f t="shared" si="24"/>
        <v>2021-FA-Fal-89-601-2319</v>
      </c>
      <c r="B405" t="str">
        <f t="shared" si="25"/>
        <v>2021</v>
      </c>
      <c r="C405" s="18" t="s">
        <v>1152</v>
      </c>
      <c r="D405" t="s">
        <v>1066</v>
      </c>
      <c r="E405" t="s">
        <v>1145</v>
      </c>
      <c r="F405">
        <v>89</v>
      </c>
      <c r="G405">
        <f t="shared" si="26"/>
        <v>60</v>
      </c>
      <c r="H405">
        <f t="shared" si="27"/>
        <v>231</v>
      </c>
      <c r="I405">
        <v>601</v>
      </c>
      <c r="J405">
        <v>2319</v>
      </c>
      <c r="K405" s="18" t="s">
        <v>1153</v>
      </c>
      <c r="L405" s="21">
        <v>6.3</v>
      </c>
    </row>
    <row r="406" spans="1:12" x14ac:dyDescent="0.25">
      <c r="A406" t="str">
        <f t="shared" si="24"/>
        <v>2021-FA-Fal-96-621-2320</v>
      </c>
      <c r="B406" t="str">
        <f t="shared" si="25"/>
        <v>2021</v>
      </c>
      <c r="C406" s="18" t="s">
        <v>1152</v>
      </c>
      <c r="D406" t="s">
        <v>1066</v>
      </c>
      <c r="E406" t="s">
        <v>1146</v>
      </c>
      <c r="F406">
        <v>96</v>
      </c>
      <c r="G406">
        <f t="shared" si="26"/>
        <v>62</v>
      </c>
      <c r="H406">
        <f t="shared" si="27"/>
        <v>232</v>
      </c>
      <c r="I406">
        <v>621</v>
      </c>
      <c r="J406">
        <v>2320</v>
      </c>
      <c r="K406" s="18" t="s">
        <v>1153</v>
      </c>
      <c r="L406" s="21">
        <v>6.4</v>
      </c>
    </row>
    <row r="407" spans="1:12" x14ac:dyDescent="0.25">
      <c r="A407" t="str">
        <f t="shared" si="24"/>
        <v>2021-FA-Fal-110-685-2320</v>
      </c>
      <c r="B407" t="str">
        <f t="shared" si="25"/>
        <v>2021</v>
      </c>
      <c r="C407" s="18" t="s">
        <v>1152</v>
      </c>
      <c r="D407" t="s">
        <v>1066</v>
      </c>
      <c r="E407" t="s">
        <v>1154</v>
      </c>
      <c r="F407">
        <v>110</v>
      </c>
      <c r="G407">
        <f t="shared" si="26"/>
        <v>68</v>
      </c>
      <c r="H407">
        <f t="shared" si="27"/>
        <v>232</v>
      </c>
      <c r="I407">
        <v>685</v>
      </c>
      <c r="J407">
        <v>2320</v>
      </c>
      <c r="K407" s="18" t="s">
        <v>1153</v>
      </c>
      <c r="L407" s="21">
        <v>6.7</v>
      </c>
    </row>
    <row r="408" spans="1:12" x14ac:dyDescent="0.25">
      <c r="A408" t="str">
        <f t="shared" si="24"/>
        <v>2021-FA-Fal-116-715-2293</v>
      </c>
      <c r="B408" t="str">
        <f t="shared" si="25"/>
        <v>2021</v>
      </c>
      <c r="C408" s="18" t="s">
        <v>1152</v>
      </c>
      <c r="D408" t="s">
        <v>1066</v>
      </c>
      <c r="E408" t="s">
        <v>1148</v>
      </c>
      <c r="F408">
        <v>116</v>
      </c>
      <c r="G408">
        <f t="shared" si="26"/>
        <v>71</v>
      </c>
      <c r="H408">
        <f t="shared" si="27"/>
        <v>229</v>
      </c>
      <c r="I408">
        <v>715</v>
      </c>
      <c r="J408">
        <v>2293</v>
      </c>
      <c r="K408" s="18" t="s">
        <v>1153</v>
      </c>
      <c r="L408" s="21">
        <v>6.9</v>
      </c>
    </row>
    <row r="409" spans="1:12" x14ac:dyDescent="0.25">
      <c r="A409" t="str">
        <f t="shared" si="24"/>
        <v>2021-FA-Fal-121-751-2294</v>
      </c>
      <c r="B409" t="str">
        <f t="shared" si="25"/>
        <v>2021</v>
      </c>
      <c r="C409" s="18" t="s">
        <v>1152</v>
      </c>
      <c r="D409" t="s">
        <v>1066</v>
      </c>
      <c r="E409" t="s">
        <v>1149</v>
      </c>
      <c r="F409">
        <v>121</v>
      </c>
      <c r="G409">
        <f t="shared" si="26"/>
        <v>75</v>
      </c>
      <c r="H409">
        <f t="shared" si="27"/>
        <v>229</v>
      </c>
      <c r="I409">
        <v>751</v>
      </c>
      <c r="J409">
        <v>2294</v>
      </c>
      <c r="K409" s="18" t="s">
        <v>1153</v>
      </c>
      <c r="L409" s="21">
        <v>7.2</v>
      </c>
    </row>
    <row r="410" spans="1:12" x14ac:dyDescent="0.25">
      <c r="A410" t="str">
        <f t="shared" si="24"/>
        <v>2021-FA-Fal-133-800-2295</v>
      </c>
      <c r="B410" t="str">
        <f t="shared" si="25"/>
        <v>2021</v>
      </c>
      <c r="C410" s="18" t="s">
        <v>1152</v>
      </c>
      <c r="D410" t="s">
        <v>1066</v>
      </c>
      <c r="E410" t="s">
        <v>1150</v>
      </c>
      <c r="F410">
        <v>133</v>
      </c>
      <c r="G410">
        <f t="shared" si="26"/>
        <v>80</v>
      </c>
      <c r="H410">
        <f t="shared" si="27"/>
        <v>229</v>
      </c>
      <c r="I410">
        <v>800</v>
      </c>
      <c r="J410">
        <v>2295</v>
      </c>
      <c r="K410" s="18" t="s">
        <v>1153</v>
      </c>
      <c r="L410" s="21">
        <v>7.2</v>
      </c>
    </row>
    <row r="411" spans="1:12" x14ac:dyDescent="0.25">
      <c r="A411" t="str">
        <f t="shared" si="24"/>
        <v>2021-FA-Fal-138-847-2279</v>
      </c>
      <c r="B411" t="str">
        <f t="shared" si="25"/>
        <v>2021</v>
      </c>
      <c r="C411" s="18" t="s">
        <v>1152</v>
      </c>
      <c r="D411" t="s">
        <v>1066</v>
      </c>
      <c r="E411" t="s">
        <v>1151</v>
      </c>
      <c r="F411">
        <v>138</v>
      </c>
      <c r="G411">
        <f t="shared" si="26"/>
        <v>84</v>
      </c>
      <c r="H411">
        <f t="shared" si="27"/>
        <v>227</v>
      </c>
      <c r="I411">
        <v>847</v>
      </c>
      <c r="J411">
        <v>2279</v>
      </c>
      <c r="K411" s="18" t="s">
        <v>1153</v>
      </c>
      <c r="L411" s="21">
        <v>7.8</v>
      </c>
    </row>
    <row r="412" spans="1:12" x14ac:dyDescent="0.25">
      <c r="A412" t="str">
        <f t="shared" si="24"/>
        <v>2022-FA-Fal-153-750-2100</v>
      </c>
      <c r="B412" t="str">
        <f t="shared" si="25"/>
        <v>2022</v>
      </c>
      <c r="C412" s="18" t="s">
        <v>866</v>
      </c>
      <c r="D412" t="s">
        <v>1066</v>
      </c>
      <c r="E412" t="s">
        <v>1155</v>
      </c>
      <c r="F412">
        <v>153</v>
      </c>
      <c r="G412">
        <f t="shared" si="26"/>
        <v>75</v>
      </c>
      <c r="H412">
        <f t="shared" si="27"/>
        <v>210</v>
      </c>
      <c r="I412">
        <v>750</v>
      </c>
      <c r="J412">
        <v>2100</v>
      </c>
      <c r="K412" s="18" t="s">
        <v>1156</v>
      </c>
      <c r="L412" s="21">
        <v>8.5</v>
      </c>
    </row>
    <row r="413" spans="1:12" x14ac:dyDescent="0.25">
      <c r="A413" t="str">
        <f t="shared" si="24"/>
        <v>2022-FA-Fal-173-810-2200</v>
      </c>
      <c r="B413" t="str">
        <f t="shared" si="25"/>
        <v>2022</v>
      </c>
      <c r="C413" s="18" t="s">
        <v>866</v>
      </c>
      <c r="D413" t="s">
        <v>1066</v>
      </c>
      <c r="E413" t="s">
        <v>1157</v>
      </c>
      <c r="F413">
        <v>173</v>
      </c>
      <c r="G413">
        <f t="shared" si="26"/>
        <v>81</v>
      </c>
      <c r="H413">
        <f t="shared" si="27"/>
        <v>220</v>
      </c>
      <c r="I413">
        <v>810</v>
      </c>
      <c r="J413">
        <v>2200</v>
      </c>
      <c r="K413" s="18" t="s">
        <v>1156</v>
      </c>
      <c r="L413" s="21">
        <v>9</v>
      </c>
    </row>
    <row r="414" spans="1:12" x14ac:dyDescent="0.25">
      <c r="A414" t="str">
        <f t="shared" si="24"/>
        <v>2022-FA-Fal-194-909-2218</v>
      </c>
      <c r="B414" t="str">
        <f t="shared" si="25"/>
        <v>2022</v>
      </c>
      <c r="C414" s="18" t="s">
        <v>866</v>
      </c>
      <c r="D414" t="s">
        <v>1066</v>
      </c>
      <c r="E414" t="s">
        <v>1158</v>
      </c>
      <c r="F414">
        <v>194</v>
      </c>
      <c r="G414">
        <f t="shared" si="26"/>
        <v>90</v>
      </c>
      <c r="H414">
        <f t="shared" si="27"/>
        <v>221</v>
      </c>
      <c r="I414">
        <v>909</v>
      </c>
      <c r="J414">
        <v>2218</v>
      </c>
      <c r="K414" s="18" t="s">
        <v>1156</v>
      </c>
      <c r="L414" s="21">
        <v>9.6999999999999993</v>
      </c>
    </row>
    <row r="415" spans="1:12" x14ac:dyDescent="0.25">
      <c r="A415" t="str">
        <f t="shared" si="24"/>
        <v>2022-FA-Fal-82-560-2319</v>
      </c>
      <c r="B415" t="str">
        <f t="shared" si="25"/>
        <v>2022</v>
      </c>
      <c r="C415" s="18" t="s">
        <v>866</v>
      </c>
      <c r="D415" t="s">
        <v>1066</v>
      </c>
      <c r="E415" t="s">
        <v>1159</v>
      </c>
      <c r="F415">
        <v>82</v>
      </c>
      <c r="G415">
        <f t="shared" si="26"/>
        <v>56</v>
      </c>
      <c r="H415">
        <f t="shared" si="27"/>
        <v>231</v>
      </c>
      <c r="I415">
        <v>560</v>
      </c>
      <c r="J415">
        <v>2319</v>
      </c>
      <c r="K415" s="18" t="s">
        <v>1156</v>
      </c>
      <c r="L415" s="21">
        <v>6.2</v>
      </c>
    </row>
    <row r="416" spans="1:12" x14ac:dyDescent="0.25">
      <c r="A416" t="str">
        <f t="shared" si="24"/>
        <v>2022-FA-Fal-89-601-2319</v>
      </c>
      <c r="B416" t="str">
        <f t="shared" si="25"/>
        <v>2022</v>
      </c>
      <c r="C416" s="18" t="s">
        <v>866</v>
      </c>
      <c r="D416" t="s">
        <v>1066</v>
      </c>
      <c r="E416" t="s">
        <v>934</v>
      </c>
      <c r="F416">
        <v>89</v>
      </c>
      <c r="G416">
        <f t="shared" si="26"/>
        <v>60</v>
      </c>
      <c r="H416">
        <f t="shared" si="27"/>
        <v>231</v>
      </c>
      <c r="I416">
        <v>601</v>
      </c>
      <c r="J416">
        <v>2319</v>
      </c>
      <c r="K416" s="18" t="s">
        <v>1156</v>
      </c>
      <c r="L416" s="21">
        <v>6.3</v>
      </c>
    </row>
    <row r="417" spans="1:12" x14ac:dyDescent="0.25">
      <c r="A417" t="str">
        <f t="shared" si="24"/>
        <v>2022-FA-Fal-96-621-2320</v>
      </c>
      <c r="B417" t="str">
        <f t="shared" si="25"/>
        <v>2022</v>
      </c>
      <c r="C417" s="18" t="s">
        <v>866</v>
      </c>
      <c r="D417" t="s">
        <v>1066</v>
      </c>
      <c r="E417" t="s">
        <v>1160</v>
      </c>
      <c r="F417">
        <v>96</v>
      </c>
      <c r="G417">
        <f t="shared" si="26"/>
        <v>62</v>
      </c>
      <c r="H417">
        <f t="shared" si="27"/>
        <v>232</v>
      </c>
      <c r="I417">
        <v>621</v>
      </c>
      <c r="J417">
        <v>2320</v>
      </c>
      <c r="K417" s="18" t="s">
        <v>1156</v>
      </c>
      <c r="L417" s="21">
        <v>6.4</v>
      </c>
    </row>
    <row r="418" spans="1:12" x14ac:dyDescent="0.25">
      <c r="A418" t="str">
        <f t="shared" si="24"/>
        <v>2022-FA-Fal-110-685-2320</v>
      </c>
      <c r="B418" t="str">
        <f t="shared" si="25"/>
        <v>2022</v>
      </c>
      <c r="C418" s="18" t="s">
        <v>866</v>
      </c>
      <c r="D418" t="s">
        <v>1066</v>
      </c>
      <c r="E418" t="s">
        <v>936</v>
      </c>
      <c r="F418">
        <v>110</v>
      </c>
      <c r="G418">
        <f t="shared" si="26"/>
        <v>68</v>
      </c>
      <c r="H418">
        <f t="shared" si="27"/>
        <v>232</v>
      </c>
      <c r="I418">
        <v>685</v>
      </c>
      <c r="J418">
        <v>2320</v>
      </c>
      <c r="K418" s="18" t="s">
        <v>1156</v>
      </c>
      <c r="L418" s="21">
        <v>6.7</v>
      </c>
    </row>
    <row r="419" spans="1:12" x14ac:dyDescent="0.25">
      <c r="A419" t="str">
        <f t="shared" si="24"/>
        <v>2022-FA-Fal-116-715-2293</v>
      </c>
      <c r="B419" t="str">
        <f t="shared" si="25"/>
        <v>2022</v>
      </c>
      <c r="C419" s="18" t="s">
        <v>866</v>
      </c>
      <c r="D419" t="s">
        <v>1066</v>
      </c>
      <c r="E419" t="s">
        <v>1161</v>
      </c>
      <c r="F419">
        <v>116</v>
      </c>
      <c r="G419">
        <f t="shared" si="26"/>
        <v>71</v>
      </c>
      <c r="H419">
        <f t="shared" si="27"/>
        <v>229</v>
      </c>
      <c r="I419">
        <v>715</v>
      </c>
      <c r="J419">
        <v>2293</v>
      </c>
      <c r="K419" s="18" t="s">
        <v>1156</v>
      </c>
      <c r="L419" s="21">
        <v>6.9</v>
      </c>
    </row>
    <row r="420" spans="1:12" x14ac:dyDescent="0.25">
      <c r="A420" t="str">
        <f t="shared" si="24"/>
        <v>2022-FA-Fal-121-751-2294</v>
      </c>
      <c r="B420" t="str">
        <f t="shared" si="25"/>
        <v>2022</v>
      </c>
      <c r="C420" s="18" t="s">
        <v>866</v>
      </c>
      <c r="D420" t="s">
        <v>1066</v>
      </c>
      <c r="E420" t="s">
        <v>1162</v>
      </c>
      <c r="F420">
        <v>121</v>
      </c>
      <c r="G420">
        <f t="shared" si="26"/>
        <v>75</v>
      </c>
      <c r="H420">
        <f t="shared" si="27"/>
        <v>229</v>
      </c>
      <c r="I420">
        <v>751</v>
      </c>
      <c r="J420">
        <v>2294</v>
      </c>
      <c r="K420" s="18" t="s">
        <v>1156</v>
      </c>
      <c r="L420" s="21">
        <v>7.2</v>
      </c>
    </row>
    <row r="421" spans="1:12" x14ac:dyDescent="0.25">
      <c r="A421" t="str">
        <f t="shared" si="24"/>
        <v>2022-FA-Fal-133-800-2295</v>
      </c>
      <c r="B421" t="str">
        <f t="shared" si="25"/>
        <v>2022</v>
      </c>
      <c r="C421" s="18" t="s">
        <v>866</v>
      </c>
      <c r="D421" t="s">
        <v>1066</v>
      </c>
      <c r="E421" t="s">
        <v>938</v>
      </c>
      <c r="F421">
        <v>133</v>
      </c>
      <c r="G421">
        <f t="shared" si="26"/>
        <v>80</v>
      </c>
      <c r="H421">
        <f t="shared" si="27"/>
        <v>229</v>
      </c>
      <c r="I421">
        <v>800</v>
      </c>
      <c r="J421">
        <v>2295</v>
      </c>
      <c r="K421" s="18" t="s">
        <v>1156</v>
      </c>
      <c r="L421" s="21">
        <v>7.2</v>
      </c>
    </row>
    <row r="422" spans="1:12" x14ac:dyDescent="0.25">
      <c r="A422" t="str">
        <f t="shared" si="24"/>
        <v>2022-FA-Fal-138-847-2279</v>
      </c>
      <c r="B422" t="str">
        <f t="shared" si="25"/>
        <v>2022</v>
      </c>
      <c r="C422" s="18" t="s">
        <v>866</v>
      </c>
      <c r="D422" t="s">
        <v>1066</v>
      </c>
      <c r="E422" t="s">
        <v>939</v>
      </c>
      <c r="F422">
        <v>138</v>
      </c>
      <c r="G422">
        <f t="shared" si="26"/>
        <v>84</v>
      </c>
      <c r="H422">
        <f t="shared" si="27"/>
        <v>227</v>
      </c>
      <c r="I422">
        <v>847</v>
      </c>
      <c r="J422">
        <v>2279</v>
      </c>
      <c r="K422" s="18" t="s">
        <v>1156</v>
      </c>
      <c r="L422" s="21">
        <v>7.8</v>
      </c>
    </row>
    <row r="423" spans="1:12" x14ac:dyDescent="0.25">
      <c r="A423" t="str">
        <f t="shared" si="24"/>
        <v>2023-FA-Fal-149-753-2097</v>
      </c>
      <c r="B423" t="str">
        <f t="shared" si="25"/>
        <v>2023</v>
      </c>
      <c r="C423" s="18" t="s">
        <v>776</v>
      </c>
      <c r="D423" t="s">
        <v>1066</v>
      </c>
      <c r="E423" t="s">
        <v>329</v>
      </c>
      <c r="F423">
        <v>149</v>
      </c>
      <c r="G423">
        <f t="shared" si="26"/>
        <v>75</v>
      </c>
      <c r="H423">
        <f t="shared" si="27"/>
        <v>209</v>
      </c>
      <c r="I423">
        <v>753</v>
      </c>
      <c r="J423">
        <v>2097</v>
      </c>
      <c r="K423" s="18" t="s">
        <v>1163</v>
      </c>
      <c r="L423" s="21">
        <v>8.3000000000000007</v>
      </c>
    </row>
    <row r="424" spans="1:12" x14ac:dyDescent="0.25">
      <c r="A424" t="str">
        <f t="shared" si="24"/>
        <v>2023-FA-Fal-165-810-2210</v>
      </c>
      <c r="B424" t="str">
        <f t="shared" si="25"/>
        <v>2023</v>
      </c>
      <c r="C424" s="18" t="s">
        <v>776</v>
      </c>
      <c r="D424" t="s">
        <v>1066</v>
      </c>
      <c r="E424" t="s">
        <v>330</v>
      </c>
      <c r="F424">
        <v>165</v>
      </c>
      <c r="G424">
        <f t="shared" si="26"/>
        <v>81</v>
      </c>
      <c r="H424">
        <f t="shared" si="27"/>
        <v>221</v>
      </c>
      <c r="I424">
        <v>810</v>
      </c>
      <c r="J424">
        <v>2210</v>
      </c>
      <c r="K424" s="18" t="s">
        <v>1163</v>
      </c>
      <c r="L424" s="21">
        <v>8.9</v>
      </c>
    </row>
    <row r="425" spans="1:12" x14ac:dyDescent="0.25">
      <c r="A425" t="str">
        <f t="shared" si="24"/>
        <v>2023-FA-Fal-184-909-2125</v>
      </c>
      <c r="B425" t="str">
        <f t="shared" si="25"/>
        <v>2023</v>
      </c>
      <c r="C425" s="18" t="s">
        <v>776</v>
      </c>
      <c r="D425" t="s">
        <v>1066</v>
      </c>
      <c r="E425" t="s">
        <v>331</v>
      </c>
      <c r="F425">
        <v>184</v>
      </c>
      <c r="G425">
        <f t="shared" si="26"/>
        <v>90</v>
      </c>
      <c r="H425">
        <f t="shared" si="27"/>
        <v>212</v>
      </c>
      <c r="I425">
        <v>909</v>
      </c>
      <c r="J425">
        <v>2125</v>
      </c>
      <c r="K425" s="18" t="s">
        <v>1163</v>
      </c>
      <c r="L425" s="21">
        <v>9.5</v>
      </c>
    </row>
    <row r="426" spans="1:12" x14ac:dyDescent="0.25">
      <c r="A426" t="str">
        <f t="shared" si="24"/>
        <v>2023-FA-Fal-82-560-2319</v>
      </c>
      <c r="B426" t="str">
        <f t="shared" si="25"/>
        <v>2023</v>
      </c>
      <c r="C426" s="18" t="s">
        <v>776</v>
      </c>
      <c r="D426" t="s">
        <v>1066</v>
      </c>
      <c r="E426" t="s">
        <v>1159</v>
      </c>
      <c r="F426">
        <v>82</v>
      </c>
      <c r="G426">
        <f t="shared" si="26"/>
        <v>56</v>
      </c>
      <c r="H426">
        <f t="shared" si="27"/>
        <v>231</v>
      </c>
      <c r="I426">
        <v>560</v>
      </c>
      <c r="J426">
        <v>2319</v>
      </c>
      <c r="K426" s="18" t="s">
        <v>1163</v>
      </c>
      <c r="L426" s="21">
        <v>6.2</v>
      </c>
    </row>
    <row r="427" spans="1:12" x14ac:dyDescent="0.25">
      <c r="A427" t="str">
        <f t="shared" si="24"/>
        <v>2023-FA-Fal-89-601-2319</v>
      </c>
      <c r="B427" t="str">
        <f t="shared" si="25"/>
        <v>2023</v>
      </c>
      <c r="C427" s="18" t="s">
        <v>776</v>
      </c>
      <c r="D427" t="s">
        <v>1066</v>
      </c>
      <c r="E427" t="s">
        <v>934</v>
      </c>
      <c r="F427">
        <v>89</v>
      </c>
      <c r="G427">
        <f t="shared" si="26"/>
        <v>60</v>
      </c>
      <c r="H427">
        <f t="shared" si="27"/>
        <v>231</v>
      </c>
      <c r="I427">
        <v>601</v>
      </c>
      <c r="J427">
        <v>2319</v>
      </c>
      <c r="K427" s="18" t="s">
        <v>1163</v>
      </c>
      <c r="L427" s="21">
        <v>6.3</v>
      </c>
    </row>
    <row r="428" spans="1:12" x14ac:dyDescent="0.25">
      <c r="A428" t="str">
        <f t="shared" si="24"/>
        <v>2023-FA-Fal-96-630-2319</v>
      </c>
      <c r="B428" t="str">
        <f t="shared" si="25"/>
        <v>2023</v>
      </c>
      <c r="C428" s="18" t="s">
        <v>776</v>
      </c>
      <c r="D428" t="s">
        <v>1066</v>
      </c>
      <c r="E428" t="s">
        <v>935</v>
      </c>
      <c r="F428">
        <v>96</v>
      </c>
      <c r="G428">
        <f t="shared" si="26"/>
        <v>63</v>
      </c>
      <c r="H428">
        <f t="shared" si="27"/>
        <v>231</v>
      </c>
      <c r="I428">
        <v>630</v>
      </c>
      <c r="J428">
        <v>2319</v>
      </c>
      <c r="K428" s="18" t="s">
        <v>1163</v>
      </c>
      <c r="L428" s="21">
        <v>6.4</v>
      </c>
    </row>
    <row r="429" spans="1:12" x14ac:dyDescent="0.25">
      <c r="A429" t="str">
        <f t="shared" si="24"/>
        <v>2023-FA-Fal-110-685-2320</v>
      </c>
      <c r="B429" t="str">
        <f t="shared" si="25"/>
        <v>2023</v>
      </c>
      <c r="C429" s="18" t="s">
        <v>776</v>
      </c>
      <c r="D429" t="s">
        <v>1066</v>
      </c>
      <c r="E429" t="s">
        <v>936</v>
      </c>
      <c r="F429">
        <v>110</v>
      </c>
      <c r="G429">
        <f t="shared" si="26"/>
        <v>68</v>
      </c>
      <c r="H429">
        <f t="shared" si="27"/>
        <v>232</v>
      </c>
      <c r="I429">
        <v>685</v>
      </c>
      <c r="J429">
        <v>2320</v>
      </c>
      <c r="K429" s="18" t="s">
        <v>1163</v>
      </c>
      <c r="L429" s="21">
        <v>6.7</v>
      </c>
    </row>
    <row r="430" spans="1:12" x14ac:dyDescent="0.25">
      <c r="A430" t="str">
        <f t="shared" si="24"/>
        <v>2023-FA-Fal-117-715-2294</v>
      </c>
      <c r="B430" t="str">
        <f t="shared" si="25"/>
        <v>2023</v>
      </c>
      <c r="C430" s="18" t="s">
        <v>776</v>
      </c>
      <c r="D430" t="s">
        <v>1066</v>
      </c>
      <c r="E430" t="s">
        <v>937</v>
      </c>
      <c r="F430">
        <v>117</v>
      </c>
      <c r="G430">
        <f t="shared" si="26"/>
        <v>71</v>
      </c>
      <c r="H430">
        <f t="shared" si="27"/>
        <v>229</v>
      </c>
      <c r="I430">
        <v>715</v>
      </c>
      <c r="J430">
        <v>2294</v>
      </c>
      <c r="K430" s="18" t="s">
        <v>1163</v>
      </c>
      <c r="L430" s="21">
        <v>7</v>
      </c>
    </row>
    <row r="431" spans="1:12" x14ac:dyDescent="0.25">
      <c r="A431" t="str">
        <f t="shared" si="24"/>
        <v>2023-FA-Fal-121-751-2294</v>
      </c>
      <c r="B431" t="str">
        <f t="shared" si="25"/>
        <v>2023</v>
      </c>
      <c r="C431" s="18" t="s">
        <v>776</v>
      </c>
      <c r="D431" t="s">
        <v>1066</v>
      </c>
      <c r="E431" t="s">
        <v>1162</v>
      </c>
      <c r="F431">
        <v>121</v>
      </c>
      <c r="G431">
        <f t="shared" si="26"/>
        <v>75</v>
      </c>
      <c r="H431">
        <f t="shared" si="27"/>
        <v>229</v>
      </c>
      <c r="I431">
        <v>751</v>
      </c>
      <c r="J431">
        <v>2294</v>
      </c>
      <c r="K431" s="18" t="s">
        <v>1163</v>
      </c>
      <c r="L431" s="21">
        <v>7.2</v>
      </c>
    </row>
    <row r="432" spans="1:12" x14ac:dyDescent="0.25">
      <c r="A432" t="str">
        <f t="shared" si="24"/>
        <v>2023-FA-Fal-133-800-2295</v>
      </c>
      <c r="B432" t="str">
        <f t="shared" si="25"/>
        <v>2023</v>
      </c>
      <c r="C432" s="18" t="s">
        <v>776</v>
      </c>
      <c r="D432" t="s">
        <v>1066</v>
      </c>
      <c r="E432" t="s">
        <v>938</v>
      </c>
      <c r="F432">
        <v>133</v>
      </c>
      <c r="G432">
        <f t="shared" si="26"/>
        <v>80</v>
      </c>
      <c r="H432">
        <f t="shared" si="27"/>
        <v>229</v>
      </c>
      <c r="I432">
        <v>800</v>
      </c>
      <c r="J432">
        <v>2295</v>
      </c>
      <c r="K432" s="18" t="s">
        <v>1163</v>
      </c>
      <c r="L432" s="21">
        <v>7.2</v>
      </c>
    </row>
    <row r="433" spans="1:12" x14ac:dyDescent="0.25">
      <c r="A433" t="str">
        <f t="shared" si="24"/>
        <v>2023-FA-Fal-138-847-2279</v>
      </c>
      <c r="B433" t="str">
        <f t="shared" si="25"/>
        <v>2023</v>
      </c>
      <c r="C433" s="18" t="s">
        <v>776</v>
      </c>
      <c r="D433" t="s">
        <v>1066</v>
      </c>
      <c r="E433" t="s">
        <v>939</v>
      </c>
      <c r="F433">
        <v>138</v>
      </c>
      <c r="G433">
        <f t="shared" si="26"/>
        <v>84</v>
      </c>
      <c r="H433">
        <f t="shared" si="27"/>
        <v>227</v>
      </c>
      <c r="I433">
        <v>847</v>
      </c>
      <c r="J433">
        <v>2279</v>
      </c>
      <c r="K433" s="18" t="s">
        <v>1163</v>
      </c>
      <c r="L433" s="21">
        <v>7.8</v>
      </c>
    </row>
    <row r="434" spans="1:12" x14ac:dyDescent="0.25">
      <c r="A434" t="str">
        <f t="shared" si="24"/>
        <v>2019-FM-INV-96-631-2350</v>
      </c>
      <c r="B434" t="str">
        <f t="shared" si="25"/>
        <v>2019</v>
      </c>
      <c r="C434" s="18" t="s">
        <v>763</v>
      </c>
      <c r="D434" t="s">
        <v>711</v>
      </c>
      <c r="E434" t="s">
        <v>1164</v>
      </c>
      <c r="F434">
        <v>96</v>
      </c>
      <c r="G434">
        <f t="shared" si="26"/>
        <v>63</v>
      </c>
      <c r="H434">
        <f t="shared" si="27"/>
        <v>235</v>
      </c>
      <c r="I434">
        <v>631</v>
      </c>
      <c r="J434">
        <v>2350</v>
      </c>
      <c r="K434" s="18" t="s">
        <v>1165</v>
      </c>
      <c r="L434" s="21">
        <v>5.9</v>
      </c>
    </row>
    <row r="435" spans="1:12" x14ac:dyDescent="0.25">
      <c r="A435" t="str">
        <f t="shared" si="24"/>
        <v>2019-FM-INV-119-720-2354</v>
      </c>
      <c r="B435" t="str">
        <f t="shared" si="25"/>
        <v>2019</v>
      </c>
      <c r="C435" s="18" t="s">
        <v>763</v>
      </c>
      <c r="D435" t="s">
        <v>711</v>
      </c>
      <c r="E435" t="s">
        <v>1166</v>
      </c>
      <c r="F435">
        <v>119</v>
      </c>
      <c r="G435">
        <f t="shared" si="26"/>
        <v>72</v>
      </c>
      <c r="H435">
        <f t="shared" si="27"/>
        <v>235</v>
      </c>
      <c r="I435">
        <v>720</v>
      </c>
      <c r="J435">
        <v>2354</v>
      </c>
      <c r="K435" s="18" t="s">
        <v>1165</v>
      </c>
      <c r="L435" s="21">
        <v>6.6</v>
      </c>
    </row>
    <row r="436" spans="1:12" x14ac:dyDescent="0.25">
      <c r="A436" t="str">
        <f t="shared" si="24"/>
        <v>2019-FM-INV-150-850-2280</v>
      </c>
      <c r="B436" t="str">
        <f t="shared" si="25"/>
        <v>2019</v>
      </c>
      <c r="C436" s="18" t="s">
        <v>763</v>
      </c>
      <c r="D436" t="s">
        <v>711</v>
      </c>
      <c r="E436" t="s">
        <v>1167</v>
      </c>
      <c r="F436">
        <v>150</v>
      </c>
      <c r="G436">
        <f t="shared" si="26"/>
        <v>85</v>
      </c>
      <c r="H436">
        <f t="shared" si="27"/>
        <v>228</v>
      </c>
      <c r="I436">
        <v>850</v>
      </c>
      <c r="J436">
        <v>2280</v>
      </c>
      <c r="K436" s="18" t="s">
        <v>1165</v>
      </c>
      <c r="L436" s="21">
        <v>7.7</v>
      </c>
    </row>
    <row r="437" spans="1:12" x14ac:dyDescent="0.25">
      <c r="A437" t="str">
        <f t="shared" si="24"/>
        <v>2019-FM-HYP-185-909-2200</v>
      </c>
      <c r="B437" t="str">
        <f t="shared" si="25"/>
        <v>2019</v>
      </c>
      <c r="C437" s="18" t="s">
        <v>763</v>
      </c>
      <c r="D437" t="s">
        <v>711</v>
      </c>
      <c r="E437" t="s">
        <v>1168</v>
      </c>
      <c r="F437">
        <v>185</v>
      </c>
      <c r="G437">
        <f t="shared" si="26"/>
        <v>90</v>
      </c>
      <c r="H437">
        <f t="shared" si="27"/>
        <v>220</v>
      </c>
      <c r="I437">
        <v>909</v>
      </c>
      <c r="J437">
        <v>2200</v>
      </c>
      <c r="K437" s="18" t="s">
        <v>1165</v>
      </c>
      <c r="L437" s="21">
        <v>8.9</v>
      </c>
    </row>
    <row r="438" spans="1:12" x14ac:dyDescent="0.25">
      <c r="A438" t="str">
        <f t="shared" si="24"/>
        <v>2021-FM-INV-88-610-2350</v>
      </c>
      <c r="B438" t="str">
        <f t="shared" si="25"/>
        <v>2021</v>
      </c>
      <c r="C438" s="18" t="s">
        <v>1152</v>
      </c>
      <c r="D438" t="s">
        <v>1169</v>
      </c>
      <c r="E438" t="s">
        <v>1170</v>
      </c>
      <c r="F438">
        <v>88</v>
      </c>
      <c r="G438">
        <f t="shared" si="26"/>
        <v>61</v>
      </c>
      <c r="H438">
        <f t="shared" si="27"/>
        <v>235</v>
      </c>
      <c r="I438">
        <v>610</v>
      </c>
      <c r="J438">
        <v>2350</v>
      </c>
      <c r="K438" s="18" t="s">
        <v>1171</v>
      </c>
      <c r="L438" s="21">
        <v>5.8</v>
      </c>
    </row>
    <row r="439" spans="1:12" x14ac:dyDescent="0.25">
      <c r="A439" t="str">
        <f t="shared" si="24"/>
        <v>2021-FM-INV-98-631-2350</v>
      </c>
      <c r="B439" t="str">
        <f t="shared" si="25"/>
        <v>2021</v>
      </c>
      <c r="C439" s="18" t="s">
        <v>1152</v>
      </c>
      <c r="D439" t="s">
        <v>1169</v>
      </c>
      <c r="E439" t="s">
        <v>1172</v>
      </c>
      <c r="F439">
        <v>98</v>
      </c>
      <c r="G439">
        <f t="shared" si="26"/>
        <v>63</v>
      </c>
      <c r="H439">
        <f t="shared" si="27"/>
        <v>235</v>
      </c>
      <c r="I439">
        <v>631</v>
      </c>
      <c r="J439">
        <v>2350</v>
      </c>
      <c r="K439" s="18" t="s">
        <v>1171</v>
      </c>
      <c r="L439" s="21">
        <v>5.9</v>
      </c>
    </row>
    <row r="440" spans="1:12" x14ac:dyDescent="0.25">
      <c r="A440" t="str">
        <f t="shared" si="24"/>
        <v>2021-FM-INV-104-668-2337</v>
      </c>
      <c r="B440" t="str">
        <f t="shared" si="25"/>
        <v>2021</v>
      </c>
      <c r="C440" s="18" t="s">
        <v>1152</v>
      </c>
      <c r="D440" t="s">
        <v>1169</v>
      </c>
      <c r="E440" t="s">
        <v>1173</v>
      </c>
      <c r="F440">
        <v>104</v>
      </c>
      <c r="G440">
        <f t="shared" si="26"/>
        <v>66</v>
      </c>
      <c r="H440">
        <f t="shared" si="27"/>
        <v>233</v>
      </c>
      <c r="I440">
        <v>668</v>
      </c>
      <c r="J440">
        <v>2337</v>
      </c>
      <c r="K440" s="18" t="s">
        <v>1171</v>
      </c>
      <c r="L440" s="21">
        <v>6.4</v>
      </c>
    </row>
    <row r="441" spans="1:12" x14ac:dyDescent="0.25">
      <c r="A441" t="str">
        <f t="shared" si="24"/>
        <v>2021-FM-INV-108-698-2350</v>
      </c>
      <c r="B441" t="str">
        <f t="shared" si="25"/>
        <v>2021</v>
      </c>
      <c r="C441" s="18" t="s">
        <v>1152</v>
      </c>
      <c r="D441" t="s">
        <v>1169</v>
      </c>
      <c r="E441" t="s">
        <v>1174</v>
      </c>
      <c r="F441">
        <v>108</v>
      </c>
      <c r="G441">
        <f t="shared" si="26"/>
        <v>69</v>
      </c>
      <c r="H441">
        <f t="shared" si="27"/>
        <v>235</v>
      </c>
      <c r="I441">
        <v>698</v>
      </c>
      <c r="J441">
        <v>2350</v>
      </c>
      <c r="K441" s="18" t="s">
        <v>1171</v>
      </c>
      <c r="L441" s="21">
        <v>6.6</v>
      </c>
    </row>
    <row r="442" spans="1:12" x14ac:dyDescent="0.25">
      <c r="A442" t="str">
        <f t="shared" si="24"/>
        <v>2021-FM-INV-118-720-2352</v>
      </c>
      <c r="B442" t="str">
        <f t="shared" si="25"/>
        <v>2021</v>
      </c>
      <c r="C442" s="18" t="s">
        <v>1152</v>
      </c>
      <c r="D442" t="s">
        <v>1169</v>
      </c>
      <c r="E442" t="s">
        <v>1175</v>
      </c>
      <c r="F442">
        <v>118</v>
      </c>
      <c r="G442">
        <f t="shared" si="26"/>
        <v>72</v>
      </c>
      <c r="H442">
        <f t="shared" si="27"/>
        <v>235</v>
      </c>
      <c r="I442">
        <v>720</v>
      </c>
      <c r="J442">
        <v>2352</v>
      </c>
      <c r="K442" s="18" t="s">
        <v>1171</v>
      </c>
      <c r="L442" s="21">
        <v>6.8</v>
      </c>
    </row>
    <row r="443" spans="1:12" x14ac:dyDescent="0.25">
      <c r="A443" t="str">
        <f t="shared" si="24"/>
        <v>2021-FM-INV-128-807-2280</v>
      </c>
      <c r="B443" t="str">
        <f t="shared" si="25"/>
        <v>2021</v>
      </c>
      <c r="C443" s="18" t="s">
        <v>1152</v>
      </c>
      <c r="D443" t="s">
        <v>1169</v>
      </c>
      <c r="E443" t="s">
        <v>1176</v>
      </c>
      <c r="F443">
        <v>128</v>
      </c>
      <c r="G443">
        <f t="shared" si="26"/>
        <v>80</v>
      </c>
      <c r="H443">
        <f t="shared" si="27"/>
        <v>228</v>
      </c>
      <c r="I443">
        <v>807</v>
      </c>
      <c r="J443">
        <v>2280</v>
      </c>
      <c r="K443" s="18" t="s">
        <v>1171</v>
      </c>
      <c r="L443" s="21">
        <v>7.2</v>
      </c>
    </row>
    <row r="444" spans="1:12" x14ac:dyDescent="0.25">
      <c r="A444" t="str">
        <f t="shared" si="24"/>
        <v>2021-FM-INV-138-850-2281</v>
      </c>
      <c r="B444" t="str">
        <f t="shared" si="25"/>
        <v>2021</v>
      </c>
      <c r="C444" s="18" t="s">
        <v>1152</v>
      </c>
      <c r="D444" t="s">
        <v>1169</v>
      </c>
      <c r="E444" t="s">
        <v>1177</v>
      </c>
      <c r="F444">
        <v>138</v>
      </c>
      <c r="G444">
        <f t="shared" si="26"/>
        <v>85</v>
      </c>
      <c r="H444">
        <f t="shared" si="27"/>
        <v>228</v>
      </c>
      <c r="I444">
        <v>850</v>
      </c>
      <c r="J444">
        <v>2281</v>
      </c>
      <c r="K444" s="18" t="s">
        <v>1171</v>
      </c>
      <c r="L444" s="21">
        <v>7.6</v>
      </c>
    </row>
    <row r="445" spans="1:12" x14ac:dyDescent="0.25">
      <c r="A445" t="str">
        <f t="shared" si="24"/>
        <v>2021-FM-HYP-178-910-2185</v>
      </c>
      <c r="B445" t="str">
        <f t="shared" si="25"/>
        <v>2021</v>
      </c>
      <c r="C445" s="18" t="s">
        <v>1152</v>
      </c>
      <c r="D445" t="s">
        <v>1169</v>
      </c>
      <c r="E445" t="s">
        <v>1178</v>
      </c>
      <c r="F445">
        <v>178</v>
      </c>
      <c r="G445">
        <f t="shared" si="26"/>
        <v>91</v>
      </c>
      <c r="H445">
        <f t="shared" si="27"/>
        <v>218</v>
      </c>
      <c r="I445">
        <v>910</v>
      </c>
      <c r="J445">
        <v>2185</v>
      </c>
      <c r="K445" s="18" t="s">
        <v>1171</v>
      </c>
      <c r="L445" s="21">
        <v>9</v>
      </c>
    </row>
    <row r="446" spans="1:12" x14ac:dyDescent="0.25">
      <c r="A446" t="str">
        <f t="shared" si="24"/>
        <v>2021-FM-HYP-178-910-2170</v>
      </c>
      <c r="B446" t="str">
        <f t="shared" si="25"/>
        <v>2021</v>
      </c>
      <c r="C446" s="18" t="s">
        <v>1152</v>
      </c>
      <c r="D446" t="s">
        <v>1169</v>
      </c>
      <c r="E446" t="s">
        <v>1179</v>
      </c>
      <c r="F446">
        <v>178</v>
      </c>
      <c r="G446">
        <f t="shared" si="26"/>
        <v>91</v>
      </c>
      <c r="H446">
        <f t="shared" si="27"/>
        <v>217</v>
      </c>
      <c r="I446">
        <v>910</v>
      </c>
      <c r="J446">
        <v>2170</v>
      </c>
      <c r="K446" s="18" t="s">
        <v>1171</v>
      </c>
      <c r="L446" s="21">
        <v>9.1999999999999993</v>
      </c>
    </row>
    <row r="447" spans="1:12" x14ac:dyDescent="0.25">
      <c r="A447" t="str">
        <f t="shared" si="24"/>
        <v>2022-FM-Inv-88-610-2350</v>
      </c>
      <c r="B447" t="str">
        <f t="shared" si="25"/>
        <v>2022</v>
      </c>
      <c r="C447" s="18" t="s">
        <v>866</v>
      </c>
      <c r="D447" t="s">
        <v>1169</v>
      </c>
      <c r="E447" t="s">
        <v>1180</v>
      </c>
      <c r="F447">
        <v>88</v>
      </c>
      <c r="G447">
        <f t="shared" si="26"/>
        <v>61</v>
      </c>
      <c r="H447">
        <f t="shared" si="27"/>
        <v>235</v>
      </c>
      <c r="I447">
        <v>610</v>
      </c>
      <c r="J447">
        <v>2350</v>
      </c>
      <c r="K447" s="18" t="s">
        <v>1181</v>
      </c>
      <c r="L447" s="21">
        <v>5.8</v>
      </c>
    </row>
    <row r="448" spans="1:12" x14ac:dyDescent="0.25">
      <c r="A448" t="str">
        <f t="shared" si="24"/>
        <v>2022-FM-Inv-98-631-2350</v>
      </c>
      <c r="B448" t="str">
        <f t="shared" si="25"/>
        <v>2022</v>
      </c>
      <c r="C448" s="18" t="s">
        <v>866</v>
      </c>
      <c r="D448" t="s">
        <v>1169</v>
      </c>
      <c r="E448" t="s">
        <v>1182</v>
      </c>
      <c r="F448">
        <v>98</v>
      </c>
      <c r="G448">
        <f t="shared" si="26"/>
        <v>63</v>
      </c>
      <c r="H448">
        <f t="shared" si="27"/>
        <v>235</v>
      </c>
      <c r="I448">
        <v>631</v>
      </c>
      <c r="J448">
        <v>2350</v>
      </c>
      <c r="K448" s="18" t="s">
        <v>1181</v>
      </c>
      <c r="L448" s="21">
        <v>5.9</v>
      </c>
    </row>
    <row r="449" spans="1:12" x14ac:dyDescent="0.25">
      <c r="A449" t="str">
        <f t="shared" si="24"/>
        <v>2022-FM-Inv-104-668-2337</v>
      </c>
      <c r="B449" t="str">
        <f t="shared" si="25"/>
        <v>2022</v>
      </c>
      <c r="C449" s="18" t="s">
        <v>866</v>
      </c>
      <c r="D449" t="s">
        <v>1169</v>
      </c>
      <c r="E449" t="s">
        <v>1183</v>
      </c>
      <c r="F449">
        <v>104</v>
      </c>
      <c r="G449">
        <f t="shared" si="26"/>
        <v>66</v>
      </c>
      <c r="H449">
        <f t="shared" si="27"/>
        <v>233</v>
      </c>
      <c r="I449">
        <v>668</v>
      </c>
      <c r="J449">
        <v>2337</v>
      </c>
      <c r="K449" s="18" t="s">
        <v>1181</v>
      </c>
      <c r="L449" s="21">
        <v>6.4</v>
      </c>
    </row>
    <row r="450" spans="1:12" x14ac:dyDescent="0.25">
      <c r="A450" t="str">
        <f t="shared" ref="A450:A513" si="28">_xlfn.CONCAT(B450,"-",LEFT(D450,2),"-",LEFT(E450,3),"-",F450,"-",TRUNC(I450),"-",TRUNC(J450))</f>
        <v>2022-FM-Inv-108-698-2350</v>
      </c>
      <c r="B450" t="str">
        <f t="shared" ref="B450:B513" si="29">LEFT(C450,4)</f>
        <v>2022</v>
      </c>
      <c r="C450" s="18" t="s">
        <v>866</v>
      </c>
      <c r="D450" t="s">
        <v>1169</v>
      </c>
      <c r="E450" t="s">
        <v>1184</v>
      </c>
      <c r="F450">
        <v>108</v>
      </c>
      <c r="G450">
        <f t="shared" si="26"/>
        <v>69</v>
      </c>
      <c r="H450">
        <f t="shared" si="27"/>
        <v>235</v>
      </c>
      <c r="I450">
        <v>698</v>
      </c>
      <c r="J450">
        <v>2350</v>
      </c>
      <c r="K450" s="18" t="s">
        <v>1181</v>
      </c>
      <c r="L450" s="21">
        <v>6.6</v>
      </c>
    </row>
    <row r="451" spans="1:12" x14ac:dyDescent="0.25">
      <c r="A451" t="str">
        <f t="shared" si="28"/>
        <v>2022-FM-Inv-118-720-2352</v>
      </c>
      <c r="B451" t="str">
        <f t="shared" si="29"/>
        <v>2022</v>
      </c>
      <c r="C451" s="18" t="s">
        <v>866</v>
      </c>
      <c r="D451" t="s">
        <v>1169</v>
      </c>
      <c r="E451" t="s">
        <v>1185</v>
      </c>
      <c r="F451">
        <v>118</v>
      </c>
      <c r="G451">
        <f t="shared" ref="G451:G514" si="30">TRUNC(I451/10)</f>
        <v>72</v>
      </c>
      <c r="H451">
        <f t="shared" ref="H451:H514" si="31">TRUNC(J451/10)</f>
        <v>235</v>
      </c>
      <c r="I451">
        <v>720</v>
      </c>
      <c r="J451">
        <v>2352</v>
      </c>
      <c r="K451" s="18" t="s">
        <v>1181</v>
      </c>
      <c r="L451" s="21">
        <v>6.8</v>
      </c>
    </row>
    <row r="452" spans="1:12" x14ac:dyDescent="0.25">
      <c r="A452" t="str">
        <f t="shared" si="28"/>
        <v>2022-FM-Inv-128-807-2280</v>
      </c>
      <c r="B452" t="str">
        <f t="shared" si="29"/>
        <v>2022</v>
      </c>
      <c r="C452" s="18" t="s">
        <v>866</v>
      </c>
      <c r="D452" t="s">
        <v>1169</v>
      </c>
      <c r="E452" t="s">
        <v>1186</v>
      </c>
      <c r="F452">
        <v>128</v>
      </c>
      <c r="G452">
        <f t="shared" si="30"/>
        <v>80</v>
      </c>
      <c r="H452">
        <f t="shared" si="31"/>
        <v>228</v>
      </c>
      <c r="I452">
        <v>807</v>
      </c>
      <c r="J452">
        <v>2280</v>
      </c>
      <c r="K452" s="18" t="s">
        <v>1181</v>
      </c>
      <c r="L452" s="21">
        <v>7.2</v>
      </c>
    </row>
    <row r="453" spans="1:12" x14ac:dyDescent="0.25">
      <c r="A453" t="str">
        <f t="shared" si="28"/>
        <v>2022-FM-Inv-138-850-2281</v>
      </c>
      <c r="B453" t="str">
        <f t="shared" si="29"/>
        <v>2022</v>
      </c>
      <c r="C453" s="18" t="s">
        <v>866</v>
      </c>
      <c r="D453" t="s">
        <v>1169</v>
      </c>
      <c r="E453" t="s">
        <v>1187</v>
      </c>
      <c r="F453">
        <v>138</v>
      </c>
      <c r="G453">
        <f t="shared" si="30"/>
        <v>85</v>
      </c>
      <c r="H453">
        <f t="shared" si="31"/>
        <v>228</v>
      </c>
      <c r="I453">
        <v>850</v>
      </c>
      <c r="J453">
        <v>2281</v>
      </c>
      <c r="K453" s="18" t="s">
        <v>1181</v>
      </c>
      <c r="L453" s="21">
        <v>7.6</v>
      </c>
    </row>
    <row r="454" spans="1:12" x14ac:dyDescent="0.25">
      <c r="A454" t="str">
        <f t="shared" si="28"/>
        <v>2022-FM-Hyp-158-850-2173</v>
      </c>
      <c r="B454" t="str">
        <f t="shared" si="29"/>
        <v>2022</v>
      </c>
      <c r="C454" s="18" t="s">
        <v>866</v>
      </c>
      <c r="D454" t="s">
        <v>1169</v>
      </c>
      <c r="E454" t="s">
        <v>1188</v>
      </c>
      <c r="F454">
        <v>158</v>
      </c>
      <c r="G454">
        <f t="shared" si="30"/>
        <v>85</v>
      </c>
      <c r="H454">
        <f t="shared" si="31"/>
        <v>217</v>
      </c>
      <c r="I454">
        <v>850</v>
      </c>
      <c r="J454">
        <v>2173</v>
      </c>
      <c r="K454" s="18" t="s">
        <v>1181</v>
      </c>
      <c r="L454" s="21">
        <v>8.4</v>
      </c>
    </row>
    <row r="455" spans="1:12" x14ac:dyDescent="0.25">
      <c r="A455" t="str">
        <f t="shared" si="28"/>
        <v>2022-FM-HYP-178-910-2170</v>
      </c>
      <c r="B455" t="str">
        <f t="shared" si="29"/>
        <v>2022</v>
      </c>
      <c r="C455" s="18" t="s">
        <v>866</v>
      </c>
      <c r="D455" t="s">
        <v>1169</v>
      </c>
      <c r="E455" t="s">
        <v>1179</v>
      </c>
      <c r="F455">
        <v>178</v>
      </c>
      <c r="G455">
        <f t="shared" si="30"/>
        <v>91</v>
      </c>
      <c r="H455">
        <f t="shared" si="31"/>
        <v>217</v>
      </c>
      <c r="I455">
        <v>910</v>
      </c>
      <c r="J455">
        <v>2170</v>
      </c>
      <c r="K455" s="18" t="s">
        <v>1181</v>
      </c>
      <c r="L455" s="21">
        <v>9</v>
      </c>
    </row>
    <row r="456" spans="1:12" x14ac:dyDescent="0.25">
      <c r="A456" t="str">
        <f t="shared" si="28"/>
        <v>2022-FM-Inv-124-772-2270</v>
      </c>
      <c r="B456" t="str">
        <f t="shared" si="29"/>
        <v>2022</v>
      </c>
      <c r="C456" s="18" t="s">
        <v>866</v>
      </c>
      <c r="D456" t="s">
        <v>1169</v>
      </c>
      <c r="E456" t="s">
        <v>1189</v>
      </c>
      <c r="F456">
        <v>124</v>
      </c>
      <c r="G456">
        <f t="shared" si="30"/>
        <v>77</v>
      </c>
      <c r="H456">
        <f t="shared" si="31"/>
        <v>227</v>
      </c>
      <c r="I456">
        <v>772</v>
      </c>
      <c r="J456">
        <v>2270</v>
      </c>
      <c r="K456" s="18" t="s">
        <v>1181</v>
      </c>
      <c r="L456" s="21">
        <v>7.1</v>
      </c>
    </row>
    <row r="457" spans="1:12" x14ac:dyDescent="0.25">
      <c r="A457" t="str">
        <f t="shared" si="28"/>
        <v>2023-FM-Inv-88-610-2350</v>
      </c>
      <c r="B457" t="str">
        <f t="shared" si="29"/>
        <v>2023</v>
      </c>
      <c r="C457" s="18" t="s">
        <v>776</v>
      </c>
      <c r="D457" t="s">
        <v>1169</v>
      </c>
      <c r="E457" t="s">
        <v>1180</v>
      </c>
      <c r="F457">
        <v>88</v>
      </c>
      <c r="G457">
        <f t="shared" si="30"/>
        <v>61</v>
      </c>
      <c r="H457">
        <f t="shared" si="31"/>
        <v>235</v>
      </c>
      <c r="I457">
        <v>610</v>
      </c>
      <c r="J457">
        <v>2350</v>
      </c>
      <c r="K457" s="18" t="s">
        <v>1190</v>
      </c>
      <c r="L457" s="21">
        <v>5.9</v>
      </c>
    </row>
    <row r="458" spans="1:12" x14ac:dyDescent="0.25">
      <c r="A458" t="str">
        <f t="shared" si="28"/>
        <v>2023-FM-Inv-98-631-2350</v>
      </c>
      <c r="B458" t="str">
        <f t="shared" si="29"/>
        <v>2023</v>
      </c>
      <c r="C458" s="18" t="s">
        <v>776</v>
      </c>
      <c r="D458" t="s">
        <v>1169</v>
      </c>
      <c r="E458" t="s">
        <v>1182</v>
      </c>
      <c r="F458">
        <v>98</v>
      </c>
      <c r="G458">
        <f t="shared" si="30"/>
        <v>63</v>
      </c>
      <c r="H458">
        <f t="shared" si="31"/>
        <v>235</v>
      </c>
      <c r="I458">
        <v>631</v>
      </c>
      <c r="J458">
        <v>2350</v>
      </c>
      <c r="K458" s="18" t="s">
        <v>1190</v>
      </c>
      <c r="L458" s="21">
        <v>6</v>
      </c>
    </row>
    <row r="459" spans="1:12" x14ac:dyDescent="0.25">
      <c r="A459" t="str">
        <f t="shared" si="28"/>
        <v>2023-FM-Inv-128-807-2280</v>
      </c>
      <c r="B459" t="str">
        <f t="shared" si="29"/>
        <v>2023</v>
      </c>
      <c r="C459" s="18" t="s">
        <v>776</v>
      </c>
      <c r="D459" t="s">
        <v>1169</v>
      </c>
      <c r="E459" t="s">
        <v>1186</v>
      </c>
      <c r="F459">
        <v>128</v>
      </c>
      <c r="G459">
        <f t="shared" si="30"/>
        <v>80</v>
      </c>
      <c r="H459">
        <f t="shared" si="31"/>
        <v>228</v>
      </c>
      <c r="I459">
        <v>807</v>
      </c>
      <c r="J459">
        <v>2280</v>
      </c>
      <c r="K459" s="18" t="s">
        <v>1190</v>
      </c>
      <c r="L459" s="21">
        <v>7.3</v>
      </c>
    </row>
    <row r="460" spans="1:12" x14ac:dyDescent="0.25">
      <c r="A460" t="str">
        <f t="shared" si="28"/>
        <v>2023-FM-Inv-138-850-2281</v>
      </c>
      <c r="B460" t="str">
        <f t="shared" si="29"/>
        <v>2023</v>
      </c>
      <c r="C460" s="18" t="s">
        <v>776</v>
      </c>
      <c r="D460" t="s">
        <v>1169</v>
      </c>
      <c r="E460" t="s">
        <v>1187</v>
      </c>
      <c r="F460">
        <v>138</v>
      </c>
      <c r="G460">
        <f t="shared" si="30"/>
        <v>85</v>
      </c>
      <c r="H460">
        <f t="shared" si="31"/>
        <v>228</v>
      </c>
      <c r="I460">
        <v>850</v>
      </c>
      <c r="J460">
        <v>2281</v>
      </c>
      <c r="K460" s="18" t="s">
        <v>1190</v>
      </c>
      <c r="L460" s="21">
        <v>7.7</v>
      </c>
    </row>
    <row r="461" spans="1:12" x14ac:dyDescent="0.25">
      <c r="A461" t="str">
        <f t="shared" si="28"/>
        <v>2023-FM-Inv-104-668-2337</v>
      </c>
      <c r="B461" t="str">
        <f t="shared" si="29"/>
        <v>2023</v>
      </c>
      <c r="C461" s="18" t="s">
        <v>776</v>
      </c>
      <c r="D461" t="s">
        <v>1169</v>
      </c>
      <c r="E461" t="s">
        <v>1183</v>
      </c>
      <c r="F461">
        <v>104</v>
      </c>
      <c r="G461">
        <f t="shared" si="30"/>
        <v>66</v>
      </c>
      <c r="H461">
        <f t="shared" si="31"/>
        <v>233</v>
      </c>
      <c r="I461">
        <v>668</v>
      </c>
      <c r="J461">
        <v>2337</v>
      </c>
      <c r="K461" s="18" t="s">
        <v>1190</v>
      </c>
      <c r="L461" s="21">
        <v>6.4</v>
      </c>
    </row>
    <row r="462" spans="1:12" x14ac:dyDescent="0.25">
      <c r="A462" t="str">
        <f t="shared" si="28"/>
        <v>2023-FM-Inv-108-698-2350</v>
      </c>
      <c r="B462" t="str">
        <f t="shared" si="29"/>
        <v>2023</v>
      </c>
      <c r="C462" s="18" t="s">
        <v>776</v>
      </c>
      <c r="D462" t="s">
        <v>1169</v>
      </c>
      <c r="E462" t="s">
        <v>1184</v>
      </c>
      <c r="F462">
        <v>108</v>
      </c>
      <c r="G462">
        <f t="shared" si="30"/>
        <v>69</v>
      </c>
      <c r="H462">
        <f t="shared" si="31"/>
        <v>235</v>
      </c>
      <c r="I462">
        <v>698</v>
      </c>
      <c r="J462">
        <v>2350</v>
      </c>
      <c r="K462" s="18" t="s">
        <v>1190</v>
      </c>
      <c r="L462" s="21">
        <v>6.6</v>
      </c>
    </row>
    <row r="463" spans="1:12" x14ac:dyDescent="0.25">
      <c r="A463" t="str">
        <f t="shared" si="28"/>
        <v>2023-FM-Inv-118-720-2352</v>
      </c>
      <c r="B463" t="str">
        <f t="shared" si="29"/>
        <v>2023</v>
      </c>
      <c r="C463" s="18" t="s">
        <v>776</v>
      </c>
      <c r="D463" t="s">
        <v>1169</v>
      </c>
      <c r="E463" t="s">
        <v>1185</v>
      </c>
      <c r="F463">
        <v>118</v>
      </c>
      <c r="G463">
        <f t="shared" si="30"/>
        <v>72</v>
      </c>
      <c r="H463">
        <f t="shared" si="31"/>
        <v>235</v>
      </c>
      <c r="I463">
        <v>720</v>
      </c>
      <c r="J463">
        <v>2352</v>
      </c>
      <c r="K463" s="18" t="s">
        <v>1190</v>
      </c>
      <c r="L463" s="21">
        <v>6.8</v>
      </c>
    </row>
    <row r="464" spans="1:12" x14ac:dyDescent="0.25">
      <c r="A464" t="str">
        <f t="shared" si="28"/>
        <v>2023-FM-Inv-124-772-2270</v>
      </c>
      <c r="B464" t="str">
        <f t="shared" si="29"/>
        <v>2023</v>
      </c>
      <c r="C464" s="18" t="s">
        <v>776</v>
      </c>
      <c r="D464" t="s">
        <v>1169</v>
      </c>
      <c r="E464" t="s">
        <v>1189</v>
      </c>
      <c r="F464">
        <v>124</v>
      </c>
      <c r="G464">
        <f t="shared" si="30"/>
        <v>77</v>
      </c>
      <c r="H464">
        <f t="shared" si="31"/>
        <v>227</v>
      </c>
      <c r="I464">
        <v>772</v>
      </c>
      <c r="J464">
        <v>2270</v>
      </c>
      <c r="K464" s="18" t="s">
        <v>1190</v>
      </c>
      <c r="L464" s="21">
        <v>7.1</v>
      </c>
    </row>
    <row r="465" spans="1:12" x14ac:dyDescent="0.25">
      <c r="A465" t="str">
        <f t="shared" si="28"/>
        <v>2023-FM-Hyp-138-781-2090</v>
      </c>
      <c r="B465" t="str">
        <f t="shared" si="29"/>
        <v>2023</v>
      </c>
      <c r="C465" s="18" t="s">
        <v>776</v>
      </c>
      <c r="D465" t="s">
        <v>1169</v>
      </c>
      <c r="E465" t="s">
        <v>1191</v>
      </c>
      <c r="F465">
        <v>138</v>
      </c>
      <c r="G465">
        <f t="shared" si="30"/>
        <v>78</v>
      </c>
      <c r="H465">
        <f t="shared" si="31"/>
        <v>209</v>
      </c>
      <c r="I465">
        <v>781</v>
      </c>
      <c r="J465">
        <v>2090</v>
      </c>
      <c r="K465" s="18" t="s">
        <v>1190</v>
      </c>
      <c r="L465" s="21">
        <v>7.6</v>
      </c>
    </row>
    <row r="466" spans="1:12" x14ac:dyDescent="0.25">
      <c r="A466" t="str">
        <f t="shared" si="28"/>
        <v>2023-FM-Hyp-158-850-2110</v>
      </c>
      <c r="B466" t="str">
        <f t="shared" si="29"/>
        <v>2023</v>
      </c>
      <c r="C466" s="18" t="s">
        <v>776</v>
      </c>
      <c r="D466" t="s">
        <v>1169</v>
      </c>
      <c r="E466" t="s">
        <v>1188</v>
      </c>
      <c r="F466">
        <v>158</v>
      </c>
      <c r="G466">
        <f t="shared" si="30"/>
        <v>85</v>
      </c>
      <c r="H466">
        <f t="shared" si="31"/>
        <v>211</v>
      </c>
      <c r="I466">
        <v>850</v>
      </c>
      <c r="J466">
        <v>2110</v>
      </c>
      <c r="K466" s="18" t="s">
        <v>1190</v>
      </c>
      <c r="L466" s="21">
        <v>8.1999999999999993</v>
      </c>
    </row>
    <row r="467" spans="1:12" x14ac:dyDescent="0.25">
      <c r="A467" t="str">
        <f t="shared" si="28"/>
        <v>2023-FM-Hyp-178-910-2138</v>
      </c>
      <c r="B467" t="str">
        <f t="shared" si="29"/>
        <v>2023</v>
      </c>
      <c r="C467" s="18" t="s">
        <v>776</v>
      </c>
      <c r="D467" t="s">
        <v>1169</v>
      </c>
      <c r="E467" t="s">
        <v>1192</v>
      </c>
      <c r="F467">
        <v>178</v>
      </c>
      <c r="G467">
        <f t="shared" si="30"/>
        <v>91</v>
      </c>
      <c r="H467">
        <f t="shared" si="31"/>
        <v>213</v>
      </c>
      <c r="I467">
        <v>910</v>
      </c>
      <c r="J467">
        <v>2138</v>
      </c>
      <c r="K467" s="18" t="s">
        <v>1190</v>
      </c>
      <c r="L467" s="21">
        <v>8.9</v>
      </c>
    </row>
    <row r="468" spans="1:12" x14ac:dyDescent="0.25">
      <c r="A468" t="str">
        <f t="shared" si="28"/>
        <v>2024-FM-Inv-88-610-2330</v>
      </c>
      <c r="B468" t="str">
        <f t="shared" si="29"/>
        <v>2024</v>
      </c>
      <c r="C468" s="18" t="s">
        <v>871</v>
      </c>
      <c r="D468" t="s">
        <v>1169</v>
      </c>
      <c r="E468" t="s">
        <v>1180</v>
      </c>
      <c r="F468">
        <v>88</v>
      </c>
      <c r="G468">
        <f t="shared" si="30"/>
        <v>61</v>
      </c>
      <c r="H468">
        <f t="shared" si="31"/>
        <v>233</v>
      </c>
      <c r="I468">
        <v>610</v>
      </c>
      <c r="J468">
        <v>2330</v>
      </c>
      <c r="K468" s="18" t="s">
        <v>1193</v>
      </c>
      <c r="L468" s="21">
        <v>5.9</v>
      </c>
    </row>
    <row r="469" spans="1:12" x14ac:dyDescent="0.25">
      <c r="A469" t="str">
        <f t="shared" si="28"/>
        <v>2024-FM-Inv-98-631-2333</v>
      </c>
      <c r="B469" t="str">
        <f t="shared" si="29"/>
        <v>2024</v>
      </c>
      <c r="C469" s="18" t="s">
        <v>871</v>
      </c>
      <c r="D469" t="s">
        <v>1169</v>
      </c>
      <c r="E469" t="s">
        <v>1182</v>
      </c>
      <c r="F469">
        <v>98</v>
      </c>
      <c r="G469">
        <f t="shared" si="30"/>
        <v>63</v>
      </c>
      <c r="H469">
        <f t="shared" si="31"/>
        <v>233</v>
      </c>
      <c r="I469">
        <v>631</v>
      </c>
      <c r="J469">
        <v>2333</v>
      </c>
      <c r="K469" s="18" t="s">
        <v>1193</v>
      </c>
      <c r="L469" s="21">
        <v>6</v>
      </c>
    </row>
    <row r="470" spans="1:12" x14ac:dyDescent="0.25">
      <c r="A470" t="str">
        <f t="shared" si="28"/>
        <v>2024-FM-Inv-104-668-2337</v>
      </c>
      <c r="B470" t="str">
        <f t="shared" si="29"/>
        <v>2024</v>
      </c>
      <c r="C470" s="18" t="s">
        <v>871</v>
      </c>
      <c r="D470" t="s">
        <v>1169</v>
      </c>
      <c r="E470" t="s">
        <v>1183</v>
      </c>
      <c r="F470">
        <v>104</v>
      </c>
      <c r="G470">
        <f t="shared" si="30"/>
        <v>66</v>
      </c>
      <c r="H470">
        <f t="shared" si="31"/>
        <v>233</v>
      </c>
      <c r="I470">
        <v>668</v>
      </c>
      <c r="J470">
        <v>2337</v>
      </c>
      <c r="K470" s="18" t="s">
        <v>1193</v>
      </c>
      <c r="L470" s="21">
        <v>6.4</v>
      </c>
    </row>
    <row r="471" spans="1:12" x14ac:dyDescent="0.25">
      <c r="A471" t="str">
        <f t="shared" si="28"/>
        <v>2024-FM-Inv-108-698-2330</v>
      </c>
      <c r="B471" t="str">
        <f t="shared" si="29"/>
        <v>2024</v>
      </c>
      <c r="C471" s="18" t="s">
        <v>871</v>
      </c>
      <c r="D471" t="s">
        <v>1169</v>
      </c>
      <c r="E471" t="s">
        <v>1184</v>
      </c>
      <c r="F471">
        <v>108</v>
      </c>
      <c r="G471">
        <f t="shared" si="30"/>
        <v>69</v>
      </c>
      <c r="H471">
        <f t="shared" si="31"/>
        <v>233</v>
      </c>
      <c r="I471">
        <v>698</v>
      </c>
      <c r="J471">
        <v>2330</v>
      </c>
      <c r="K471" s="18" t="s">
        <v>1193</v>
      </c>
      <c r="L471" s="21">
        <v>6.6</v>
      </c>
    </row>
    <row r="472" spans="1:12" x14ac:dyDescent="0.25">
      <c r="A472" t="str">
        <f t="shared" si="28"/>
        <v>2024-FM-Inv-118-720-2332</v>
      </c>
      <c r="B472" t="str">
        <f t="shared" si="29"/>
        <v>2024</v>
      </c>
      <c r="C472" s="18" t="s">
        <v>871</v>
      </c>
      <c r="D472" t="s">
        <v>1169</v>
      </c>
      <c r="E472" t="s">
        <v>1185</v>
      </c>
      <c r="F472">
        <v>118</v>
      </c>
      <c r="G472">
        <f t="shared" si="30"/>
        <v>72</v>
      </c>
      <c r="H472">
        <f t="shared" si="31"/>
        <v>233</v>
      </c>
      <c r="I472">
        <v>720</v>
      </c>
      <c r="J472">
        <v>2332</v>
      </c>
      <c r="K472" s="18" t="s">
        <v>1193</v>
      </c>
      <c r="L472" s="21">
        <v>6.8</v>
      </c>
    </row>
    <row r="473" spans="1:12" x14ac:dyDescent="0.25">
      <c r="A473" t="str">
        <f t="shared" si="28"/>
        <v>2024-FM-Inv-124-772-2270</v>
      </c>
      <c r="B473" t="str">
        <f t="shared" si="29"/>
        <v>2024</v>
      </c>
      <c r="C473" s="18" t="s">
        <v>871</v>
      </c>
      <c r="D473" t="s">
        <v>1169</v>
      </c>
      <c r="E473" t="s">
        <v>1189</v>
      </c>
      <c r="F473">
        <v>124</v>
      </c>
      <c r="G473">
        <f t="shared" si="30"/>
        <v>77</v>
      </c>
      <c r="H473">
        <f t="shared" si="31"/>
        <v>227</v>
      </c>
      <c r="I473">
        <v>772</v>
      </c>
      <c r="J473">
        <v>2270</v>
      </c>
      <c r="K473" s="18" t="s">
        <v>1193</v>
      </c>
      <c r="L473" s="21">
        <v>7.1</v>
      </c>
    </row>
    <row r="474" spans="1:12" x14ac:dyDescent="0.25">
      <c r="A474" t="str">
        <f t="shared" si="28"/>
        <v>2024-FM-Inv-128-807-2280</v>
      </c>
      <c r="B474" t="str">
        <f t="shared" si="29"/>
        <v>2024</v>
      </c>
      <c r="C474" s="18" t="s">
        <v>871</v>
      </c>
      <c r="D474" t="s">
        <v>1169</v>
      </c>
      <c r="E474" t="s">
        <v>1186</v>
      </c>
      <c r="F474">
        <v>128</v>
      </c>
      <c r="G474">
        <f t="shared" si="30"/>
        <v>80</v>
      </c>
      <c r="H474">
        <f t="shared" si="31"/>
        <v>228</v>
      </c>
      <c r="I474">
        <v>807</v>
      </c>
      <c r="J474">
        <v>2280</v>
      </c>
      <c r="K474" s="18" t="s">
        <v>1193</v>
      </c>
      <c r="L474" s="21">
        <v>7.3</v>
      </c>
    </row>
    <row r="475" spans="1:12" x14ac:dyDescent="0.25">
      <c r="A475" t="str">
        <f t="shared" si="28"/>
        <v>2024-FM-Inv-138-850-2281</v>
      </c>
      <c r="B475" t="str">
        <f t="shared" si="29"/>
        <v>2024</v>
      </c>
      <c r="C475" s="18" t="s">
        <v>871</v>
      </c>
      <c r="D475" t="s">
        <v>1169</v>
      </c>
      <c r="E475" t="s">
        <v>1187</v>
      </c>
      <c r="F475">
        <v>138</v>
      </c>
      <c r="G475">
        <f t="shared" si="30"/>
        <v>85</v>
      </c>
      <c r="H475">
        <f t="shared" si="31"/>
        <v>228</v>
      </c>
      <c r="I475">
        <v>850</v>
      </c>
      <c r="J475">
        <v>2281</v>
      </c>
      <c r="K475" s="18" t="s">
        <v>1193</v>
      </c>
      <c r="L475" s="21">
        <v>7.7</v>
      </c>
    </row>
    <row r="476" spans="1:12" x14ac:dyDescent="0.25">
      <c r="A476" t="str">
        <f t="shared" si="28"/>
        <v>2024-FM-Hyp-138-781-2090</v>
      </c>
      <c r="B476" t="str">
        <f t="shared" si="29"/>
        <v>2024</v>
      </c>
      <c r="C476" s="18" t="s">
        <v>871</v>
      </c>
      <c r="D476" t="s">
        <v>1169</v>
      </c>
      <c r="E476" t="s">
        <v>1191</v>
      </c>
      <c r="F476">
        <v>138</v>
      </c>
      <c r="G476">
        <f t="shared" si="30"/>
        <v>78</v>
      </c>
      <c r="H476">
        <f t="shared" si="31"/>
        <v>209</v>
      </c>
      <c r="I476">
        <v>781</v>
      </c>
      <c r="J476">
        <v>2090</v>
      </c>
      <c r="K476" s="18" t="s">
        <v>1194</v>
      </c>
      <c r="L476" s="21">
        <v>7.6</v>
      </c>
    </row>
    <row r="477" spans="1:12" x14ac:dyDescent="0.25">
      <c r="A477" t="str">
        <f t="shared" si="28"/>
        <v>2024-FM-Hyp-158-850-2110</v>
      </c>
      <c r="B477" t="str">
        <f t="shared" si="29"/>
        <v>2024</v>
      </c>
      <c r="C477" s="18" t="s">
        <v>871</v>
      </c>
      <c r="D477" t="s">
        <v>1169</v>
      </c>
      <c r="E477" t="s">
        <v>1188</v>
      </c>
      <c r="F477">
        <v>158</v>
      </c>
      <c r="G477">
        <f t="shared" si="30"/>
        <v>85</v>
      </c>
      <c r="H477">
        <f t="shared" si="31"/>
        <v>211</v>
      </c>
      <c r="I477">
        <v>850</v>
      </c>
      <c r="J477">
        <v>2110</v>
      </c>
      <c r="K477" s="18" t="s">
        <v>1194</v>
      </c>
      <c r="L477" s="21">
        <v>8.1999999999999993</v>
      </c>
    </row>
    <row r="478" spans="1:12" x14ac:dyDescent="0.25">
      <c r="A478" t="str">
        <f t="shared" si="28"/>
        <v>2024-FM-Hyp-168-855-2113</v>
      </c>
      <c r="B478" t="str">
        <f t="shared" si="29"/>
        <v>2024</v>
      </c>
      <c r="C478" s="18" t="s">
        <v>871</v>
      </c>
      <c r="D478" t="s">
        <v>1169</v>
      </c>
      <c r="E478" t="s">
        <v>1195</v>
      </c>
      <c r="F478">
        <v>168</v>
      </c>
      <c r="G478">
        <f t="shared" si="30"/>
        <v>85</v>
      </c>
      <c r="H478">
        <f t="shared" si="31"/>
        <v>211</v>
      </c>
      <c r="I478">
        <v>855</v>
      </c>
      <c r="J478">
        <v>2113</v>
      </c>
      <c r="K478" s="18" t="s">
        <v>1193</v>
      </c>
      <c r="L478" s="21">
        <v>8.6</v>
      </c>
    </row>
    <row r="479" spans="1:12" x14ac:dyDescent="0.25">
      <c r="A479" t="str">
        <f t="shared" si="28"/>
        <v>2024-FM-Hyp-178-881-2114</v>
      </c>
      <c r="B479" t="str">
        <f t="shared" si="29"/>
        <v>2024</v>
      </c>
      <c r="C479" s="18" t="s">
        <v>871</v>
      </c>
      <c r="D479" t="s">
        <v>1169</v>
      </c>
      <c r="E479" t="s">
        <v>1192</v>
      </c>
      <c r="F479">
        <v>178</v>
      </c>
      <c r="G479">
        <f t="shared" si="30"/>
        <v>88</v>
      </c>
      <c r="H479">
        <f t="shared" si="31"/>
        <v>211</v>
      </c>
      <c r="I479">
        <v>881</v>
      </c>
      <c r="J479">
        <v>2114</v>
      </c>
      <c r="K479" s="18" t="s">
        <v>1193</v>
      </c>
      <c r="L479" s="21">
        <v>8.8000000000000007</v>
      </c>
    </row>
    <row r="480" spans="1:12" x14ac:dyDescent="0.25">
      <c r="A480" t="str">
        <f t="shared" si="28"/>
        <v>2025-FM-Inv-88-610-2330</v>
      </c>
      <c r="B480" t="str">
        <f t="shared" si="29"/>
        <v>2025</v>
      </c>
      <c r="C480" s="18" t="s">
        <v>874</v>
      </c>
      <c r="D480" t="s">
        <v>1169</v>
      </c>
      <c r="E480" t="s">
        <v>1180</v>
      </c>
      <c r="F480">
        <v>88</v>
      </c>
      <c r="G480">
        <f t="shared" si="30"/>
        <v>61</v>
      </c>
      <c r="H480">
        <f t="shared" si="31"/>
        <v>233</v>
      </c>
      <c r="I480">
        <v>610</v>
      </c>
      <c r="J480">
        <v>2330</v>
      </c>
      <c r="K480" s="18" t="s">
        <v>1196</v>
      </c>
      <c r="L480" s="21">
        <v>5.9</v>
      </c>
    </row>
    <row r="481" spans="1:12" x14ac:dyDescent="0.25">
      <c r="A481" t="str">
        <f t="shared" si="28"/>
        <v>2025-FM-Inv-98-631-2333</v>
      </c>
      <c r="B481" t="str">
        <f t="shared" si="29"/>
        <v>2025</v>
      </c>
      <c r="C481" s="18" t="s">
        <v>874</v>
      </c>
      <c r="D481" t="s">
        <v>1169</v>
      </c>
      <c r="E481" t="s">
        <v>1182</v>
      </c>
      <c r="F481">
        <v>98</v>
      </c>
      <c r="G481">
        <f t="shared" si="30"/>
        <v>63</v>
      </c>
      <c r="H481">
        <f t="shared" si="31"/>
        <v>233</v>
      </c>
      <c r="I481">
        <v>631</v>
      </c>
      <c r="J481">
        <v>2333</v>
      </c>
      <c r="K481" s="18" t="s">
        <v>1196</v>
      </c>
      <c r="L481" s="21">
        <v>6</v>
      </c>
    </row>
    <row r="482" spans="1:12" x14ac:dyDescent="0.25">
      <c r="A482" t="str">
        <f t="shared" si="28"/>
        <v>2025-FM-Inv-104-668-2337</v>
      </c>
      <c r="B482" t="str">
        <f t="shared" si="29"/>
        <v>2025</v>
      </c>
      <c r="C482" s="18" t="s">
        <v>874</v>
      </c>
      <c r="D482" t="s">
        <v>1169</v>
      </c>
      <c r="E482" t="s">
        <v>1183</v>
      </c>
      <c r="F482">
        <v>104</v>
      </c>
      <c r="G482">
        <f t="shared" si="30"/>
        <v>66</v>
      </c>
      <c r="H482">
        <f t="shared" si="31"/>
        <v>233</v>
      </c>
      <c r="I482">
        <v>668</v>
      </c>
      <c r="J482">
        <v>2337</v>
      </c>
      <c r="K482" s="18" t="s">
        <v>1196</v>
      </c>
      <c r="L482" s="21">
        <v>6.4</v>
      </c>
    </row>
    <row r="483" spans="1:12" x14ac:dyDescent="0.25">
      <c r="A483" t="str">
        <f t="shared" si="28"/>
        <v>2025-FM-Inv-108-698-2330</v>
      </c>
      <c r="B483" t="str">
        <f t="shared" si="29"/>
        <v>2025</v>
      </c>
      <c r="C483" s="18" t="s">
        <v>874</v>
      </c>
      <c r="D483" t="s">
        <v>1169</v>
      </c>
      <c r="E483" t="s">
        <v>1184</v>
      </c>
      <c r="F483">
        <v>108</v>
      </c>
      <c r="G483">
        <f t="shared" si="30"/>
        <v>69</v>
      </c>
      <c r="H483">
        <f t="shared" si="31"/>
        <v>233</v>
      </c>
      <c r="I483">
        <v>698</v>
      </c>
      <c r="J483">
        <v>2330</v>
      </c>
      <c r="K483" s="18" t="s">
        <v>1196</v>
      </c>
      <c r="L483" s="21">
        <v>6.6</v>
      </c>
    </row>
    <row r="484" spans="1:12" x14ac:dyDescent="0.25">
      <c r="A484" t="str">
        <f t="shared" si="28"/>
        <v>2025-FM-Inv-118-720-2332</v>
      </c>
      <c r="B484" t="str">
        <f t="shared" si="29"/>
        <v>2025</v>
      </c>
      <c r="C484" s="18" t="s">
        <v>874</v>
      </c>
      <c r="D484" t="s">
        <v>1169</v>
      </c>
      <c r="E484" t="s">
        <v>1185</v>
      </c>
      <c r="F484">
        <v>118</v>
      </c>
      <c r="G484">
        <f t="shared" si="30"/>
        <v>72</v>
      </c>
      <c r="H484">
        <f t="shared" si="31"/>
        <v>233</v>
      </c>
      <c r="I484">
        <v>720</v>
      </c>
      <c r="J484">
        <v>2332</v>
      </c>
      <c r="K484" s="18" t="s">
        <v>1196</v>
      </c>
      <c r="L484" s="21">
        <v>6.8</v>
      </c>
    </row>
    <row r="485" spans="1:12" x14ac:dyDescent="0.25">
      <c r="A485" t="str">
        <f t="shared" si="28"/>
        <v>2025-FM-Inv-124-772-2270</v>
      </c>
      <c r="B485" t="str">
        <f t="shared" si="29"/>
        <v>2025</v>
      </c>
      <c r="C485" s="18" t="s">
        <v>874</v>
      </c>
      <c r="D485" t="s">
        <v>1169</v>
      </c>
      <c r="E485" t="s">
        <v>1189</v>
      </c>
      <c r="F485">
        <v>124</v>
      </c>
      <c r="G485">
        <f t="shared" si="30"/>
        <v>77</v>
      </c>
      <c r="H485">
        <f t="shared" si="31"/>
        <v>227</v>
      </c>
      <c r="I485">
        <v>772</v>
      </c>
      <c r="J485">
        <v>2270</v>
      </c>
      <c r="K485" s="18" t="s">
        <v>1196</v>
      </c>
      <c r="L485" s="21">
        <v>7.1</v>
      </c>
    </row>
    <row r="486" spans="1:12" x14ac:dyDescent="0.25">
      <c r="A486" t="str">
        <f t="shared" si="28"/>
        <v>2025-FM-Inv-128-807-2280</v>
      </c>
      <c r="B486" t="str">
        <f t="shared" si="29"/>
        <v>2025</v>
      </c>
      <c r="C486" s="18" t="s">
        <v>874</v>
      </c>
      <c r="D486" t="s">
        <v>1169</v>
      </c>
      <c r="E486" t="s">
        <v>1186</v>
      </c>
      <c r="F486">
        <v>128</v>
      </c>
      <c r="G486">
        <f t="shared" si="30"/>
        <v>80</v>
      </c>
      <c r="H486">
        <f t="shared" si="31"/>
        <v>228</v>
      </c>
      <c r="I486">
        <v>807</v>
      </c>
      <c r="J486">
        <v>2280</v>
      </c>
      <c r="K486" s="18" t="s">
        <v>1196</v>
      </c>
      <c r="L486" s="21">
        <v>7.3</v>
      </c>
    </row>
    <row r="487" spans="1:12" x14ac:dyDescent="0.25">
      <c r="A487" t="str">
        <f t="shared" si="28"/>
        <v>2025-FM-Inv-138-850-2281</v>
      </c>
      <c r="B487" t="str">
        <f t="shared" si="29"/>
        <v>2025</v>
      </c>
      <c r="C487" s="18" t="s">
        <v>874</v>
      </c>
      <c r="D487" t="s">
        <v>1169</v>
      </c>
      <c r="E487" t="s">
        <v>1187</v>
      </c>
      <c r="F487">
        <v>138</v>
      </c>
      <c r="G487">
        <f t="shared" si="30"/>
        <v>85</v>
      </c>
      <c r="H487">
        <f t="shared" si="31"/>
        <v>228</v>
      </c>
      <c r="I487">
        <v>850</v>
      </c>
      <c r="J487">
        <v>2281</v>
      </c>
      <c r="K487" s="18" t="s">
        <v>1196</v>
      </c>
      <c r="L487" s="21">
        <v>7.7</v>
      </c>
    </row>
    <row r="488" spans="1:12" x14ac:dyDescent="0.25">
      <c r="A488" t="str">
        <f t="shared" si="28"/>
        <v>2025-FM-Hyp-138-781-2090</v>
      </c>
      <c r="B488" t="str">
        <f t="shared" si="29"/>
        <v>2025</v>
      </c>
      <c r="C488" s="18" t="s">
        <v>874</v>
      </c>
      <c r="D488" t="s">
        <v>1169</v>
      </c>
      <c r="E488" t="s">
        <v>1191</v>
      </c>
      <c r="F488">
        <v>138</v>
      </c>
      <c r="G488">
        <f t="shared" si="30"/>
        <v>78</v>
      </c>
      <c r="H488">
        <f t="shared" si="31"/>
        <v>209</v>
      </c>
      <c r="I488">
        <v>781</v>
      </c>
      <c r="J488">
        <v>2090</v>
      </c>
      <c r="K488" s="18" t="s">
        <v>1196</v>
      </c>
      <c r="L488" s="21">
        <v>7.6</v>
      </c>
    </row>
    <row r="489" spans="1:12" x14ac:dyDescent="0.25">
      <c r="A489" t="str">
        <f t="shared" si="28"/>
        <v>2025-FM-Hyp-158-850-2110</v>
      </c>
      <c r="B489" t="str">
        <f t="shared" si="29"/>
        <v>2025</v>
      </c>
      <c r="C489" s="18" t="s">
        <v>874</v>
      </c>
      <c r="D489" t="s">
        <v>1169</v>
      </c>
      <c r="E489" t="s">
        <v>1188</v>
      </c>
      <c r="F489">
        <v>158</v>
      </c>
      <c r="G489">
        <f t="shared" si="30"/>
        <v>85</v>
      </c>
      <c r="H489">
        <f t="shared" si="31"/>
        <v>211</v>
      </c>
      <c r="I489">
        <v>850</v>
      </c>
      <c r="J489">
        <v>2110</v>
      </c>
      <c r="K489" s="18" t="s">
        <v>1196</v>
      </c>
      <c r="L489" s="21">
        <v>8.1999999999999993</v>
      </c>
    </row>
    <row r="490" spans="1:12" x14ac:dyDescent="0.25">
      <c r="A490" t="str">
        <f t="shared" si="28"/>
        <v>2025-FM-Hyp-168-855-2113</v>
      </c>
      <c r="B490" t="str">
        <f t="shared" si="29"/>
        <v>2025</v>
      </c>
      <c r="C490" s="18" t="s">
        <v>874</v>
      </c>
      <c r="D490" t="s">
        <v>1169</v>
      </c>
      <c r="E490" t="s">
        <v>1195</v>
      </c>
      <c r="F490">
        <v>168</v>
      </c>
      <c r="G490">
        <f t="shared" si="30"/>
        <v>85</v>
      </c>
      <c r="H490">
        <f t="shared" si="31"/>
        <v>211</v>
      </c>
      <c r="I490">
        <v>855</v>
      </c>
      <c r="J490">
        <v>2113</v>
      </c>
      <c r="K490" s="18" t="s">
        <v>1196</v>
      </c>
      <c r="L490" s="21">
        <v>8.6</v>
      </c>
    </row>
    <row r="491" spans="1:12" x14ac:dyDescent="0.25">
      <c r="A491" t="str">
        <f t="shared" si="28"/>
        <v>2025-FM-Hyp-178-881-2114</v>
      </c>
      <c r="B491" t="str">
        <f t="shared" si="29"/>
        <v>2025</v>
      </c>
      <c r="C491" s="18" t="s">
        <v>874</v>
      </c>
      <c r="D491" t="s">
        <v>1169</v>
      </c>
      <c r="E491" t="s">
        <v>1192</v>
      </c>
      <c r="F491">
        <v>178</v>
      </c>
      <c r="G491">
        <f t="shared" si="30"/>
        <v>88</v>
      </c>
      <c r="H491">
        <f t="shared" si="31"/>
        <v>211</v>
      </c>
      <c r="I491">
        <v>881</v>
      </c>
      <c r="J491">
        <v>2114</v>
      </c>
      <c r="K491" s="18" t="s">
        <v>1196</v>
      </c>
      <c r="L491" s="21">
        <v>8.8000000000000007</v>
      </c>
    </row>
    <row r="492" spans="1:12" x14ac:dyDescent="0.25">
      <c r="A492" t="str">
        <f t="shared" si="28"/>
        <v>2026-FM-Hyp-154-840-2090</v>
      </c>
      <c r="B492" t="str">
        <f t="shared" si="29"/>
        <v>2026</v>
      </c>
      <c r="C492" s="18" t="s">
        <v>878</v>
      </c>
      <c r="D492" t="s">
        <v>1169</v>
      </c>
      <c r="E492" t="s">
        <v>1197</v>
      </c>
      <c r="F492">
        <v>154</v>
      </c>
      <c r="G492">
        <f t="shared" si="30"/>
        <v>84</v>
      </c>
      <c r="H492">
        <f t="shared" si="31"/>
        <v>209</v>
      </c>
      <c r="I492">
        <v>840</v>
      </c>
      <c r="J492">
        <v>2090</v>
      </c>
      <c r="K492" s="18" t="s">
        <v>1198</v>
      </c>
      <c r="L492" s="21">
        <v>7.7</v>
      </c>
    </row>
    <row r="493" spans="1:12" x14ac:dyDescent="0.25">
      <c r="A493" t="str">
        <f t="shared" si="28"/>
        <v>2026-FM-Hyp-162-858-2099</v>
      </c>
      <c r="B493" t="str">
        <f t="shared" si="29"/>
        <v>2026</v>
      </c>
      <c r="C493" s="18" t="s">
        <v>878</v>
      </c>
      <c r="D493" t="s">
        <v>1169</v>
      </c>
      <c r="E493" t="s">
        <v>1199</v>
      </c>
      <c r="F493">
        <v>162</v>
      </c>
      <c r="G493">
        <f t="shared" si="30"/>
        <v>85</v>
      </c>
      <c r="H493">
        <f t="shared" si="31"/>
        <v>209</v>
      </c>
      <c r="I493">
        <v>858</v>
      </c>
      <c r="J493">
        <v>2099</v>
      </c>
      <c r="K493" s="18" t="s">
        <v>1198</v>
      </c>
      <c r="L493" s="21">
        <v>8.1</v>
      </c>
    </row>
    <row r="494" spans="1:12" x14ac:dyDescent="0.25">
      <c r="A494" t="str">
        <f t="shared" si="28"/>
        <v>2026-FM-Inv-88-610-2330</v>
      </c>
      <c r="B494" t="str">
        <f t="shared" si="29"/>
        <v>2026</v>
      </c>
      <c r="C494" s="18" t="s">
        <v>878</v>
      </c>
      <c r="D494" t="s">
        <v>1169</v>
      </c>
      <c r="E494" t="s">
        <v>1200</v>
      </c>
      <c r="F494">
        <v>88</v>
      </c>
      <c r="G494">
        <f t="shared" si="30"/>
        <v>61</v>
      </c>
      <c r="H494">
        <f t="shared" si="31"/>
        <v>233</v>
      </c>
      <c r="I494">
        <v>610</v>
      </c>
      <c r="J494">
        <v>2330</v>
      </c>
      <c r="K494" s="18" t="s">
        <v>1198</v>
      </c>
      <c r="L494" s="21">
        <v>5.8</v>
      </c>
    </row>
    <row r="495" spans="1:12" x14ac:dyDescent="0.25">
      <c r="A495" t="str">
        <f t="shared" si="28"/>
        <v>2026-FM-Inv-98-631-2333</v>
      </c>
      <c r="B495" t="str">
        <f t="shared" si="29"/>
        <v>2026</v>
      </c>
      <c r="C495" s="18" t="s">
        <v>878</v>
      </c>
      <c r="D495" t="s">
        <v>1169</v>
      </c>
      <c r="E495" t="s">
        <v>1201</v>
      </c>
      <c r="F495">
        <v>98</v>
      </c>
      <c r="G495">
        <f t="shared" si="30"/>
        <v>63</v>
      </c>
      <c r="H495">
        <f t="shared" si="31"/>
        <v>233</v>
      </c>
      <c r="I495">
        <v>631</v>
      </c>
      <c r="J495">
        <v>2333</v>
      </c>
      <c r="K495" s="18" t="s">
        <v>1198</v>
      </c>
      <c r="L495" s="21">
        <v>6</v>
      </c>
    </row>
    <row r="496" spans="1:12" x14ac:dyDescent="0.25">
      <c r="A496" t="str">
        <f t="shared" si="28"/>
        <v>2026-FM-Inv-104-668-2337</v>
      </c>
      <c r="B496" t="str">
        <f t="shared" si="29"/>
        <v>2026</v>
      </c>
      <c r="C496" s="18" t="s">
        <v>878</v>
      </c>
      <c r="D496" t="s">
        <v>1169</v>
      </c>
      <c r="E496" t="s">
        <v>1202</v>
      </c>
      <c r="F496">
        <v>104</v>
      </c>
      <c r="G496">
        <f t="shared" si="30"/>
        <v>66</v>
      </c>
      <c r="H496">
        <f t="shared" si="31"/>
        <v>233</v>
      </c>
      <c r="I496">
        <v>668</v>
      </c>
      <c r="J496">
        <v>2337</v>
      </c>
      <c r="K496" s="18" t="s">
        <v>1198</v>
      </c>
      <c r="L496" s="21">
        <v>6.3</v>
      </c>
    </row>
    <row r="497" spans="1:12" x14ac:dyDescent="0.25">
      <c r="A497" t="str">
        <f t="shared" si="28"/>
        <v>2026-FM-Inv-108-698-2330</v>
      </c>
      <c r="B497" t="str">
        <f t="shared" si="29"/>
        <v>2026</v>
      </c>
      <c r="C497" s="18" t="s">
        <v>878</v>
      </c>
      <c r="D497" t="s">
        <v>1169</v>
      </c>
      <c r="E497" t="s">
        <v>1203</v>
      </c>
      <c r="F497">
        <v>108</v>
      </c>
      <c r="G497">
        <f t="shared" si="30"/>
        <v>69</v>
      </c>
      <c r="H497">
        <f t="shared" si="31"/>
        <v>233</v>
      </c>
      <c r="I497">
        <v>698</v>
      </c>
      <c r="J497">
        <v>2330</v>
      </c>
      <c r="K497" s="18" t="s">
        <v>1198</v>
      </c>
      <c r="L497" s="21">
        <v>6.6</v>
      </c>
    </row>
    <row r="498" spans="1:12" x14ac:dyDescent="0.25">
      <c r="A498" t="str">
        <f t="shared" si="28"/>
        <v>2026-FM-Inv-118-720-2332</v>
      </c>
      <c r="B498" t="str">
        <f t="shared" si="29"/>
        <v>2026</v>
      </c>
      <c r="C498" s="18" t="s">
        <v>878</v>
      </c>
      <c r="D498" t="s">
        <v>1169</v>
      </c>
      <c r="E498" t="s">
        <v>1204</v>
      </c>
      <c r="F498">
        <v>118</v>
      </c>
      <c r="G498">
        <f t="shared" si="30"/>
        <v>72</v>
      </c>
      <c r="H498">
        <f t="shared" si="31"/>
        <v>233</v>
      </c>
      <c r="I498">
        <v>720</v>
      </c>
      <c r="J498">
        <v>2332</v>
      </c>
      <c r="K498" s="18" t="s">
        <v>1198</v>
      </c>
      <c r="L498" s="21">
        <v>6.8</v>
      </c>
    </row>
    <row r="499" spans="1:12" x14ac:dyDescent="0.25">
      <c r="A499" t="str">
        <f t="shared" si="28"/>
        <v>2026-FM-Inv-124-772-2270</v>
      </c>
      <c r="B499" t="str">
        <f t="shared" si="29"/>
        <v>2026</v>
      </c>
      <c r="C499" s="18" t="s">
        <v>878</v>
      </c>
      <c r="D499" t="s">
        <v>1169</v>
      </c>
      <c r="E499" t="s">
        <v>1205</v>
      </c>
      <c r="F499">
        <v>124</v>
      </c>
      <c r="G499">
        <f t="shared" si="30"/>
        <v>77</v>
      </c>
      <c r="H499">
        <f t="shared" si="31"/>
        <v>227</v>
      </c>
      <c r="I499">
        <v>772</v>
      </c>
      <c r="J499">
        <v>2270</v>
      </c>
      <c r="K499" s="18" t="s">
        <v>1198</v>
      </c>
      <c r="L499" s="21">
        <v>7</v>
      </c>
    </row>
    <row r="500" spans="1:12" x14ac:dyDescent="0.25">
      <c r="A500" t="str">
        <f t="shared" si="28"/>
        <v>2026-FM-Inv-128-807-2280</v>
      </c>
      <c r="B500" t="str">
        <f t="shared" si="29"/>
        <v>2026</v>
      </c>
      <c r="C500" s="18" t="s">
        <v>878</v>
      </c>
      <c r="D500" t="s">
        <v>1169</v>
      </c>
      <c r="E500" t="s">
        <v>1206</v>
      </c>
      <c r="F500">
        <v>128</v>
      </c>
      <c r="G500">
        <f t="shared" si="30"/>
        <v>80</v>
      </c>
      <c r="H500">
        <f t="shared" si="31"/>
        <v>228</v>
      </c>
      <c r="I500">
        <v>807</v>
      </c>
      <c r="J500">
        <v>2280</v>
      </c>
      <c r="K500" s="18" t="s">
        <v>1198</v>
      </c>
      <c r="L500" s="21">
        <v>7.2</v>
      </c>
    </row>
    <row r="501" spans="1:12" x14ac:dyDescent="0.25">
      <c r="A501" t="str">
        <f t="shared" si="28"/>
        <v>2026-FM-Inv-138-850-2281</v>
      </c>
      <c r="B501" t="str">
        <f t="shared" si="29"/>
        <v>2026</v>
      </c>
      <c r="C501" s="18" t="s">
        <v>878</v>
      </c>
      <c r="D501" t="s">
        <v>1169</v>
      </c>
      <c r="E501" t="s">
        <v>1207</v>
      </c>
      <c r="F501">
        <v>138</v>
      </c>
      <c r="G501">
        <f t="shared" si="30"/>
        <v>85</v>
      </c>
      <c r="H501">
        <f t="shared" si="31"/>
        <v>228</v>
      </c>
      <c r="I501">
        <v>850</v>
      </c>
      <c r="J501">
        <v>2281</v>
      </c>
      <c r="K501" s="18" t="s">
        <v>1198</v>
      </c>
      <c r="L501" s="21">
        <v>7.6</v>
      </c>
    </row>
    <row r="502" spans="1:12" x14ac:dyDescent="0.25">
      <c r="A502" t="str">
        <f t="shared" si="28"/>
        <v>2019-FU-DAR-97-621-2305</v>
      </c>
      <c r="B502" t="str">
        <f t="shared" si="29"/>
        <v>2019</v>
      </c>
      <c r="C502" s="18" t="s">
        <v>763</v>
      </c>
      <c r="D502" t="s">
        <v>1208</v>
      </c>
      <c r="E502" t="s">
        <v>1209</v>
      </c>
      <c r="F502">
        <v>97</v>
      </c>
      <c r="G502">
        <f t="shared" si="30"/>
        <v>62</v>
      </c>
      <c r="H502">
        <f t="shared" si="31"/>
        <v>230</v>
      </c>
      <c r="I502">
        <v>621</v>
      </c>
      <c r="J502">
        <v>2305</v>
      </c>
      <c r="K502" s="18" t="s">
        <v>1210</v>
      </c>
      <c r="L502" s="21">
        <v>5.9</v>
      </c>
    </row>
    <row r="503" spans="1:12" x14ac:dyDescent="0.25">
      <c r="A503" t="str">
        <f t="shared" si="28"/>
        <v>2019-FU-DAR-107-694-2278</v>
      </c>
      <c r="B503" t="str">
        <f t="shared" si="29"/>
        <v>2019</v>
      </c>
      <c r="C503" s="18" t="s">
        <v>763</v>
      </c>
      <c r="D503" t="s">
        <v>1208</v>
      </c>
      <c r="E503" t="s">
        <v>1211</v>
      </c>
      <c r="F503">
        <v>107</v>
      </c>
      <c r="G503">
        <f t="shared" si="30"/>
        <v>69</v>
      </c>
      <c r="H503">
        <f t="shared" si="31"/>
        <v>227</v>
      </c>
      <c r="I503">
        <v>694</v>
      </c>
      <c r="J503">
        <v>2278</v>
      </c>
      <c r="K503" s="18" t="s">
        <v>1210</v>
      </c>
      <c r="L503" s="21">
        <v>6.3</v>
      </c>
    </row>
    <row r="504" spans="1:12" x14ac:dyDescent="0.25">
      <c r="A504" t="str">
        <f t="shared" si="28"/>
        <v>2019-FU-DAR-117-725-2277</v>
      </c>
      <c r="B504" t="str">
        <f t="shared" si="29"/>
        <v>2019</v>
      </c>
      <c r="C504" s="18" t="s">
        <v>763</v>
      </c>
      <c r="D504" t="s">
        <v>1208</v>
      </c>
      <c r="E504" t="s">
        <v>1212</v>
      </c>
      <c r="F504">
        <v>117</v>
      </c>
      <c r="G504">
        <f t="shared" si="30"/>
        <v>72</v>
      </c>
      <c r="H504">
        <f t="shared" si="31"/>
        <v>227</v>
      </c>
      <c r="I504">
        <v>725</v>
      </c>
      <c r="J504">
        <v>2277</v>
      </c>
      <c r="K504" s="18" t="s">
        <v>1210</v>
      </c>
      <c r="L504" s="21">
        <v>6.6</v>
      </c>
    </row>
    <row r="505" spans="1:12" x14ac:dyDescent="0.25">
      <c r="A505" t="str">
        <f t="shared" si="28"/>
        <v>2019-FU-DAR-122-751-2280</v>
      </c>
      <c r="B505" t="str">
        <f t="shared" si="29"/>
        <v>2019</v>
      </c>
      <c r="C505" s="18" t="s">
        <v>763</v>
      </c>
      <c r="D505" t="s">
        <v>1208</v>
      </c>
      <c r="E505" t="s">
        <v>1213</v>
      </c>
      <c r="F505">
        <v>122</v>
      </c>
      <c r="G505">
        <f t="shared" si="30"/>
        <v>75</v>
      </c>
      <c r="H505">
        <f t="shared" si="31"/>
        <v>228</v>
      </c>
      <c r="I505">
        <v>751</v>
      </c>
      <c r="J505">
        <v>2280</v>
      </c>
      <c r="K505" s="18" t="s">
        <v>1210</v>
      </c>
      <c r="L505" s="21">
        <v>6.9</v>
      </c>
    </row>
    <row r="506" spans="1:12" x14ac:dyDescent="0.25">
      <c r="A506" t="str">
        <f t="shared" si="28"/>
        <v>2019-FU-DAR-132-844-2260</v>
      </c>
      <c r="B506" t="str">
        <f t="shared" si="29"/>
        <v>2019</v>
      </c>
      <c r="C506" s="18" t="s">
        <v>763</v>
      </c>
      <c r="D506" t="s">
        <v>1208</v>
      </c>
      <c r="E506" t="s">
        <v>1214</v>
      </c>
      <c r="F506">
        <v>132</v>
      </c>
      <c r="G506">
        <f t="shared" si="30"/>
        <v>84</v>
      </c>
      <c r="H506">
        <f t="shared" si="31"/>
        <v>226</v>
      </c>
      <c r="I506">
        <v>844</v>
      </c>
      <c r="J506">
        <v>2260</v>
      </c>
      <c r="K506" s="18" t="s">
        <v>1210</v>
      </c>
      <c r="L506" s="21">
        <v>7.4</v>
      </c>
    </row>
    <row r="507" spans="1:12" x14ac:dyDescent="0.25">
      <c r="A507" t="str">
        <f t="shared" si="28"/>
        <v>2019-FU-FLY-175-910-2255</v>
      </c>
      <c r="B507" t="str">
        <f t="shared" si="29"/>
        <v>2019</v>
      </c>
      <c r="C507" s="18" t="s">
        <v>763</v>
      </c>
      <c r="D507" t="s">
        <v>1208</v>
      </c>
      <c r="E507" t="s">
        <v>1215</v>
      </c>
      <c r="F507">
        <v>175</v>
      </c>
      <c r="G507">
        <f t="shared" si="30"/>
        <v>91</v>
      </c>
      <c r="H507">
        <f t="shared" si="31"/>
        <v>225</v>
      </c>
      <c r="I507">
        <v>910</v>
      </c>
      <c r="J507">
        <v>2255</v>
      </c>
      <c r="K507" s="18" t="s">
        <v>1210</v>
      </c>
      <c r="L507" s="21">
        <v>9.1999999999999993</v>
      </c>
    </row>
    <row r="508" spans="1:12" x14ac:dyDescent="0.25">
      <c r="A508" t="str">
        <f t="shared" si="28"/>
        <v>2021-FU-DAR-97-62-224</v>
      </c>
      <c r="B508" t="str">
        <f t="shared" si="29"/>
        <v>2021</v>
      </c>
      <c r="C508" s="18" t="s">
        <v>1152</v>
      </c>
      <c r="D508" t="s">
        <v>1208</v>
      </c>
      <c r="E508" t="s">
        <v>1209</v>
      </c>
      <c r="F508">
        <v>97</v>
      </c>
      <c r="G508">
        <f t="shared" si="30"/>
        <v>6</v>
      </c>
      <c r="H508">
        <f t="shared" si="31"/>
        <v>22</v>
      </c>
      <c r="I508">
        <v>62</v>
      </c>
      <c r="J508">
        <v>224.4</v>
      </c>
      <c r="K508" s="18" t="s">
        <v>1216</v>
      </c>
      <c r="L508" s="21">
        <v>5.7</v>
      </c>
    </row>
    <row r="509" spans="1:12" x14ac:dyDescent="0.25">
      <c r="A509" t="str">
        <f t="shared" si="28"/>
        <v>2021-FU-DAR-107-69-227</v>
      </c>
      <c r="B509" t="str">
        <f t="shared" si="29"/>
        <v>2021</v>
      </c>
      <c r="C509" s="18" t="s">
        <v>1152</v>
      </c>
      <c r="D509" t="s">
        <v>1208</v>
      </c>
      <c r="E509" t="s">
        <v>1211</v>
      </c>
      <c r="F509">
        <v>107</v>
      </c>
      <c r="G509">
        <f t="shared" si="30"/>
        <v>6</v>
      </c>
      <c r="H509">
        <f t="shared" si="31"/>
        <v>22</v>
      </c>
      <c r="I509">
        <v>69.400000000000006</v>
      </c>
      <c r="J509">
        <v>227.8</v>
      </c>
      <c r="K509" s="18" t="s">
        <v>1216</v>
      </c>
      <c r="L509" s="21">
        <v>6.3</v>
      </c>
    </row>
    <row r="510" spans="1:12" x14ac:dyDescent="0.25">
      <c r="A510" t="str">
        <f t="shared" si="28"/>
        <v>2021-FU-DAR-115-72-227</v>
      </c>
      <c r="B510" t="str">
        <f t="shared" si="29"/>
        <v>2021</v>
      </c>
      <c r="C510" s="18" t="s">
        <v>1152</v>
      </c>
      <c r="D510" t="s">
        <v>1208</v>
      </c>
      <c r="E510" t="s">
        <v>1212</v>
      </c>
      <c r="F510">
        <v>115</v>
      </c>
      <c r="G510">
        <f t="shared" si="30"/>
        <v>7</v>
      </c>
      <c r="H510">
        <f t="shared" si="31"/>
        <v>22</v>
      </c>
      <c r="I510">
        <v>72.5</v>
      </c>
      <c r="J510">
        <v>227.7</v>
      </c>
      <c r="K510" s="18" t="s">
        <v>1216</v>
      </c>
      <c r="L510" s="21">
        <v>6.6</v>
      </c>
    </row>
    <row r="511" spans="1:12" x14ac:dyDescent="0.25">
      <c r="A511" t="str">
        <f t="shared" si="28"/>
        <v>2021-FU-DAR-120-75-228</v>
      </c>
      <c r="B511" t="str">
        <f t="shared" si="29"/>
        <v>2021</v>
      </c>
      <c r="C511" s="18" t="s">
        <v>1152</v>
      </c>
      <c r="D511" t="s">
        <v>1208</v>
      </c>
      <c r="E511" t="s">
        <v>1213</v>
      </c>
      <c r="F511">
        <v>120</v>
      </c>
      <c r="G511">
        <f t="shared" si="30"/>
        <v>7</v>
      </c>
      <c r="H511">
        <f t="shared" si="31"/>
        <v>22</v>
      </c>
      <c r="I511">
        <v>75.099999999999994</v>
      </c>
      <c r="J511">
        <v>228</v>
      </c>
      <c r="K511" s="18" t="s">
        <v>1216</v>
      </c>
      <c r="L511" s="21">
        <v>6.9</v>
      </c>
    </row>
    <row r="512" spans="1:12" x14ac:dyDescent="0.25">
      <c r="A512" t="str">
        <f t="shared" si="28"/>
        <v>2021-FU-DAR-134-84-226</v>
      </c>
      <c r="B512" t="str">
        <f t="shared" si="29"/>
        <v>2021</v>
      </c>
      <c r="C512" s="18" t="s">
        <v>1152</v>
      </c>
      <c r="D512" t="s">
        <v>1208</v>
      </c>
      <c r="E512" t="s">
        <v>1214</v>
      </c>
      <c r="F512">
        <v>134</v>
      </c>
      <c r="G512">
        <f t="shared" si="30"/>
        <v>8</v>
      </c>
      <c r="H512">
        <f t="shared" si="31"/>
        <v>22</v>
      </c>
      <c r="I512">
        <v>84.5</v>
      </c>
      <c r="J512">
        <v>226</v>
      </c>
      <c r="K512" s="18" t="s">
        <v>1216</v>
      </c>
      <c r="L512" s="21">
        <v>7.4</v>
      </c>
    </row>
    <row r="513" spans="1:12" x14ac:dyDescent="0.25">
      <c r="A513" t="str">
        <f t="shared" si="28"/>
        <v>2021-FU-FLY-187-91-229</v>
      </c>
      <c r="B513" t="str">
        <f t="shared" si="29"/>
        <v>2021</v>
      </c>
      <c r="C513" s="18" t="s">
        <v>1152</v>
      </c>
      <c r="D513" t="s">
        <v>1208</v>
      </c>
      <c r="E513" t="s">
        <v>1217</v>
      </c>
      <c r="F513">
        <v>187</v>
      </c>
      <c r="G513">
        <f t="shared" si="30"/>
        <v>9</v>
      </c>
      <c r="H513">
        <f t="shared" si="31"/>
        <v>22</v>
      </c>
      <c r="I513">
        <v>91</v>
      </c>
      <c r="J513">
        <v>229.8</v>
      </c>
      <c r="K513" s="18" t="s">
        <v>1216</v>
      </c>
      <c r="L513" s="21">
        <v>9.1999999999999993</v>
      </c>
    </row>
    <row r="514" spans="1:12" x14ac:dyDescent="0.25">
      <c r="A514" t="str">
        <f t="shared" ref="A514:A577" si="32">_xlfn.CONCAT(B514,"-",LEFT(D514,2),"-",LEFT(E514,3),"-",F514,"-",TRUNC(I514),"-",TRUNC(J514))</f>
        <v>2022-FU-Dar-97-620-2240</v>
      </c>
      <c r="B514" t="str">
        <f t="shared" ref="B514:B577" si="33">LEFT(C514,4)</f>
        <v>2022</v>
      </c>
      <c r="C514" s="18" t="s">
        <v>866</v>
      </c>
      <c r="D514" t="s">
        <v>1208</v>
      </c>
      <c r="E514" t="s">
        <v>1218</v>
      </c>
      <c r="F514">
        <v>97</v>
      </c>
      <c r="G514">
        <f t="shared" si="30"/>
        <v>62</v>
      </c>
      <c r="H514">
        <f t="shared" si="31"/>
        <v>224</v>
      </c>
      <c r="I514">
        <v>620</v>
      </c>
      <c r="J514">
        <v>2240</v>
      </c>
      <c r="K514" s="18" t="s">
        <v>1219</v>
      </c>
      <c r="L514" s="21">
        <v>5.7</v>
      </c>
    </row>
    <row r="515" spans="1:12" x14ac:dyDescent="0.25">
      <c r="A515" t="str">
        <f t="shared" si="32"/>
        <v>2022-FU-Dar-107-700-2280</v>
      </c>
      <c r="B515" t="str">
        <f t="shared" si="33"/>
        <v>2022</v>
      </c>
      <c r="C515" s="18" t="s">
        <v>866</v>
      </c>
      <c r="D515" t="s">
        <v>1208</v>
      </c>
      <c r="E515" t="s">
        <v>1220</v>
      </c>
      <c r="F515">
        <v>107</v>
      </c>
      <c r="G515">
        <f t="shared" ref="G515:G578" si="34">TRUNC(I515/10)</f>
        <v>70</v>
      </c>
      <c r="H515">
        <f t="shared" ref="H515:H578" si="35">TRUNC(J515/10)</f>
        <v>228</v>
      </c>
      <c r="I515">
        <v>700</v>
      </c>
      <c r="J515">
        <v>2280</v>
      </c>
      <c r="K515" s="18" t="s">
        <v>1219</v>
      </c>
      <c r="L515" s="21">
        <v>6.3</v>
      </c>
    </row>
    <row r="516" spans="1:12" x14ac:dyDescent="0.25">
      <c r="A516" t="str">
        <f t="shared" si="32"/>
        <v>2022-FU-Dar-117-730-2280</v>
      </c>
      <c r="B516" t="str">
        <f t="shared" si="33"/>
        <v>2022</v>
      </c>
      <c r="C516" s="18" t="s">
        <v>866</v>
      </c>
      <c r="D516" t="s">
        <v>1208</v>
      </c>
      <c r="E516" t="s">
        <v>1221</v>
      </c>
      <c r="F516">
        <v>117</v>
      </c>
      <c r="G516">
        <f t="shared" si="34"/>
        <v>73</v>
      </c>
      <c r="H516">
        <f t="shared" si="35"/>
        <v>228</v>
      </c>
      <c r="I516">
        <v>730</v>
      </c>
      <c r="J516">
        <v>2280</v>
      </c>
      <c r="K516" s="18" t="s">
        <v>1219</v>
      </c>
      <c r="L516" s="21">
        <v>6.6</v>
      </c>
    </row>
    <row r="517" spans="1:12" x14ac:dyDescent="0.25">
      <c r="A517" t="str">
        <f t="shared" si="32"/>
        <v>2022-FU-Dar-120-750-2280</v>
      </c>
      <c r="B517" t="str">
        <f t="shared" si="33"/>
        <v>2022</v>
      </c>
      <c r="C517" s="18" t="s">
        <v>866</v>
      </c>
      <c r="D517" t="s">
        <v>1208</v>
      </c>
      <c r="E517" t="s">
        <v>1222</v>
      </c>
      <c r="F517">
        <v>120</v>
      </c>
      <c r="G517">
        <f t="shared" si="34"/>
        <v>75</v>
      </c>
      <c r="H517">
        <f t="shared" si="35"/>
        <v>228</v>
      </c>
      <c r="I517">
        <v>750</v>
      </c>
      <c r="J517">
        <v>2280</v>
      </c>
      <c r="K517" s="18" t="s">
        <v>1219</v>
      </c>
      <c r="L517" s="21">
        <v>6.9</v>
      </c>
    </row>
    <row r="518" spans="1:12" x14ac:dyDescent="0.25">
      <c r="A518" t="str">
        <f t="shared" si="32"/>
        <v>2022-FU-Dar-132-850-2260</v>
      </c>
      <c r="B518" t="str">
        <f t="shared" si="33"/>
        <v>2022</v>
      </c>
      <c r="C518" s="18" t="s">
        <v>866</v>
      </c>
      <c r="D518" t="s">
        <v>1208</v>
      </c>
      <c r="E518" t="s">
        <v>1223</v>
      </c>
      <c r="F518">
        <v>132</v>
      </c>
      <c r="G518">
        <f t="shared" si="34"/>
        <v>85</v>
      </c>
      <c r="H518">
        <f t="shared" si="35"/>
        <v>226</v>
      </c>
      <c r="I518">
        <v>850</v>
      </c>
      <c r="J518">
        <v>2260</v>
      </c>
      <c r="K518" s="18" t="s">
        <v>1219</v>
      </c>
      <c r="L518" s="21">
        <v>7.4</v>
      </c>
    </row>
    <row r="519" spans="1:12" x14ac:dyDescent="0.25">
      <c r="A519" t="str">
        <f t="shared" si="32"/>
        <v>2023-FU-Fly-145-810-2080</v>
      </c>
      <c r="B519" t="str">
        <f t="shared" si="33"/>
        <v>2023</v>
      </c>
      <c r="C519" s="18" t="s">
        <v>776</v>
      </c>
      <c r="D519" t="s">
        <v>1208</v>
      </c>
      <c r="E519" t="s">
        <v>1224</v>
      </c>
      <c r="F519">
        <v>145</v>
      </c>
      <c r="G519">
        <f t="shared" si="34"/>
        <v>81</v>
      </c>
      <c r="H519">
        <f t="shared" si="35"/>
        <v>208</v>
      </c>
      <c r="I519">
        <v>810</v>
      </c>
      <c r="J519">
        <v>2080</v>
      </c>
      <c r="K519" s="18" t="s">
        <v>1225</v>
      </c>
      <c r="L519" s="21">
        <v>8</v>
      </c>
    </row>
    <row r="520" spans="1:12" x14ac:dyDescent="0.25">
      <c r="A520" t="str">
        <f t="shared" si="32"/>
        <v>2023-FU-Fly-187-910-2173</v>
      </c>
      <c r="B520" t="str">
        <f t="shared" si="33"/>
        <v>2023</v>
      </c>
      <c r="C520" s="18" t="s">
        <v>776</v>
      </c>
      <c r="D520" t="s">
        <v>1208</v>
      </c>
      <c r="E520" t="s">
        <v>1226</v>
      </c>
      <c r="F520">
        <v>187</v>
      </c>
      <c r="G520">
        <f t="shared" si="34"/>
        <v>91</v>
      </c>
      <c r="H520">
        <f t="shared" si="35"/>
        <v>217</v>
      </c>
      <c r="I520">
        <v>910</v>
      </c>
      <c r="J520">
        <v>2173</v>
      </c>
      <c r="K520" s="18" t="s">
        <v>1225</v>
      </c>
      <c r="L520" s="21">
        <v>9.1999999999999993</v>
      </c>
    </row>
    <row r="521" spans="1:12" x14ac:dyDescent="0.25">
      <c r="A521" t="str">
        <f t="shared" si="32"/>
        <v>2024-FU-Dar-97-625-2310</v>
      </c>
      <c r="B521" t="str">
        <f t="shared" si="33"/>
        <v>2024</v>
      </c>
      <c r="C521" s="18" t="s">
        <v>871</v>
      </c>
      <c r="D521" t="s">
        <v>1208</v>
      </c>
      <c r="E521" t="s">
        <v>1218</v>
      </c>
      <c r="F521">
        <v>97</v>
      </c>
      <c r="G521">
        <f t="shared" si="34"/>
        <v>62</v>
      </c>
      <c r="H521">
        <f t="shared" si="35"/>
        <v>231</v>
      </c>
      <c r="I521">
        <v>625</v>
      </c>
      <c r="J521">
        <v>2310</v>
      </c>
      <c r="K521" s="18" t="s">
        <v>1227</v>
      </c>
      <c r="L521" s="21">
        <v>5.8</v>
      </c>
    </row>
    <row r="522" spans="1:12" x14ac:dyDescent="0.25">
      <c r="A522" t="str">
        <f t="shared" si="32"/>
        <v>2024-FU-Dar-107-705-2310</v>
      </c>
      <c r="B522" t="str">
        <f t="shared" si="33"/>
        <v>2024</v>
      </c>
      <c r="C522" s="18" t="s">
        <v>871</v>
      </c>
      <c r="D522" t="s">
        <v>1208</v>
      </c>
      <c r="E522" t="s">
        <v>1220</v>
      </c>
      <c r="F522">
        <v>107</v>
      </c>
      <c r="G522">
        <f t="shared" si="34"/>
        <v>70</v>
      </c>
      <c r="H522">
        <f t="shared" si="35"/>
        <v>231</v>
      </c>
      <c r="I522">
        <v>705</v>
      </c>
      <c r="J522">
        <v>2310</v>
      </c>
      <c r="K522" s="18" t="s">
        <v>1227</v>
      </c>
      <c r="L522" s="21">
        <v>6.3</v>
      </c>
    </row>
    <row r="523" spans="1:12" x14ac:dyDescent="0.25">
      <c r="A523" t="str">
        <f t="shared" si="32"/>
        <v>2024-FU-Dar-117-725-2310</v>
      </c>
      <c r="B523" t="str">
        <f t="shared" si="33"/>
        <v>2024</v>
      </c>
      <c r="C523" s="18" t="s">
        <v>871</v>
      </c>
      <c r="D523" t="s">
        <v>1208</v>
      </c>
      <c r="E523" t="s">
        <v>1221</v>
      </c>
      <c r="F523">
        <v>117</v>
      </c>
      <c r="G523">
        <f t="shared" si="34"/>
        <v>72</v>
      </c>
      <c r="H523">
        <f t="shared" si="35"/>
        <v>231</v>
      </c>
      <c r="I523">
        <v>725</v>
      </c>
      <c r="J523">
        <v>2310</v>
      </c>
      <c r="K523" s="18" t="s">
        <v>1227</v>
      </c>
      <c r="L523" s="21">
        <v>6.6</v>
      </c>
    </row>
    <row r="524" spans="1:12" x14ac:dyDescent="0.25">
      <c r="A524" t="str">
        <f t="shared" si="32"/>
        <v>2024-FU-Fly-160-850-2100</v>
      </c>
      <c r="B524" t="str">
        <f t="shared" si="33"/>
        <v>2024</v>
      </c>
      <c r="C524" s="18" t="s">
        <v>871</v>
      </c>
      <c r="D524" t="s">
        <v>1208</v>
      </c>
      <c r="E524" t="s">
        <v>1228</v>
      </c>
      <c r="F524">
        <v>160</v>
      </c>
      <c r="G524">
        <f t="shared" si="34"/>
        <v>85</v>
      </c>
      <c r="H524">
        <f t="shared" si="35"/>
        <v>210</v>
      </c>
      <c r="I524">
        <v>850</v>
      </c>
      <c r="J524">
        <v>2100</v>
      </c>
      <c r="K524" s="18" t="s">
        <v>1227</v>
      </c>
      <c r="L524" s="21">
        <v>8</v>
      </c>
    </row>
    <row r="525" spans="1:12" x14ac:dyDescent="0.25">
      <c r="A525" t="str">
        <f t="shared" si="32"/>
        <v>2025-FU-Dar-97-620-2240</v>
      </c>
      <c r="B525" t="str">
        <f t="shared" si="33"/>
        <v>2025</v>
      </c>
      <c r="C525" s="18" t="s">
        <v>874</v>
      </c>
      <c r="D525" t="s">
        <v>1208</v>
      </c>
      <c r="E525" t="s">
        <v>1218</v>
      </c>
      <c r="F525">
        <v>97</v>
      </c>
      <c r="G525">
        <f t="shared" si="34"/>
        <v>62</v>
      </c>
      <c r="H525">
        <f t="shared" si="35"/>
        <v>224</v>
      </c>
      <c r="I525">
        <v>620</v>
      </c>
      <c r="J525">
        <v>2240</v>
      </c>
      <c r="K525" s="18" t="s">
        <v>1229</v>
      </c>
      <c r="L525" s="21">
        <v>5.7</v>
      </c>
    </row>
    <row r="526" spans="1:12" x14ac:dyDescent="0.25">
      <c r="A526" t="str">
        <f t="shared" si="32"/>
        <v>2025-FU-Dar-107-700-2280</v>
      </c>
      <c r="B526" t="str">
        <f t="shared" si="33"/>
        <v>2025</v>
      </c>
      <c r="C526" s="18" t="s">
        <v>874</v>
      </c>
      <c r="D526" t="s">
        <v>1208</v>
      </c>
      <c r="E526" t="s">
        <v>1220</v>
      </c>
      <c r="F526">
        <v>107</v>
      </c>
      <c r="G526">
        <f t="shared" si="34"/>
        <v>70</v>
      </c>
      <c r="H526">
        <f t="shared" si="35"/>
        <v>228</v>
      </c>
      <c r="I526">
        <v>700</v>
      </c>
      <c r="J526">
        <v>2280</v>
      </c>
      <c r="K526" s="18" t="s">
        <v>1229</v>
      </c>
      <c r="L526" s="21">
        <v>6.3</v>
      </c>
    </row>
    <row r="527" spans="1:12" x14ac:dyDescent="0.25">
      <c r="A527" t="str">
        <f t="shared" si="32"/>
        <v>2025-FU-Dar-117-730-2280</v>
      </c>
      <c r="B527" t="str">
        <f t="shared" si="33"/>
        <v>2025</v>
      </c>
      <c r="C527" s="18" t="s">
        <v>874</v>
      </c>
      <c r="D527" t="s">
        <v>1208</v>
      </c>
      <c r="E527" t="s">
        <v>1221</v>
      </c>
      <c r="F527">
        <v>117</v>
      </c>
      <c r="G527">
        <f t="shared" si="34"/>
        <v>73</v>
      </c>
      <c r="H527">
        <f t="shared" si="35"/>
        <v>228</v>
      </c>
      <c r="I527">
        <v>730</v>
      </c>
      <c r="J527">
        <v>2280</v>
      </c>
      <c r="K527" s="18" t="s">
        <v>1229</v>
      </c>
      <c r="L527" s="21">
        <v>6.6</v>
      </c>
    </row>
    <row r="528" spans="1:12" x14ac:dyDescent="0.25">
      <c r="A528" t="str">
        <f t="shared" si="32"/>
        <v>2025-FU-Dar-120-750-2280</v>
      </c>
      <c r="B528" t="str">
        <f t="shared" si="33"/>
        <v>2025</v>
      </c>
      <c r="C528" s="18" t="s">
        <v>874</v>
      </c>
      <c r="D528" t="s">
        <v>1208</v>
      </c>
      <c r="E528" t="s">
        <v>1222</v>
      </c>
      <c r="F528">
        <v>120</v>
      </c>
      <c r="G528">
        <f t="shared" si="34"/>
        <v>75</v>
      </c>
      <c r="H528">
        <f t="shared" si="35"/>
        <v>228</v>
      </c>
      <c r="I528">
        <v>750</v>
      </c>
      <c r="J528">
        <v>2280</v>
      </c>
      <c r="K528" s="18" t="s">
        <v>1229</v>
      </c>
      <c r="L528" s="21">
        <v>6.9</v>
      </c>
    </row>
    <row r="529" spans="1:12" x14ac:dyDescent="0.25">
      <c r="A529" t="str">
        <f t="shared" si="32"/>
        <v>2025-FU-Dar-132-850-2260</v>
      </c>
      <c r="B529" t="str">
        <f t="shared" si="33"/>
        <v>2025</v>
      </c>
      <c r="C529" s="18" t="s">
        <v>874</v>
      </c>
      <c r="D529" t="s">
        <v>1208</v>
      </c>
      <c r="E529" t="s">
        <v>1223</v>
      </c>
      <c r="F529">
        <v>132</v>
      </c>
      <c r="G529">
        <f t="shared" si="34"/>
        <v>85</v>
      </c>
      <c r="H529">
        <f t="shared" si="35"/>
        <v>226</v>
      </c>
      <c r="I529">
        <v>850</v>
      </c>
      <c r="J529">
        <v>2260</v>
      </c>
      <c r="K529" s="18" t="s">
        <v>1229</v>
      </c>
      <c r="L529" s="21">
        <v>7.4</v>
      </c>
    </row>
    <row r="530" spans="1:12" x14ac:dyDescent="0.25">
      <c r="A530" t="str">
        <f t="shared" si="32"/>
        <v>2025-FU-Whi-115-700-2380</v>
      </c>
      <c r="B530" t="str">
        <f t="shared" si="33"/>
        <v>2025</v>
      </c>
      <c r="C530" s="18" t="s">
        <v>874</v>
      </c>
      <c r="D530" t="s">
        <v>1208</v>
      </c>
      <c r="E530" t="s">
        <v>1230</v>
      </c>
      <c r="F530">
        <v>115</v>
      </c>
      <c r="G530">
        <f t="shared" si="34"/>
        <v>70</v>
      </c>
      <c r="H530">
        <f t="shared" si="35"/>
        <v>238</v>
      </c>
      <c r="I530">
        <v>700</v>
      </c>
      <c r="J530">
        <v>2380</v>
      </c>
      <c r="K530" s="18" t="s">
        <v>1231</v>
      </c>
      <c r="L530" s="21">
        <v>7.2</v>
      </c>
    </row>
    <row r="531" spans="1:12" x14ac:dyDescent="0.25">
      <c r="A531" t="str">
        <f t="shared" si="32"/>
        <v>2025-FU-Whi-125-750-2380</v>
      </c>
      <c r="B531" t="str">
        <f t="shared" si="33"/>
        <v>2025</v>
      </c>
      <c r="C531" s="18" t="s">
        <v>874</v>
      </c>
      <c r="D531" t="s">
        <v>1208</v>
      </c>
      <c r="E531" t="s">
        <v>1232</v>
      </c>
      <c r="F531">
        <v>125</v>
      </c>
      <c r="G531">
        <f t="shared" si="34"/>
        <v>75</v>
      </c>
      <c r="H531">
        <f t="shared" si="35"/>
        <v>238</v>
      </c>
      <c r="I531">
        <v>750</v>
      </c>
      <c r="J531">
        <v>2380</v>
      </c>
      <c r="K531" s="18" t="s">
        <v>1231</v>
      </c>
      <c r="L531" s="21">
        <v>7.4</v>
      </c>
    </row>
    <row r="532" spans="1:12" x14ac:dyDescent="0.25">
      <c r="A532" t="str">
        <f t="shared" si="32"/>
        <v>2025-FU-Whi-137-810-2360</v>
      </c>
      <c r="B532" t="str">
        <f t="shared" si="33"/>
        <v>2025</v>
      </c>
      <c r="C532" s="18" t="s">
        <v>874</v>
      </c>
      <c r="D532" t="s">
        <v>1208</v>
      </c>
      <c r="E532" t="s">
        <v>1233</v>
      </c>
      <c r="F532">
        <v>137</v>
      </c>
      <c r="G532">
        <f t="shared" si="34"/>
        <v>81</v>
      </c>
      <c r="H532">
        <f t="shared" si="35"/>
        <v>236</v>
      </c>
      <c r="I532">
        <v>810</v>
      </c>
      <c r="J532">
        <v>2360</v>
      </c>
      <c r="K532" s="18" t="s">
        <v>1231</v>
      </c>
      <c r="L532" s="21">
        <v>7.8</v>
      </c>
    </row>
    <row r="533" spans="1:12" x14ac:dyDescent="0.25">
      <c r="A533" t="str">
        <f t="shared" si="32"/>
        <v>2025-FU-Fly-160-850-2100</v>
      </c>
      <c r="B533" t="str">
        <f t="shared" si="33"/>
        <v>2025</v>
      </c>
      <c r="C533" s="18" t="s">
        <v>874</v>
      </c>
      <c r="D533" t="s">
        <v>1208</v>
      </c>
      <c r="E533" t="s">
        <v>1234</v>
      </c>
      <c r="F533">
        <v>160</v>
      </c>
      <c r="G533">
        <f t="shared" si="34"/>
        <v>85</v>
      </c>
      <c r="H533">
        <f t="shared" si="35"/>
        <v>210</v>
      </c>
      <c r="I533">
        <v>850</v>
      </c>
      <c r="J533">
        <v>2100</v>
      </c>
      <c r="K533" s="18" t="s">
        <v>1231</v>
      </c>
      <c r="L533" s="21">
        <v>8</v>
      </c>
    </row>
    <row r="534" spans="1:12" x14ac:dyDescent="0.25">
      <c r="A534" t="str">
        <f t="shared" si="32"/>
        <v>2026-FU-Dar-96-626-2309</v>
      </c>
      <c r="B534" t="str">
        <f t="shared" si="33"/>
        <v>2026</v>
      </c>
      <c r="C534" s="18" t="s">
        <v>878</v>
      </c>
      <c r="D534" t="s">
        <v>1208</v>
      </c>
      <c r="E534" t="s">
        <v>1235</v>
      </c>
      <c r="F534">
        <v>96</v>
      </c>
      <c r="G534">
        <f t="shared" si="34"/>
        <v>62</v>
      </c>
      <c r="H534">
        <f t="shared" si="35"/>
        <v>230</v>
      </c>
      <c r="I534">
        <v>626</v>
      </c>
      <c r="J534">
        <v>2309</v>
      </c>
      <c r="K534" s="18" t="s">
        <v>1236</v>
      </c>
      <c r="L534" s="21">
        <v>5.9</v>
      </c>
    </row>
    <row r="535" spans="1:12" x14ac:dyDescent="0.25">
      <c r="A535" t="str">
        <f t="shared" si="32"/>
        <v>2026-FU-Dar-107-700-2280</v>
      </c>
      <c r="B535" t="str">
        <f t="shared" si="33"/>
        <v>2026</v>
      </c>
      <c r="C535" s="18" t="s">
        <v>878</v>
      </c>
      <c r="D535" t="s">
        <v>1208</v>
      </c>
      <c r="E535" t="s">
        <v>1220</v>
      </c>
      <c r="F535">
        <v>107</v>
      </c>
      <c r="G535">
        <f t="shared" si="34"/>
        <v>70</v>
      </c>
      <c r="H535">
        <f t="shared" si="35"/>
        <v>228</v>
      </c>
      <c r="I535">
        <v>700</v>
      </c>
      <c r="J535">
        <v>2280</v>
      </c>
      <c r="K535" s="18" t="s">
        <v>1236</v>
      </c>
      <c r="L535" s="21">
        <v>6.3</v>
      </c>
    </row>
    <row r="536" spans="1:12" x14ac:dyDescent="0.25">
      <c r="A536" t="str">
        <f t="shared" si="32"/>
        <v>2026-FU-Dar-116-712-2330</v>
      </c>
      <c r="B536" t="str">
        <f t="shared" si="33"/>
        <v>2026</v>
      </c>
      <c r="C536" s="18" t="s">
        <v>878</v>
      </c>
      <c r="D536" t="s">
        <v>1208</v>
      </c>
      <c r="E536" t="s">
        <v>1237</v>
      </c>
      <c r="F536">
        <v>116</v>
      </c>
      <c r="G536">
        <f t="shared" si="34"/>
        <v>71</v>
      </c>
      <c r="H536">
        <f t="shared" si="35"/>
        <v>233</v>
      </c>
      <c r="I536">
        <v>712</v>
      </c>
      <c r="J536">
        <v>2330</v>
      </c>
      <c r="K536" s="18" t="s">
        <v>1236</v>
      </c>
      <c r="L536" s="21">
        <v>6.2</v>
      </c>
    </row>
    <row r="537" spans="1:12" x14ac:dyDescent="0.25">
      <c r="A537" t="str">
        <f t="shared" si="32"/>
        <v>2026-FU-Dar-120-750-2280</v>
      </c>
      <c r="B537" t="str">
        <f t="shared" si="33"/>
        <v>2026</v>
      </c>
      <c r="C537" s="18" t="s">
        <v>878</v>
      </c>
      <c r="D537" t="s">
        <v>1208</v>
      </c>
      <c r="E537" t="s">
        <v>1222</v>
      </c>
      <c r="F537">
        <v>120</v>
      </c>
      <c r="G537">
        <f t="shared" si="34"/>
        <v>75</v>
      </c>
      <c r="H537">
        <f t="shared" si="35"/>
        <v>228</v>
      </c>
      <c r="I537">
        <v>750</v>
      </c>
      <c r="J537">
        <v>2280</v>
      </c>
      <c r="K537" s="18" t="s">
        <v>1236</v>
      </c>
      <c r="L537" s="21">
        <v>6.9</v>
      </c>
    </row>
    <row r="538" spans="1:12" x14ac:dyDescent="0.25">
      <c r="A538" t="str">
        <f t="shared" si="32"/>
        <v>2026-FU-Dar-136-850-2280</v>
      </c>
      <c r="B538" t="str">
        <f t="shared" si="33"/>
        <v>2026</v>
      </c>
      <c r="C538" s="18" t="s">
        <v>878</v>
      </c>
      <c r="D538" t="s">
        <v>1208</v>
      </c>
      <c r="E538" t="s">
        <v>1238</v>
      </c>
      <c r="F538">
        <v>136</v>
      </c>
      <c r="G538">
        <f t="shared" si="34"/>
        <v>85</v>
      </c>
      <c r="H538">
        <f t="shared" si="35"/>
        <v>228</v>
      </c>
      <c r="I538">
        <v>850</v>
      </c>
      <c r="J538">
        <v>2280</v>
      </c>
      <c r="K538" s="18" t="s">
        <v>1236</v>
      </c>
      <c r="L538" s="21">
        <v>7.4</v>
      </c>
    </row>
    <row r="539" spans="1:12" x14ac:dyDescent="0.25">
      <c r="A539" t="str">
        <f t="shared" si="32"/>
        <v>2026-FU-Fly-166-880-2100</v>
      </c>
      <c r="B539" t="str">
        <f t="shared" si="33"/>
        <v>2026</v>
      </c>
      <c r="C539" s="18" t="s">
        <v>878</v>
      </c>
      <c r="D539" t="s">
        <v>1208</v>
      </c>
      <c r="E539" t="s">
        <v>1239</v>
      </c>
      <c r="F539">
        <v>166</v>
      </c>
      <c r="G539">
        <f t="shared" si="34"/>
        <v>88</v>
      </c>
      <c r="H539">
        <f t="shared" si="35"/>
        <v>210</v>
      </c>
      <c r="I539">
        <v>880</v>
      </c>
      <c r="J539">
        <v>2100</v>
      </c>
      <c r="K539" s="18" t="s">
        <v>1236</v>
      </c>
      <c r="L539" s="21">
        <v>8.5</v>
      </c>
    </row>
    <row r="540" spans="1:12" x14ac:dyDescent="0.25">
      <c r="A540" t="str">
        <f t="shared" si="32"/>
        <v>2017-GO-Pro-99.7-619-2328</v>
      </c>
      <c r="B540" t="str">
        <f t="shared" si="33"/>
        <v>2017</v>
      </c>
      <c r="C540" s="18" t="s">
        <v>753</v>
      </c>
      <c r="D540" t="s">
        <v>1243</v>
      </c>
      <c r="E540" t="s">
        <v>1244</v>
      </c>
      <c r="F540">
        <v>99.7</v>
      </c>
      <c r="G540">
        <f t="shared" si="34"/>
        <v>61</v>
      </c>
      <c r="H540">
        <f t="shared" si="35"/>
        <v>232</v>
      </c>
      <c r="I540">
        <v>619</v>
      </c>
      <c r="J540">
        <v>2328</v>
      </c>
      <c r="K540" s="18" t="s">
        <v>1245</v>
      </c>
      <c r="L540" s="21">
        <v>6.27</v>
      </c>
    </row>
    <row r="541" spans="1:12" x14ac:dyDescent="0.25">
      <c r="A541" t="str">
        <f t="shared" si="32"/>
        <v>2017-GO-Pro-117.9-717-2328</v>
      </c>
      <c r="B541" t="str">
        <f t="shared" si="33"/>
        <v>2017</v>
      </c>
      <c r="C541" s="18" t="s">
        <v>753</v>
      </c>
      <c r="D541" t="s">
        <v>1243</v>
      </c>
      <c r="E541" t="s">
        <v>1246</v>
      </c>
      <c r="F541">
        <v>117.9</v>
      </c>
      <c r="G541">
        <f t="shared" si="34"/>
        <v>71</v>
      </c>
      <c r="H541">
        <f t="shared" si="35"/>
        <v>232</v>
      </c>
      <c r="I541">
        <v>717</v>
      </c>
      <c r="J541">
        <v>2328</v>
      </c>
      <c r="K541" s="18" t="s">
        <v>1245</v>
      </c>
      <c r="L541" s="21">
        <v>6.76</v>
      </c>
    </row>
    <row r="542" spans="1:12" x14ac:dyDescent="0.25">
      <c r="A542" t="str">
        <f t="shared" si="32"/>
        <v>2017-GO-Pro-145.9-83-2326</v>
      </c>
      <c r="B542" t="str">
        <f t="shared" si="33"/>
        <v>2017</v>
      </c>
      <c r="C542" s="18" t="s">
        <v>753</v>
      </c>
      <c r="D542" t="s">
        <v>1243</v>
      </c>
      <c r="E542" t="s">
        <v>1247</v>
      </c>
      <c r="F542">
        <v>145.9</v>
      </c>
      <c r="G542">
        <f t="shared" si="34"/>
        <v>8</v>
      </c>
      <c r="H542">
        <f t="shared" si="35"/>
        <v>232</v>
      </c>
      <c r="I542">
        <v>83.9</v>
      </c>
      <c r="J542">
        <v>2326</v>
      </c>
      <c r="K542" s="18" t="s">
        <v>1245</v>
      </c>
      <c r="L542" s="21">
        <v>7.68</v>
      </c>
    </row>
    <row r="543" spans="1:12" x14ac:dyDescent="0.25">
      <c r="A543" t="str">
        <f t="shared" si="32"/>
        <v>2019-GO-Pro-93.7-618-2296</v>
      </c>
      <c r="B543" t="str">
        <f t="shared" si="33"/>
        <v>2019</v>
      </c>
      <c r="C543" s="18" t="s">
        <v>763</v>
      </c>
      <c r="D543" t="s">
        <v>1243</v>
      </c>
      <c r="E543" t="s">
        <v>1244</v>
      </c>
      <c r="F543">
        <v>93.7</v>
      </c>
      <c r="G543">
        <f t="shared" si="34"/>
        <v>61</v>
      </c>
      <c r="H543">
        <f t="shared" si="35"/>
        <v>229</v>
      </c>
      <c r="I543">
        <v>618</v>
      </c>
      <c r="J543">
        <v>2296</v>
      </c>
      <c r="K543" s="18" t="s">
        <v>1248</v>
      </c>
      <c r="L543" s="21">
        <v>6.27</v>
      </c>
    </row>
    <row r="544" spans="1:12" x14ac:dyDescent="0.25">
      <c r="A544" t="str">
        <f t="shared" si="32"/>
        <v>2019-GO-Pro-119.8-708-2307</v>
      </c>
      <c r="B544" t="str">
        <f t="shared" si="33"/>
        <v>2019</v>
      </c>
      <c r="C544" s="18" t="s">
        <v>763</v>
      </c>
      <c r="D544" t="s">
        <v>1243</v>
      </c>
      <c r="E544" t="s">
        <v>1246</v>
      </c>
      <c r="F544">
        <v>119.8</v>
      </c>
      <c r="G544">
        <f t="shared" si="34"/>
        <v>70</v>
      </c>
      <c r="H544">
        <f t="shared" si="35"/>
        <v>230</v>
      </c>
      <c r="I544">
        <v>708</v>
      </c>
      <c r="J544">
        <v>2307</v>
      </c>
      <c r="K544" s="18" t="s">
        <v>1248</v>
      </c>
      <c r="L544" s="21">
        <v>6.76</v>
      </c>
    </row>
    <row r="545" spans="1:12" x14ac:dyDescent="0.25">
      <c r="A545" t="str">
        <f t="shared" si="32"/>
        <v>2019-GO-Pro-143.4-849-2274</v>
      </c>
      <c r="B545" t="str">
        <f t="shared" si="33"/>
        <v>2019</v>
      </c>
      <c r="C545" s="18" t="s">
        <v>763</v>
      </c>
      <c r="D545" t="s">
        <v>1243</v>
      </c>
      <c r="E545" t="s">
        <v>1249</v>
      </c>
      <c r="F545">
        <v>143.4</v>
      </c>
      <c r="G545">
        <f t="shared" si="34"/>
        <v>84</v>
      </c>
      <c r="H545">
        <f t="shared" si="35"/>
        <v>227</v>
      </c>
      <c r="I545">
        <v>849</v>
      </c>
      <c r="J545">
        <v>2274</v>
      </c>
      <c r="K545" s="18" t="s">
        <v>1248</v>
      </c>
      <c r="L545" s="21">
        <v>7.68</v>
      </c>
    </row>
    <row r="546" spans="1:12" x14ac:dyDescent="0.25">
      <c r="A546" t="str">
        <f t="shared" si="32"/>
        <v>2020-GO-Pro-98-618-2295</v>
      </c>
      <c r="B546" t="str">
        <f t="shared" si="33"/>
        <v>2020</v>
      </c>
      <c r="C546" s="18" t="s">
        <v>861</v>
      </c>
      <c r="D546" t="s">
        <v>1243</v>
      </c>
      <c r="E546" t="s">
        <v>1250</v>
      </c>
      <c r="F546">
        <v>98</v>
      </c>
      <c r="G546">
        <f t="shared" si="34"/>
        <v>61</v>
      </c>
      <c r="H546">
        <f t="shared" si="35"/>
        <v>229</v>
      </c>
      <c r="I546">
        <v>618</v>
      </c>
      <c r="J546">
        <v>2295</v>
      </c>
      <c r="K546" s="18" t="s">
        <v>1251</v>
      </c>
      <c r="L546" s="21">
        <v>6.49</v>
      </c>
    </row>
    <row r="547" spans="1:12" x14ac:dyDescent="0.25">
      <c r="A547" t="str">
        <f t="shared" si="32"/>
        <v>2020-GO-Pro-112-707-2309</v>
      </c>
      <c r="B547" t="str">
        <f t="shared" si="33"/>
        <v>2020</v>
      </c>
      <c r="C547" s="18" t="s">
        <v>861</v>
      </c>
      <c r="D547" t="s">
        <v>1243</v>
      </c>
      <c r="E547" t="s">
        <v>1252</v>
      </c>
      <c r="F547">
        <v>112</v>
      </c>
      <c r="G547">
        <f t="shared" si="34"/>
        <v>70</v>
      </c>
      <c r="H547">
        <f t="shared" si="35"/>
        <v>230</v>
      </c>
      <c r="I547">
        <v>707</v>
      </c>
      <c r="J547">
        <v>2309</v>
      </c>
      <c r="K547" s="18" t="s">
        <v>1251</v>
      </c>
      <c r="L547" s="21">
        <v>6.5</v>
      </c>
    </row>
    <row r="548" spans="1:12" x14ac:dyDescent="0.25">
      <c r="A548" t="str">
        <f t="shared" si="32"/>
        <v>2020-GO-Pro-143-838-2310</v>
      </c>
      <c r="B548" t="str">
        <f t="shared" si="33"/>
        <v>2020</v>
      </c>
      <c r="C548" s="18" t="s">
        <v>861</v>
      </c>
      <c r="D548" t="s">
        <v>1243</v>
      </c>
      <c r="E548" t="s">
        <v>1253</v>
      </c>
      <c r="F548">
        <v>143</v>
      </c>
      <c r="G548">
        <f t="shared" si="34"/>
        <v>83</v>
      </c>
      <c r="H548">
        <f t="shared" si="35"/>
        <v>231</v>
      </c>
      <c r="I548">
        <v>838</v>
      </c>
      <c r="J548">
        <v>2310</v>
      </c>
      <c r="K548" s="18" t="s">
        <v>1251</v>
      </c>
      <c r="L548" s="21">
        <v>7.68</v>
      </c>
    </row>
    <row r="549" spans="1:12" x14ac:dyDescent="0.25">
      <c r="A549" t="str">
        <f t="shared" si="32"/>
        <v>2021-GO-Pro-97-624-2294</v>
      </c>
      <c r="B549" t="str">
        <f t="shared" si="33"/>
        <v>2021</v>
      </c>
      <c r="C549" s="18" t="s">
        <v>1152</v>
      </c>
      <c r="D549" t="s">
        <v>1243</v>
      </c>
      <c r="E549" t="s">
        <v>1254</v>
      </c>
      <c r="F549">
        <v>97</v>
      </c>
      <c r="G549">
        <f t="shared" si="34"/>
        <v>62</v>
      </c>
      <c r="H549">
        <f t="shared" si="35"/>
        <v>229</v>
      </c>
      <c r="I549">
        <v>624</v>
      </c>
      <c r="J549">
        <v>2294</v>
      </c>
      <c r="K549" s="18" t="s">
        <v>1255</v>
      </c>
      <c r="L549" s="21">
        <v>6.49</v>
      </c>
    </row>
    <row r="550" spans="1:12" x14ac:dyDescent="0.25">
      <c r="A550" t="str">
        <f t="shared" si="32"/>
        <v>2021-GO-Pro-112-707-2308</v>
      </c>
      <c r="B550" t="str">
        <f t="shared" si="33"/>
        <v>2021</v>
      </c>
      <c r="C550" s="18" t="s">
        <v>1152</v>
      </c>
      <c r="D550" t="s">
        <v>1243</v>
      </c>
      <c r="E550" t="s">
        <v>1256</v>
      </c>
      <c r="F550">
        <v>112</v>
      </c>
      <c r="G550">
        <f t="shared" si="34"/>
        <v>70</v>
      </c>
      <c r="H550">
        <f t="shared" si="35"/>
        <v>230</v>
      </c>
      <c r="I550">
        <v>707</v>
      </c>
      <c r="J550">
        <v>2308</v>
      </c>
      <c r="K550" s="18" t="s">
        <v>1255</v>
      </c>
      <c r="L550" s="21">
        <v>6.5</v>
      </c>
    </row>
    <row r="551" spans="1:12" x14ac:dyDescent="0.25">
      <c r="A551" t="str">
        <f t="shared" si="32"/>
        <v>2021-GO-Pro-118-721-2299</v>
      </c>
      <c r="B551" t="str">
        <f t="shared" si="33"/>
        <v>2021</v>
      </c>
      <c r="C551" s="18" t="s">
        <v>1152</v>
      </c>
      <c r="D551" t="s">
        <v>1243</v>
      </c>
      <c r="E551" t="s">
        <v>1257</v>
      </c>
      <c r="F551">
        <v>118</v>
      </c>
      <c r="G551">
        <f t="shared" si="34"/>
        <v>72</v>
      </c>
      <c r="H551">
        <f t="shared" si="35"/>
        <v>229</v>
      </c>
      <c r="I551">
        <v>721</v>
      </c>
      <c r="J551">
        <v>2299</v>
      </c>
      <c r="K551" s="18" t="s">
        <v>1255</v>
      </c>
      <c r="L551" s="21">
        <v>7</v>
      </c>
    </row>
    <row r="552" spans="1:12" x14ac:dyDescent="0.25">
      <c r="A552" t="str">
        <f t="shared" si="32"/>
        <v>2021-GO-Pro-143-838-2311</v>
      </c>
      <c r="B552" t="str">
        <f t="shared" si="33"/>
        <v>2021</v>
      </c>
      <c r="C552" s="18" t="s">
        <v>1152</v>
      </c>
      <c r="D552" t="s">
        <v>1243</v>
      </c>
      <c r="E552" t="s">
        <v>1258</v>
      </c>
      <c r="F552">
        <v>143</v>
      </c>
      <c r="G552">
        <f t="shared" si="34"/>
        <v>83</v>
      </c>
      <c r="H552">
        <f t="shared" si="35"/>
        <v>231</v>
      </c>
      <c r="I552">
        <v>838</v>
      </c>
      <c r="J552">
        <v>2311</v>
      </c>
      <c r="K552" s="18" t="s">
        <v>1255</v>
      </c>
      <c r="L552" s="21">
        <v>7.68</v>
      </c>
    </row>
    <row r="553" spans="1:12" x14ac:dyDescent="0.25">
      <c r="A553" t="str">
        <f t="shared" si="32"/>
        <v>2004-G--RED-108-610-2340</v>
      </c>
      <c r="B553" t="str">
        <f t="shared" si="33"/>
        <v>2004</v>
      </c>
      <c r="C553" s="18" t="s">
        <v>803</v>
      </c>
      <c r="D553" t="s">
        <v>1240</v>
      </c>
      <c r="E553" t="s">
        <v>1241</v>
      </c>
      <c r="F553">
        <v>108</v>
      </c>
      <c r="G553">
        <f t="shared" si="34"/>
        <v>61</v>
      </c>
      <c r="H553">
        <f t="shared" si="35"/>
        <v>234</v>
      </c>
      <c r="I553">
        <v>610</v>
      </c>
      <c r="J553">
        <v>2340</v>
      </c>
      <c r="K553" s="18" t="s">
        <v>801</v>
      </c>
      <c r="L553" s="21">
        <v>5.8</v>
      </c>
    </row>
    <row r="554" spans="1:12" x14ac:dyDescent="0.25">
      <c r="A554" t="str">
        <f t="shared" si="32"/>
        <v>2004-G--RED-83-560-2340</v>
      </c>
      <c r="B554" t="str">
        <f t="shared" si="33"/>
        <v>2004</v>
      </c>
      <c r="C554" s="18" t="s">
        <v>803</v>
      </c>
      <c r="D554" t="s">
        <v>1240</v>
      </c>
      <c r="E554" t="s">
        <v>1242</v>
      </c>
      <c r="F554">
        <v>83</v>
      </c>
      <c r="G554">
        <f t="shared" si="34"/>
        <v>56</v>
      </c>
      <c r="H554">
        <f t="shared" si="35"/>
        <v>234</v>
      </c>
      <c r="I554">
        <v>560</v>
      </c>
      <c r="J554">
        <v>2340</v>
      </c>
      <c r="K554" s="18" t="s">
        <v>801</v>
      </c>
      <c r="L554" s="21">
        <v>5.5</v>
      </c>
    </row>
    <row r="555" spans="1:12" x14ac:dyDescent="0.25">
      <c r="A555" t="str">
        <f t="shared" si="32"/>
        <v>2009-HT-SR4-70-500-2295</v>
      </c>
      <c r="B555" t="str">
        <f t="shared" si="33"/>
        <v>2009</v>
      </c>
      <c r="C555" s="18" t="s">
        <v>884</v>
      </c>
      <c r="D555" t="s">
        <v>1259</v>
      </c>
      <c r="E555" t="s">
        <v>1260</v>
      </c>
      <c r="F555">
        <v>70</v>
      </c>
      <c r="G555">
        <f t="shared" si="34"/>
        <v>50</v>
      </c>
      <c r="H555">
        <f t="shared" si="35"/>
        <v>229</v>
      </c>
      <c r="I555">
        <v>500</v>
      </c>
      <c r="J555">
        <v>2295</v>
      </c>
      <c r="K555" s="18" t="s">
        <v>841</v>
      </c>
      <c r="L555" s="21">
        <v>4.8</v>
      </c>
    </row>
    <row r="556" spans="1:12" x14ac:dyDescent="0.25">
      <c r="A556" t="str">
        <f t="shared" si="32"/>
        <v>2009-HT-SR5-95-595-2300</v>
      </c>
      <c r="B556" t="str">
        <f t="shared" si="33"/>
        <v>2009</v>
      </c>
      <c r="C556" s="18" t="s">
        <v>884</v>
      </c>
      <c r="D556" t="s">
        <v>1259</v>
      </c>
      <c r="E556" t="s">
        <v>1261</v>
      </c>
      <c r="F556">
        <v>95</v>
      </c>
      <c r="G556">
        <f t="shared" si="34"/>
        <v>59</v>
      </c>
      <c r="H556">
        <f t="shared" si="35"/>
        <v>230</v>
      </c>
      <c r="I556">
        <v>595</v>
      </c>
      <c r="J556">
        <v>2300</v>
      </c>
      <c r="K556" s="18" t="s">
        <v>841</v>
      </c>
      <c r="L556" s="21">
        <v>5.5</v>
      </c>
    </row>
    <row r="557" spans="1:12" x14ac:dyDescent="0.25">
      <c r="A557" t="str">
        <f t="shared" si="32"/>
        <v>2009-HT-SR6-115-677-2298</v>
      </c>
      <c r="B557" t="str">
        <f t="shared" si="33"/>
        <v>2009</v>
      </c>
      <c r="C557" s="18" t="s">
        <v>884</v>
      </c>
      <c r="D557" t="s">
        <v>1259</v>
      </c>
      <c r="E557" t="s">
        <v>1262</v>
      </c>
      <c r="F557">
        <v>115</v>
      </c>
      <c r="G557">
        <f t="shared" si="34"/>
        <v>67</v>
      </c>
      <c r="H557">
        <f t="shared" si="35"/>
        <v>229</v>
      </c>
      <c r="I557">
        <v>677</v>
      </c>
      <c r="J557">
        <v>2298</v>
      </c>
      <c r="K557" s="18" t="s">
        <v>841</v>
      </c>
      <c r="L557" s="21">
        <v>5.8</v>
      </c>
    </row>
    <row r="558" spans="1:12" x14ac:dyDescent="0.25">
      <c r="A558" t="str">
        <f t="shared" si="32"/>
        <v>2009-HT-SR8-140-850-2316</v>
      </c>
      <c r="B558" t="str">
        <f t="shared" si="33"/>
        <v>2009</v>
      </c>
      <c r="C558" s="18" t="s">
        <v>884</v>
      </c>
      <c r="D558" t="s">
        <v>1259</v>
      </c>
      <c r="E558" t="s">
        <v>1263</v>
      </c>
      <c r="F558">
        <v>140</v>
      </c>
      <c r="G558">
        <f t="shared" si="34"/>
        <v>85</v>
      </c>
      <c r="H558">
        <f t="shared" si="35"/>
        <v>231</v>
      </c>
      <c r="I558">
        <v>850</v>
      </c>
      <c r="J558">
        <v>2316</v>
      </c>
      <c r="K558" s="18" t="s">
        <v>841</v>
      </c>
      <c r="L558" s="21">
        <v>7.5</v>
      </c>
    </row>
    <row r="559" spans="1:12" x14ac:dyDescent="0.25">
      <c r="A559" t="str">
        <f t="shared" si="32"/>
        <v>2023-I9-AMP-96-627-2341</v>
      </c>
      <c r="B559" t="str">
        <f t="shared" si="33"/>
        <v>2023</v>
      </c>
      <c r="C559" s="18" t="s">
        <v>776</v>
      </c>
      <c r="D559" t="s">
        <v>774</v>
      </c>
      <c r="E559" t="s">
        <v>775</v>
      </c>
      <c r="F559">
        <v>96</v>
      </c>
      <c r="G559">
        <f t="shared" si="34"/>
        <v>62</v>
      </c>
      <c r="H559">
        <f t="shared" si="35"/>
        <v>234</v>
      </c>
      <c r="I559">
        <v>627</v>
      </c>
      <c r="J559">
        <v>2341</v>
      </c>
      <c r="K559" t="s">
        <v>777</v>
      </c>
      <c r="L559" s="21">
        <v>6.4</v>
      </c>
    </row>
    <row r="560" spans="1:12" x14ac:dyDescent="0.25">
      <c r="A560" t="str">
        <f t="shared" si="32"/>
        <v>2023-I9-AMP-127-730-2314</v>
      </c>
      <c r="B560" t="str">
        <f t="shared" si="33"/>
        <v>2023</v>
      </c>
      <c r="C560" s="18" t="s">
        <v>776</v>
      </c>
      <c r="D560" t="s">
        <v>774</v>
      </c>
      <c r="E560" t="s">
        <v>778</v>
      </c>
      <c r="F560">
        <v>127</v>
      </c>
      <c r="G560">
        <f t="shared" si="34"/>
        <v>73</v>
      </c>
      <c r="H560">
        <f t="shared" si="35"/>
        <v>231</v>
      </c>
      <c r="I560">
        <v>730</v>
      </c>
      <c r="J560">
        <v>2314</v>
      </c>
      <c r="K560" t="s">
        <v>777</v>
      </c>
      <c r="L560" s="21">
        <v>7.5</v>
      </c>
    </row>
    <row r="561" spans="1:12" x14ac:dyDescent="0.25">
      <c r="A561" t="str">
        <f t="shared" si="32"/>
        <v>2023-I9-AMP-151-847-2260</v>
      </c>
      <c r="B561" t="str">
        <f t="shared" si="33"/>
        <v>2023</v>
      </c>
      <c r="C561" s="18" t="s">
        <v>776</v>
      </c>
      <c r="D561" t="s">
        <v>774</v>
      </c>
      <c r="E561" t="s">
        <v>779</v>
      </c>
      <c r="F561">
        <v>151</v>
      </c>
      <c r="G561">
        <f t="shared" si="34"/>
        <v>84</v>
      </c>
      <c r="H561">
        <f t="shared" si="35"/>
        <v>226</v>
      </c>
      <c r="I561">
        <v>847</v>
      </c>
      <c r="J561">
        <v>2260</v>
      </c>
      <c r="K561" t="s">
        <v>777</v>
      </c>
      <c r="L561" s="21">
        <v>8.4</v>
      </c>
    </row>
    <row r="562" spans="1:12" x14ac:dyDescent="0.25">
      <c r="A562" t="str">
        <f t="shared" si="32"/>
        <v>2023-I9-AMP-163-820-2102</v>
      </c>
      <c r="B562" t="str">
        <f t="shared" si="33"/>
        <v>2023</v>
      </c>
      <c r="C562" s="18" t="s">
        <v>776</v>
      </c>
      <c r="D562" t="s">
        <v>774</v>
      </c>
      <c r="E562" t="s">
        <v>780</v>
      </c>
      <c r="F562">
        <v>163</v>
      </c>
      <c r="G562">
        <f t="shared" si="34"/>
        <v>82</v>
      </c>
      <c r="H562">
        <f t="shared" si="35"/>
        <v>210</v>
      </c>
      <c r="I562">
        <v>820</v>
      </c>
      <c r="J562">
        <v>2102</v>
      </c>
      <c r="K562" t="s">
        <v>777</v>
      </c>
      <c r="L562" s="21">
        <v>8.4</v>
      </c>
    </row>
    <row r="563" spans="1:12" x14ac:dyDescent="0.25">
      <c r="A563" t="str">
        <f t="shared" si="32"/>
        <v>2019-I--WCS-89-610-2350</v>
      </c>
      <c r="B563" t="str">
        <f t="shared" si="33"/>
        <v>2019</v>
      </c>
      <c r="C563" s="18" t="s">
        <v>763</v>
      </c>
      <c r="D563" t="s">
        <v>762</v>
      </c>
      <c r="E563" t="s">
        <v>746</v>
      </c>
      <c r="F563">
        <v>89</v>
      </c>
      <c r="G563">
        <f t="shared" si="34"/>
        <v>61</v>
      </c>
      <c r="H563">
        <f t="shared" si="35"/>
        <v>235</v>
      </c>
      <c r="I563">
        <v>610</v>
      </c>
      <c r="J563">
        <v>2350</v>
      </c>
      <c r="K563" t="s">
        <v>764</v>
      </c>
      <c r="L563" s="21">
        <v>5.9</v>
      </c>
    </row>
    <row r="564" spans="1:12" x14ac:dyDescent="0.25">
      <c r="A564" t="str">
        <f t="shared" si="32"/>
        <v>2019-I--WCS-99.7-628-2343</v>
      </c>
      <c r="B564" t="str">
        <f t="shared" si="33"/>
        <v>2019</v>
      </c>
      <c r="C564" s="18" t="s">
        <v>763</v>
      </c>
      <c r="D564" t="s">
        <v>762</v>
      </c>
      <c r="E564" t="s">
        <v>755</v>
      </c>
      <c r="F564">
        <v>99.7</v>
      </c>
      <c r="G564">
        <f t="shared" si="34"/>
        <v>62</v>
      </c>
      <c r="H564">
        <f t="shared" si="35"/>
        <v>234</v>
      </c>
      <c r="I564">
        <v>628</v>
      </c>
      <c r="J564">
        <v>2343</v>
      </c>
      <c r="K564" t="s">
        <v>764</v>
      </c>
      <c r="L564" s="21">
        <v>6</v>
      </c>
    </row>
    <row r="565" spans="1:12" x14ac:dyDescent="0.25">
      <c r="A565" t="str">
        <f t="shared" si="32"/>
        <v>2019-I--WCS-118.6-703-2354</v>
      </c>
      <c r="B565" t="str">
        <f t="shared" si="33"/>
        <v>2019</v>
      </c>
      <c r="C565" s="18" t="s">
        <v>763</v>
      </c>
      <c r="D565" t="s">
        <v>762</v>
      </c>
      <c r="E565" t="s">
        <v>756</v>
      </c>
      <c r="F565">
        <v>118.6</v>
      </c>
      <c r="G565">
        <f t="shared" si="34"/>
        <v>70</v>
      </c>
      <c r="H565">
        <f t="shared" si="35"/>
        <v>235</v>
      </c>
      <c r="I565">
        <v>703</v>
      </c>
      <c r="J565">
        <v>2354</v>
      </c>
      <c r="K565" t="s">
        <v>764</v>
      </c>
      <c r="L565" s="21">
        <v>6.2</v>
      </c>
    </row>
    <row r="566" spans="1:12" x14ac:dyDescent="0.25">
      <c r="A566" t="str">
        <f t="shared" si="32"/>
        <v>2019-I--WCS-121-720-2350</v>
      </c>
      <c r="B566" t="str">
        <f t="shared" si="33"/>
        <v>2019</v>
      </c>
      <c r="C566" s="18" t="s">
        <v>763</v>
      </c>
      <c r="D566" t="s">
        <v>762</v>
      </c>
      <c r="E566" t="s">
        <v>757</v>
      </c>
      <c r="F566">
        <v>121</v>
      </c>
      <c r="G566">
        <f t="shared" si="34"/>
        <v>72</v>
      </c>
      <c r="H566">
        <f t="shared" si="35"/>
        <v>235</v>
      </c>
      <c r="I566">
        <v>720</v>
      </c>
      <c r="J566">
        <v>2350</v>
      </c>
      <c r="K566" t="s">
        <v>764</v>
      </c>
      <c r="L566" s="21">
        <v>6.5</v>
      </c>
    </row>
    <row r="567" spans="1:12" x14ac:dyDescent="0.25">
      <c r="A567" t="str">
        <f t="shared" si="32"/>
        <v>2019-I--WCS-139.5-835-2287</v>
      </c>
      <c r="B567" t="str">
        <f t="shared" si="33"/>
        <v>2019</v>
      </c>
      <c r="C567" s="18" t="s">
        <v>763</v>
      </c>
      <c r="D567" t="s">
        <v>762</v>
      </c>
      <c r="E567" t="s">
        <v>758</v>
      </c>
      <c r="F567">
        <v>139.5</v>
      </c>
      <c r="G567">
        <f t="shared" si="34"/>
        <v>83</v>
      </c>
      <c r="H567">
        <f t="shared" si="35"/>
        <v>228</v>
      </c>
      <c r="I567">
        <v>835</v>
      </c>
      <c r="J567">
        <v>2287</v>
      </c>
      <c r="K567" t="s">
        <v>764</v>
      </c>
      <c r="L567" s="21">
        <v>7.1</v>
      </c>
    </row>
    <row r="568" spans="1:12" x14ac:dyDescent="0.25">
      <c r="A568" t="str">
        <f t="shared" si="32"/>
        <v>2019-I--WCS-148.9-847-2287</v>
      </c>
      <c r="B568" t="str">
        <f t="shared" si="33"/>
        <v>2019</v>
      </c>
      <c r="C568" s="18" t="s">
        <v>763</v>
      </c>
      <c r="D568" t="s">
        <v>762</v>
      </c>
      <c r="E568" t="s">
        <v>759</v>
      </c>
      <c r="F568">
        <v>148.9</v>
      </c>
      <c r="G568">
        <f t="shared" si="34"/>
        <v>84</v>
      </c>
      <c r="H568">
        <f t="shared" si="35"/>
        <v>228</v>
      </c>
      <c r="I568">
        <v>847</v>
      </c>
      <c r="J568">
        <v>2287</v>
      </c>
      <c r="K568" t="s">
        <v>764</v>
      </c>
      <c r="L568" s="21">
        <v>7.4</v>
      </c>
    </row>
    <row r="569" spans="1:12" x14ac:dyDescent="0.25">
      <c r="A569" t="str">
        <f t="shared" si="32"/>
        <v>2019-I--AER-174.8-906-2288</v>
      </c>
      <c r="B569" t="str">
        <f t="shared" si="33"/>
        <v>2019</v>
      </c>
      <c r="C569" s="18" t="s">
        <v>763</v>
      </c>
      <c r="D569" t="s">
        <v>762</v>
      </c>
      <c r="E569" t="s">
        <v>765</v>
      </c>
      <c r="F569">
        <v>174.8</v>
      </c>
      <c r="G569">
        <f t="shared" si="34"/>
        <v>90</v>
      </c>
      <c r="H569">
        <f t="shared" si="35"/>
        <v>228</v>
      </c>
      <c r="I569">
        <v>906</v>
      </c>
      <c r="J569">
        <v>2288</v>
      </c>
      <c r="K569" t="s">
        <v>764</v>
      </c>
      <c r="L569" s="21">
        <v>8.9</v>
      </c>
    </row>
    <row r="570" spans="1:12" x14ac:dyDescent="0.25">
      <c r="A570" t="str">
        <f t="shared" si="32"/>
        <v>2020-I--Squ-96-627-2323</v>
      </c>
      <c r="B570" t="str">
        <f t="shared" si="33"/>
        <v>2020</v>
      </c>
      <c r="C570" s="18" t="s">
        <v>767</v>
      </c>
      <c r="D570" t="s">
        <v>762</v>
      </c>
      <c r="E570" t="s">
        <v>766</v>
      </c>
      <c r="F570">
        <v>96</v>
      </c>
      <c r="G570">
        <f t="shared" si="34"/>
        <v>62</v>
      </c>
      <c r="H570">
        <f t="shared" si="35"/>
        <v>232</v>
      </c>
      <c r="I570">
        <v>627</v>
      </c>
      <c r="J570">
        <v>2323</v>
      </c>
      <c r="K570" t="s">
        <v>768</v>
      </c>
      <c r="L570" s="21">
        <v>5.8</v>
      </c>
    </row>
    <row r="571" spans="1:12" x14ac:dyDescent="0.25">
      <c r="A571" t="str">
        <f t="shared" si="32"/>
        <v>2020-I--Squ-118.6-700-2349</v>
      </c>
      <c r="B571" t="str">
        <f t="shared" si="33"/>
        <v>2020</v>
      </c>
      <c r="C571" s="18" t="s">
        <v>767</v>
      </c>
      <c r="D571" t="s">
        <v>762</v>
      </c>
      <c r="E571" t="s">
        <v>769</v>
      </c>
      <c r="F571">
        <v>118.6</v>
      </c>
      <c r="G571">
        <f t="shared" si="34"/>
        <v>70</v>
      </c>
      <c r="H571">
        <f t="shared" si="35"/>
        <v>234</v>
      </c>
      <c r="I571">
        <v>700</v>
      </c>
      <c r="J571">
        <v>2349</v>
      </c>
      <c r="K571" t="s">
        <v>768</v>
      </c>
      <c r="L571" s="21">
        <v>6.9</v>
      </c>
    </row>
    <row r="572" spans="1:12" x14ac:dyDescent="0.25">
      <c r="A572" t="str">
        <f t="shared" si="32"/>
        <v>2020-I--Squ-126.4-721-2322</v>
      </c>
      <c r="B572" t="str">
        <f t="shared" si="33"/>
        <v>2020</v>
      </c>
      <c r="C572" s="18" t="s">
        <v>767</v>
      </c>
      <c r="D572" t="s">
        <v>762</v>
      </c>
      <c r="E572" t="s">
        <v>770</v>
      </c>
      <c r="F572">
        <v>126.4</v>
      </c>
      <c r="G572">
        <f t="shared" si="34"/>
        <v>72</v>
      </c>
      <c r="H572">
        <f t="shared" si="35"/>
        <v>232</v>
      </c>
      <c r="I572">
        <v>721</v>
      </c>
      <c r="J572">
        <v>2322</v>
      </c>
      <c r="K572" t="s">
        <v>768</v>
      </c>
      <c r="L572" s="21">
        <v>7.1</v>
      </c>
    </row>
    <row r="573" spans="1:12" x14ac:dyDescent="0.25">
      <c r="A573" t="str">
        <f t="shared" si="32"/>
        <v>2020-I--Squ-139.5-830-2280</v>
      </c>
      <c r="B573" t="str">
        <f t="shared" si="33"/>
        <v>2020</v>
      </c>
      <c r="C573" s="18" t="s">
        <v>767</v>
      </c>
      <c r="D573" t="s">
        <v>762</v>
      </c>
      <c r="E573" t="s">
        <v>771</v>
      </c>
      <c r="F573">
        <v>139.5</v>
      </c>
      <c r="G573">
        <f t="shared" si="34"/>
        <v>83</v>
      </c>
      <c r="H573">
        <f t="shared" si="35"/>
        <v>228</v>
      </c>
      <c r="I573">
        <v>830</v>
      </c>
      <c r="J573">
        <v>2280</v>
      </c>
      <c r="K573" t="s">
        <v>768</v>
      </c>
      <c r="L573" s="21">
        <v>7.7</v>
      </c>
    </row>
    <row r="574" spans="1:12" x14ac:dyDescent="0.25">
      <c r="A574" t="str">
        <f t="shared" si="32"/>
        <v>2020-I--Squ-153.5-847-2260</v>
      </c>
      <c r="B574" t="str">
        <f t="shared" si="33"/>
        <v>2020</v>
      </c>
      <c r="C574" s="18" t="s">
        <v>767</v>
      </c>
      <c r="D574" t="s">
        <v>762</v>
      </c>
      <c r="E574" t="s">
        <v>772</v>
      </c>
      <c r="F574">
        <v>153.5</v>
      </c>
      <c r="G574">
        <f t="shared" si="34"/>
        <v>84</v>
      </c>
      <c r="H574">
        <f t="shared" si="35"/>
        <v>226</v>
      </c>
      <c r="I574">
        <v>847</v>
      </c>
      <c r="J574">
        <v>2260</v>
      </c>
      <c r="K574" t="s">
        <v>768</v>
      </c>
      <c r="L574" s="21">
        <v>8.1</v>
      </c>
    </row>
    <row r="575" spans="1:12" x14ac:dyDescent="0.25">
      <c r="A575" t="str">
        <f t="shared" si="32"/>
        <v>2020-I--Squ-172-906-2086</v>
      </c>
      <c r="B575" t="str">
        <f t="shared" si="33"/>
        <v>2020</v>
      </c>
      <c r="C575" s="18" t="s">
        <v>767</v>
      </c>
      <c r="D575" t="s">
        <v>762</v>
      </c>
      <c r="E575" t="s">
        <v>773</v>
      </c>
      <c r="F575">
        <v>172</v>
      </c>
      <c r="G575">
        <f t="shared" si="34"/>
        <v>90</v>
      </c>
      <c r="H575">
        <f t="shared" si="35"/>
        <v>208</v>
      </c>
      <c r="I575">
        <v>906</v>
      </c>
      <c r="J575">
        <v>2086</v>
      </c>
      <c r="K575" t="s">
        <v>768</v>
      </c>
      <c r="L575" s="21">
        <v>9</v>
      </c>
    </row>
    <row r="576" spans="1:12" x14ac:dyDescent="0.25">
      <c r="A576" t="str">
        <f t="shared" si="32"/>
        <v>2019-IS-PEP-138-900-2280</v>
      </c>
      <c r="B576" t="str">
        <f t="shared" si="33"/>
        <v>2019</v>
      </c>
      <c r="C576" s="18" t="s">
        <v>763</v>
      </c>
      <c r="D576" t="s">
        <v>1264</v>
      </c>
      <c r="E576" t="s">
        <v>1265</v>
      </c>
      <c r="F576">
        <v>138</v>
      </c>
      <c r="G576">
        <f t="shared" si="34"/>
        <v>90</v>
      </c>
      <c r="H576">
        <f t="shared" si="35"/>
        <v>228</v>
      </c>
      <c r="I576">
        <v>900</v>
      </c>
      <c r="J576">
        <v>2280</v>
      </c>
      <c r="K576" s="18" t="s">
        <v>1266</v>
      </c>
      <c r="L576" s="21">
        <v>7.4</v>
      </c>
    </row>
    <row r="577" spans="1:12" x14ac:dyDescent="0.25">
      <c r="A577" t="str">
        <f t="shared" si="32"/>
        <v>2019-IS-XTR-142-900-2250</v>
      </c>
      <c r="B577" t="str">
        <f t="shared" si="33"/>
        <v>2019</v>
      </c>
      <c r="C577" s="18" t="s">
        <v>763</v>
      </c>
      <c r="D577" t="s">
        <v>1264</v>
      </c>
      <c r="E577" t="s">
        <v>1267</v>
      </c>
      <c r="F577">
        <v>142</v>
      </c>
      <c r="G577">
        <f t="shared" si="34"/>
        <v>90</v>
      </c>
      <c r="H577">
        <f t="shared" si="35"/>
        <v>225</v>
      </c>
      <c r="I577">
        <v>900</v>
      </c>
      <c r="J577">
        <v>2250</v>
      </c>
      <c r="K577" s="18" t="s">
        <v>1266</v>
      </c>
      <c r="L577" s="21">
        <v>8.6999999999999993</v>
      </c>
    </row>
    <row r="578" spans="1:12" x14ac:dyDescent="0.25">
      <c r="A578" t="str">
        <f t="shared" ref="A578:A641" si="36">_xlfn.CONCAT(B578,"-",LEFT(D578,2),"-",LEFT(E578,3),"-",F578,"-",TRUNC(I578),"-",TRUNC(J578))</f>
        <v>2019-IS-XTR-172-910-2280</v>
      </c>
      <c r="B578" t="str">
        <f t="shared" ref="B578:B641" si="37">LEFT(C578,4)</f>
        <v>2019</v>
      </c>
      <c r="C578" s="18" t="s">
        <v>763</v>
      </c>
      <c r="D578" t="s">
        <v>1264</v>
      </c>
      <c r="E578" t="s">
        <v>1268</v>
      </c>
      <c r="F578">
        <v>172</v>
      </c>
      <c r="G578">
        <f t="shared" si="34"/>
        <v>91</v>
      </c>
      <c r="H578">
        <f t="shared" si="35"/>
        <v>228</v>
      </c>
      <c r="I578">
        <v>910</v>
      </c>
      <c r="J578">
        <v>2280</v>
      </c>
      <c r="K578" s="18" t="s">
        <v>1266</v>
      </c>
      <c r="L578" s="21">
        <v>9.6999999999999993</v>
      </c>
    </row>
    <row r="579" spans="1:12" x14ac:dyDescent="0.25">
      <c r="A579" t="str">
        <f t="shared" si="36"/>
        <v>2023-JP-JP -78-551-2332</v>
      </c>
      <c r="B579" t="str">
        <f t="shared" si="37"/>
        <v>2023</v>
      </c>
      <c r="C579" s="18" t="s">
        <v>776</v>
      </c>
      <c r="D579" t="s">
        <v>1389</v>
      </c>
      <c r="E579" t="s">
        <v>1390</v>
      </c>
      <c r="F579">
        <v>78</v>
      </c>
      <c r="G579">
        <f t="shared" ref="G579:G642" si="38">TRUNC(I579/10)</f>
        <v>55</v>
      </c>
      <c r="H579">
        <f t="shared" ref="H579:H642" si="39">TRUNC(J579/10)</f>
        <v>233</v>
      </c>
      <c r="I579">
        <v>551</v>
      </c>
      <c r="J579">
        <v>2332</v>
      </c>
      <c r="K579" s="18" t="s">
        <v>1391</v>
      </c>
      <c r="L579" s="21">
        <v>5.3</v>
      </c>
    </row>
    <row r="580" spans="1:12" x14ac:dyDescent="0.25">
      <c r="A580" t="str">
        <f t="shared" si="36"/>
        <v>2023-JP-JP -94-624-2327</v>
      </c>
      <c r="B580" t="str">
        <f t="shared" si="37"/>
        <v>2023</v>
      </c>
      <c r="C580" s="18" t="s">
        <v>776</v>
      </c>
      <c r="D580" t="s">
        <v>1389</v>
      </c>
      <c r="E580" t="s">
        <v>1392</v>
      </c>
      <c r="F580">
        <v>94</v>
      </c>
      <c r="G580">
        <f t="shared" si="38"/>
        <v>62</v>
      </c>
      <c r="H580">
        <f t="shared" si="39"/>
        <v>232</v>
      </c>
      <c r="I580">
        <v>624</v>
      </c>
      <c r="J580">
        <v>2327</v>
      </c>
      <c r="K580" s="18" t="s">
        <v>1391</v>
      </c>
      <c r="L580" s="21">
        <v>5.9</v>
      </c>
    </row>
    <row r="581" spans="1:12" x14ac:dyDescent="0.25">
      <c r="A581" t="str">
        <f t="shared" si="36"/>
        <v>2023-JP-JP -120-720-2273</v>
      </c>
      <c r="B581" t="str">
        <f t="shared" si="37"/>
        <v>2023</v>
      </c>
      <c r="C581" s="18" t="s">
        <v>776</v>
      </c>
      <c r="D581" t="s">
        <v>1389</v>
      </c>
      <c r="E581" t="s">
        <v>1393</v>
      </c>
      <c r="F581">
        <v>120</v>
      </c>
      <c r="G581">
        <f t="shared" si="38"/>
        <v>72</v>
      </c>
      <c r="H581">
        <f t="shared" si="39"/>
        <v>227</v>
      </c>
      <c r="I581">
        <v>720</v>
      </c>
      <c r="J581">
        <v>2273</v>
      </c>
      <c r="K581" s="18" t="s">
        <v>1391</v>
      </c>
      <c r="L581" s="21">
        <v>6.9</v>
      </c>
    </row>
    <row r="582" spans="1:12" x14ac:dyDescent="0.25">
      <c r="A582" t="str">
        <f t="shared" si="36"/>
        <v>2023-JP-JP -139-847-2277</v>
      </c>
      <c r="B582" t="str">
        <f t="shared" si="37"/>
        <v>2023</v>
      </c>
      <c r="C582" s="18" t="s">
        <v>776</v>
      </c>
      <c r="D582" t="s">
        <v>1389</v>
      </c>
      <c r="E582" t="s">
        <v>1394</v>
      </c>
      <c r="F582">
        <v>139</v>
      </c>
      <c r="G582">
        <f t="shared" si="38"/>
        <v>84</v>
      </c>
      <c r="H582">
        <f t="shared" si="39"/>
        <v>227</v>
      </c>
      <c r="I582">
        <v>847</v>
      </c>
      <c r="J582">
        <v>2277</v>
      </c>
      <c r="K582" s="18" t="s">
        <v>1391</v>
      </c>
      <c r="L582" s="21">
        <v>7.7</v>
      </c>
    </row>
    <row r="583" spans="1:12" x14ac:dyDescent="0.25">
      <c r="A583" t="str">
        <f t="shared" si="36"/>
        <v>2023-JP-JP -122-779-2095</v>
      </c>
      <c r="B583" t="str">
        <f t="shared" si="37"/>
        <v>2023</v>
      </c>
      <c r="C583" s="18" t="s">
        <v>776</v>
      </c>
      <c r="D583" t="s">
        <v>1389</v>
      </c>
      <c r="E583" t="s">
        <v>1395</v>
      </c>
      <c r="F583">
        <v>122</v>
      </c>
      <c r="G583">
        <f t="shared" si="38"/>
        <v>77</v>
      </c>
      <c r="H583">
        <f t="shared" si="39"/>
        <v>209</v>
      </c>
      <c r="I583">
        <v>779</v>
      </c>
      <c r="J583">
        <v>2095</v>
      </c>
      <c r="K583" s="18" t="s">
        <v>1391</v>
      </c>
      <c r="L583" s="21">
        <v>7.4</v>
      </c>
    </row>
    <row r="584" spans="1:12" x14ac:dyDescent="0.25">
      <c r="A584" t="str">
        <f t="shared" si="36"/>
        <v>2023-JP-JP -137-815-2092</v>
      </c>
      <c r="B584" t="str">
        <f t="shared" si="37"/>
        <v>2023</v>
      </c>
      <c r="C584" s="18" t="s">
        <v>776</v>
      </c>
      <c r="D584" t="s">
        <v>1389</v>
      </c>
      <c r="E584" t="s">
        <v>1396</v>
      </c>
      <c r="F584">
        <v>137</v>
      </c>
      <c r="G584">
        <f t="shared" si="38"/>
        <v>81</v>
      </c>
      <c r="H584">
        <f t="shared" si="39"/>
        <v>209</v>
      </c>
      <c r="I584">
        <v>815</v>
      </c>
      <c r="J584">
        <v>2092</v>
      </c>
      <c r="K584" s="18" t="s">
        <v>1391</v>
      </c>
      <c r="L584" s="21">
        <v>7.8</v>
      </c>
    </row>
    <row r="585" spans="1:12" x14ac:dyDescent="0.25">
      <c r="A585" t="str">
        <f t="shared" si="36"/>
        <v>2023-JP-JP -139-848-2097</v>
      </c>
      <c r="B585" t="str">
        <f t="shared" si="37"/>
        <v>2023</v>
      </c>
      <c r="C585" s="18" t="s">
        <v>776</v>
      </c>
      <c r="D585" t="s">
        <v>1389</v>
      </c>
      <c r="E585" t="s">
        <v>1397</v>
      </c>
      <c r="F585">
        <v>139</v>
      </c>
      <c r="G585">
        <f t="shared" si="38"/>
        <v>84</v>
      </c>
      <c r="H585">
        <f t="shared" si="39"/>
        <v>209</v>
      </c>
      <c r="I585">
        <v>848</v>
      </c>
      <c r="J585">
        <v>2097</v>
      </c>
      <c r="K585" s="18" t="s">
        <v>1391</v>
      </c>
      <c r="L585" s="21">
        <v>8</v>
      </c>
    </row>
    <row r="586" spans="1:12" x14ac:dyDescent="0.25">
      <c r="A586" t="str">
        <f t="shared" si="36"/>
        <v>2023-JP-JP -148-883-2087</v>
      </c>
      <c r="B586" t="str">
        <f t="shared" si="37"/>
        <v>2023</v>
      </c>
      <c r="C586" s="18" t="s">
        <v>776</v>
      </c>
      <c r="D586" t="s">
        <v>1389</v>
      </c>
      <c r="E586" t="s">
        <v>1398</v>
      </c>
      <c r="F586">
        <v>148</v>
      </c>
      <c r="G586">
        <f t="shared" si="38"/>
        <v>88</v>
      </c>
      <c r="H586">
        <f t="shared" si="39"/>
        <v>208</v>
      </c>
      <c r="I586">
        <v>883</v>
      </c>
      <c r="J586">
        <v>2087</v>
      </c>
      <c r="K586" s="18" t="s">
        <v>1391</v>
      </c>
      <c r="L586" s="21">
        <v>8.1999999999999993</v>
      </c>
    </row>
    <row r="587" spans="1:12" x14ac:dyDescent="0.25">
      <c r="A587" t="str">
        <f t="shared" si="36"/>
        <v>2023-JP-JP -182-908-2094</v>
      </c>
      <c r="B587" t="str">
        <f t="shared" si="37"/>
        <v>2023</v>
      </c>
      <c r="C587" s="18" t="s">
        <v>776</v>
      </c>
      <c r="D587" t="s">
        <v>1389</v>
      </c>
      <c r="E587" t="s">
        <v>1399</v>
      </c>
      <c r="F587">
        <v>182</v>
      </c>
      <c r="G587">
        <f t="shared" si="38"/>
        <v>90</v>
      </c>
      <c r="H587">
        <f t="shared" si="39"/>
        <v>209</v>
      </c>
      <c r="I587">
        <v>908</v>
      </c>
      <c r="J587">
        <v>2094</v>
      </c>
      <c r="K587" s="18" t="s">
        <v>1391</v>
      </c>
      <c r="L587" s="21">
        <v>8.8000000000000007</v>
      </c>
    </row>
    <row r="588" spans="1:12" x14ac:dyDescent="0.25">
      <c r="A588" t="str">
        <f t="shared" si="36"/>
        <v>2023-JP-JP -55-447-2276</v>
      </c>
      <c r="B588" t="str">
        <f t="shared" si="37"/>
        <v>2023</v>
      </c>
      <c r="C588" s="18" t="s">
        <v>776</v>
      </c>
      <c r="D588" t="s">
        <v>1389</v>
      </c>
      <c r="E588" t="s">
        <v>1400</v>
      </c>
      <c r="F588">
        <v>55</v>
      </c>
      <c r="G588">
        <f t="shared" si="38"/>
        <v>44</v>
      </c>
      <c r="H588">
        <f t="shared" si="39"/>
        <v>227</v>
      </c>
      <c r="I588">
        <v>447</v>
      </c>
      <c r="J588">
        <v>2276</v>
      </c>
      <c r="K588" s="18" t="s">
        <v>1391</v>
      </c>
      <c r="L588" s="21">
        <v>4.7</v>
      </c>
    </row>
    <row r="589" spans="1:12" x14ac:dyDescent="0.25">
      <c r="A589" t="str">
        <f t="shared" si="36"/>
        <v>2023-JP-JP -65-500-2283</v>
      </c>
      <c r="B589" t="str">
        <f t="shared" si="37"/>
        <v>2023</v>
      </c>
      <c r="C589" s="18" t="s">
        <v>776</v>
      </c>
      <c r="D589" t="s">
        <v>1389</v>
      </c>
      <c r="E589" t="s">
        <v>1401</v>
      </c>
      <c r="F589">
        <v>65</v>
      </c>
      <c r="G589">
        <f t="shared" si="38"/>
        <v>50</v>
      </c>
      <c r="H589">
        <f t="shared" si="39"/>
        <v>228</v>
      </c>
      <c r="I589">
        <v>500</v>
      </c>
      <c r="J589">
        <v>2283</v>
      </c>
      <c r="K589" s="18" t="s">
        <v>1391</v>
      </c>
      <c r="L589" s="21">
        <v>5</v>
      </c>
    </row>
    <row r="590" spans="1:12" x14ac:dyDescent="0.25">
      <c r="A590" t="str">
        <f t="shared" si="36"/>
        <v>2023-JP-JP -73-538-2311</v>
      </c>
      <c r="B590" t="str">
        <f t="shared" si="37"/>
        <v>2023</v>
      </c>
      <c r="C590" s="18" t="s">
        <v>776</v>
      </c>
      <c r="D590" t="s">
        <v>1389</v>
      </c>
      <c r="E590" t="s">
        <v>1402</v>
      </c>
      <c r="F590">
        <v>73</v>
      </c>
      <c r="G590">
        <f t="shared" si="38"/>
        <v>53</v>
      </c>
      <c r="H590">
        <f t="shared" si="39"/>
        <v>231</v>
      </c>
      <c r="I590">
        <v>538</v>
      </c>
      <c r="J590">
        <v>2311</v>
      </c>
      <c r="K590" s="18" t="s">
        <v>1391</v>
      </c>
      <c r="L590" s="21">
        <v>5.5</v>
      </c>
    </row>
    <row r="591" spans="1:12" x14ac:dyDescent="0.25">
      <c r="A591" t="str">
        <f t="shared" si="36"/>
        <v>2024-JP-JP -122-779-2100</v>
      </c>
      <c r="B591" t="str">
        <f t="shared" si="37"/>
        <v>2024</v>
      </c>
      <c r="C591" s="18" t="s">
        <v>871</v>
      </c>
      <c r="D591" t="s">
        <v>1389</v>
      </c>
      <c r="E591" t="s">
        <v>1395</v>
      </c>
      <c r="F591">
        <v>122</v>
      </c>
      <c r="G591">
        <f t="shared" si="38"/>
        <v>77</v>
      </c>
      <c r="H591">
        <f t="shared" si="39"/>
        <v>210</v>
      </c>
      <c r="I591">
        <v>779</v>
      </c>
      <c r="J591">
        <v>2100</v>
      </c>
      <c r="K591" s="18" t="s">
        <v>1403</v>
      </c>
      <c r="L591" s="21">
        <v>7.4</v>
      </c>
    </row>
    <row r="592" spans="1:12" x14ac:dyDescent="0.25">
      <c r="A592" t="str">
        <f t="shared" si="36"/>
        <v>2024-JP-JP -148-805-2098</v>
      </c>
      <c r="B592" t="str">
        <f t="shared" si="37"/>
        <v>2024</v>
      </c>
      <c r="C592" s="18" t="s">
        <v>871</v>
      </c>
      <c r="D592" t="s">
        <v>1389</v>
      </c>
      <c r="E592" t="s">
        <v>1404</v>
      </c>
      <c r="F592">
        <v>148</v>
      </c>
      <c r="G592">
        <f t="shared" si="38"/>
        <v>80</v>
      </c>
      <c r="H592">
        <f t="shared" si="39"/>
        <v>209</v>
      </c>
      <c r="I592">
        <v>805</v>
      </c>
      <c r="J592">
        <v>2098</v>
      </c>
      <c r="K592" s="18" t="s">
        <v>1403</v>
      </c>
      <c r="L592" s="21">
        <v>8</v>
      </c>
    </row>
    <row r="593" spans="1:12" x14ac:dyDescent="0.25">
      <c r="A593" t="str">
        <f t="shared" si="36"/>
        <v>2024-JP-JP -153-848-2087</v>
      </c>
      <c r="B593" t="str">
        <f t="shared" si="37"/>
        <v>2024</v>
      </c>
      <c r="C593" s="18" t="s">
        <v>871</v>
      </c>
      <c r="D593" t="s">
        <v>1389</v>
      </c>
      <c r="E593" t="s">
        <v>1397</v>
      </c>
      <c r="F593">
        <v>153</v>
      </c>
      <c r="G593">
        <f t="shared" si="38"/>
        <v>84</v>
      </c>
      <c r="H593">
        <f t="shared" si="39"/>
        <v>208</v>
      </c>
      <c r="I593">
        <v>848</v>
      </c>
      <c r="J593">
        <v>2087</v>
      </c>
      <c r="K593" s="18" t="s">
        <v>1403</v>
      </c>
      <c r="L593" s="21">
        <v>8.1999999999999993</v>
      </c>
    </row>
    <row r="594" spans="1:12" x14ac:dyDescent="0.25">
      <c r="A594" t="str">
        <f t="shared" si="36"/>
        <v>2024-JP-JP -162-883-2100</v>
      </c>
      <c r="B594" t="str">
        <f t="shared" si="37"/>
        <v>2024</v>
      </c>
      <c r="C594" s="18" t="s">
        <v>871</v>
      </c>
      <c r="D594" t="s">
        <v>1389</v>
      </c>
      <c r="E594" t="s">
        <v>1398</v>
      </c>
      <c r="F594">
        <v>162</v>
      </c>
      <c r="G594">
        <f t="shared" si="38"/>
        <v>88</v>
      </c>
      <c r="H594">
        <f t="shared" si="39"/>
        <v>210</v>
      </c>
      <c r="I594">
        <v>883</v>
      </c>
      <c r="J594">
        <v>2100</v>
      </c>
      <c r="K594" s="18" t="s">
        <v>1403</v>
      </c>
      <c r="L594" s="21">
        <v>8.4</v>
      </c>
    </row>
    <row r="595" spans="1:12" x14ac:dyDescent="0.25">
      <c r="A595" t="str">
        <f t="shared" si="36"/>
        <v>2024-JP-JP -182-908-2094</v>
      </c>
      <c r="B595" t="str">
        <f t="shared" si="37"/>
        <v>2024</v>
      </c>
      <c r="C595" s="18" t="s">
        <v>871</v>
      </c>
      <c r="D595" t="s">
        <v>1389</v>
      </c>
      <c r="E595" t="s">
        <v>1399</v>
      </c>
      <c r="F595">
        <v>182</v>
      </c>
      <c r="G595">
        <f t="shared" si="38"/>
        <v>90</v>
      </c>
      <c r="H595">
        <f t="shared" si="39"/>
        <v>209</v>
      </c>
      <c r="I595">
        <v>908</v>
      </c>
      <c r="J595">
        <v>2094</v>
      </c>
      <c r="K595" s="18" t="s">
        <v>1403</v>
      </c>
      <c r="L595" s="21">
        <v>8.8000000000000007</v>
      </c>
    </row>
    <row r="596" spans="1:12" x14ac:dyDescent="0.25">
      <c r="A596" t="str">
        <f t="shared" si="36"/>
        <v>2024-JP-JP -78-551-2332</v>
      </c>
      <c r="B596" t="str">
        <f t="shared" si="37"/>
        <v>2024</v>
      </c>
      <c r="C596" s="18" t="s">
        <v>871</v>
      </c>
      <c r="D596" t="s">
        <v>1389</v>
      </c>
      <c r="E596" t="s">
        <v>1390</v>
      </c>
      <c r="F596">
        <v>78</v>
      </c>
      <c r="G596">
        <f t="shared" si="38"/>
        <v>55</v>
      </c>
      <c r="H596">
        <f t="shared" si="39"/>
        <v>233</v>
      </c>
      <c r="I596">
        <v>551</v>
      </c>
      <c r="J596">
        <v>2332</v>
      </c>
      <c r="K596" s="18" t="s">
        <v>1403</v>
      </c>
      <c r="L596" s="21">
        <v>5.3</v>
      </c>
    </row>
    <row r="597" spans="1:12" x14ac:dyDescent="0.25">
      <c r="A597" t="str">
        <f t="shared" si="36"/>
        <v>2024-JP-JP -98-626-2296</v>
      </c>
      <c r="B597" t="str">
        <f t="shared" si="37"/>
        <v>2024</v>
      </c>
      <c r="C597" s="18" t="s">
        <v>871</v>
      </c>
      <c r="D597" t="s">
        <v>1389</v>
      </c>
      <c r="E597" t="s">
        <v>1405</v>
      </c>
      <c r="F597">
        <v>98</v>
      </c>
      <c r="G597">
        <f t="shared" si="38"/>
        <v>62</v>
      </c>
      <c r="H597">
        <f t="shared" si="39"/>
        <v>229</v>
      </c>
      <c r="I597">
        <v>626</v>
      </c>
      <c r="J597">
        <v>2296</v>
      </c>
      <c r="K597" s="18" t="s">
        <v>1403</v>
      </c>
      <c r="L597" s="21">
        <v>6.1</v>
      </c>
    </row>
    <row r="598" spans="1:12" x14ac:dyDescent="0.25">
      <c r="A598" t="str">
        <f t="shared" si="36"/>
        <v>2024-JP-JP -120-720-2273</v>
      </c>
      <c r="B598" t="str">
        <f t="shared" si="37"/>
        <v>2024</v>
      </c>
      <c r="C598" s="18" t="s">
        <v>871</v>
      </c>
      <c r="D598" t="s">
        <v>1389</v>
      </c>
      <c r="E598" t="s">
        <v>1393</v>
      </c>
      <c r="F598">
        <v>120</v>
      </c>
      <c r="G598">
        <f t="shared" si="38"/>
        <v>72</v>
      </c>
      <c r="H598">
        <f t="shared" si="39"/>
        <v>227</v>
      </c>
      <c r="I598">
        <v>720</v>
      </c>
      <c r="J598">
        <v>2273</v>
      </c>
      <c r="K598" s="18" t="s">
        <v>1403</v>
      </c>
      <c r="L598" s="21">
        <v>6.9</v>
      </c>
    </row>
    <row r="599" spans="1:12" x14ac:dyDescent="0.25">
      <c r="A599" t="str">
        <f t="shared" si="36"/>
        <v>2024-JP-JP -139-847-2277</v>
      </c>
      <c r="B599" t="str">
        <f t="shared" si="37"/>
        <v>2024</v>
      </c>
      <c r="C599" s="18" t="s">
        <v>871</v>
      </c>
      <c r="D599" t="s">
        <v>1389</v>
      </c>
      <c r="E599" t="s">
        <v>1394</v>
      </c>
      <c r="F599">
        <v>139</v>
      </c>
      <c r="G599">
        <f t="shared" si="38"/>
        <v>84</v>
      </c>
      <c r="H599">
        <f t="shared" si="39"/>
        <v>227</v>
      </c>
      <c r="I599">
        <v>847</v>
      </c>
      <c r="J599">
        <v>2277</v>
      </c>
      <c r="K599" s="18" t="s">
        <v>1403</v>
      </c>
      <c r="L599" s="21">
        <v>7.7</v>
      </c>
    </row>
    <row r="600" spans="1:12" x14ac:dyDescent="0.25">
      <c r="A600" t="str">
        <f t="shared" si="36"/>
        <v>2024-JP-Spe-45-405-2272</v>
      </c>
      <c r="B600" t="str">
        <f t="shared" si="37"/>
        <v>2024</v>
      </c>
      <c r="C600" s="18" t="s">
        <v>871</v>
      </c>
      <c r="D600" t="s">
        <v>1389</v>
      </c>
      <c r="E600" t="s">
        <v>1406</v>
      </c>
      <c r="F600">
        <v>45</v>
      </c>
      <c r="G600">
        <f t="shared" si="38"/>
        <v>40</v>
      </c>
      <c r="H600">
        <f t="shared" si="39"/>
        <v>227</v>
      </c>
      <c r="I600">
        <v>405</v>
      </c>
      <c r="J600">
        <v>2272</v>
      </c>
      <c r="K600" s="18" t="s">
        <v>1403</v>
      </c>
      <c r="L600" s="21">
        <v>4.2</v>
      </c>
    </row>
    <row r="601" spans="1:12" x14ac:dyDescent="0.25">
      <c r="A601" t="str">
        <f t="shared" si="36"/>
        <v>2024-JP-Spe-55-447-2276</v>
      </c>
      <c r="B601" t="str">
        <f t="shared" si="37"/>
        <v>2024</v>
      </c>
      <c r="C601" s="18" t="s">
        <v>871</v>
      </c>
      <c r="D601" t="s">
        <v>1389</v>
      </c>
      <c r="E601" t="s">
        <v>1334</v>
      </c>
      <c r="F601">
        <v>55</v>
      </c>
      <c r="G601">
        <f t="shared" si="38"/>
        <v>44</v>
      </c>
      <c r="H601">
        <f t="shared" si="39"/>
        <v>227</v>
      </c>
      <c r="I601">
        <v>447</v>
      </c>
      <c r="J601">
        <v>2276</v>
      </c>
      <c r="K601" s="18" t="s">
        <v>1403</v>
      </c>
      <c r="L601" s="21">
        <v>4.7</v>
      </c>
    </row>
    <row r="602" spans="1:12" x14ac:dyDescent="0.25">
      <c r="A602" t="str">
        <f t="shared" si="36"/>
        <v>2025-JP-Sla-98-626-2296</v>
      </c>
      <c r="B602" t="str">
        <f t="shared" si="37"/>
        <v>2025</v>
      </c>
      <c r="C602" s="18" t="s">
        <v>874</v>
      </c>
      <c r="D602" t="s">
        <v>1389</v>
      </c>
      <c r="E602" t="s">
        <v>1407</v>
      </c>
      <c r="F602">
        <v>98</v>
      </c>
      <c r="G602">
        <f t="shared" si="38"/>
        <v>62</v>
      </c>
      <c r="H602">
        <f t="shared" si="39"/>
        <v>229</v>
      </c>
      <c r="I602">
        <v>626</v>
      </c>
      <c r="J602">
        <v>2296</v>
      </c>
      <c r="K602" s="18" t="s">
        <v>1408</v>
      </c>
      <c r="L602" s="21">
        <v>5.9</v>
      </c>
    </row>
    <row r="603" spans="1:12" x14ac:dyDescent="0.25">
      <c r="A603" t="str">
        <f t="shared" si="36"/>
        <v>2025-JP-Sla-104.8-665-2300</v>
      </c>
      <c r="B603" t="str">
        <f t="shared" si="37"/>
        <v>2025</v>
      </c>
      <c r="C603" s="18" t="s">
        <v>874</v>
      </c>
      <c r="D603" t="s">
        <v>1389</v>
      </c>
      <c r="E603" t="s">
        <v>1409</v>
      </c>
      <c r="F603">
        <v>104.8</v>
      </c>
      <c r="G603">
        <f t="shared" si="38"/>
        <v>66</v>
      </c>
      <c r="H603">
        <f t="shared" si="39"/>
        <v>230</v>
      </c>
      <c r="I603">
        <v>665</v>
      </c>
      <c r="J603">
        <v>2300</v>
      </c>
      <c r="K603" s="18" t="s">
        <v>1408</v>
      </c>
      <c r="L603" s="21">
        <v>6.2</v>
      </c>
    </row>
    <row r="604" spans="1:12" x14ac:dyDescent="0.25">
      <c r="A604" t="str">
        <f t="shared" si="36"/>
        <v>2025-JP-Sla-120-720-2273</v>
      </c>
      <c r="B604" t="str">
        <f t="shared" si="37"/>
        <v>2025</v>
      </c>
      <c r="C604" s="18" t="s">
        <v>874</v>
      </c>
      <c r="D604" t="s">
        <v>1389</v>
      </c>
      <c r="E604" t="s">
        <v>1410</v>
      </c>
      <c r="F604">
        <v>120</v>
      </c>
      <c r="G604">
        <f t="shared" si="38"/>
        <v>72</v>
      </c>
      <c r="H604">
        <f t="shared" si="39"/>
        <v>227</v>
      </c>
      <c r="I604">
        <v>720</v>
      </c>
      <c r="J604">
        <v>2273</v>
      </c>
      <c r="K604" s="18" t="s">
        <v>1408</v>
      </c>
      <c r="L604" s="21">
        <v>6.6</v>
      </c>
    </row>
    <row r="605" spans="1:12" x14ac:dyDescent="0.25">
      <c r="A605" t="str">
        <f t="shared" si="36"/>
        <v>2025-JP-Sla-124.4-757-2284</v>
      </c>
      <c r="B605" t="str">
        <f t="shared" si="37"/>
        <v>2025</v>
      </c>
      <c r="C605" s="18" t="s">
        <v>874</v>
      </c>
      <c r="D605" t="s">
        <v>1389</v>
      </c>
      <c r="E605" t="s">
        <v>1411</v>
      </c>
      <c r="F605">
        <v>124.4</v>
      </c>
      <c r="G605">
        <f t="shared" si="38"/>
        <v>75</v>
      </c>
      <c r="H605">
        <f t="shared" si="39"/>
        <v>228</v>
      </c>
      <c r="I605">
        <v>757</v>
      </c>
      <c r="J605">
        <v>2284</v>
      </c>
      <c r="K605" s="18" t="s">
        <v>1408</v>
      </c>
      <c r="L605" s="21">
        <v>6.8</v>
      </c>
    </row>
    <row r="606" spans="1:12" x14ac:dyDescent="0.25">
      <c r="A606" t="str">
        <f t="shared" si="36"/>
        <v>2025-JP-Sla-139-847-2277</v>
      </c>
      <c r="B606" t="str">
        <f t="shared" si="37"/>
        <v>2025</v>
      </c>
      <c r="C606" s="18" t="s">
        <v>874</v>
      </c>
      <c r="D606" t="s">
        <v>1389</v>
      </c>
      <c r="E606" t="s">
        <v>1412</v>
      </c>
      <c r="F606">
        <v>139</v>
      </c>
      <c r="G606">
        <f t="shared" si="38"/>
        <v>84</v>
      </c>
      <c r="H606">
        <f t="shared" si="39"/>
        <v>227</v>
      </c>
      <c r="I606">
        <v>847</v>
      </c>
      <c r="J606">
        <v>2277</v>
      </c>
      <c r="K606" s="18" t="s">
        <v>1408</v>
      </c>
      <c r="L606" s="21">
        <v>7.4</v>
      </c>
    </row>
    <row r="607" spans="1:12" x14ac:dyDescent="0.25">
      <c r="A607" t="str">
        <f t="shared" si="36"/>
        <v>2025-JP-Hyd-148-805-2098</v>
      </c>
      <c r="B607" t="str">
        <f t="shared" si="37"/>
        <v>2025</v>
      </c>
      <c r="C607" s="18" t="s">
        <v>874</v>
      </c>
      <c r="D607" t="s">
        <v>1389</v>
      </c>
      <c r="E607" t="s">
        <v>1413</v>
      </c>
      <c r="F607">
        <v>148</v>
      </c>
      <c r="G607">
        <f t="shared" si="38"/>
        <v>80</v>
      </c>
      <c r="H607">
        <f t="shared" si="39"/>
        <v>209</v>
      </c>
      <c r="I607">
        <v>805</v>
      </c>
      <c r="J607">
        <v>2098</v>
      </c>
      <c r="K607" s="18" t="s">
        <v>1408</v>
      </c>
      <c r="L607" s="21">
        <v>7.7</v>
      </c>
    </row>
    <row r="608" spans="1:12" x14ac:dyDescent="0.25">
      <c r="A608" t="str">
        <f t="shared" si="36"/>
        <v>2025-JP-Hyd-154.2-849-1994</v>
      </c>
      <c r="B608" t="str">
        <f t="shared" si="37"/>
        <v>2025</v>
      </c>
      <c r="C608" s="18" t="s">
        <v>874</v>
      </c>
      <c r="D608" t="s">
        <v>1389</v>
      </c>
      <c r="E608" t="s">
        <v>1414</v>
      </c>
      <c r="F608">
        <v>154.19999999999999</v>
      </c>
      <c r="G608">
        <f t="shared" si="38"/>
        <v>84</v>
      </c>
      <c r="H608">
        <f t="shared" si="39"/>
        <v>199</v>
      </c>
      <c r="I608">
        <v>849</v>
      </c>
      <c r="J608">
        <v>1994</v>
      </c>
      <c r="K608" s="18" t="s">
        <v>1408</v>
      </c>
      <c r="L608" s="21">
        <v>7.9</v>
      </c>
    </row>
    <row r="609" spans="1:12" x14ac:dyDescent="0.25">
      <c r="A609" t="str">
        <f t="shared" si="36"/>
        <v>2025-JP-Hyd-161.6-883-2100</v>
      </c>
      <c r="B609" t="str">
        <f t="shared" si="37"/>
        <v>2025</v>
      </c>
      <c r="C609" s="18" t="s">
        <v>874</v>
      </c>
      <c r="D609" t="s">
        <v>1389</v>
      </c>
      <c r="E609" t="s">
        <v>1415</v>
      </c>
      <c r="F609">
        <v>161.6</v>
      </c>
      <c r="G609">
        <f t="shared" si="38"/>
        <v>88</v>
      </c>
      <c r="H609">
        <f t="shared" si="39"/>
        <v>210</v>
      </c>
      <c r="I609">
        <v>883</v>
      </c>
      <c r="J609">
        <v>2100</v>
      </c>
      <c r="K609" s="18" t="s">
        <v>1408</v>
      </c>
      <c r="L609" s="21">
        <v>8.1</v>
      </c>
    </row>
    <row r="610" spans="1:12" x14ac:dyDescent="0.25">
      <c r="A610" t="str">
        <f t="shared" si="36"/>
        <v>2026-JP-Sla-98-626-2296</v>
      </c>
      <c r="B610" t="str">
        <f t="shared" si="37"/>
        <v>2026</v>
      </c>
      <c r="C610" s="18" t="s">
        <v>878</v>
      </c>
      <c r="D610" t="s">
        <v>1389</v>
      </c>
      <c r="E610" t="s">
        <v>1407</v>
      </c>
      <c r="F610">
        <v>98</v>
      </c>
      <c r="G610">
        <f t="shared" si="38"/>
        <v>62</v>
      </c>
      <c r="H610">
        <f t="shared" si="39"/>
        <v>229</v>
      </c>
      <c r="I610">
        <v>626</v>
      </c>
      <c r="J610">
        <v>2296</v>
      </c>
      <c r="K610" s="18" t="s">
        <v>1416</v>
      </c>
      <c r="L610" s="21">
        <v>5.9</v>
      </c>
    </row>
    <row r="611" spans="1:12" x14ac:dyDescent="0.25">
      <c r="A611" t="str">
        <f t="shared" si="36"/>
        <v>2026-JP-Sla-104.8-665-2300</v>
      </c>
      <c r="B611" t="str">
        <f t="shared" si="37"/>
        <v>2026</v>
      </c>
      <c r="C611" s="18" t="s">
        <v>878</v>
      </c>
      <c r="D611" t="s">
        <v>1389</v>
      </c>
      <c r="E611" t="s">
        <v>1409</v>
      </c>
      <c r="F611">
        <v>104.8</v>
      </c>
      <c r="G611">
        <f t="shared" si="38"/>
        <v>66</v>
      </c>
      <c r="H611">
        <f t="shared" si="39"/>
        <v>230</v>
      </c>
      <c r="I611">
        <v>665</v>
      </c>
      <c r="J611">
        <v>2300</v>
      </c>
      <c r="K611" s="18" t="s">
        <v>1416</v>
      </c>
      <c r="L611" s="21">
        <v>6.2</v>
      </c>
    </row>
    <row r="612" spans="1:12" x14ac:dyDescent="0.25">
      <c r="A612" t="str">
        <f t="shared" si="36"/>
        <v>2026-JP-Sla-119.6-719-2288</v>
      </c>
      <c r="B612" t="str">
        <f t="shared" si="37"/>
        <v>2026</v>
      </c>
      <c r="C612" s="18" t="s">
        <v>878</v>
      </c>
      <c r="D612" t="s">
        <v>1389</v>
      </c>
      <c r="E612" t="s">
        <v>1410</v>
      </c>
      <c r="F612">
        <v>119.6</v>
      </c>
      <c r="G612">
        <f t="shared" si="38"/>
        <v>71</v>
      </c>
      <c r="H612">
        <f t="shared" si="39"/>
        <v>228</v>
      </c>
      <c r="I612">
        <v>719</v>
      </c>
      <c r="J612">
        <v>2288</v>
      </c>
      <c r="K612" s="18" t="s">
        <v>1416</v>
      </c>
      <c r="L612" s="21">
        <v>6.7</v>
      </c>
    </row>
    <row r="613" spans="1:12" x14ac:dyDescent="0.25">
      <c r="A613" t="str">
        <f t="shared" si="36"/>
        <v>2026-JP-Sla-124.4-757-2284</v>
      </c>
      <c r="B613" t="str">
        <f t="shared" si="37"/>
        <v>2026</v>
      </c>
      <c r="C613" s="18" t="s">
        <v>878</v>
      </c>
      <c r="D613" t="s">
        <v>1389</v>
      </c>
      <c r="E613" t="s">
        <v>1411</v>
      </c>
      <c r="F613">
        <v>124.4</v>
      </c>
      <c r="G613">
        <f t="shared" si="38"/>
        <v>75</v>
      </c>
      <c r="H613">
        <f t="shared" si="39"/>
        <v>228</v>
      </c>
      <c r="I613">
        <v>757</v>
      </c>
      <c r="J613">
        <v>2284</v>
      </c>
      <c r="K613" s="18" t="s">
        <v>1416</v>
      </c>
      <c r="L613" s="21">
        <v>6.8</v>
      </c>
    </row>
    <row r="614" spans="1:12" x14ac:dyDescent="0.25">
      <c r="A614" t="str">
        <f t="shared" si="36"/>
        <v>2026-JP-Sla-139-847-2277</v>
      </c>
      <c r="B614" t="str">
        <f t="shared" si="37"/>
        <v>2026</v>
      </c>
      <c r="C614" s="18" t="s">
        <v>878</v>
      </c>
      <c r="D614" t="s">
        <v>1389</v>
      </c>
      <c r="E614" t="s">
        <v>1412</v>
      </c>
      <c r="F614">
        <v>139</v>
      </c>
      <c r="G614">
        <f t="shared" si="38"/>
        <v>84</v>
      </c>
      <c r="H614">
        <f t="shared" si="39"/>
        <v>227</v>
      </c>
      <c r="I614">
        <v>847</v>
      </c>
      <c r="J614">
        <v>2277</v>
      </c>
      <c r="K614" s="18" t="s">
        <v>1416</v>
      </c>
      <c r="L614" s="21">
        <v>7.4</v>
      </c>
    </row>
    <row r="615" spans="1:12" x14ac:dyDescent="0.25">
      <c r="A615" t="str">
        <f t="shared" si="36"/>
        <v>2026-JP-Hyd-148-805-2098</v>
      </c>
      <c r="B615" t="str">
        <f t="shared" si="37"/>
        <v>2026</v>
      </c>
      <c r="C615" s="18" t="s">
        <v>878</v>
      </c>
      <c r="D615" t="s">
        <v>1389</v>
      </c>
      <c r="E615" t="s">
        <v>1413</v>
      </c>
      <c r="F615">
        <v>148</v>
      </c>
      <c r="G615">
        <f t="shared" si="38"/>
        <v>80</v>
      </c>
      <c r="H615">
        <f t="shared" si="39"/>
        <v>209</v>
      </c>
      <c r="I615">
        <v>805</v>
      </c>
      <c r="J615">
        <v>2098</v>
      </c>
      <c r="K615" s="18" t="s">
        <v>1416</v>
      </c>
      <c r="L615" s="21">
        <v>7.7</v>
      </c>
    </row>
    <row r="616" spans="1:12" x14ac:dyDescent="0.25">
      <c r="A616" t="str">
        <f t="shared" si="36"/>
        <v>2026-JP-Hyd-173-848-2049</v>
      </c>
      <c r="B616" t="str">
        <f t="shared" si="37"/>
        <v>2026</v>
      </c>
      <c r="C616" s="18" t="s">
        <v>878</v>
      </c>
      <c r="D616" t="s">
        <v>1389</v>
      </c>
      <c r="E616" t="s">
        <v>1414</v>
      </c>
      <c r="F616">
        <v>173</v>
      </c>
      <c r="G616">
        <f t="shared" si="38"/>
        <v>84</v>
      </c>
      <c r="H616">
        <f t="shared" si="39"/>
        <v>204</v>
      </c>
      <c r="I616">
        <v>848</v>
      </c>
      <c r="J616">
        <v>2049</v>
      </c>
      <c r="K616" s="18" t="s">
        <v>1416</v>
      </c>
      <c r="L616" s="21">
        <v>8.5</v>
      </c>
    </row>
    <row r="617" spans="1:12" x14ac:dyDescent="0.25">
      <c r="A617" t="str">
        <f t="shared" si="36"/>
        <v>2026-JP-Hyd-161.6-883-2100</v>
      </c>
      <c r="B617" t="str">
        <f t="shared" si="37"/>
        <v>2026</v>
      </c>
      <c r="C617" s="18" t="s">
        <v>878</v>
      </c>
      <c r="D617" t="s">
        <v>1389</v>
      </c>
      <c r="E617" t="s">
        <v>1415</v>
      </c>
      <c r="F617">
        <v>161.6</v>
      </c>
      <c r="G617">
        <f t="shared" si="38"/>
        <v>88</v>
      </c>
      <c r="H617">
        <f t="shared" si="39"/>
        <v>210</v>
      </c>
      <c r="I617">
        <v>883</v>
      </c>
      <c r="J617">
        <v>2100</v>
      </c>
      <c r="K617" s="18" t="s">
        <v>1416</v>
      </c>
      <c r="L617" s="21">
        <v>8.1</v>
      </c>
    </row>
    <row r="618" spans="1:12" x14ac:dyDescent="0.25">
      <c r="A618" t="str">
        <f t="shared" si="36"/>
        <v>2005-JP-SLA-94-600-2345</v>
      </c>
      <c r="B618" t="str">
        <f t="shared" si="37"/>
        <v>2005</v>
      </c>
      <c r="C618" s="18" t="s">
        <v>811</v>
      </c>
      <c r="D618" t="s">
        <v>1269</v>
      </c>
      <c r="E618" t="s">
        <v>1270</v>
      </c>
      <c r="F618">
        <v>94</v>
      </c>
      <c r="G618">
        <f t="shared" si="38"/>
        <v>60</v>
      </c>
      <c r="H618">
        <f t="shared" si="39"/>
        <v>234</v>
      </c>
      <c r="I618">
        <v>600</v>
      </c>
      <c r="J618">
        <v>2345</v>
      </c>
      <c r="K618" s="18" t="s">
        <v>896</v>
      </c>
      <c r="L618" s="21">
        <v>5.6</v>
      </c>
    </row>
    <row r="619" spans="1:12" x14ac:dyDescent="0.25">
      <c r="A619" t="str">
        <f t="shared" si="36"/>
        <v>2005-JP-SLA-114-700-2385</v>
      </c>
      <c r="B619" t="str">
        <f t="shared" si="37"/>
        <v>2005</v>
      </c>
      <c r="C619" s="18" t="s">
        <v>811</v>
      </c>
      <c r="D619" t="s">
        <v>1269</v>
      </c>
      <c r="E619" t="s">
        <v>1271</v>
      </c>
      <c r="F619">
        <v>114</v>
      </c>
      <c r="G619">
        <f t="shared" si="38"/>
        <v>70</v>
      </c>
      <c r="H619">
        <f t="shared" si="39"/>
        <v>238</v>
      </c>
      <c r="I619">
        <v>700</v>
      </c>
      <c r="J619">
        <v>2385</v>
      </c>
      <c r="K619" s="18" t="s">
        <v>896</v>
      </c>
      <c r="L619" s="21">
        <v>6.2</v>
      </c>
    </row>
    <row r="620" spans="1:12" x14ac:dyDescent="0.25">
      <c r="A620" t="str">
        <f t="shared" si="36"/>
        <v>2005-JP-SLA-134-800-2385</v>
      </c>
      <c r="B620" t="str">
        <f t="shared" si="37"/>
        <v>2005</v>
      </c>
      <c r="C620" s="18" t="s">
        <v>811</v>
      </c>
      <c r="D620" t="s">
        <v>1269</v>
      </c>
      <c r="E620" t="s">
        <v>1272</v>
      </c>
      <c r="F620">
        <v>134</v>
      </c>
      <c r="G620">
        <f t="shared" si="38"/>
        <v>80</v>
      </c>
      <c r="H620">
        <f t="shared" si="39"/>
        <v>238</v>
      </c>
      <c r="I620">
        <v>800</v>
      </c>
      <c r="J620">
        <v>2385</v>
      </c>
      <c r="K620" s="18" t="s">
        <v>896</v>
      </c>
      <c r="L620" s="21">
        <v>7</v>
      </c>
    </row>
    <row r="621" spans="1:12" x14ac:dyDescent="0.25">
      <c r="A621" t="str">
        <f t="shared" si="36"/>
        <v>2006-JP-SLA-84-553-2320</v>
      </c>
      <c r="B621" t="str">
        <f t="shared" si="37"/>
        <v>2006</v>
      </c>
      <c r="C621" s="18" t="s">
        <v>813</v>
      </c>
      <c r="D621" t="s">
        <v>1269</v>
      </c>
      <c r="E621" t="s">
        <v>1273</v>
      </c>
      <c r="F621">
        <v>84</v>
      </c>
      <c r="G621">
        <f t="shared" si="38"/>
        <v>55</v>
      </c>
      <c r="H621">
        <f t="shared" si="39"/>
        <v>232</v>
      </c>
      <c r="I621">
        <v>553</v>
      </c>
      <c r="J621">
        <v>2320</v>
      </c>
      <c r="K621" s="18" t="s">
        <v>814</v>
      </c>
      <c r="L621" s="21">
        <v>5</v>
      </c>
    </row>
    <row r="622" spans="1:12" x14ac:dyDescent="0.25">
      <c r="A622" t="str">
        <f t="shared" si="36"/>
        <v>2006-JP-SLA-94-603-2342</v>
      </c>
      <c r="B622" t="str">
        <f t="shared" si="37"/>
        <v>2006</v>
      </c>
      <c r="C622" s="18" t="s">
        <v>813</v>
      </c>
      <c r="D622" t="s">
        <v>1269</v>
      </c>
      <c r="E622" t="s">
        <v>1274</v>
      </c>
      <c r="F622">
        <v>94</v>
      </c>
      <c r="G622">
        <f t="shared" si="38"/>
        <v>60</v>
      </c>
      <c r="H622">
        <f t="shared" si="39"/>
        <v>234</v>
      </c>
      <c r="I622">
        <v>603</v>
      </c>
      <c r="J622">
        <v>2342</v>
      </c>
      <c r="K622" s="18" t="s">
        <v>814</v>
      </c>
      <c r="L622" s="21">
        <v>5.0999999999999996</v>
      </c>
    </row>
    <row r="623" spans="1:12" x14ac:dyDescent="0.25">
      <c r="A623" t="str">
        <f t="shared" si="36"/>
        <v>2006-JP-SLA-114-701-2343</v>
      </c>
      <c r="B623" t="str">
        <f t="shared" si="37"/>
        <v>2006</v>
      </c>
      <c r="C623" s="18" t="s">
        <v>813</v>
      </c>
      <c r="D623" t="s">
        <v>1269</v>
      </c>
      <c r="E623" t="s">
        <v>1275</v>
      </c>
      <c r="F623">
        <v>114</v>
      </c>
      <c r="G623">
        <f t="shared" si="38"/>
        <v>70</v>
      </c>
      <c r="H623">
        <f t="shared" si="39"/>
        <v>234</v>
      </c>
      <c r="I623">
        <v>701</v>
      </c>
      <c r="J623">
        <v>2343</v>
      </c>
      <c r="K623" s="18" t="s">
        <v>814</v>
      </c>
      <c r="L623" s="21">
        <v>6.1</v>
      </c>
    </row>
    <row r="624" spans="1:12" x14ac:dyDescent="0.25">
      <c r="A624" t="str">
        <f t="shared" si="36"/>
        <v>2006-JP-SLA-134-797-2382</v>
      </c>
      <c r="B624" t="str">
        <f t="shared" si="37"/>
        <v>2006</v>
      </c>
      <c r="C624" s="18" t="s">
        <v>813</v>
      </c>
      <c r="D624" t="s">
        <v>1269</v>
      </c>
      <c r="E624" t="s">
        <v>1276</v>
      </c>
      <c r="F624">
        <v>134</v>
      </c>
      <c r="G624">
        <f t="shared" si="38"/>
        <v>79</v>
      </c>
      <c r="H624">
        <f t="shared" si="39"/>
        <v>238</v>
      </c>
      <c r="I624">
        <v>797</v>
      </c>
      <c r="J624">
        <v>2382</v>
      </c>
      <c r="K624" s="18" t="s">
        <v>814</v>
      </c>
      <c r="L624" s="21">
        <v>6.8</v>
      </c>
    </row>
    <row r="625" spans="1:12" x14ac:dyDescent="0.25">
      <c r="A625" t="str">
        <f t="shared" si="36"/>
        <v>2007-JP-SLA-69-531-2396</v>
      </c>
      <c r="B625" t="str">
        <f t="shared" si="37"/>
        <v>2007</v>
      </c>
      <c r="C625" s="18" t="s">
        <v>1035</v>
      </c>
      <c r="D625" t="s">
        <v>1269</v>
      </c>
      <c r="E625" t="s">
        <v>1277</v>
      </c>
      <c r="F625">
        <v>69</v>
      </c>
      <c r="G625">
        <f t="shared" si="38"/>
        <v>53</v>
      </c>
      <c r="H625">
        <f t="shared" si="39"/>
        <v>239</v>
      </c>
      <c r="I625">
        <v>531</v>
      </c>
      <c r="J625">
        <v>2396</v>
      </c>
      <c r="K625" s="18" t="s">
        <v>821</v>
      </c>
      <c r="L625" s="21">
        <v>5</v>
      </c>
    </row>
    <row r="626" spans="1:12" x14ac:dyDescent="0.25">
      <c r="A626" t="str">
        <f t="shared" si="36"/>
        <v>2007-JP-SLA-89-597-2388</v>
      </c>
      <c r="B626" t="str">
        <f t="shared" si="37"/>
        <v>2007</v>
      </c>
      <c r="C626" s="18" t="s">
        <v>1035</v>
      </c>
      <c r="D626" t="s">
        <v>1269</v>
      </c>
      <c r="E626" t="s">
        <v>1278</v>
      </c>
      <c r="F626">
        <v>89</v>
      </c>
      <c r="G626">
        <f t="shared" si="38"/>
        <v>59</v>
      </c>
      <c r="H626">
        <f t="shared" si="39"/>
        <v>238</v>
      </c>
      <c r="I626">
        <v>597</v>
      </c>
      <c r="J626">
        <v>2388</v>
      </c>
      <c r="K626" s="18" t="s">
        <v>821</v>
      </c>
      <c r="L626" s="21">
        <v>5.3</v>
      </c>
    </row>
    <row r="627" spans="1:12" x14ac:dyDescent="0.25">
      <c r="A627" t="str">
        <f t="shared" si="36"/>
        <v>2007-JP-SLA-109-692-2395</v>
      </c>
      <c r="B627" t="str">
        <f t="shared" si="37"/>
        <v>2007</v>
      </c>
      <c r="C627" s="18" t="s">
        <v>1035</v>
      </c>
      <c r="D627" t="s">
        <v>1269</v>
      </c>
      <c r="E627" t="s">
        <v>1279</v>
      </c>
      <c r="F627">
        <v>109</v>
      </c>
      <c r="G627">
        <f t="shared" si="38"/>
        <v>69</v>
      </c>
      <c r="H627">
        <f t="shared" si="39"/>
        <v>239</v>
      </c>
      <c r="I627">
        <v>692</v>
      </c>
      <c r="J627">
        <v>2395</v>
      </c>
      <c r="K627" s="18" t="s">
        <v>821</v>
      </c>
      <c r="L627" s="21">
        <v>6.1</v>
      </c>
    </row>
    <row r="628" spans="1:12" x14ac:dyDescent="0.25">
      <c r="A628" t="str">
        <f t="shared" si="36"/>
        <v>2007-JP-SLA-119-795-2399</v>
      </c>
      <c r="B628" t="str">
        <f t="shared" si="37"/>
        <v>2007</v>
      </c>
      <c r="C628" s="18" t="s">
        <v>1035</v>
      </c>
      <c r="D628" t="s">
        <v>1269</v>
      </c>
      <c r="E628" t="s">
        <v>1280</v>
      </c>
      <c r="F628">
        <v>119</v>
      </c>
      <c r="G628">
        <f t="shared" si="38"/>
        <v>79</v>
      </c>
      <c r="H628">
        <f t="shared" si="39"/>
        <v>239</v>
      </c>
      <c r="I628">
        <v>795</v>
      </c>
      <c r="J628">
        <v>2399</v>
      </c>
      <c r="K628" s="18" t="s">
        <v>821</v>
      </c>
      <c r="L628" s="21">
        <v>6.8</v>
      </c>
    </row>
    <row r="629" spans="1:12" x14ac:dyDescent="0.25">
      <c r="A629" t="str">
        <f t="shared" si="36"/>
        <v>2008-JP-SLA-70-541-2392</v>
      </c>
      <c r="B629" t="str">
        <f t="shared" si="37"/>
        <v>2008</v>
      </c>
      <c r="C629" s="18" t="s">
        <v>1092</v>
      </c>
      <c r="D629" t="s">
        <v>1269</v>
      </c>
      <c r="E629" t="s">
        <v>1281</v>
      </c>
      <c r="F629">
        <v>70</v>
      </c>
      <c r="G629">
        <f t="shared" si="38"/>
        <v>54</v>
      </c>
      <c r="H629">
        <f t="shared" si="39"/>
        <v>239</v>
      </c>
      <c r="I629">
        <v>541</v>
      </c>
      <c r="J629">
        <v>2392</v>
      </c>
      <c r="K629" s="18" t="s">
        <v>826</v>
      </c>
      <c r="L629" s="21">
        <v>4.9000000000000004</v>
      </c>
    </row>
    <row r="630" spans="1:12" x14ac:dyDescent="0.25">
      <c r="A630" t="str">
        <f t="shared" si="36"/>
        <v>2008-JP-SLA-84-598-2396</v>
      </c>
      <c r="B630" t="str">
        <f t="shared" si="37"/>
        <v>2008</v>
      </c>
      <c r="C630" s="18" t="s">
        <v>1092</v>
      </c>
      <c r="D630" t="s">
        <v>1269</v>
      </c>
      <c r="E630" t="s">
        <v>1282</v>
      </c>
      <c r="F630">
        <v>84</v>
      </c>
      <c r="G630">
        <f t="shared" si="38"/>
        <v>59</v>
      </c>
      <c r="H630">
        <f t="shared" si="39"/>
        <v>239</v>
      </c>
      <c r="I630">
        <v>598</v>
      </c>
      <c r="J630">
        <v>2396</v>
      </c>
      <c r="K630" s="18" t="s">
        <v>826</v>
      </c>
      <c r="L630" s="21">
        <v>5.3</v>
      </c>
    </row>
    <row r="631" spans="1:12" x14ac:dyDescent="0.25">
      <c r="A631" t="str">
        <f t="shared" si="36"/>
        <v>2008-JP-SLA-104-681-2394</v>
      </c>
      <c r="B631" t="str">
        <f t="shared" si="37"/>
        <v>2008</v>
      </c>
      <c r="C631" s="18" t="s">
        <v>1092</v>
      </c>
      <c r="D631" t="s">
        <v>1269</v>
      </c>
      <c r="E631" t="s">
        <v>1283</v>
      </c>
      <c r="F631">
        <v>104</v>
      </c>
      <c r="G631">
        <f t="shared" si="38"/>
        <v>68</v>
      </c>
      <c r="H631">
        <f t="shared" si="39"/>
        <v>239</v>
      </c>
      <c r="I631">
        <v>681</v>
      </c>
      <c r="J631">
        <v>2394</v>
      </c>
      <c r="K631" s="18" t="s">
        <v>826</v>
      </c>
      <c r="L631" s="21">
        <v>6.1</v>
      </c>
    </row>
    <row r="632" spans="1:12" x14ac:dyDescent="0.25">
      <c r="A632" t="str">
        <f t="shared" si="36"/>
        <v>2008-JP-SLA-114-755-2395</v>
      </c>
      <c r="B632" t="str">
        <f t="shared" si="37"/>
        <v>2008</v>
      </c>
      <c r="C632" s="18" t="s">
        <v>1092</v>
      </c>
      <c r="D632" t="s">
        <v>1269</v>
      </c>
      <c r="E632" t="s">
        <v>1284</v>
      </c>
      <c r="F632">
        <v>114</v>
      </c>
      <c r="G632">
        <f t="shared" si="38"/>
        <v>75</v>
      </c>
      <c r="H632">
        <f t="shared" si="39"/>
        <v>239</v>
      </c>
      <c r="I632">
        <v>755</v>
      </c>
      <c r="J632">
        <v>2395</v>
      </c>
      <c r="K632" s="18" t="s">
        <v>826</v>
      </c>
      <c r="L632" s="21">
        <v>6.6</v>
      </c>
    </row>
    <row r="633" spans="1:12" x14ac:dyDescent="0.25">
      <c r="A633" t="str">
        <f t="shared" si="36"/>
        <v>2008-JP-SLA-134-846-2403</v>
      </c>
      <c r="B633" t="str">
        <f t="shared" si="37"/>
        <v>2008</v>
      </c>
      <c r="C633" s="18" t="s">
        <v>1092</v>
      </c>
      <c r="D633" t="s">
        <v>1269</v>
      </c>
      <c r="E633" t="s">
        <v>1285</v>
      </c>
      <c r="F633">
        <v>134</v>
      </c>
      <c r="G633">
        <f t="shared" si="38"/>
        <v>84</v>
      </c>
      <c r="H633">
        <f t="shared" si="39"/>
        <v>240</v>
      </c>
      <c r="I633">
        <v>846</v>
      </c>
      <c r="J633">
        <v>2403</v>
      </c>
      <c r="K633" s="18" t="s">
        <v>826</v>
      </c>
      <c r="L633" s="21">
        <v>7.2</v>
      </c>
    </row>
    <row r="634" spans="1:12" x14ac:dyDescent="0.25">
      <c r="A634" t="str">
        <f t="shared" si="36"/>
        <v>2008-JP-Sup-91-581-2389</v>
      </c>
      <c r="B634" t="str">
        <f t="shared" si="37"/>
        <v>2008</v>
      </c>
      <c r="C634" s="18" t="s">
        <v>1092</v>
      </c>
      <c r="D634" t="s">
        <v>1269</v>
      </c>
      <c r="E634" t="s">
        <v>1286</v>
      </c>
      <c r="F634">
        <v>91</v>
      </c>
      <c r="G634">
        <f t="shared" si="38"/>
        <v>58</v>
      </c>
      <c r="H634">
        <f t="shared" si="39"/>
        <v>238</v>
      </c>
      <c r="I634">
        <v>581</v>
      </c>
      <c r="J634">
        <v>2389</v>
      </c>
      <c r="K634" s="18" t="s">
        <v>1287</v>
      </c>
      <c r="L634" s="21">
        <v>5.8</v>
      </c>
    </row>
    <row r="635" spans="1:12" x14ac:dyDescent="0.25">
      <c r="A635" t="str">
        <f t="shared" si="36"/>
        <v>2008-JP-Sup-100-620-2397</v>
      </c>
      <c r="B635" t="str">
        <f t="shared" si="37"/>
        <v>2008</v>
      </c>
      <c r="C635" s="18" t="s">
        <v>1092</v>
      </c>
      <c r="D635" t="s">
        <v>1269</v>
      </c>
      <c r="E635" t="s">
        <v>1288</v>
      </c>
      <c r="F635">
        <v>100</v>
      </c>
      <c r="G635">
        <f t="shared" si="38"/>
        <v>62</v>
      </c>
      <c r="H635">
        <f t="shared" si="39"/>
        <v>239</v>
      </c>
      <c r="I635">
        <v>620</v>
      </c>
      <c r="J635">
        <v>2397</v>
      </c>
      <c r="K635" s="18" t="s">
        <v>826</v>
      </c>
      <c r="L635" s="21">
        <v>6.2</v>
      </c>
    </row>
    <row r="636" spans="1:12" x14ac:dyDescent="0.25">
      <c r="A636" t="str">
        <f t="shared" si="36"/>
        <v>2008-JP-Sup-109-661-2453</v>
      </c>
      <c r="B636" t="str">
        <f t="shared" si="37"/>
        <v>2008</v>
      </c>
      <c r="C636" s="18" t="s">
        <v>1092</v>
      </c>
      <c r="D636" t="s">
        <v>1269</v>
      </c>
      <c r="E636" t="s">
        <v>1289</v>
      </c>
      <c r="F636">
        <v>109</v>
      </c>
      <c r="G636">
        <f t="shared" si="38"/>
        <v>66</v>
      </c>
      <c r="H636">
        <f t="shared" si="39"/>
        <v>245</v>
      </c>
      <c r="I636">
        <v>661</v>
      </c>
      <c r="J636">
        <v>2453</v>
      </c>
      <c r="K636" s="18" t="s">
        <v>826</v>
      </c>
      <c r="L636" s="21">
        <v>6.6</v>
      </c>
    </row>
    <row r="637" spans="1:12" x14ac:dyDescent="0.25">
      <c r="A637" t="str">
        <f t="shared" si="36"/>
        <v>2008-JP-Sup-118-703-2459</v>
      </c>
      <c r="B637" t="str">
        <f t="shared" si="37"/>
        <v>2008</v>
      </c>
      <c r="C637" s="18" t="s">
        <v>1092</v>
      </c>
      <c r="D637" t="s">
        <v>1269</v>
      </c>
      <c r="E637" t="s">
        <v>1290</v>
      </c>
      <c r="F637">
        <v>118</v>
      </c>
      <c r="G637">
        <f t="shared" si="38"/>
        <v>70</v>
      </c>
      <c r="H637">
        <f t="shared" si="39"/>
        <v>245</v>
      </c>
      <c r="I637">
        <v>703</v>
      </c>
      <c r="J637">
        <v>2459</v>
      </c>
      <c r="K637" s="18" t="s">
        <v>826</v>
      </c>
      <c r="L637" s="21">
        <v>6.7</v>
      </c>
    </row>
    <row r="638" spans="1:12" x14ac:dyDescent="0.25">
      <c r="A638" t="str">
        <f t="shared" si="36"/>
        <v>2008-JP-Sup-127-748-2468</v>
      </c>
      <c r="B638" t="str">
        <f t="shared" si="37"/>
        <v>2008</v>
      </c>
      <c r="C638" s="18" t="s">
        <v>1092</v>
      </c>
      <c r="D638" t="s">
        <v>1269</v>
      </c>
      <c r="E638" t="s">
        <v>1291</v>
      </c>
      <c r="F638">
        <v>127</v>
      </c>
      <c r="G638">
        <f t="shared" si="38"/>
        <v>74</v>
      </c>
      <c r="H638">
        <f t="shared" si="39"/>
        <v>246</v>
      </c>
      <c r="I638">
        <v>748</v>
      </c>
      <c r="J638">
        <v>2468</v>
      </c>
      <c r="K638" s="18" t="s">
        <v>826</v>
      </c>
      <c r="L638" s="21">
        <v>6.9</v>
      </c>
    </row>
    <row r="639" spans="1:12" x14ac:dyDescent="0.25">
      <c r="A639" t="str">
        <f t="shared" si="36"/>
        <v>2008-JP-Sup-136-794-2462</v>
      </c>
      <c r="B639" t="str">
        <f t="shared" si="37"/>
        <v>2008</v>
      </c>
      <c r="C639" s="18" t="s">
        <v>1092</v>
      </c>
      <c r="D639" t="s">
        <v>1269</v>
      </c>
      <c r="E639" t="s">
        <v>1292</v>
      </c>
      <c r="F639">
        <v>136</v>
      </c>
      <c r="G639">
        <f t="shared" si="38"/>
        <v>79</v>
      </c>
      <c r="H639">
        <f t="shared" si="39"/>
        <v>246</v>
      </c>
      <c r="I639">
        <v>794</v>
      </c>
      <c r="J639">
        <v>2462</v>
      </c>
      <c r="K639" s="18" t="s">
        <v>826</v>
      </c>
      <c r="L639" s="21">
        <v>7.3</v>
      </c>
    </row>
    <row r="640" spans="1:12" x14ac:dyDescent="0.25">
      <c r="A640" t="str">
        <f t="shared" si="36"/>
        <v>2008-JP-Sup-91-581-2389</v>
      </c>
      <c r="B640" t="str">
        <f t="shared" si="37"/>
        <v>2008</v>
      </c>
      <c r="C640" s="18" t="s">
        <v>1092</v>
      </c>
      <c r="D640" t="s">
        <v>1269</v>
      </c>
      <c r="E640" t="s">
        <v>1293</v>
      </c>
      <c r="F640">
        <v>91</v>
      </c>
      <c r="G640">
        <f t="shared" si="38"/>
        <v>58</v>
      </c>
      <c r="H640">
        <f t="shared" si="39"/>
        <v>238</v>
      </c>
      <c r="I640">
        <v>581</v>
      </c>
      <c r="J640">
        <v>2389</v>
      </c>
      <c r="K640" s="18" t="s">
        <v>826</v>
      </c>
      <c r="L640" s="21">
        <v>6.5</v>
      </c>
    </row>
    <row r="641" spans="1:12" x14ac:dyDescent="0.25">
      <c r="A641" t="str">
        <f t="shared" si="36"/>
        <v>2008-JP-Sup-100-620-2397</v>
      </c>
      <c r="B641" t="str">
        <f t="shared" si="37"/>
        <v>2008</v>
      </c>
      <c r="C641" s="18" t="s">
        <v>1092</v>
      </c>
      <c r="D641" t="s">
        <v>1269</v>
      </c>
      <c r="E641" t="s">
        <v>1294</v>
      </c>
      <c r="F641">
        <v>100</v>
      </c>
      <c r="G641">
        <f t="shared" si="38"/>
        <v>62</v>
      </c>
      <c r="H641">
        <f t="shared" si="39"/>
        <v>239</v>
      </c>
      <c r="I641">
        <v>620</v>
      </c>
      <c r="J641">
        <v>2397</v>
      </c>
      <c r="K641" s="18" t="s">
        <v>826</v>
      </c>
      <c r="L641" s="21">
        <v>6.9</v>
      </c>
    </row>
    <row r="642" spans="1:12" x14ac:dyDescent="0.25">
      <c r="A642" t="str">
        <f t="shared" ref="A642:A705" si="40">_xlfn.CONCAT(B642,"-",LEFT(D642,2),"-",LEFT(E642,3),"-",F642,"-",TRUNC(I642),"-",TRUNC(J642))</f>
        <v>2008-JP-Sup-109-661-2453</v>
      </c>
      <c r="B642" t="str">
        <f t="shared" ref="B642:B705" si="41">LEFT(C642,4)</f>
        <v>2008</v>
      </c>
      <c r="C642" s="18" t="s">
        <v>1092</v>
      </c>
      <c r="D642" t="s">
        <v>1269</v>
      </c>
      <c r="E642" t="s">
        <v>1295</v>
      </c>
      <c r="F642">
        <v>109</v>
      </c>
      <c r="G642">
        <f t="shared" si="38"/>
        <v>66</v>
      </c>
      <c r="H642">
        <f t="shared" si="39"/>
        <v>245</v>
      </c>
      <c r="I642">
        <v>661</v>
      </c>
      <c r="J642">
        <v>2453</v>
      </c>
      <c r="K642" s="18" t="s">
        <v>826</v>
      </c>
      <c r="L642" s="21">
        <v>7.3</v>
      </c>
    </row>
    <row r="643" spans="1:12" x14ac:dyDescent="0.25">
      <c r="A643" t="str">
        <f t="shared" si="40"/>
        <v>2008-JP-Sup-118-703-2459</v>
      </c>
      <c r="B643" t="str">
        <f t="shared" si="41"/>
        <v>2008</v>
      </c>
      <c r="C643" s="18" t="s">
        <v>1092</v>
      </c>
      <c r="D643" t="s">
        <v>1269</v>
      </c>
      <c r="E643" t="s">
        <v>1296</v>
      </c>
      <c r="F643">
        <v>118</v>
      </c>
      <c r="G643">
        <f t="shared" ref="G643:G706" si="42">TRUNC(I643/10)</f>
        <v>70</v>
      </c>
      <c r="H643">
        <f t="shared" ref="H643:H706" si="43">TRUNC(J643/10)</f>
        <v>245</v>
      </c>
      <c r="I643">
        <v>703</v>
      </c>
      <c r="J643">
        <v>2459</v>
      </c>
      <c r="K643" s="18" t="s">
        <v>826</v>
      </c>
      <c r="L643" s="21">
        <v>7.4</v>
      </c>
    </row>
    <row r="644" spans="1:12" x14ac:dyDescent="0.25">
      <c r="A644" t="str">
        <f t="shared" si="40"/>
        <v>2008-JP-Sup-127-748-2468</v>
      </c>
      <c r="B644" t="str">
        <f t="shared" si="41"/>
        <v>2008</v>
      </c>
      <c r="C644" s="18" t="s">
        <v>1092</v>
      </c>
      <c r="D644" t="s">
        <v>1269</v>
      </c>
      <c r="E644" t="s">
        <v>1297</v>
      </c>
      <c r="F644">
        <v>127</v>
      </c>
      <c r="G644">
        <f t="shared" si="42"/>
        <v>74</v>
      </c>
      <c r="H644">
        <f t="shared" si="43"/>
        <v>246</v>
      </c>
      <c r="I644">
        <v>748</v>
      </c>
      <c r="J644">
        <v>2468</v>
      </c>
      <c r="K644" s="18" t="s">
        <v>826</v>
      </c>
      <c r="L644" s="21">
        <v>7.6</v>
      </c>
    </row>
    <row r="645" spans="1:12" x14ac:dyDescent="0.25">
      <c r="A645" t="str">
        <f t="shared" si="40"/>
        <v>2008-JP-Sup-136-794-2462</v>
      </c>
      <c r="B645" t="str">
        <f t="shared" si="41"/>
        <v>2008</v>
      </c>
      <c r="C645" s="18" t="s">
        <v>1092</v>
      </c>
      <c r="D645" t="s">
        <v>1269</v>
      </c>
      <c r="E645" t="s">
        <v>1298</v>
      </c>
      <c r="F645">
        <v>136</v>
      </c>
      <c r="G645">
        <f t="shared" si="42"/>
        <v>79</v>
      </c>
      <c r="H645">
        <f t="shared" si="43"/>
        <v>246</v>
      </c>
      <c r="I645">
        <v>794</v>
      </c>
      <c r="J645">
        <v>2462</v>
      </c>
      <c r="K645" s="18" t="s">
        <v>826</v>
      </c>
      <c r="L645" s="21">
        <v>8</v>
      </c>
    </row>
    <row r="646" spans="1:12" x14ac:dyDescent="0.25">
      <c r="A646" t="str">
        <f t="shared" si="40"/>
        <v>2009-JP-Sla-71-538-2362</v>
      </c>
      <c r="B646" t="str">
        <f t="shared" si="41"/>
        <v>2009</v>
      </c>
      <c r="C646" s="18" t="s">
        <v>884</v>
      </c>
      <c r="D646" t="s">
        <v>1269</v>
      </c>
      <c r="E646" t="s">
        <v>1299</v>
      </c>
      <c r="F646">
        <v>71</v>
      </c>
      <c r="G646">
        <f t="shared" si="42"/>
        <v>53</v>
      </c>
      <c r="H646">
        <f t="shared" si="43"/>
        <v>236</v>
      </c>
      <c r="I646">
        <v>538</v>
      </c>
      <c r="J646">
        <v>2362</v>
      </c>
      <c r="K646" s="18" t="s">
        <v>841</v>
      </c>
      <c r="L646" s="21">
        <v>4.9000000000000004</v>
      </c>
    </row>
    <row r="647" spans="1:12" x14ac:dyDescent="0.25">
      <c r="A647" t="str">
        <f t="shared" si="40"/>
        <v>2009-JP-Sla-93-596-2392</v>
      </c>
      <c r="B647" t="str">
        <f t="shared" si="41"/>
        <v>2009</v>
      </c>
      <c r="C647" s="18" t="s">
        <v>884</v>
      </c>
      <c r="D647" t="s">
        <v>1269</v>
      </c>
      <c r="E647" t="s">
        <v>1300</v>
      </c>
      <c r="F647">
        <v>93</v>
      </c>
      <c r="G647">
        <f t="shared" si="42"/>
        <v>59</v>
      </c>
      <c r="H647">
        <f t="shared" si="43"/>
        <v>239</v>
      </c>
      <c r="I647">
        <v>596</v>
      </c>
      <c r="J647">
        <v>2392</v>
      </c>
      <c r="K647" s="18" t="s">
        <v>841</v>
      </c>
      <c r="L647" s="21">
        <v>5.6</v>
      </c>
    </row>
    <row r="648" spans="1:12" x14ac:dyDescent="0.25">
      <c r="A648" t="str">
        <f t="shared" si="40"/>
        <v>2009-JP-Sla-112-682-2377</v>
      </c>
      <c r="B648" t="str">
        <f t="shared" si="41"/>
        <v>2009</v>
      </c>
      <c r="C648" s="18" t="s">
        <v>884</v>
      </c>
      <c r="D648" t="s">
        <v>1269</v>
      </c>
      <c r="E648" t="s">
        <v>1301</v>
      </c>
      <c r="F648">
        <v>112</v>
      </c>
      <c r="G648">
        <f t="shared" si="42"/>
        <v>68</v>
      </c>
      <c r="H648">
        <f t="shared" si="43"/>
        <v>237</v>
      </c>
      <c r="I648">
        <v>682</v>
      </c>
      <c r="J648">
        <v>2377</v>
      </c>
      <c r="K648" s="18" t="s">
        <v>841</v>
      </c>
      <c r="L648" s="21">
        <v>6.3</v>
      </c>
    </row>
    <row r="649" spans="1:12" x14ac:dyDescent="0.25">
      <c r="A649" t="str">
        <f t="shared" si="40"/>
        <v>2009-JP-Sla-122-759-2382</v>
      </c>
      <c r="B649" t="str">
        <f t="shared" si="41"/>
        <v>2009</v>
      </c>
      <c r="C649" s="18" t="s">
        <v>884</v>
      </c>
      <c r="D649" t="s">
        <v>1269</v>
      </c>
      <c r="E649" t="s">
        <v>1302</v>
      </c>
      <c r="F649">
        <v>122</v>
      </c>
      <c r="G649">
        <f t="shared" si="42"/>
        <v>75</v>
      </c>
      <c r="H649">
        <f t="shared" si="43"/>
        <v>238</v>
      </c>
      <c r="I649">
        <v>759</v>
      </c>
      <c r="J649">
        <v>2382</v>
      </c>
      <c r="K649" s="18" t="s">
        <v>841</v>
      </c>
      <c r="L649" s="21">
        <v>6.8</v>
      </c>
    </row>
    <row r="650" spans="1:12" x14ac:dyDescent="0.25">
      <c r="A650" t="str">
        <f t="shared" si="40"/>
        <v>2009-JP-Sla-136-817-2382</v>
      </c>
      <c r="B650" t="str">
        <f t="shared" si="41"/>
        <v>2009</v>
      </c>
      <c r="C650" s="18" t="s">
        <v>884</v>
      </c>
      <c r="D650" t="s">
        <v>1269</v>
      </c>
      <c r="E650" t="s">
        <v>1303</v>
      </c>
      <c r="F650">
        <v>136</v>
      </c>
      <c r="G650">
        <f t="shared" si="42"/>
        <v>81</v>
      </c>
      <c r="H650">
        <f t="shared" si="43"/>
        <v>238</v>
      </c>
      <c r="I650">
        <v>817</v>
      </c>
      <c r="J650">
        <v>2382</v>
      </c>
      <c r="K650" s="18" t="s">
        <v>841</v>
      </c>
      <c r="L650" s="21">
        <v>7.1</v>
      </c>
    </row>
    <row r="651" spans="1:12" x14ac:dyDescent="0.25">
      <c r="A651" t="str">
        <f t="shared" si="40"/>
        <v>2009-JP-Sup-91-579-2365</v>
      </c>
      <c r="B651" t="str">
        <f t="shared" si="41"/>
        <v>2009</v>
      </c>
      <c r="C651" s="18" t="s">
        <v>884</v>
      </c>
      <c r="D651" t="s">
        <v>1269</v>
      </c>
      <c r="E651" t="s">
        <v>1304</v>
      </c>
      <c r="F651">
        <v>91</v>
      </c>
      <c r="G651">
        <f t="shared" si="42"/>
        <v>57</v>
      </c>
      <c r="H651">
        <f t="shared" si="43"/>
        <v>236</v>
      </c>
      <c r="I651">
        <v>579</v>
      </c>
      <c r="J651">
        <v>2365</v>
      </c>
      <c r="K651" s="18" t="s">
        <v>841</v>
      </c>
      <c r="L651" s="21">
        <v>5.7</v>
      </c>
    </row>
    <row r="652" spans="1:12" x14ac:dyDescent="0.25">
      <c r="A652" t="str">
        <f t="shared" si="40"/>
        <v>2009-JP-Sup-100-619-2386</v>
      </c>
      <c r="B652" t="str">
        <f t="shared" si="41"/>
        <v>2009</v>
      </c>
      <c r="C652" s="18" t="s">
        <v>884</v>
      </c>
      <c r="D652" t="s">
        <v>1269</v>
      </c>
      <c r="E652" t="s">
        <v>1305</v>
      </c>
      <c r="F652">
        <v>100</v>
      </c>
      <c r="G652">
        <f t="shared" si="42"/>
        <v>61</v>
      </c>
      <c r="H652">
        <f t="shared" si="43"/>
        <v>238</v>
      </c>
      <c r="I652">
        <v>619</v>
      </c>
      <c r="J652">
        <v>2386</v>
      </c>
      <c r="K652" s="18" t="s">
        <v>841</v>
      </c>
      <c r="L652" s="21">
        <v>6.1</v>
      </c>
    </row>
    <row r="653" spans="1:12" x14ac:dyDescent="0.25">
      <c r="A653" t="str">
        <f t="shared" si="40"/>
        <v>2009-JP-Sup-109-653-2497</v>
      </c>
      <c r="B653" t="str">
        <f t="shared" si="41"/>
        <v>2009</v>
      </c>
      <c r="C653" s="18" t="s">
        <v>884</v>
      </c>
      <c r="D653" t="s">
        <v>1269</v>
      </c>
      <c r="E653" t="s">
        <v>1306</v>
      </c>
      <c r="F653">
        <v>109</v>
      </c>
      <c r="G653">
        <f t="shared" si="42"/>
        <v>65</v>
      </c>
      <c r="H653">
        <f t="shared" si="43"/>
        <v>249</v>
      </c>
      <c r="I653">
        <v>653</v>
      </c>
      <c r="J653">
        <v>2497</v>
      </c>
      <c r="K653" s="18" t="s">
        <v>841</v>
      </c>
      <c r="L653" s="21">
        <v>6.6</v>
      </c>
    </row>
    <row r="654" spans="1:12" x14ac:dyDescent="0.25">
      <c r="A654" t="str">
        <f t="shared" si="40"/>
        <v>2009-JP-Sup-118-693-2503</v>
      </c>
      <c r="B654" t="str">
        <f t="shared" si="41"/>
        <v>2009</v>
      </c>
      <c r="C654" s="18" t="s">
        <v>884</v>
      </c>
      <c r="D654" t="s">
        <v>1269</v>
      </c>
      <c r="E654" t="s">
        <v>1307</v>
      </c>
      <c r="F654">
        <v>118</v>
      </c>
      <c r="G654">
        <f t="shared" si="42"/>
        <v>69</v>
      </c>
      <c r="H654">
        <f t="shared" si="43"/>
        <v>250</v>
      </c>
      <c r="I654">
        <v>693</v>
      </c>
      <c r="J654">
        <v>2503</v>
      </c>
      <c r="K654" s="18" t="s">
        <v>841</v>
      </c>
      <c r="L654" s="21">
        <v>6.7</v>
      </c>
    </row>
    <row r="655" spans="1:12" x14ac:dyDescent="0.25">
      <c r="A655" t="str">
        <f t="shared" si="40"/>
        <v>2009-JP-Sup-127-744-2505</v>
      </c>
      <c r="B655" t="str">
        <f t="shared" si="41"/>
        <v>2009</v>
      </c>
      <c r="C655" s="18" t="s">
        <v>884</v>
      </c>
      <c r="D655" t="s">
        <v>1269</v>
      </c>
      <c r="E655" t="s">
        <v>1308</v>
      </c>
      <c r="F655">
        <v>127</v>
      </c>
      <c r="G655">
        <f t="shared" si="42"/>
        <v>74</v>
      </c>
      <c r="H655">
        <f t="shared" si="43"/>
        <v>250</v>
      </c>
      <c r="I655">
        <v>744</v>
      </c>
      <c r="J655">
        <v>2505</v>
      </c>
      <c r="K655" s="18" t="s">
        <v>841</v>
      </c>
      <c r="L655" s="21">
        <v>6.9</v>
      </c>
    </row>
    <row r="656" spans="1:12" x14ac:dyDescent="0.25">
      <c r="A656" t="str">
        <f t="shared" si="40"/>
        <v>2009-JP-Sup-136-787-2507</v>
      </c>
      <c r="B656" t="str">
        <f t="shared" si="41"/>
        <v>2009</v>
      </c>
      <c r="C656" s="18" t="s">
        <v>884</v>
      </c>
      <c r="D656" t="s">
        <v>1269</v>
      </c>
      <c r="E656" t="s">
        <v>1309</v>
      </c>
      <c r="F656">
        <v>136</v>
      </c>
      <c r="G656">
        <f t="shared" si="42"/>
        <v>78</v>
      </c>
      <c r="H656">
        <f t="shared" si="43"/>
        <v>250</v>
      </c>
      <c r="I656">
        <v>787</v>
      </c>
      <c r="J656">
        <v>2507</v>
      </c>
      <c r="K656" s="18" t="s">
        <v>841</v>
      </c>
      <c r="L656" s="21">
        <v>7.3</v>
      </c>
    </row>
    <row r="657" spans="1:12" x14ac:dyDescent="0.25">
      <c r="A657" t="str">
        <f t="shared" si="40"/>
        <v>2009-JP-Fun-180-878-2581</v>
      </c>
      <c r="B657" t="str">
        <f t="shared" si="41"/>
        <v>2009</v>
      </c>
      <c r="C657" s="18" t="s">
        <v>1100</v>
      </c>
      <c r="D657" t="s">
        <v>1269</v>
      </c>
      <c r="E657" t="s">
        <v>1310</v>
      </c>
      <c r="F657">
        <v>180</v>
      </c>
      <c r="G657">
        <f t="shared" si="42"/>
        <v>87</v>
      </c>
      <c r="H657">
        <f t="shared" si="43"/>
        <v>258</v>
      </c>
      <c r="I657">
        <v>878</v>
      </c>
      <c r="J657">
        <v>2581</v>
      </c>
      <c r="K657" s="18" t="s">
        <v>841</v>
      </c>
      <c r="L657" s="21">
        <v>13.1</v>
      </c>
    </row>
    <row r="658" spans="1:12" x14ac:dyDescent="0.25">
      <c r="A658" t="str">
        <f t="shared" si="40"/>
        <v>2009-JP-Spe-53-447-2276</v>
      </c>
      <c r="B658" t="str">
        <f t="shared" si="41"/>
        <v>2009</v>
      </c>
      <c r="C658" s="18" t="s">
        <v>1100</v>
      </c>
      <c r="D658" t="s">
        <v>1269</v>
      </c>
      <c r="E658" t="s">
        <v>1311</v>
      </c>
      <c r="F658">
        <v>53</v>
      </c>
      <c r="G658">
        <f t="shared" si="42"/>
        <v>44</v>
      </c>
      <c r="H658">
        <f t="shared" si="43"/>
        <v>227</v>
      </c>
      <c r="I658">
        <v>447</v>
      </c>
      <c r="J658">
        <v>2276</v>
      </c>
      <c r="K658" s="18" t="s">
        <v>841</v>
      </c>
      <c r="L658" s="21">
        <v>4.5</v>
      </c>
    </row>
    <row r="659" spans="1:12" x14ac:dyDescent="0.25">
      <c r="A659" t="str">
        <f t="shared" si="40"/>
        <v>2009-JP-Spe-63-488-2313</v>
      </c>
      <c r="B659" t="str">
        <f t="shared" si="41"/>
        <v>2009</v>
      </c>
      <c r="C659" s="18" t="s">
        <v>1100</v>
      </c>
      <c r="D659" t="s">
        <v>1269</v>
      </c>
      <c r="E659" t="s">
        <v>1312</v>
      </c>
      <c r="F659">
        <v>63</v>
      </c>
      <c r="G659">
        <f t="shared" si="42"/>
        <v>48</v>
      </c>
      <c r="H659">
        <f t="shared" si="43"/>
        <v>231</v>
      </c>
      <c r="I659">
        <v>488</v>
      </c>
      <c r="J659">
        <v>2313</v>
      </c>
      <c r="K659" s="18" t="s">
        <v>841</v>
      </c>
      <c r="L659" s="21">
        <v>4.7</v>
      </c>
    </row>
    <row r="660" spans="1:12" x14ac:dyDescent="0.25">
      <c r="A660" t="str">
        <f t="shared" si="40"/>
        <v>2009-JP-Spe-73-538-2311</v>
      </c>
      <c r="B660" t="str">
        <f t="shared" si="41"/>
        <v>2009</v>
      </c>
      <c r="C660" s="18" t="s">
        <v>1100</v>
      </c>
      <c r="D660" t="s">
        <v>1269</v>
      </c>
      <c r="E660" t="s">
        <v>1313</v>
      </c>
      <c r="F660">
        <v>73</v>
      </c>
      <c r="G660">
        <f t="shared" si="42"/>
        <v>53</v>
      </c>
      <c r="H660">
        <f t="shared" si="43"/>
        <v>231</v>
      </c>
      <c r="I660">
        <v>538</v>
      </c>
      <c r="J660">
        <v>2311</v>
      </c>
      <c r="K660" s="18" t="s">
        <v>841</v>
      </c>
      <c r="L660" s="21">
        <v>5.0999999999999996</v>
      </c>
    </row>
    <row r="661" spans="1:12" x14ac:dyDescent="0.25">
      <c r="A661" t="str">
        <f t="shared" si="40"/>
        <v>2010-JP-Sla-81-560-2346</v>
      </c>
      <c r="B661" t="str">
        <f t="shared" si="41"/>
        <v>2010</v>
      </c>
      <c r="C661" s="18" t="s">
        <v>840</v>
      </c>
      <c r="D661" t="s">
        <v>1269</v>
      </c>
      <c r="E661" t="s">
        <v>1314</v>
      </c>
      <c r="F661">
        <v>81</v>
      </c>
      <c r="G661">
        <f t="shared" si="42"/>
        <v>56</v>
      </c>
      <c r="H661">
        <f t="shared" si="43"/>
        <v>234</v>
      </c>
      <c r="I661">
        <v>560</v>
      </c>
      <c r="J661">
        <v>2346</v>
      </c>
      <c r="K661" s="18" t="s">
        <v>844</v>
      </c>
      <c r="L661" s="21">
        <v>5.4</v>
      </c>
    </row>
    <row r="662" spans="1:12" x14ac:dyDescent="0.25">
      <c r="A662" t="str">
        <f t="shared" si="40"/>
        <v>2010-JP-Sla-92-589-2346</v>
      </c>
      <c r="B662" t="str">
        <f t="shared" si="41"/>
        <v>2010</v>
      </c>
      <c r="C662" s="18" t="s">
        <v>840</v>
      </c>
      <c r="D662" t="s">
        <v>1269</v>
      </c>
      <c r="E662" t="s">
        <v>1315</v>
      </c>
      <c r="F662">
        <v>92</v>
      </c>
      <c r="G662">
        <f t="shared" si="42"/>
        <v>58</v>
      </c>
      <c r="H662">
        <f t="shared" si="43"/>
        <v>234</v>
      </c>
      <c r="I662">
        <v>589</v>
      </c>
      <c r="J662">
        <v>2346</v>
      </c>
      <c r="K662" s="18" t="s">
        <v>844</v>
      </c>
      <c r="L662" s="21">
        <v>5.8</v>
      </c>
    </row>
    <row r="663" spans="1:12" x14ac:dyDescent="0.25">
      <c r="A663" t="str">
        <f t="shared" si="40"/>
        <v>2010-JP-Sla-101-649-2355</v>
      </c>
      <c r="B663" t="str">
        <f t="shared" si="41"/>
        <v>2010</v>
      </c>
      <c r="C663" s="18" t="s">
        <v>840</v>
      </c>
      <c r="D663" t="s">
        <v>1269</v>
      </c>
      <c r="E663" t="s">
        <v>1316</v>
      </c>
      <c r="F663">
        <v>101</v>
      </c>
      <c r="G663">
        <f t="shared" si="42"/>
        <v>64</v>
      </c>
      <c r="H663">
        <f t="shared" si="43"/>
        <v>235</v>
      </c>
      <c r="I663">
        <v>649</v>
      </c>
      <c r="J663">
        <v>2355</v>
      </c>
      <c r="K663" s="18" t="s">
        <v>844</v>
      </c>
      <c r="L663" s="21">
        <v>6.3</v>
      </c>
    </row>
    <row r="664" spans="1:12" x14ac:dyDescent="0.25">
      <c r="A664" t="str">
        <f t="shared" si="40"/>
        <v>2010-JP-Sla-112-679-2354</v>
      </c>
      <c r="B664" t="str">
        <f t="shared" si="41"/>
        <v>2010</v>
      </c>
      <c r="C664" s="18" t="s">
        <v>840</v>
      </c>
      <c r="D664" t="s">
        <v>1269</v>
      </c>
      <c r="E664" t="s">
        <v>1317</v>
      </c>
      <c r="F664">
        <v>112</v>
      </c>
      <c r="G664">
        <f t="shared" si="42"/>
        <v>67</v>
      </c>
      <c r="H664">
        <f t="shared" si="43"/>
        <v>235</v>
      </c>
      <c r="I664">
        <v>679</v>
      </c>
      <c r="J664">
        <v>2354</v>
      </c>
      <c r="K664" s="18" t="s">
        <v>844</v>
      </c>
      <c r="L664" s="21">
        <v>6.5</v>
      </c>
    </row>
    <row r="665" spans="1:12" x14ac:dyDescent="0.25">
      <c r="A665" t="str">
        <f t="shared" si="40"/>
        <v>2010-JP-Sla-121-759-2356</v>
      </c>
      <c r="B665" t="str">
        <f t="shared" si="41"/>
        <v>2010</v>
      </c>
      <c r="C665" s="18" t="s">
        <v>840</v>
      </c>
      <c r="D665" t="s">
        <v>1269</v>
      </c>
      <c r="E665" t="s">
        <v>1318</v>
      </c>
      <c r="F665">
        <v>121</v>
      </c>
      <c r="G665">
        <f t="shared" si="42"/>
        <v>75</v>
      </c>
      <c r="H665">
        <f t="shared" si="43"/>
        <v>235</v>
      </c>
      <c r="I665">
        <v>759</v>
      </c>
      <c r="J665">
        <v>2356</v>
      </c>
      <c r="K665" s="18" t="s">
        <v>844</v>
      </c>
      <c r="L665" s="21">
        <v>6.7</v>
      </c>
    </row>
    <row r="666" spans="1:12" x14ac:dyDescent="0.25">
      <c r="A666" t="str">
        <f t="shared" si="40"/>
        <v>2010-JP-Sla-132-817-2349</v>
      </c>
      <c r="B666" t="str">
        <f t="shared" si="41"/>
        <v>2010</v>
      </c>
      <c r="C666" s="18" t="s">
        <v>840</v>
      </c>
      <c r="D666" t="s">
        <v>1269</v>
      </c>
      <c r="E666" t="s">
        <v>1319</v>
      </c>
      <c r="F666">
        <v>132</v>
      </c>
      <c r="G666">
        <f t="shared" si="42"/>
        <v>81</v>
      </c>
      <c r="H666">
        <f t="shared" si="43"/>
        <v>234</v>
      </c>
      <c r="I666">
        <v>817</v>
      </c>
      <c r="J666">
        <v>2349</v>
      </c>
      <c r="K666" s="18" t="s">
        <v>844</v>
      </c>
      <c r="L666" s="21">
        <v>7.2</v>
      </c>
    </row>
    <row r="667" spans="1:12" x14ac:dyDescent="0.25">
      <c r="A667" t="str">
        <f t="shared" si="40"/>
        <v>2011-JP-Sla-78-559-2337</v>
      </c>
      <c r="B667" t="str">
        <f t="shared" si="41"/>
        <v>2011</v>
      </c>
      <c r="C667" s="18" t="s">
        <v>846</v>
      </c>
      <c r="D667" t="s">
        <v>1269</v>
      </c>
      <c r="E667" t="s">
        <v>1320</v>
      </c>
      <c r="F667">
        <v>78</v>
      </c>
      <c r="G667">
        <f t="shared" si="42"/>
        <v>55</v>
      </c>
      <c r="H667">
        <f t="shared" si="43"/>
        <v>233</v>
      </c>
      <c r="I667">
        <v>559</v>
      </c>
      <c r="J667">
        <v>2337</v>
      </c>
      <c r="K667" s="18" t="s">
        <v>844</v>
      </c>
      <c r="L667" s="21">
        <v>5.5</v>
      </c>
    </row>
    <row r="668" spans="1:12" x14ac:dyDescent="0.25">
      <c r="A668" t="str">
        <f t="shared" si="40"/>
        <v>2011-JP-Sla-90-591-2352</v>
      </c>
      <c r="B668" t="str">
        <f t="shared" si="41"/>
        <v>2011</v>
      </c>
      <c r="C668" s="18" t="s">
        <v>846</v>
      </c>
      <c r="D668" t="s">
        <v>1269</v>
      </c>
      <c r="E668" t="s">
        <v>1321</v>
      </c>
      <c r="F668">
        <v>90</v>
      </c>
      <c r="G668">
        <f t="shared" si="42"/>
        <v>59</v>
      </c>
      <c r="H668">
        <f t="shared" si="43"/>
        <v>235</v>
      </c>
      <c r="I668">
        <v>591</v>
      </c>
      <c r="J668">
        <v>2352</v>
      </c>
      <c r="K668" s="18" t="s">
        <v>844</v>
      </c>
      <c r="L668" s="21">
        <v>5.9</v>
      </c>
    </row>
    <row r="669" spans="1:12" x14ac:dyDescent="0.25">
      <c r="A669" t="str">
        <f t="shared" si="40"/>
        <v>2011-JP-Sla-104-651-2353</v>
      </c>
      <c r="B669" t="str">
        <f t="shared" si="41"/>
        <v>2011</v>
      </c>
      <c r="C669" s="18" t="s">
        <v>846</v>
      </c>
      <c r="D669" t="s">
        <v>1269</v>
      </c>
      <c r="E669" t="s">
        <v>1322</v>
      </c>
      <c r="F669">
        <v>104</v>
      </c>
      <c r="G669">
        <f t="shared" si="42"/>
        <v>65</v>
      </c>
      <c r="H669">
        <f t="shared" si="43"/>
        <v>235</v>
      </c>
      <c r="I669">
        <v>651</v>
      </c>
      <c r="J669">
        <v>2353</v>
      </c>
      <c r="K669" s="18" t="s">
        <v>844</v>
      </c>
      <c r="L669" s="21">
        <v>6.5</v>
      </c>
    </row>
    <row r="670" spans="1:12" x14ac:dyDescent="0.25">
      <c r="A670" t="str">
        <f t="shared" si="40"/>
        <v>2011-JP-Sla-104-677-2345</v>
      </c>
      <c r="B670" t="str">
        <f t="shared" si="41"/>
        <v>2011</v>
      </c>
      <c r="C670" s="18" t="s">
        <v>846</v>
      </c>
      <c r="D670" t="s">
        <v>1269</v>
      </c>
      <c r="E670" t="s">
        <v>1323</v>
      </c>
      <c r="F670">
        <v>104</v>
      </c>
      <c r="G670">
        <f t="shared" si="42"/>
        <v>67</v>
      </c>
      <c r="H670">
        <f t="shared" si="43"/>
        <v>234</v>
      </c>
      <c r="I670">
        <v>677</v>
      </c>
      <c r="J670">
        <v>2345</v>
      </c>
      <c r="K670" s="18" t="s">
        <v>844</v>
      </c>
      <c r="L670" s="21">
        <v>6.6</v>
      </c>
    </row>
    <row r="671" spans="1:12" x14ac:dyDescent="0.25">
      <c r="A671" t="str">
        <f t="shared" si="40"/>
        <v>2011-JP-Sla-123-759-2356</v>
      </c>
      <c r="B671" t="str">
        <f t="shared" si="41"/>
        <v>2011</v>
      </c>
      <c r="C671" s="18" t="s">
        <v>846</v>
      </c>
      <c r="D671" t="s">
        <v>1269</v>
      </c>
      <c r="E671" t="s">
        <v>1324</v>
      </c>
      <c r="F671">
        <v>123</v>
      </c>
      <c r="G671">
        <f t="shared" si="42"/>
        <v>75</v>
      </c>
      <c r="H671">
        <f t="shared" si="43"/>
        <v>235</v>
      </c>
      <c r="I671">
        <v>759</v>
      </c>
      <c r="J671">
        <v>2356</v>
      </c>
      <c r="K671" s="18" t="s">
        <v>844</v>
      </c>
      <c r="L671" s="21">
        <v>6.9</v>
      </c>
    </row>
    <row r="672" spans="1:12" x14ac:dyDescent="0.25">
      <c r="A672" t="str">
        <f t="shared" si="40"/>
        <v>2011-JP-Sla-132-816-2349</v>
      </c>
      <c r="B672" t="str">
        <f t="shared" si="41"/>
        <v>2011</v>
      </c>
      <c r="C672" s="18" t="s">
        <v>846</v>
      </c>
      <c r="D672" t="s">
        <v>1269</v>
      </c>
      <c r="E672" t="s">
        <v>1325</v>
      </c>
      <c r="F672">
        <v>132</v>
      </c>
      <c r="G672">
        <f t="shared" si="42"/>
        <v>81</v>
      </c>
      <c r="H672">
        <f t="shared" si="43"/>
        <v>234</v>
      </c>
      <c r="I672">
        <v>816</v>
      </c>
      <c r="J672">
        <v>2349</v>
      </c>
      <c r="K672" s="18" t="s">
        <v>844</v>
      </c>
      <c r="L672" s="21">
        <v>7.3</v>
      </c>
    </row>
    <row r="673" spans="1:12" x14ac:dyDescent="0.25">
      <c r="A673" t="str">
        <f t="shared" si="40"/>
        <v>2012-JP-Sla-81-559-2337</v>
      </c>
      <c r="B673" t="str">
        <f t="shared" si="41"/>
        <v>2012</v>
      </c>
      <c r="C673" s="18" t="s">
        <v>928</v>
      </c>
      <c r="D673" t="s">
        <v>1269</v>
      </c>
      <c r="E673" t="s">
        <v>1326</v>
      </c>
      <c r="F673">
        <v>81</v>
      </c>
      <c r="G673">
        <f t="shared" si="42"/>
        <v>55</v>
      </c>
      <c r="H673">
        <f t="shared" si="43"/>
        <v>233</v>
      </c>
      <c r="I673">
        <v>559</v>
      </c>
      <c r="J673">
        <v>2337</v>
      </c>
      <c r="K673" s="18" t="s">
        <v>847</v>
      </c>
      <c r="L673" s="21">
        <v>5.5</v>
      </c>
    </row>
    <row r="674" spans="1:12" x14ac:dyDescent="0.25">
      <c r="A674" t="str">
        <f t="shared" si="40"/>
        <v>2012-JP-Sla-96-592-2354</v>
      </c>
      <c r="B674" t="str">
        <f t="shared" si="41"/>
        <v>2012</v>
      </c>
      <c r="C674" s="18" t="s">
        <v>928</v>
      </c>
      <c r="D674" t="s">
        <v>1269</v>
      </c>
      <c r="E674" t="s">
        <v>1327</v>
      </c>
      <c r="F674">
        <v>96</v>
      </c>
      <c r="G674">
        <f t="shared" si="42"/>
        <v>59</v>
      </c>
      <c r="H674">
        <f t="shared" si="43"/>
        <v>235</v>
      </c>
      <c r="I674">
        <v>592</v>
      </c>
      <c r="J674">
        <v>2354</v>
      </c>
      <c r="K674" s="18" t="s">
        <v>847</v>
      </c>
      <c r="L674" s="21">
        <v>6.1</v>
      </c>
    </row>
    <row r="675" spans="1:12" x14ac:dyDescent="0.25">
      <c r="A675" t="str">
        <f t="shared" si="40"/>
        <v>2012-JP-Sla-108-663-2393</v>
      </c>
      <c r="B675" t="str">
        <f t="shared" si="41"/>
        <v>2012</v>
      </c>
      <c r="C675" s="18" t="s">
        <v>928</v>
      </c>
      <c r="D675" t="s">
        <v>1269</v>
      </c>
      <c r="E675" t="s">
        <v>1328</v>
      </c>
      <c r="F675">
        <v>108</v>
      </c>
      <c r="G675">
        <f t="shared" si="42"/>
        <v>66</v>
      </c>
      <c r="H675">
        <f t="shared" si="43"/>
        <v>239</v>
      </c>
      <c r="I675">
        <v>663</v>
      </c>
      <c r="J675">
        <v>2393</v>
      </c>
      <c r="K675" s="18" t="s">
        <v>847</v>
      </c>
      <c r="L675" s="21">
        <v>6.4</v>
      </c>
    </row>
    <row r="676" spans="1:12" x14ac:dyDescent="0.25">
      <c r="A676" t="str">
        <f t="shared" si="40"/>
        <v>2012-JP-Sla-118-679-2341</v>
      </c>
      <c r="B676" t="str">
        <f t="shared" si="41"/>
        <v>2012</v>
      </c>
      <c r="C676" s="18" t="s">
        <v>928</v>
      </c>
      <c r="D676" t="s">
        <v>1269</v>
      </c>
      <c r="E676" t="s">
        <v>1329</v>
      </c>
      <c r="F676">
        <v>118</v>
      </c>
      <c r="G676">
        <f t="shared" si="42"/>
        <v>67</v>
      </c>
      <c r="H676">
        <f t="shared" si="43"/>
        <v>234</v>
      </c>
      <c r="I676">
        <v>679</v>
      </c>
      <c r="J676">
        <v>2341</v>
      </c>
      <c r="K676" s="18" t="s">
        <v>847</v>
      </c>
      <c r="L676" s="21">
        <v>6.4</v>
      </c>
    </row>
    <row r="677" spans="1:12" x14ac:dyDescent="0.25">
      <c r="A677" t="str">
        <f t="shared" si="40"/>
        <v>2012-JP-Sla-130-778-2394</v>
      </c>
      <c r="B677" t="str">
        <f t="shared" si="41"/>
        <v>2012</v>
      </c>
      <c r="C677" s="18" t="s">
        <v>928</v>
      </c>
      <c r="D677" t="s">
        <v>1269</v>
      </c>
      <c r="E677" t="s">
        <v>1330</v>
      </c>
      <c r="F677">
        <v>130</v>
      </c>
      <c r="G677">
        <f t="shared" si="42"/>
        <v>77</v>
      </c>
      <c r="H677">
        <f t="shared" si="43"/>
        <v>239</v>
      </c>
      <c r="I677">
        <v>778</v>
      </c>
      <c r="J677">
        <v>2394</v>
      </c>
      <c r="K677" s="18" t="s">
        <v>847</v>
      </c>
      <c r="L677" s="21">
        <v>7.1</v>
      </c>
    </row>
    <row r="678" spans="1:12" x14ac:dyDescent="0.25">
      <c r="A678" t="str">
        <f t="shared" si="40"/>
        <v>2012-JP-Sla-140-844-2355</v>
      </c>
      <c r="B678" t="str">
        <f t="shared" si="41"/>
        <v>2012</v>
      </c>
      <c r="C678" s="18" t="s">
        <v>928</v>
      </c>
      <c r="D678" t="s">
        <v>1269</v>
      </c>
      <c r="E678" t="s">
        <v>1331</v>
      </c>
      <c r="F678">
        <v>140</v>
      </c>
      <c r="G678">
        <f t="shared" si="42"/>
        <v>84</v>
      </c>
      <c r="H678">
        <f t="shared" si="43"/>
        <v>235</v>
      </c>
      <c r="I678">
        <v>844</v>
      </c>
      <c r="J678">
        <v>2355</v>
      </c>
      <c r="K678" s="18" t="s">
        <v>847</v>
      </c>
      <c r="L678" s="21">
        <v>7.4</v>
      </c>
    </row>
    <row r="679" spans="1:12" x14ac:dyDescent="0.25">
      <c r="A679" t="str">
        <f t="shared" si="40"/>
        <v>2012-JP-Spe-50-500-2283</v>
      </c>
      <c r="B679" t="str">
        <f t="shared" si="41"/>
        <v>2012</v>
      </c>
      <c r="C679" s="18" t="s">
        <v>928</v>
      </c>
      <c r="D679" t="s">
        <v>1269</v>
      </c>
      <c r="E679" t="s">
        <v>1332</v>
      </c>
      <c r="F679">
        <v>50</v>
      </c>
      <c r="G679">
        <f t="shared" si="42"/>
        <v>50</v>
      </c>
      <c r="H679">
        <f t="shared" si="43"/>
        <v>228</v>
      </c>
      <c r="I679">
        <v>500</v>
      </c>
      <c r="J679">
        <v>2283</v>
      </c>
      <c r="K679" s="18" t="s">
        <v>929</v>
      </c>
      <c r="L679" s="21">
        <v>4.7</v>
      </c>
    </row>
    <row r="680" spans="1:12" x14ac:dyDescent="0.25">
      <c r="A680" t="str">
        <f t="shared" si="40"/>
        <v>2013-JP-Sla-81-559-2337</v>
      </c>
      <c r="B680" t="str">
        <f t="shared" si="41"/>
        <v>2013</v>
      </c>
      <c r="C680" s="18" t="s">
        <v>852</v>
      </c>
      <c r="D680" t="s">
        <v>1269</v>
      </c>
      <c r="E680" t="s">
        <v>1333</v>
      </c>
      <c r="F680">
        <v>81</v>
      </c>
      <c r="G680">
        <f t="shared" si="42"/>
        <v>55</v>
      </c>
      <c r="H680">
        <f t="shared" si="43"/>
        <v>233</v>
      </c>
      <c r="I680">
        <v>559</v>
      </c>
      <c r="J680">
        <v>2337</v>
      </c>
      <c r="K680" s="18" t="s">
        <v>929</v>
      </c>
      <c r="L680" s="21">
        <v>5.5</v>
      </c>
    </row>
    <row r="681" spans="1:12" x14ac:dyDescent="0.25">
      <c r="A681" t="str">
        <f t="shared" si="40"/>
        <v>2013-JP-Spe-53-447-2276</v>
      </c>
      <c r="B681" t="str">
        <f t="shared" si="41"/>
        <v>2013</v>
      </c>
      <c r="C681" s="18" t="s">
        <v>852</v>
      </c>
      <c r="D681" t="s">
        <v>1269</v>
      </c>
      <c r="E681" t="s">
        <v>1334</v>
      </c>
      <c r="F681">
        <v>53</v>
      </c>
      <c r="G681">
        <f t="shared" si="42"/>
        <v>44</v>
      </c>
      <c r="H681">
        <f t="shared" si="43"/>
        <v>227</v>
      </c>
      <c r="I681">
        <v>447</v>
      </c>
      <c r="J681">
        <v>2276</v>
      </c>
      <c r="K681" s="18" t="s">
        <v>929</v>
      </c>
      <c r="L681" s="21">
        <v>4.5</v>
      </c>
    </row>
    <row r="682" spans="1:12" x14ac:dyDescent="0.25">
      <c r="A682" t="str">
        <f t="shared" si="40"/>
        <v>2013-JP-Spe-50-500-2283</v>
      </c>
      <c r="B682" t="str">
        <f t="shared" si="41"/>
        <v>2013</v>
      </c>
      <c r="C682" s="18" t="s">
        <v>852</v>
      </c>
      <c r="D682" t="s">
        <v>1269</v>
      </c>
      <c r="E682" t="s">
        <v>1335</v>
      </c>
      <c r="F682">
        <v>50</v>
      </c>
      <c r="G682">
        <f t="shared" si="42"/>
        <v>50</v>
      </c>
      <c r="H682">
        <f t="shared" si="43"/>
        <v>228</v>
      </c>
      <c r="I682">
        <v>500</v>
      </c>
      <c r="J682">
        <v>2283</v>
      </c>
      <c r="K682" s="18" t="s">
        <v>929</v>
      </c>
      <c r="L682" s="21">
        <v>4.7</v>
      </c>
    </row>
    <row r="683" spans="1:12" x14ac:dyDescent="0.25">
      <c r="A683" t="str">
        <f t="shared" si="40"/>
        <v>2013-JP-Spe-73-538-2311</v>
      </c>
      <c r="B683" t="str">
        <f t="shared" si="41"/>
        <v>2013</v>
      </c>
      <c r="C683" s="18" t="s">
        <v>852</v>
      </c>
      <c r="D683" t="s">
        <v>1269</v>
      </c>
      <c r="E683" t="s">
        <v>1336</v>
      </c>
      <c r="F683">
        <v>73</v>
      </c>
      <c r="G683">
        <f t="shared" si="42"/>
        <v>53</v>
      </c>
      <c r="H683">
        <f t="shared" si="43"/>
        <v>231</v>
      </c>
      <c r="I683">
        <v>538</v>
      </c>
      <c r="J683">
        <v>2311</v>
      </c>
      <c r="K683" s="18" t="s">
        <v>929</v>
      </c>
      <c r="L683" s="21">
        <v>5.0999999999999996</v>
      </c>
    </row>
    <row r="684" spans="1:12" x14ac:dyDescent="0.25">
      <c r="A684" t="str">
        <f t="shared" si="40"/>
        <v>2013-JP-Sla-91-590-2360</v>
      </c>
      <c r="B684" t="str">
        <f t="shared" si="41"/>
        <v>2013</v>
      </c>
      <c r="C684" s="18" t="s">
        <v>852</v>
      </c>
      <c r="D684" t="s">
        <v>1269</v>
      </c>
      <c r="E684" t="s">
        <v>1337</v>
      </c>
      <c r="F684">
        <v>91</v>
      </c>
      <c r="G684">
        <f t="shared" si="42"/>
        <v>59</v>
      </c>
      <c r="H684">
        <f t="shared" si="43"/>
        <v>236</v>
      </c>
      <c r="I684">
        <v>590</v>
      </c>
      <c r="J684">
        <v>2360</v>
      </c>
      <c r="K684" s="18" t="s">
        <v>929</v>
      </c>
      <c r="L684" s="21">
        <v>5.7</v>
      </c>
    </row>
    <row r="685" spans="1:12" x14ac:dyDescent="0.25">
      <c r="A685" t="str">
        <f t="shared" si="40"/>
        <v>2013-JP-Sla-102-660-2400</v>
      </c>
      <c r="B685" t="str">
        <f t="shared" si="41"/>
        <v>2013</v>
      </c>
      <c r="C685" s="18" t="s">
        <v>852</v>
      </c>
      <c r="D685" t="s">
        <v>1269</v>
      </c>
      <c r="E685" t="s">
        <v>1338</v>
      </c>
      <c r="F685">
        <v>102</v>
      </c>
      <c r="G685">
        <f t="shared" si="42"/>
        <v>66</v>
      </c>
      <c r="H685">
        <f t="shared" si="43"/>
        <v>240</v>
      </c>
      <c r="I685">
        <v>660</v>
      </c>
      <c r="J685">
        <v>2400</v>
      </c>
      <c r="K685" s="18" t="s">
        <v>929</v>
      </c>
      <c r="L685" s="21">
        <v>5.9</v>
      </c>
    </row>
    <row r="686" spans="1:12" x14ac:dyDescent="0.25">
      <c r="A686" t="str">
        <f t="shared" si="40"/>
        <v>2013-JP-Sla-112-680-2400</v>
      </c>
      <c r="B686" t="str">
        <f t="shared" si="41"/>
        <v>2013</v>
      </c>
      <c r="C686" s="18" t="s">
        <v>852</v>
      </c>
      <c r="D686" t="s">
        <v>1269</v>
      </c>
      <c r="E686" t="s">
        <v>1339</v>
      </c>
      <c r="F686">
        <v>112</v>
      </c>
      <c r="G686">
        <f t="shared" si="42"/>
        <v>68</v>
      </c>
      <c r="H686">
        <f t="shared" si="43"/>
        <v>240</v>
      </c>
      <c r="I686">
        <v>680</v>
      </c>
      <c r="J686">
        <v>2400</v>
      </c>
      <c r="K686" s="18" t="s">
        <v>929</v>
      </c>
      <c r="L686" s="21">
        <v>6.2</v>
      </c>
    </row>
    <row r="687" spans="1:12" x14ac:dyDescent="0.25">
      <c r="A687" t="str">
        <f t="shared" si="40"/>
        <v>2013-JP-Sla-125-800-2400</v>
      </c>
      <c r="B687" t="str">
        <f t="shared" si="41"/>
        <v>2013</v>
      </c>
      <c r="C687" s="18" t="s">
        <v>852</v>
      </c>
      <c r="D687" t="s">
        <v>1269</v>
      </c>
      <c r="E687" t="s">
        <v>1340</v>
      </c>
      <c r="F687">
        <v>125</v>
      </c>
      <c r="G687">
        <f t="shared" si="42"/>
        <v>80</v>
      </c>
      <c r="H687">
        <f t="shared" si="43"/>
        <v>240</v>
      </c>
      <c r="I687">
        <v>800</v>
      </c>
      <c r="J687">
        <v>2400</v>
      </c>
      <c r="K687" s="18" t="s">
        <v>929</v>
      </c>
      <c r="L687" s="21">
        <v>6.8</v>
      </c>
    </row>
    <row r="688" spans="1:12" x14ac:dyDescent="0.25">
      <c r="A688" t="str">
        <f t="shared" si="40"/>
        <v>2013-JP-Sla-135-840-2350</v>
      </c>
      <c r="B688" t="str">
        <f t="shared" si="41"/>
        <v>2013</v>
      </c>
      <c r="C688" s="18" t="s">
        <v>852</v>
      </c>
      <c r="D688" t="s">
        <v>1269</v>
      </c>
      <c r="E688" t="s">
        <v>1341</v>
      </c>
      <c r="F688">
        <v>135</v>
      </c>
      <c r="G688">
        <f t="shared" si="42"/>
        <v>84</v>
      </c>
      <c r="H688">
        <f t="shared" si="43"/>
        <v>235</v>
      </c>
      <c r="I688">
        <v>840</v>
      </c>
      <c r="J688">
        <v>2350</v>
      </c>
      <c r="K688" s="18" t="s">
        <v>929</v>
      </c>
      <c r="L688" s="21">
        <v>7.2</v>
      </c>
    </row>
    <row r="689" spans="1:12" x14ac:dyDescent="0.25">
      <c r="A689" t="str">
        <f t="shared" si="40"/>
        <v>2014-JP-Sla-91-590-2357</v>
      </c>
      <c r="B689" t="str">
        <f t="shared" si="41"/>
        <v>2014</v>
      </c>
      <c r="C689" s="18" t="s">
        <v>733</v>
      </c>
      <c r="D689" t="s">
        <v>1269</v>
      </c>
      <c r="E689" t="s">
        <v>1342</v>
      </c>
      <c r="F689">
        <v>91</v>
      </c>
      <c r="G689">
        <f t="shared" si="42"/>
        <v>59</v>
      </c>
      <c r="H689">
        <f t="shared" si="43"/>
        <v>235</v>
      </c>
      <c r="I689">
        <v>590</v>
      </c>
      <c r="J689">
        <v>2357</v>
      </c>
      <c r="K689" s="18" t="s">
        <v>852</v>
      </c>
      <c r="L689" s="21">
        <v>5.7</v>
      </c>
    </row>
    <row r="690" spans="1:12" x14ac:dyDescent="0.25">
      <c r="A690" t="str">
        <f t="shared" si="40"/>
        <v>2014-JP-Sla-112-679-2393</v>
      </c>
      <c r="B690" t="str">
        <f t="shared" si="41"/>
        <v>2014</v>
      </c>
      <c r="C690" s="18" t="s">
        <v>733</v>
      </c>
      <c r="D690" t="s">
        <v>1269</v>
      </c>
      <c r="E690" t="s">
        <v>1343</v>
      </c>
      <c r="F690">
        <v>112</v>
      </c>
      <c r="G690">
        <f t="shared" si="42"/>
        <v>67</v>
      </c>
      <c r="H690">
        <f t="shared" si="43"/>
        <v>239</v>
      </c>
      <c r="I690">
        <v>679</v>
      </c>
      <c r="J690">
        <v>2393</v>
      </c>
      <c r="K690" s="18" t="s">
        <v>852</v>
      </c>
      <c r="L690" s="21">
        <v>6.3</v>
      </c>
    </row>
    <row r="691" spans="1:12" x14ac:dyDescent="0.25">
      <c r="A691" t="str">
        <f t="shared" si="40"/>
        <v>2014-JP-Sla-135-840-2346</v>
      </c>
      <c r="B691" t="str">
        <f t="shared" si="41"/>
        <v>2014</v>
      </c>
      <c r="C691" s="18" t="s">
        <v>733</v>
      </c>
      <c r="D691" t="s">
        <v>1269</v>
      </c>
      <c r="E691" t="s">
        <v>1344</v>
      </c>
      <c r="F691">
        <v>135</v>
      </c>
      <c r="G691">
        <f t="shared" si="42"/>
        <v>84</v>
      </c>
      <c r="H691">
        <f t="shared" si="43"/>
        <v>234</v>
      </c>
      <c r="I691">
        <v>840</v>
      </c>
      <c r="J691">
        <v>2346</v>
      </c>
      <c r="K691" s="18" t="s">
        <v>852</v>
      </c>
      <c r="L691" s="21">
        <v>7.1</v>
      </c>
    </row>
    <row r="692" spans="1:12" x14ac:dyDescent="0.25">
      <c r="A692" t="str">
        <f t="shared" si="40"/>
        <v>2014-JP-Sla-108-663-2394</v>
      </c>
      <c r="B692" t="str">
        <f t="shared" si="41"/>
        <v>2014</v>
      </c>
      <c r="C692" s="18" t="s">
        <v>733</v>
      </c>
      <c r="D692" t="s">
        <v>1269</v>
      </c>
      <c r="E692" t="s">
        <v>1345</v>
      </c>
      <c r="F692">
        <v>108</v>
      </c>
      <c r="G692">
        <f t="shared" si="42"/>
        <v>66</v>
      </c>
      <c r="H692">
        <f t="shared" si="43"/>
        <v>239</v>
      </c>
      <c r="I692">
        <v>663</v>
      </c>
      <c r="J692">
        <v>2394</v>
      </c>
      <c r="K692" s="18" t="s">
        <v>733</v>
      </c>
      <c r="L692" s="21">
        <v>6.1</v>
      </c>
    </row>
    <row r="693" spans="1:12" x14ac:dyDescent="0.25">
      <c r="A693" t="str">
        <f t="shared" si="40"/>
        <v>2014-JP-Sla-130-800-2390</v>
      </c>
      <c r="B693" t="str">
        <f t="shared" si="41"/>
        <v>2014</v>
      </c>
      <c r="C693" s="18" t="s">
        <v>733</v>
      </c>
      <c r="D693" t="s">
        <v>1269</v>
      </c>
      <c r="E693" t="s">
        <v>1346</v>
      </c>
      <c r="F693">
        <v>130</v>
      </c>
      <c r="G693">
        <f t="shared" si="42"/>
        <v>80</v>
      </c>
      <c r="H693">
        <f t="shared" si="43"/>
        <v>239</v>
      </c>
      <c r="I693">
        <v>800</v>
      </c>
      <c r="J693">
        <v>2390</v>
      </c>
      <c r="K693" s="18" t="s">
        <v>733</v>
      </c>
      <c r="L693" s="21">
        <v>6.8</v>
      </c>
    </row>
    <row r="694" spans="1:12" x14ac:dyDescent="0.25">
      <c r="A694" t="str">
        <f t="shared" si="40"/>
        <v>2014-JP-Spe-82-551-2350</v>
      </c>
      <c r="B694" t="str">
        <f t="shared" si="41"/>
        <v>2014</v>
      </c>
      <c r="C694" s="18" t="s">
        <v>733</v>
      </c>
      <c r="D694" t="s">
        <v>1269</v>
      </c>
      <c r="E694" t="s">
        <v>1347</v>
      </c>
      <c r="F694">
        <v>82</v>
      </c>
      <c r="G694">
        <f t="shared" si="42"/>
        <v>55</v>
      </c>
      <c r="H694">
        <f t="shared" si="43"/>
        <v>235</v>
      </c>
      <c r="I694">
        <v>551</v>
      </c>
      <c r="J694">
        <v>2350</v>
      </c>
      <c r="K694" s="18" t="s">
        <v>733</v>
      </c>
      <c r="L694" s="21">
        <v>5.3</v>
      </c>
    </row>
    <row r="695" spans="1:12" x14ac:dyDescent="0.25">
      <c r="A695" t="str">
        <f t="shared" si="40"/>
        <v>2015-JP-Sla-94-600-2360</v>
      </c>
      <c r="B695" t="str">
        <f t="shared" si="41"/>
        <v>2015</v>
      </c>
      <c r="C695" s="18" t="s">
        <v>741</v>
      </c>
      <c r="D695" t="s">
        <v>1269</v>
      </c>
      <c r="E695" t="s">
        <v>1348</v>
      </c>
      <c r="F695">
        <v>94</v>
      </c>
      <c r="G695">
        <f t="shared" si="42"/>
        <v>60</v>
      </c>
      <c r="H695">
        <f t="shared" si="43"/>
        <v>236</v>
      </c>
      <c r="I695">
        <v>600</v>
      </c>
      <c r="J695">
        <v>2360</v>
      </c>
      <c r="K695" s="18" t="s">
        <v>733</v>
      </c>
      <c r="L695" s="21">
        <v>5.8</v>
      </c>
    </row>
    <row r="696" spans="1:12" x14ac:dyDescent="0.25">
      <c r="A696" t="str">
        <f t="shared" si="40"/>
        <v>2015-JP-Sla-108-663-2402</v>
      </c>
      <c r="B696" t="str">
        <f t="shared" si="41"/>
        <v>2015</v>
      </c>
      <c r="C696" s="18" t="s">
        <v>741</v>
      </c>
      <c r="D696" t="s">
        <v>1269</v>
      </c>
      <c r="E696" t="s">
        <v>1349</v>
      </c>
      <c r="F696">
        <v>108</v>
      </c>
      <c r="G696">
        <f t="shared" si="42"/>
        <v>66</v>
      </c>
      <c r="H696">
        <f t="shared" si="43"/>
        <v>240</v>
      </c>
      <c r="I696">
        <v>663</v>
      </c>
      <c r="J696">
        <v>2402</v>
      </c>
      <c r="K696" s="18" t="s">
        <v>733</v>
      </c>
      <c r="L696" s="21">
        <v>6.1</v>
      </c>
    </row>
    <row r="697" spans="1:12" x14ac:dyDescent="0.25">
      <c r="A697" t="str">
        <f t="shared" si="40"/>
        <v>2015-JP-Sla-112-691-2392</v>
      </c>
      <c r="B697" t="str">
        <f t="shared" si="41"/>
        <v>2015</v>
      </c>
      <c r="C697" s="18" t="s">
        <v>741</v>
      </c>
      <c r="D697" t="s">
        <v>1269</v>
      </c>
      <c r="E697" t="s">
        <v>1350</v>
      </c>
      <c r="F697">
        <v>112</v>
      </c>
      <c r="G697">
        <f t="shared" si="42"/>
        <v>69</v>
      </c>
      <c r="H697">
        <f t="shared" si="43"/>
        <v>239</v>
      </c>
      <c r="I697">
        <v>691</v>
      </c>
      <c r="J697">
        <v>2392</v>
      </c>
      <c r="K697" s="18" t="s">
        <v>733</v>
      </c>
      <c r="L697" s="21">
        <v>6.3</v>
      </c>
    </row>
    <row r="698" spans="1:12" x14ac:dyDescent="0.25">
      <c r="A698" t="str">
        <f t="shared" si="40"/>
        <v>2015-JP-Sla-123-781-2394</v>
      </c>
      <c r="B698" t="str">
        <f t="shared" si="41"/>
        <v>2015</v>
      </c>
      <c r="C698" s="18" t="s">
        <v>741</v>
      </c>
      <c r="D698" t="s">
        <v>1269</v>
      </c>
      <c r="E698" t="s">
        <v>1351</v>
      </c>
      <c r="F698">
        <v>123</v>
      </c>
      <c r="G698">
        <f t="shared" si="42"/>
        <v>78</v>
      </c>
      <c r="H698">
        <f t="shared" si="43"/>
        <v>239</v>
      </c>
      <c r="I698">
        <v>781</v>
      </c>
      <c r="J698">
        <v>2394</v>
      </c>
      <c r="K698" s="18" t="s">
        <v>733</v>
      </c>
      <c r="L698" s="21">
        <v>6.7</v>
      </c>
    </row>
    <row r="699" spans="1:12" x14ac:dyDescent="0.25">
      <c r="A699" t="str">
        <f t="shared" si="40"/>
        <v>2015-JP-Sla-130-800-2397</v>
      </c>
      <c r="B699" t="str">
        <f t="shared" si="41"/>
        <v>2015</v>
      </c>
      <c r="C699" s="18" t="s">
        <v>741</v>
      </c>
      <c r="D699" t="s">
        <v>1269</v>
      </c>
      <c r="E699" t="s">
        <v>1352</v>
      </c>
      <c r="F699">
        <v>130</v>
      </c>
      <c r="G699">
        <f t="shared" si="42"/>
        <v>80</v>
      </c>
      <c r="H699">
        <f t="shared" si="43"/>
        <v>239</v>
      </c>
      <c r="I699">
        <v>800</v>
      </c>
      <c r="J699">
        <v>2397</v>
      </c>
      <c r="K699" s="18" t="s">
        <v>733</v>
      </c>
      <c r="L699" s="21">
        <v>6.9</v>
      </c>
    </row>
    <row r="700" spans="1:12" x14ac:dyDescent="0.25">
      <c r="A700" t="str">
        <f t="shared" si="40"/>
        <v>2015-JP-Sla-132-820-2395</v>
      </c>
      <c r="B700" t="str">
        <f t="shared" si="41"/>
        <v>2015</v>
      </c>
      <c r="C700" s="18" t="s">
        <v>741</v>
      </c>
      <c r="D700" t="s">
        <v>1269</v>
      </c>
      <c r="E700" t="s">
        <v>1353</v>
      </c>
      <c r="F700">
        <v>132</v>
      </c>
      <c r="G700">
        <f t="shared" si="42"/>
        <v>82</v>
      </c>
      <c r="H700">
        <f t="shared" si="43"/>
        <v>239</v>
      </c>
      <c r="I700">
        <v>820</v>
      </c>
      <c r="J700">
        <v>2395</v>
      </c>
      <c r="K700" s="18" t="s">
        <v>733</v>
      </c>
      <c r="L700" s="21">
        <v>7.1</v>
      </c>
    </row>
    <row r="701" spans="1:12" x14ac:dyDescent="0.25">
      <c r="A701" t="str">
        <f t="shared" si="40"/>
        <v>2015-JP-Sla-137-852-2294</v>
      </c>
      <c r="B701" t="str">
        <f t="shared" si="41"/>
        <v>2015</v>
      </c>
      <c r="C701" s="18" t="s">
        <v>741</v>
      </c>
      <c r="D701" t="s">
        <v>1269</v>
      </c>
      <c r="E701" t="s">
        <v>1354</v>
      </c>
      <c r="F701">
        <v>137</v>
      </c>
      <c r="G701">
        <f t="shared" si="42"/>
        <v>85</v>
      </c>
      <c r="H701">
        <f t="shared" si="43"/>
        <v>229</v>
      </c>
      <c r="I701">
        <v>852</v>
      </c>
      <c r="J701">
        <v>2294</v>
      </c>
      <c r="K701" s="18" t="s">
        <v>733</v>
      </c>
      <c r="L701" s="21">
        <v>7</v>
      </c>
    </row>
    <row r="702" spans="1:12" x14ac:dyDescent="0.25">
      <c r="A702" t="e">
        <f t="shared" si="40"/>
        <v>#VALUE!</v>
      </c>
      <c r="B702" t="str">
        <f t="shared" si="41"/>
        <v>2016</v>
      </c>
      <c r="C702" s="18" t="s">
        <v>747</v>
      </c>
      <c r="D702" t="s">
        <v>1269</v>
      </c>
      <c r="E702" t="s">
        <v>1348</v>
      </c>
      <c r="F702">
        <v>94</v>
      </c>
      <c r="G702">
        <f t="shared" si="42"/>
        <v>60</v>
      </c>
      <c r="H702" t="e">
        <f t="shared" si="43"/>
        <v>#VALUE!</v>
      </c>
      <c r="I702">
        <v>600</v>
      </c>
      <c r="J702" t="s">
        <v>1356</v>
      </c>
      <c r="K702" s="18" t="s">
        <v>1355</v>
      </c>
      <c r="L702" s="21">
        <v>5.7</v>
      </c>
    </row>
    <row r="703" spans="1:12" x14ac:dyDescent="0.25">
      <c r="A703" t="e">
        <f t="shared" si="40"/>
        <v>#VALUE!</v>
      </c>
      <c r="B703" t="str">
        <f t="shared" si="41"/>
        <v>2016</v>
      </c>
      <c r="C703" s="18" t="s">
        <v>747</v>
      </c>
      <c r="D703" t="s">
        <v>1269</v>
      </c>
      <c r="E703" t="s">
        <v>1357</v>
      </c>
      <c r="F703">
        <v>96</v>
      </c>
      <c r="G703">
        <f t="shared" si="42"/>
        <v>62</v>
      </c>
      <c r="H703" t="e">
        <f t="shared" si="43"/>
        <v>#VALUE!</v>
      </c>
      <c r="I703">
        <v>621</v>
      </c>
      <c r="J703" t="s">
        <v>1358</v>
      </c>
      <c r="K703" s="18" t="s">
        <v>1355</v>
      </c>
      <c r="L703" s="21">
        <v>5.7</v>
      </c>
    </row>
    <row r="704" spans="1:12" x14ac:dyDescent="0.25">
      <c r="A704" t="e">
        <f t="shared" si="40"/>
        <v>#VALUE!</v>
      </c>
      <c r="B704" t="str">
        <f t="shared" si="41"/>
        <v>2016</v>
      </c>
      <c r="C704" s="18" t="s">
        <v>747</v>
      </c>
      <c r="D704" t="s">
        <v>1269</v>
      </c>
      <c r="E704" t="s">
        <v>1359</v>
      </c>
      <c r="F704">
        <v>113</v>
      </c>
      <c r="G704">
        <f t="shared" si="42"/>
        <v>71</v>
      </c>
      <c r="H704" t="e">
        <f t="shared" si="43"/>
        <v>#VALUE!</v>
      </c>
      <c r="I704">
        <v>712</v>
      </c>
      <c r="J704" t="s">
        <v>1358</v>
      </c>
      <c r="K704" s="18" t="s">
        <v>1355</v>
      </c>
      <c r="L704" s="21">
        <v>6.4</v>
      </c>
    </row>
    <row r="705" spans="1:12" x14ac:dyDescent="0.25">
      <c r="A705" t="e">
        <f t="shared" si="40"/>
        <v>#VALUE!</v>
      </c>
      <c r="B705" t="str">
        <f t="shared" si="41"/>
        <v>2016</v>
      </c>
      <c r="C705" s="18" t="s">
        <v>747</v>
      </c>
      <c r="D705" t="s">
        <v>1269</v>
      </c>
      <c r="E705" t="s">
        <v>1353</v>
      </c>
      <c r="F705">
        <v>123</v>
      </c>
      <c r="G705">
        <f t="shared" si="42"/>
        <v>82</v>
      </c>
      <c r="H705" t="e">
        <f t="shared" si="43"/>
        <v>#VALUE!</v>
      </c>
      <c r="I705">
        <v>820</v>
      </c>
      <c r="J705" t="s">
        <v>1360</v>
      </c>
      <c r="K705" s="18" t="s">
        <v>1355</v>
      </c>
      <c r="L705" s="21">
        <v>6.9</v>
      </c>
    </row>
    <row r="706" spans="1:12" x14ac:dyDescent="0.25">
      <c r="A706" t="e">
        <f t="shared" ref="A706:A769" si="44">_xlfn.CONCAT(B706,"-",LEFT(D706,2),"-",LEFT(E706,3),"-",F706,"-",TRUNC(I706),"-",TRUNC(J706))</f>
        <v>#VALUE!</v>
      </c>
      <c r="B706" t="str">
        <f t="shared" ref="B706:B769" si="45">LEFT(C706,4)</f>
        <v>2016</v>
      </c>
      <c r="C706" s="18" t="s">
        <v>747</v>
      </c>
      <c r="D706" t="s">
        <v>1269</v>
      </c>
      <c r="E706" t="s">
        <v>1354</v>
      </c>
      <c r="F706">
        <v>132</v>
      </c>
      <c r="G706">
        <f t="shared" si="42"/>
        <v>84</v>
      </c>
      <c r="H706" t="e">
        <f t="shared" si="43"/>
        <v>#VALUE!</v>
      </c>
      <c r="I706">
        <v>848</v>
      </c>
      <c r="J706" t="s">
        <v>1361</v>
      </c>
      <c r="K706" s="18" t="s">
        <v>1355</v>
      </c>
      <c r="L706" s="21">
        <v>7</v>
      </c>
    </row>
    <row r="707" spans="1:12" x14ac:dyDescent="0.25">
      <c r="A707" t="str">
        <f t="shared" si="44"/>
        <v>2017-JP-Sla-78-551-2332</v>
      </c>
      <c r="B707" t="str">
        <f t="shared" si="45"/>
        <v>2017</v>
      </c>
      <c r="C707" s="18" t="s">
        <v>753</v>
      </c>
      <c r="D707" t="s">
        <v>1269</v>
      </c>
      <c r="E707" t="s">
        <v>1362</v>
      </c>
      <c r="F707">
        <v>78</v>
      </c>
      <c r="G707">
        <f t="shared" ref="G707:G770" si="46">TRUNC(I707/10)</f>
        <v>55</v>
      </c>
      <c r="H707">
        <f t="shared" ref="H707:H770" si="47">TRUNC(J707/10)</f>
        <v>233</v>
      </c>
      <c r="I707">
        <v>551</v>
      </c>
      <c r="J707">
        <v>2332</v>
      </c>
      <c r="K707" s="18" t="s">
        <v>1363</v>
      </c>
      <c r="L707" s="21">
        <v>5.5</v>
      </c>
    </row>
    <row r="708" spans="1:12" x14ac:dyDescent="0.25">
      <c r="A708" t="str">
        <f t="shared" si="44"/>
        <v>2017-JP-Sla-88-601-2330</v>
      </c>
      <c r="B708" t="str">
        <f t="shared" si="45"/>
        <v>2017</v>
      </c>
      <c r="C708" s="18" t="s">
        <v>753</v>
      </c>
      <c r="D708" t="s">
        <v>1269</v>
      </c>
      <c r="E708" t="s">
        <v>1364</v>
      </c>
      <c r="F708">
        <v>88</v>
      </c>
      <c r="G708">
        <f t="shared" si="46"/>
        <v>60</v>
      </c>
      <c r="H708">
        <f t="shared" si="47"/>
        <v>233</v>
      </c>
      <c r="I708">
        <v>601</v>
      </c>
      <c r="J708">
        <v>2330</v>
      </c>
      <c r="K708" s="18" t="s">
        <v>1363</v>
      </c>
      <c r="L708" s="21">
        <v>5.7</v>
      </c>
    </row>
    <row r="709" spans="1:12" x14ac:dyDescent="0.25">
      <c r="A709" t="str">
        <f t="shared" si="44"/>
        <v>2017-JP-Sla-92-620-2333</v>
      </c>
      <c r="B709" t="str">
        <f t="shared" si="45"/>
        <v>2017</v>
      </c>
      <c r="C709" s="18" t="s">
        <v>753</v>
      </c>
      <c r="D709" t="s">
        <v>1269</v>
      </c>
      <c r="E709" t="s">
        <v>1365</v>
      </c>
      <c r="F709">
        <v>92</v>
      </c>
      <c r="G709">
        <f t="shared" si="46"/>
        <v>62</v>
      </c>
      <c r="H709">
        <f t="shared" si="47"/>
        <v>233</v>
      </c>
      <c r="I709">
        <v>620</v>
      </c>
      <c r="J709">
        <v>2333</v>
      </c>
      <c r="K709" s="18" t="s">
        <v>1363</v>
      </c>
      <c r="L709" s="21">
        <v>5.8</v>
      </c>
    </row>
    <row r="710" spans="1:12" x14ac:dyDescent="0.25">
      <c r="A710" t="str">
        <f t="shared" si="44"/>
        <v>2017-JP-Sla-104-680-2323</v>
      </c>
      <c r="B710" t="str">
        <f t="shared" si="45"/>
        <v>2017</v>
      </c>
      <c r="C710" s="18" t="s">
        <v>753</v>
      </c>
      <c r="D710" t="s">
        <v>1269</v>
      </c>
      <c r="E710" t="s">
        <v>1343</v>
      </c>
      <c r="F710">
        <v>104</v>
      </c>
      <c r="G710">
        <f t="shared" si="46"/>
        <v>68</v>
      </c>
      <c r="H710">
        <f t="shared" si="47"/>
        <v>232</v>
      </c>
      <c r="I710">
        <v>680</v>
      </c>
      <c r="J710">
        <v>2323</v>
      </c>
      <c r="K710" s="18" t="s">
        <v>1363</v>
      </c>
      <c r="L710" s="21">
        <v>6.2</v>
      </c>
    </row>
    <row r="711" spans="1:12" x14ac:dyDescent="0.25">
      <c r="A711" t="str">
        <f t="shared" si="44"/>
        <v>2017-JP-Sla-113-712-2316</v>
      </c>
      <c r="B711" t="str">
        <f t="shared" si="45"/>
        <v>2017</v>
      </c>
      <c r="C711" s="18" t="s">
        <v>753</v>
      </c>
      <c r="D711" t="s">
        <v>1269</v>
      </c>
      <c r="E711" t="s">
        <v>1366</v>
      </c>
      <c r="F711">
        <v>113</v>
      </c>
      <c r="G711">
        <f t="shared" si="46"/>
        <v>71</v>
      </c>
      <c r="H711">
        <f t="shared" si="47"/>
        <v>231</v>
      </c>
      <c r="I711">
        <v>712</v>
      </c>
      <c r="J711">
        <v>2316</v>
      </c>
      <c r="K711" s="18" t="s">
        <v>1363</v>
      </c>
      <c r="L711" s="21">
        <v>6.4</v>
      </c>
    </row>
    <row r="712" spans="1:12" x14ac:dyDescent="0.25">
      <c r="A712" t="str">
        <f t="shared" si="44"/>
        <v>2017-JP-Sla-121-822-2277</v>
      </c>
      <c r="B712" t="str">
        <f t="shared" si="45"/>
        <v>2017</v>
      </c>
      <c r="C712" s="18" t="s">
        <v>753</v>
      </c>
      <c r="D712" t="s">
        <v>1269</v>
      </c>
      <c r="E712" t="s">
        <v>1367</v>
      </c>
      <c r="F712">
        <v>121</v>
      </c>
      <c r="G712">
        <f t="shared" si="46"/>
        <v>82</v>
      </c>
      <c r="H712">
        <f t="shared" si="47"/>
        <v>227</v>
      </c>
      <c r="I712">
        <v>822</v>
      </c>
      <c r="J712">
        <v>2277</v>
      </c>
      <c r="K712" s="18" t="s">
        <v>1363</v>
      </c>
      <c r="L712" s="21">
        <v>6.9</v>
      </c>
    </row>
    <row r="713" spans="1:12" x14ac:dyDescent="0.25">
      <c r="A713" t="str">
        <f t="shared" si="44"/>
        <v>2017-JP-Sla-131-850-2279</v>
      </c>
      <c r="B713" t="str">
        <f t="shared" si="45"/>
        <v>2017</v>
      </c>
      <c r="C713" s="18" t="s">
        <v>753</v>
      </c>
      <c r="D713" t="s">
        <v>1269</v>
      </c>
      <c r="E713" t="s">
        <v>1368</v>
      </c>
      <c r="F713">
        <v>131</v>
      </c>
      <c r="G713">
        <f t="shared" si="46"/>
        <v>85</v>
      </c>
      <c r="H713">
        <f t="shared" si="47"/>
        <v>227</v>
      </c>
      <c r="I713">
        <v>850</v>
      </c>
      <c r="J713">
        <v>2279</v>
      </c>
      <c r="K713" s="18" t="s">
        <v>1363</v>
      </c>
      <c r="L713" s="21">
        <v>7.2</v>
      </c>
    </row>
    <row r="714" spans="1:12" x14ac:dyDescent="0.25">
      <c r="A714" t="str">
        <f t="shared" si="44"/>
        <v>2018-JP-Sla-112-709-2280</v>
      </c>
      <c r="B714" t="str">
        <f t="shared" si="45"/>
        <v>2018</v>
      </c>
      <c r="C714" s="18" t="s">
        <v>760</v>
      </c>
      <c r="D714" t="s">
        <v>1269</v>
      </c>
      <c r="E714" t="s">
        <v>1366</v>
      </c>
      <c r="F714">
        <v>112</v>
      </c>
      <c r="G714">
        <f t="shared" si="46"/>
        <v>70</v>
      </c>
      <c r="H714">
        <f t="shared" si="47"/>
        <v>228</v>
      </c>
      <c r="I714">
        <v>709</v>
      </c>
      <c r="J714">
        <v>2280</v>
      </c>
      <c r="K714" s="18" t="s">
        <v>1369</v>
      </c>
      <c r="L714" s="21">
        <v>6.4</v>
      </c>
    </row>
    <row r="715" spans="1:12" x14ac:dyDescent="0.25">
      <c r="A715" t="str">
        <f t="shared" si="44"/>
        <v>2018-JP-Sla-144-849-2274</v>
      </c>
      <c r="B715" t="str">
        <f t="shared" si="45"/>
        <v>2018</v>
      </c>
      <c r="C715" s="18" t="s">
        <v>760</v>
      </c>
      <c r="D715" t="s">
        <v>1269</v>
      </c>
      <c r="E715" t="s">
        <v>1368</v>
      </c>
      <c r="F715">
        <v>144</v>
      </c>
      <c r="G715">
        <f t="shared" si="46"/>
        <v>84</v>
      </c>
      <c r="H715">
        <f t="shared" si="47"/>
        <v>227</v>
      </c>
      <c r="I715">
        <v>849</v>
      </c>
      <c r="J715">
        <v>2274</v>
      </c>
      <c r="K715" s="18" t="s">
        <v>1369</v>
      </c>
      <c r="L715" s="21">
        <v>7.4</v>
      </c>
    </row>
    <row r="716" spans="1:12" x14ac:dyDescent="0.25">
      <c r="A716" t="str">
        <f t="shared" si="44"/>
        <v>2018-JP-Hyd-136-856-2149</v>
      </c>
      <c r="B716" t="str">
        <f t="shared" si="45"/>
        <v>2018</v>
      </c>
      <c r="C716" s="18" t="s">
        <v>760</v>
      </c>
      <c r="D716" t="s">
        <v>1269</v>
      </c>
      <c r="E716" t="s">
        <v>1370</v>
      </c>
      <c r="F716">
        <v>136</v>
      </c>
      <c r="G716">
        <f t="shared" si="46"/>
        <v>85</v>
      </c>
      <c r="H716">
        <f t="shared" si="47"/>
        <v>214</v>
      </c>
      <c r="I716">
        <v>856</v>
      </c>
      <c r="J716">
        <v>2149</v>
      </c>
      <c r="K716" s="18" t="s">
        <v>1371</v>
      </c>
      <c r="L716" s="21">
        <v>7.8</v>
      </c>
    </row>
    <row r="717" spans="1:12" x14ac:dyDescent="0.25">
      <c r="A717" t="str">
        <f t="shared" si="44"/>
        <v>2018-JP-Hyd-154-910-2137</v>
      </c>
      <c r="B717" t="str">
        <f t="shared" si="45"/>
        <v>2018</v>
      </c>
      <c r="C717" s="18" t="s">
        <v>760</v>
      </c>
      <c r="D717" t="s">
        <v>1269</v>
      </c>
      <c r="E717" t="s">
        <v>1372</v>
      </c>
      <c r="F717">
        <v>154</v>
      </c>
      <c r="G717">
        <f t="shared" si="46"/>
        <v>91</v>
      </c>
      <c r="H717">
        <f t="shared" si="47"/>
        <v>213</v>
      </c>
      <c r="I717">
        <v>910</v>
      </c>
      <c r="J717">
        <v>2137</v>
      </c>
      <c r="K717" s="18" t="s">
        <v>1371</v>
      </c>
      <c r="L717" s="21">
        <v>8.5</v>
      </c>
    </row>
    <row r="718" spans="1:12" x14ac:dyDescent="0.25">
      <c r="A718" t="str">
        <f t="shared" si="44"/>
        <v>2019-JP-Sla-95-620-2325</v>
      </c>
      <c r="B718" t="str">
        <f t="shared" si="45"/>
        <v>2019</v>
      </c>
      <c r="C718" s="18" t="s">
        <v>763</v>
      </c>
      <c r="D718" t="s">
        <v>1269</v>
      </c>
      <c r="E718" t="s">
        <v>1365</v>
      </c>
      <c r="F718">
        <v>95</v>
      </c>
      <c r="G718">
        <f t="shared" si="46"/>
        <v>62</v>
      </c>
      <c r="H718">
        <f t="shared" si="47"/>
        <v>232</v>
      </c>
      <c r="I718">
        <v>620</v>
      </c>
      <c r="J718">
        <v>2325</v>
      </c>
      <c r="K718" s="18" t="s">
        <v>1373</v>
      </c>
      <c r="L718" s="21">
        <v>5.9</v>
      </c>
    </row>
    <row r="719" spans="1:12" x14ac:dyDescent="0.25">
      <c r="A719" t="str">
        <f t="shared" si="44"/>
        <v>2019-JP-Sla-104-680-2323</v>
      </c>
      <c r="B719" t="str">
        <f t="shared" si="45"/>
        <v>2019</v>
      </c>
      <c r="C719" s="18" t="s">
        <v>763</v>
      </c>
      <c r="D719" t="s">
        <v>1269</v>
      </c>
      <c r="E719" t="s">
        <v>1343</v>
      </c>
      <c r="F719">
        <v>104</v>
      </c>
      <c r="G719">
        <f t="shared" si="46"/>
        <v>68</v>
      </c>
      <c r="H719">
        <f t="shared" si="47"/>
        <v>232</v>
      </c>
      <c r="I719">
        <v>680</v>
      </c>
      <c r="J719">
        <v>2323</v>
      </c>
      <c r="K719" s="18" t="s">
        <v>1373</v>
      </c>
      <c r="L719" s="21">
        <v>6.4</v>
      </c>
    </row>
    <row r="720" spans="1:12" x14ac:dyDescent="0.25">
      <c r="A720" t="str">
        <f t="shared" si="44"/>
        <v>2019-JP-Sla-111-709-2280</v>
      </c>
      <c r="B720" t="str">
        <f t="shared" si="45"/>
        <v>2019</v>
      </c>
      <c r="C720" s="18" t="s">
        <v>763</v>
      </c>
      <c r="D720" t="s">
        <v>1269</v>
      </c>
      <c r="E720" t="s">
        <v>1366</v>
      </c>
      <c r="F720">
        <v>111</v>
      </c>
      <c r="G720">
        <f t="shared" si="46"/>
        <v>70</v>
      </c>
      <c r="H720">
        <f t="shared" si="47"/>
        <v>228</v>
      </c>
      <c r="I720">
        <v>709</v>
      </c>
      <c r="J720">
        <v>2280</v>
      </c>
      <c r="K720" s="18" t="s">
        <v>1373</v>
      </c>
      <c r="L720" s="21">
        <v>6.6</v>
      </c>
    </row>
    <row r="721" spans="1:12" x14ac:dyDescent="0.25">
      <c r="A721" t="str">
        <f t="shared" si="44"/>
        <v>2019-JP-Sla-121-822-2277</v>
      </c>
      <c r="B721" t="str">
        <f t="shared" si="45"/>
        <v>2019</v>
      </c>
      <c r="C721" s="18" t="s">
        <v>763</v>
      </c>
      <c r="D721" t="s">
        <v>1269</v>
      </c>
      <c r="E721" t="s">
        <v>1367</v>
      </c>
      <c r="F721">
        <v>121</v>
      </c>
      <c r="G721">
        <f t="shared" si="46"/>
        <v>82</v>
      </c>
      <c r="H721">
        <f t="shared" si="47"/>
        <v>227</v>
      </c>
      <c r="I721">
        <v>822</v>
      </c>
      <c r="J721">
        <v>2277</v>
      </c>
      <c r="K721" s="18" t="s">
        <v>1373</v>
      </c>
      <c r="L721" s="21">
        <v>7.1</v>
      </c>
    </row>
    <row r="722" spans="1:12" x14ac:dyDescent="0.25">
      <c r="A722" t="str">
        <f t="shared" si="44"/>
        <v>2019-JP-Sla-136-848-2271</v>
      </c>
      <c r="B722" t="str">
        <f t="shared" si="45"/>
        <v>2019</v>
      </c>
      <c r="C722" s="18" t="s">
        <v>763</v>
      </c>
      <c r="D722" t="s">
        <v>1269</v>
      </c>
      <c r="E722" t="s">
        <v>1368</v>
      </c>
      <c r="F722">
        <v>136</v>
      </c>
      <c r="G722">
        <f t="shared" si="46"/>
        <v>84</v>
      </c>
      <c r="H722">
        <f t="shared" si="47"/>
        <v>227</v>
      </c>
      <c r="I722">
        <v>848</v>
      </c>
      <c r="J722">
        <v>2271</v>
      </c>
      <c r="K722" s="18" t="s">
        <v>1373</v>
      </c>
      <c r="L722" s="21">
        <v>7.4</v>
      </c>
    </row>
    <row r="723" spans="1:12" x14ac:dyDescent="0.25">
      <c r="A723" t="str">
        <f t="shared" si="44"/>
        <v>2019-JP-Hyd-108-699-2040</v>
      </c>
      <c r="B723" t="str">
        <f t="shared" si="45"/>
        <v>2019</v>
      </c>
      <c r="C723" s="18" t="s">
        <v>763</v>
      </c>
      <c r="D723" t="s">
        <v>1269</v>
      </c>
      <c r="E723" t="s">
        <v>1374</v>
      </c>
      <c r="F723">
        <v>108</v>
      </c>
      <c r="G723">
        <f t="shared" si="46"/>
        <v>69</v>
      </c>
      <c r="H723">
        <f t="shared" si="47"/>
        <v>204</v>
      </c>
      <c r="I723">
        <v>699</v>
      </c>
      <c r="J723">
        <v>2040</v>
      </c>
      <c r="K723" s="18" t="s">
        <v>1373</v>
      </c>
      <c r="L723" s="21">
        <v>6.7</v>
      </c>
    </row>
    <row r="724" spans="1:12" x14ac:dyDescent="0.25">
      <c r="A724" t="str">
        <f t="shared" si="44"/>
        <v>2019-JP-Hyd-123-778-2088</v>
      </c>
      <c r="B724" t="str">
        <f t="shared" si="45"/>
        <v>2019</v>
      </c>
      <c r="C724" s="18" t="s">
        <v>763</v>
      </c>
      <c r="D724" t="s">
        <v>1269</v>
      </c>
      <c r="E724" t="s">
        <v>1375</v>
      </c>
      <c r="F724">
        <v>123</v>
      </c>
      <c r="G724">
        <f t="shared" si="46"/>
        <v>77</v>
      </c>
      <c r="H724">
        <f t="shared" si="47"/>
        <v>208</v>
      </c>
      <c r="I724">
        <v>778</v>
      </c>
      <c r="J724">
        <v>2088</v>
      </c>
      <c r="K724" s="18" t="s">
        <v>1373</v>
      </c>
      <c r="L724" s="21">
        <v>7.3</v>
      </c>
    </row>
    <row r="725" spans="1:12" x14ac:dyDescent="0.25">
      <c r="A725" t="str">
        <f t="shared" si="44"/>
        <v>2019-JP-Hyd-137-856-2149</v>
      </c>
      <c r="B725" t="str">
        <f t="shared" si="45"/>
        <v>2019</v>
      </c>
      <c r="C725" s="18" t="s">
        <v>763</v>
      </c>
      <c r="D725" t="s">
        <v>1269</v>
      </c>
      <c r="E725" t="s">
        <v>1376</v>
      </c>
      <c r="F725">
        <v>137</v>
      </c>
      <c r="G725">
        <f t="shared" si="46"/>
        <v>85</v>
      </c>
      <c r="H725">
        <f t="shared" si="47"/>
        <v>214</v>
      </c>
      <c r="I725">
        <v>856</v>
      </c>
      <c r="J725">
        <v>2149</v>
      </c>
      <c r="K725" s="18" t="s">
        <v>1373</v>
      </c>
      <c r="L725" s="21">
        <v>7.9</v>
      </c>
    </row>
    <row r="726" spans="1:12" x14ac:dyDescent="0.25">
      <c r="A726" t="str">
        <f t="shared" si="44"/>
        <v>2019-JP-Hyd-154-910-2137</v>
      </c>
      <c r="B726" t="str">
        <f t="shared" si="45"/>
        <v>2019</v>
      </c>
      <c r="C726" s="18" t="s">
        <v>763</v>
      </c>
      <c r="D726" t="s">
        <v>1269</v>
      </c>
      <c r="E726" t="s">
        <v>1377</v>
      </c>
      <c r="F726">
        <v>154</v>
      </c>
      <c r="G726">
        <f t="shared" si="46"/>
        <v>91</v>
      </c>
      <c r="H726">
        <f t="shared" si="47"/>
        <v>213</v>
      </c>
      <c r="I726">
        <v>910</v>
      </c>
      <c r="J726">
        <v>2137</v>
      </c>
      <c r="K726" s="18" t="s">
        <v>1373</v>
      </c>
      <c r="L726" s="21">
        <v>8.5</v>
      </c>
    </row>
    <row r="727" spans="1:12" x14ac:dyDescent="0.25">
      <c r="A727" t="str">
        <f t="shared" si="44"/>
        <v>2019-JP-Hyd-185-910-2144</v>
      </c>
      <c r="B727" t="str">
        <f t="shared" si="45"/>
        <v>2019</v>
      </c>
      <c r="C727" s="18" t="s">
        <v>763</v>
      </c>
      <c r="D727" t="s">
        <v>1269</v>
      </c>
      <c r="E727" t="s">
        <v>1378</v>
      </c>
      <c r="F727">
        <v>185</v>
      </c>
      <c r="G727">
        <f t="shared" si="46"/>
        <v>91</v>
      </c>
      <c r="H727">
        <f t="shared" si="47"/>
        <v>214</v>
      </c>
      <c r="I727">
        <v>910</v>
      </c>
      <c r="J727">
        <v>2144</v>
      </c>
      <c r="K727" s="18" t="s">
        <v>1373</v>
      </c>
      <c r="L727" s="21">
        <v>9.6999999999999993</v>
      </c>
    </row>
    <row r="728" spans="1:12" x14ac:dyDescent="0.25">
      <c r="A728" t="str">
        <f t="shared" si="44"/>
        <v>2020-JP-Sla-78-551-2332</v>
      </c>
      <c r="B728" t="str">
        <f t="shared" si="45"/>
        <v>2020</v>
      </c>
      <c r="C728" s="18" t="s">
        <v>861</v>
      </c>
      <c r="D728" t="s">
        <v>1269</v>
      </c>
      <c r="E728" t="s">
        <v>1362</v>
      </c>
      <c r="F728">
        <v>78</v>
      </c>
      <c r="G728">
        <f t="shared" si="46"/>
        <v>55</v>
      </c>
      <c r="H728">
        <f t="shared" si="47"/>
        <v>233</v>
      </c>
      <c r="I728">
        <v>551</v>
      </c>
      <c r="J728">
        <v>2332</v>
      </c>
      <c r="K728" s="18" t="s">
        <v>988</v>
      </c>
      <c r="L728" s="21">
        <v>5.3</v>
      </c>
    </row>
    <row r="729" spans="1:12" x14ac:dyDescent="0.25">
      <c r="A729" t="str">
        <f t="shared" si="44"/>
        <v>2020-JP-Sla-95-620-2325</v>
      </c>
      <c r="B729" t="str">
        <f t="shared" si="45"/>
        <v>2020</v>
      </c>
      <c r="C729" s="18" t="s">
        <v>861</v>
      </c>
      <c r="D729" t="s">
        <v>1269</v>
      </c>
      <c r="E729" t="s">
        <v>1365</v>
      </c>
      <c r="F729">
        <v>95</v>
      </c>
      <c r="G729">
        <f t="shared" si="46"/>
        <v>62</v>
      </c>
      <c r="H729">
        <f t="shared" si="47"/>
        <v>232</v>
      </c>
      <c r="I729">
        <v>620</v>
      </c>
      <c r="J729">
        <v>2325</v>
      </c>
      <c r="K729" s="18" t="s">
        <v>988</v>
      </c>
      <c r="L729" s="21">
        <v>6</v>
      </c>
    </row>
    <row r="730" spans="1:12" x14ac:dyDescent="0.25">
      <c r="A730" t="str">
        <f t="shared" si="44"/>
        <v>2020-JP-Sla-111-709-2280</v>
      </c>
      <c r="B730" t="str">
        <f t="shared" si="45"/>
        <v>2020</v>
      </c>
      <c r="C730" s="18" t="s">
        <v>861</v>
      </c>
      <c r="D730" t="s">
        <v>1269</v>
      </c>
      <c r="E730" t="s">
        <v>1366</v>
      </c>
      <c r="F730">
        <v>111</v>
      </c>
      <c r="G730">
        <f t="shared" si="46"/>
        <v>70</v>
      </c>
      <c r="H730">
        <f t="shared" si="47"/>
        <v>228</v>
      </c>
      <c r="I730">
        <v>709</v>
      </c>
      <c r="J730">
        <v>2280</v>
      </c>
      <c r="K730" s="18" t="s">
        <v>988</v>
      </c>
      <c r="L730" s="21">
        <v>6.6</v>
      </c>
    </row>
    <row r="731" spans="1:12" x14ac:dyDescent="0.25">
      <c r="A731" t="str">
        <f t="shared" si="44"/>
        <v>2020-JP-Sla-137-847-2277</v>
      </c>
      <c r="B731" t="str">
        <f t="shared" si="45"/>
        <v>2020</v>
      </c>
      <c r="C731" s="18" t="s">
        <v>861</v>
      </c>
      <c r="D731" t="s">
        <v>1269</v>
      </c>
      <c r="E731" t="s">
        <v>1368</v>
      </c>
      <c r="F731">
        <v>137</v>
      </c>
      <c r="G731">
        <f t="shared" si="46"/>
        <v>84</v>
      </c>
      <c r="H731">
        <f t="shared" si="47"/>
        <v>227</v>
      </c>
      <c r="I731">
        <v>847</v>
      </c>
      <c r="J731">
        <v>2277</v>
      </c>
      <c r="K731" s="18" t="s">
        <v>988</v>
      </c>
      <c r="L731" s="21">
        <v>7.6</v>
      </c>
    </row>
    <row r="732" spans="1:12" x14ac:dyDescent="0.25">
      <c r="A732" t="str">
        <f t="shared" si="44"/>
        <v>2020-JP-Hyd-179-910-2152</v>
      </c>
      <c r="B732" t="str">
        <f t="shared" si="45"/>
        <v>2020</v>
      </c>
      <c r="C732" s="18" t="s">
        <v>861</v>
      </c>
      <c r="D732" t="s">
        <v>1269</v>
      </c>
      <c r="E732" t="s">
        <v>1379</v>
      </c>
      <c r="F732">
        <v>179</v>
      </c>
      <c r="G732">
        <f t="shared" si="46"/>
        <v>91</v>
      </c>
      <c r="H732">
        <f t="shared" si="47"/>
        <v>215</v>
      </c>
      <c r="I732">
        <v>910</v>
      </c>
      <c r="J732">
        <v>2152</v>
      </c>
      <c r="K732" s="18" t="s">
        <v>988</v>
      </c>
      <c r="L732" s="21">
        <v>8.6</v>
      </c>
    </row>
    <row r="733" spans="1:12" x14ac:dyDescent="0.25">
      <c r="A733" t="str">
        <f t="shared" si="44"/>
        <v>2021-JP-Sla-78-551-2332</v>
      </c>
      <c r="B733" t="str">
        <f t="shared" si="45"/>
        <v>2021</v>
      </c>
      <c r="C733" s="18" t="s">
        <v>1152</v>
      </c>
      <c r="D733" t="s">
        <v>1269</v>
      </c>
      <c r="E733" t="s">
        <v>1362</v>
      </c>
      <c r="F733">
        <v>78</v>
      </c>
      <c r="G733">
        <f t="shared" si="46"/>
        <v>55</v>
      </c>
      <c r="H733">
        <f t="shared" si="47"/>
        <v>233</v>
      </c>
      <c r="I733">
        <v>551</v>
      </c>
      <c r="J733">
        <v>2332</v>
      </c>
      <c r="K733" s="18" t="s">
        <v>1380</v>
      </c>
      <c r="L733" s="21">
        <v>5.3</v>
      </c>
    </row>
    <row r="734" spans="1:12" x14ac:dyDescent="0.25">
      <c r="A734" t="str">
        <f t="shared" si="44"/>
        <v>2021-JP-Sla-95-620-2325</v>
      </c>
      <c r="B734" t="str">
        <f t="shared" si="45"/>
        <v>2021</v>
      </c>
      <c r="C734" s="18" t="s">
        <v>1152</v>
      </c>
      <c r="D734" t="s">
        <v>1269</v>
      </c>
      <c r="E734" t="s">
        <v>1365</v>
      </c>
      <c r="F734">
        <v>95</v>
      </c>
      <c r="G734">
        <f t="shared" si="46"/>
        <v>62</v>
      </c>
      <c r="H734">
        <f t="shared" si="47"/>
        <v>232</v>
      </c>
      <c r="I734">
        <v>620</v>
      </c>
      <c r="J734">
        <v>2325</v>
      </c>
      <c r="K734" s="18" t="s">
        <v>1380</v>
      </c>
      <c r="L734" s="21">
        <v>6</v>
      </c>
    </row>
    <row r="735" spans="1:12" x14ac:dyDescent="0.25">
      <c r="A735" t="str">
        <f t="shared" si="44"/>
        <v>2021-JP-Sla-111-709-2280</v>
      </c>
      <c r="B735" t="str">
        <f t="shared" si="45"/>
        <v>2021</v>
      </c>
      <c r="C735" s="18" t="s">
        <v>1152</v>
      </c>
      <c r="D735" t="s">
        <v>1269</v>
      </c>
      <c r="E735" t="s">
        <v>1366</v>
      </c>
      <c r="F735">
        <v>111</v>
      </c>
      <c r="G735">
        <f t="shared" si="46"/>
        <v>70</v>
      </c>
      <c r="H735">
        <f t="shared" si="47"/>
        <v>228</v>
      </c>
      <c r="I735">
        <v>709</v>
      </c>
      <c r="J735">
        <v>2280</v>
      </c>
      <c r="K735" s="18" t="s">
        <v>1380</v>
      </c>
      <c r="L735" s="21">
        <v>6.6</v>
      </c>
    </row>
    <row r="736" spans="1:12" x14ac:dyDescent="0.25">
      <c r="A736" t="str">
        <f t="shared" si="44"/>
        <v>2021-JP-Sla-137-847-2277</v>
      </c>
      <c r="B736" t="str">
        <f t="shared" si="45"/>
        <v>2021</v>
      </c>
      <c r="C736" s="18" t="s">
        <v>1152</v>
      </c>
      <c r="D736" t="s">
        <v>1269</v>
      </c>
      <c r="E736" t="s">
        <v>1368</v>
      </c>
      <c r="F736">
        <v>137</v>
      </c>
      <c r="G736">
        <f t="shared" si="46"/>
        <v>84</v>
      </c>
      <c r="H736">
        <f t="shared" si="47"/>
        <v>227</v>
      </c>
      <c r="I736">
        <v>847</v>
      </c>
      <c r="J736">
        <v>2277</v>
      </c>
      <c r="K736" s="18" t="s">
        <v>1380</v>
      </c>
      <c r="L736" s="21">
        <v>7.6</v>
      </c>
    </row>
    <row r="737" spans="1:12" x14ac:dyDescent="0.25">
      <c r="A737" t="str">
        <f t="shared" si="44"/>
        <v>2021-JP-Hyd-179-910-2152</v>
      </c>
      <c r="B737" t="str">
        <f t="shared" si="45"/>
        <v>2021</v>
      </c>
      <c r="C737" s="18" t="s">
        <v>1152</v>
      </c>
      <c r="D737" t="s">
        <v>1269</v>
      </c>
      <c r="E737" t="s">
        <v>1379</v>
      </c>
      <c r="F737">
        <v>179</v>
      </c>
      <c r="G737">
        <f t="shared" si="46"/>
        <v>91</v>
      </c>
      <c r="H737">
        <f t="shared" si="47"/>
        <v>215</v>
      </c>
      <c r="I737">
        <v>910</v>
      </c>
      <c r="J737">
        <v>2152</v>
      </c>
      <c r="K737" s="18" t="s">
        <v>1380</v>
      </c>
      <c r="L737" s="21">
        <v>8.6</v>
      </c>
    </row>
    <row r="738" spans="1:12" x14ac:dyDescent="0.25">
      <c r="A738" t="str">
        <f t="shared" si="44"/>
        <v>2022-JP-Sla-78-551-2332</v>
      </c>
      <c r="B738" t="str">
        <f t="shared" si="45"/>
        <v>2022</v>
      </c>
      <c r="C738" s="18" t="s">
        <v>866</v>
      </c>
      <c r="D738" t="s">
        <v>1269</v>
      </c>
      <c r="E738" t="s">
        <v>1362</v>
      </c>
      <c r="F738">
        <v>78</v>
      </c>
      <c r="G738">
        <f t="shared" si="46"/>
        <v>55</v>
      </c>
      <c r="H738">
        <f t="shared" si="47"/>
        <v>233</v>
      </c>
      <c r="I738">
        <v>551</v>
      </c>
      <c r="J738">
        <v>2332</v>
      </c>
      <c r="K738" s="18" t="s">
        <v>1381</v>
      </c>
      <c r="L738" s="21">
        <v>5.3</v>
      </c>
    </row>
    <row r="739" spans="1:12" x14ac:dyDescent="0.25">
      <c r="A739" t="str">
        <f t="shared" si="44"/>
        <v>2022-JP-Sla-95-624-2327</v>
      </c>
      <c r="B739" t="str">
        <f t="shared" si="45"/>
        <v>2022</v>
      </c>
      <c r="C739" s="18" t="s">
        <v>866</v>
      </c>
      <c r="D739" t="s">
        <v>1269</v>
      </c>
      <c r="E739" t="s">
        <v>1382</v>
      </c>
      <c r="F739">
        <v>95</v>
      </c>
      <c r="G739">
        <f t="shared" si="46"/>
        <v>62</v>
      </c>
      <c r="H739">
        <f t="shared" si="47"/>
        <v>232</v>
      </c>
      <c r="I739">
        <v>624</v>
      </c>
      <c r="J739">
        <v>2327</v>
      </c>
      <c r="K739" s="18" t="s">
        <v>1381</v>
      </c>
      <c r="L739" s="21">
        <v>5.9</v>
      </c>
    </row>
    <row r="740" spans="1:12" x14ac:dyDescent="0.25">
      <c r="A740" t="str">
        <f t="shared" si="44"/>
        <v>2022-JP-Sla-117-720-2273</v>
      </c>
      <c r="B740" t="str">
        <f t="shared" si="45"/>
        <v>2022</v>
      </c>
      <c r="C740" s="18" t="s">
        <v>866</v>
      </c>
      <c r="D740" t="s">
        <v>1269</v>
      </c>
      <c r="E740" t="s">
        <v>1383</v>
      </c>
      <c r="F740">
        <v>117</v>
      </c>
      <c r="G740">
        <f t="shared" si="46"/>
        <v>72</v>
      </c>
      <c r="H740">
        <f t="shared" si="47"/>
        <v>227</v>
      </c>
      <c r="I740">
        <v>720</v>
      </c>
      <c r="J740">
        <v>2273</v>
      </c>
      <c r="K740" s="18" t="s">
        <v>1381</v>
      </c>
      <c r="L740" s="21">
        <v>6.9</v>
      </c>
    </row>
    <row r="741" spans="1:12" x14ac:dyDescent="0.25">
      <c r="A741" t="str">
        <f t="shared" si="44"/>
        <v>2022-JP-Sla-139-847-2277</v>
      </c>
      <c r="B741" t="str">
        <f t="shared" si="45"/>
        <v>2022</v>
      </c>
      <c r="C741" s="18" t="s">
        <v>866</v>
      </c>
      <c r="D741" t="s">
        <v>1269</v>
      </c>
      <c r="E741" t="s">
        <v>1368</v>
      </c>
      <c r="F741">
        <v>139</v>
      </c>
      <c r="G741">
        <f t="shared" si="46"/>
        <v>84</v>
      </c>
      <c r="H741">
        <f t="shared" si="47"/>
        <v>227</v>
      </c>
      <c r="I741">
        <v>847</v>
      </c>
      <c r="J741">
        <v>2277</v>
      </c>
      <c r="K741" s="18" t="s">
        <v>1381</v>
      </c>
      <c r="L741" s="21">
        <v>7.7</v>
      </c>
    </row>
    <row r="742" spans="1:12" x14ac:dyDescent="0.25">
      <c r="A742" t="str">
        <f t="shared" si="44"/>
        <v>2022-JP-Spe-53-447-2276</v>
      </c>
      <c r="B742" t="str">
        <f t="shared" si="45"/>
        <v>2022</v>
      </c>
      <c r="C742" s="18" t="s">
        <v>866</v>
      </c>
      <c r="D742" t="s">
        <v>1269</v>
      </c>
      <c r="E742" t="s">
        <v>1384</v>
      </c>
      <c r="F742">
        <v>53</v>
      </c>
      <c r="G742">
        <f t="shared" si="46"/>
        <v>44</v>
      </c>
      <c r="H742">
        <f t="shared" si="47"/>
        <v>227</v>
      </c>
      <c r="I742">
        <v>447</v>
      </c>
      <c r="J742">
        <v>2276</v>
      </c>
      <c r="K742" s="18" t="s">
        <v>1381</v>
      </c>
      <c r="L742" s="21">
        <v>4.5999999999999996</v>
      </c>
    </row>
    <row r="743" spans="1:12" x14ac:dyDescent="0.25">
      <c r="A743" t="str">
        <f t="shared" si="44"/>
        <v>2022-JP-Spe-63-500-2283</v>
      </c>
      <c r="B743" t="str">
        <f t="shared" si="45"/>
        <v>2022</v>
      </c>
      <c r="C743" s="18" t="s">
        <v>866</v>
      </c>
      <c r="D743" t="s">
        <v>1269</v>
      </c>
      <c r="E743" t="s">
        <v>1385</v>
      </c>
      <c r="F743">
        <v>63</v>
      </c>
      <c r="G743">
        <f t="shared" si="46"/>
        <v>50</v>
      </c>
      <c r="H743">
        <f t="shared" si="47"/>
        <v>228</v>
      </c>
      <c r="I743">
        <v>500</v>
      </c>
      <c r="J743">
        <v>2283</v>
      </c>
      <c r="K743" s="18" t="s">
        <v>1381</v>
      </c>
      <c r="L743" s="21">
        <v>4.9000000000000004</v>
      </c>
    </row>
    <row r="744" spans="1:12" x14ac:dyDescent="0.25">
      <c r="A744" t="str">
        <f t="shared" si="44"/>
        <v>2022-JP-Spe-73-538-2311</v>
      </c>
      <c r="B744" t="str">
        <f t="shared" si="45"/>
        <v>2022</v>
      </c>
      <c r="C744" s="18" t="s">
        <v>866</v>
      </c>
      <c r="D744" t="s">
        <v>1269</v>
      </c>
      <c r="E744" t="s">
        <v>1386</v>
      </c>
      <c r="F744">
        <v>73</v>
      </c>
      <c r="G744">
        <f t="shared" si="46"/>
        <v>53</v>
      </c>
      <c r="H744">
        <f t="shared" si="47"/>
        <v>231</v>
      </c>
      <c r="I744">
        <v>538</v>
      </c>
      <c r="J744">
        <v>2311</v>
      </c>
      <c r="K744" s="18" t="s">
        <v>1381</v>
      </c>
      <c r="L744" s="21">
        <v>5.2</v>
      </c>
    </row>
    <row r="745" spans="1:12" x14ac:dyDescent="0.25">
      <c r="A745" t="str">
        <f t="shared" si="44"/>
        <v>2022-JP-Hyd-133-840-2147</v>
      </c>
      <c r="B745" t="str">
        <f t="shared" si="45"/>
        <v>2022</v>
      </c>
      <c r="C745" s="18" t="s">
        <v>866</v>
      </c>
      <c r="D745" t="s">
        <v>1269</v>
      </c>
      <c r="E745" t="s">
        <v>1387</v>
      </c>
      <c r="F745">
        <v>133</v>
      </c>
      <c r="G745">
        <f t="shared" si="46"/>
        <v>84</v>
      </c>
      <c r="H745">
        <f t="shared" si="47"/>
        <v>214</v>
      </c>
      <c r="I745">
        <v>840</v>
      </c>
      <c r="J745">
        <v>2147</v>
      </c>
      <c r="K745" s="18" t="s">
        <v>1381</v>
      </c>
      <c r="L745" s="21">
        <v>8.5</v>
      </c>
    </row>
    <row r="746" spans="1:12" x14ac:dyDescent="0.25">
      <c r="A746" t="str">
        <f t="shared" si="44"/>
        <v>2022-JP-Hyd-155-890-2147</v>
      </c>
      <c r="B746" t="str">
        <f t="shared" si="45"/>
        <v>2022</v>
      </c>
      <c r="C746" s="18" t="s">
        <v>866</v>
      </c>
      <c r="D746" t="s">
        <v>1269</v>
      </c>
      <c r="E746" t="s">
        <v>1388</v>
      </c>
      <c r="F746">
        <v>155</v>
      </c>
      <c r="G746">
        <f t="shared" si="46"/>
        <v>89</v>
      </c>
      <c r="H746">
        <f t="shared" si="47"/>
        <v>214</v>
      </c>
      <c r="I746">
        <v>890</v>
      </c>
      <c r="J746">
        <v>2147</v>
      </c>
      <c r="K746" s="18" t="s">
        <v>1381</v>
      </c>
      <c r="L746" s="21">
        <v>9</v>
      </c>
    </row>
    <row r="747" spans="1:12" x14ac:dyDescent="0.25">
      <c r="A747" t="str">
        <f t="shared" si="44"/>
        <v>2022-JP-Hyd-180-908-2094</v>
      </c>
      <c r="B747" t="str">
        <f t="shared" si="45"/>
        <v>2022</v>
      </c>
      <c r="C747" s="18" t="s">
        <v>866</v>
      </c>
      <c r="D747" t="s">
        <v>1269</v>
      </c>
      <c r="E747" t="s">
        <v>1379</v>
      </c>
      <c r="F747">
        <v>180</v>
      </c>
      <c r="G747">
        <f t="shared" si="46"/>
        <v>90</v>
      </c>
      <c r="H747">
        <f t="shared" si="47"/>
        <v>209</v>
      </c>
      <c r="I747">
        <v>908</v>
      </c>
      <c r="J747">
        <v>2094</v>
      </c>
      <c r="K747" s="18" t="s">
        <v>1381</v>
      </c>
      <c r="L747" s="21">
        <v>8.6999999999999993</v>
      </c>
    </row>
    <row r="748" spans="1:12" x14ac:dyDescent="0.25">
      <c r="A748" t="str">
        <f t="shared" si="44"/>
        <v>2002-KI-ULT-106-580-2760</v>
      </c>
      <c r="B748" t="str">
        <f t="shared" si="45"/>
        <v>2002</v>
      </c>
      <c r="C748" s="18" t="s">
        <v>807</v>
      </c>
      <c r="D748" t="s">
        <v>1417</v>
      </c>
      <c r="E748" t="s">
        <v>1418</v>
      </c>
      <c r="F748">
        <v>106</v>
      </c>
      <c r="G748">
        <f t="shared" si="46"/>
        <v>58</v>
      </c>
      <c r="H748">
        <f t="shared" si="47"/>
        <v>276</v>
      </c>
      <c r="I748">
        <v>580</v>
      </c>
      <c r="J748">
        <v>2760</v>
      </c>
      <c r="K748" s="18" t="s">
        <v>808</v>
      </c>
      <c r="L748" s="21">
        <v>5.8</v>
      </c>
    </row>
    <row r="749" spans="1:12" x14ac:dyDescent="0.25">
      <c r="A749" t="str">
        <f t="shared" si="44"/>
        <v>02/0-KI-CEN-90-550-2680</v>
      </c>
      <c r="B749" t="str">
        <f t="shared" si="45"/>
        <v>02/0</v>
      </c>
      <c r="C749" s="18" t="s">
        <v>1420</v>
      </c>
      <c r="D749" t="s">
        <v>1417</v>
      </c>
      <c r="E749" t="s">
        <v>1419</v>
      </c>
      <c r="F749">
        <v>90</v>
      </c>
      <c r="G749">
        <f t="shared" si="46"/>
        <v>55</v>
      </c>
      <c r="H749">
        <f t="shared" si="47"/>
        <v>268</v>
      </c>
      <c r="I749">
        <v>550</v>
      </c>
      <c r="J749">
        <v>2680</v>
      </c>
      <c r="K749" s="18" t="s">
        <v>808</v>
      </c>
      <c r="L749" s="21">
        <v>5.2</v>
      </c>
    </row>
    <row r="750" spans="1:12" x14ac:dyDescent="0.25">
      <c r="A750" t="str">
        <f t="shared" si="44"/>
        <v>2006-LO-THU-130-765-2330</v>
      </c>
      <c r="B750" t="str">
        <f t="shared" si="45"/>
        <v>2006</v>
      </c>
      <c r="C750" s="18" t="s">
        <v>813</v>
      </c>
      <c r="D750" t="s">
        <v>1421</v>
      </c>
      <c r="E750" t="s">
        <v>1422</v>
      </c>
      <c r="F750">
        <v>130</v>
      </c>
      <c r="G750">
        <f t="shared" si="46"/>
        <v>76</v>
      </c>
      <c r="H750">
        <f t="shared" si="47"/>
        <v>233</v>
      </c>
      <c r="I750">
        <v>765</v>
      </c>
      <c r="J750">
        <v>2330</v>
      </c>
      <c r="K750" s="18" t="s">
        <v>814</v>
      </c>
      <c r="L750" s="21">
        <v>7.5</v>
      </c>
    </row>
    <row r="751" spans="1:12" x14ac:dyDescent="0.25">
      <c r="A751" t="str">
        <f t="shared" si="44"/>
        <v>2007-LO-TUN-96-580-2475</v>
      </c>
      <c r="B751" t="str">
        <f t="shared" si="45"/>
        <v>2007</v>
      </c>
      <c r="C751" s="18" t="s">
        <v>820</v>
      </c>
      <c r="D751" t="s">
        <v>1421</v>
      </c>
      <c r="E751" t="s">
        <v>1423</v>
      </c>
      <c r="F751">
        <v>96</v>
      </c>
      <c r="G751">
        <f t="shared" si="46"/>
        <v>58</v>
      </c>
      <c r="H751">
        <f t="shared" si="47"/>
        <v>247</v>
      </c>
      <c r="I751">
        <v>580</v>
      </c>
      <c r="J751">
        <v>2475</v>
      </c>
      <c r="K751" s="18" t="s">
        <v>814</v>
      </c>
      <c r="L751" s="21">
        <v>6.4</v>
      </c>
    </row>
    <row r="752" spans="1:12" x14ac:dyDescent="0.25">
      <c r="A752" t="str">
        <f t="shared" si="44"/>
        <v>2007-LO-THU-110-640-2300</v>
      </c>
      <c r="B752" t="str">
        <f t="shared" si="45"/>
        <v>2007</v>
      </c>
      <c r="C752" s="18" t="s">
        <v>820</v>
      </c>
      <c r="D752" t="s">
        <v>1421</v>
      </c>
      <c r="E752" t="s">
        <v>1424</v>
      </c>
      <c r="F752">
        <v>110</v>
      </c>
      <c r="G752">
        <f t="shared" si="46"/>
        <v>64</v>
      </c>
      <c r="H752">
        <f t="shared" si="47"/>
        <v>230</v>
      </c>
      <c r="I752">
        <v>640</v>
      </c>
      <c r="J752">
        <v>2300</v>
      </c>
      <c r="K752" s="18" t="s">
        <v>814</v>
      </c>
      <c r="L752" s="21">
        <v>6.6</v>
      </c>
    </row>
    <row r="753" spans="1:12" x14ac:dyDescent="0.25">
      <c r="A753" t="str">
        <f t="shared" si="44"/>
        <v>2006-LO-BRE-132-670-2630</v>
      </c>
      <c r="B753" t="str">
        <f t="shared" si="45"/>
        <v>2006</v>
      </c>
      <c r="C753" s="18" t="s">
        <v>813</v>
      </c>
      <c r="D753" t="s">
        <v>1421</v>
      </c>
      <c r="E753" t="s">
        <v>1425</v>
      </c>
      <c r="F753">
        <v>132</v>
      </c>
      <c r="G753">
        <f t="shared" si="46"/>
        <v>67</v>
      </c>
      <c r="H753">
        <f t="shared" si="47"/>
        <v>263</v>
      </c>
      <c r="I753">
        <v>670</v>
      </c>
      <c r="J753">
        <v>2630</v>
      </c>
      <c r="K753" s="18" t="s">
        <v>814</v>
      </c>
      <c r="L753" s="21">
        <v>7.2</v>
      </c>
    </row>
    <row r="754" spans="1:12" x14ac:dyDescent="0.25">
      <c r="A754" t="str">
        <f t="shared" si="44"/>
        <v>2006-LO-BRE-142-710-2650</v>
      </c>
      <c r="B754" t="str">
        <f t="shared" si="45"/>
        <v>2006</v>
      </c>
      <c r="C754" s="18" t="s">
        <v>813</v>
      </c>
      <c r="D754" t="s">
        <v>1421</v>
      </c>
      <c r="E754" t="s">
        <v>1426</v>
      </c>
      <c r="F754">
        <v>142</v>
      </c>
      <c r="G754">
        <f t="shared" si="46"/>
        <v>71</v>
      </c>
      <c r="H754">
        <f t="shared" si="47"/>
        <v>265</v>
      </c>
      <c r="I754">
        <v>710</v>
      </c>
      <c r="J754">
        <v>2650</v>
      </c>
      <c r="K754" s="18" t="s">
        <v>814</v>
      </c>
      <c r="L754" s="21">
        <v>7.7</v>
      </c>
    </row>
    <row r="755" spans="1:12" x14ac:dyDescent="0.25">
      <c r="A755" t="str">
        <f t="shared" si="44"/>
        <v>2008-LO-THU-120-750-2300</v>
      </c>
      <c r="B755" t="str">
        <f t="shared" si="45"/>
        <v>2008</v>
      </c>
      <c r="C755" s="18" t="s">
        <v>825</v>
      </c>
      <c r="D755" t="s">
        <v>1421</v>
      </c>
      <c r="E755" t="s">
        <v>1427</v>
      </c>
      <c r="F755">
        <v>120</v>
      </c>
      <c r="G755">
        <f t="shared" si="46"/>
        <v>75</v>
      </c>
      <c r="H755">
        <f t="shared" si="47"/>
        <v>230</v>
      </c>
      <c r="I755">
        <v>750</v>
      </c>
      <c r="J755">
        <v>2300</v>
      </c>
      <c r="K755" s="18" t="s">
        <v>821</v>
      </c>
      <c r="L755" s="21">
        <v>7.4</v>
      </c>
    </row>
    <row r="756" spans="1:12" x14ac:dyDescent="0.25">
      <c r="A756" t="str">
        <f t="shared" si="44"/>
        <v>2008-LO-THU-145-850-2300</v>
      </c>
      <c r="B756" t="str">
        <f t="shared" si="45"/>
        <v>2008</v>
      </c>
      <c r="C756" s="18" t="s">
        <v>825</v>
      </c>
      <c r="D756" t="s">
        <v>1421</v>
      </c>
      <c r="E756" t="s">
        <v>1428</v>
      </c>
      <c r="F756">
        <v>145</v>
      </c>
      <c r="G756">
        <f t="shared" si="46"/>
        <v>85</v>
      </c>
      <c r="H756">
        <f t="shared" si="47"/>
        <v>230</v>
      </c>
      <c r="I756">
        <v>850</v>
      </c>
      <c r="J756">
        <v>2300</v>
      </c>
      <c r="K756" s="18" t="s">
        <v>821</v>
      </c>
      <c r="L756" s="21">
        <v>8</v>
      </c>
    </row>
    <row r="757" spans="1:12" x14ac:dyDescent="0.25">
      <c r="A757" t="str">
        <f t="shared" si="44"/>
        <v>2011-LO-Hun-105-643-2309</v>
      </c>
      <c r="B757" t="str">
        <f t="shared" si="45"/>
        <v>2011</v>
      </c>
      <c r="C757" s="18" t="s">
        <v>846</v>
      </c>
      <c r="D757" t="s">
        <v>1421</v>
      </c>
      <c r="E757" t="s">
        <v>1429</v>
      </c>
      <c r="F757">
        <v>105</v>
      </c>
      <c r="G757">
        <f t="shared" si="46"/>
        <v>64</v>
      </c>
      <c r="H757">
        <f t="shared" si="47"/>
        <v>230</v>
      </c>
      <c r="I757">
        <v>643</v>
      </c>
      <c r="J757">
        <v>2309</v>
      </c>
      <c r="K757" s="18" t="s">
        <v>847</v>
      </c>
      <c r="L757" s="21">
        <v>6.4</v>
      </c>
    </row>
    <row r="758" spans="1:12" x14ac:dyDescent="0.25">
      <c r="A758" t="str">
        <f t="shared" si="44"/>
        <v>2011-LO-Hun-125-765-2337</v>
      </c>
      <c r="B758" t="str">
        <f t="shared" si="45"/>
        <v>2011</v>
      </c>
      <c r="C758" s="18" t="s">
        <v>846</v>
      </c>
      <c r="D758" t="s">
        <v>1421</v>
      </c>
      <c r="E758" t="s">
        <v>1430</v>
      </c>
      <c r="F758">
        <v>125</v>
      </c>
      <c r="G758">
        <f t="shared" si="46"/>
        <v>76</v>
      </c>
      <c r="H758">
        <f t="shared" si="47"/>
        <v>233</v>
      </c>
      <c r="I758">
        <v>765</v>
      </c>
      <c r="J758">
        <v>2337</v>
      </c>
      <c r="K758" s="18" t="s">
        <v>847</v>
      </c>
      <c r="L758" s="21">
        <v>7.5</v>
      </c>
    </row>
    <row r="759" spans="1:12" x14ac:dyDescent="0.25">
      <c r="A759" t="str">
        <f t="shared" si="44"/>
        <v>2011-LO-Hun-140-821-2308</v>
      </c>
      <c r="B759" t="str">
        <f t="shared" si="45"/>
        <v>2011</v>
      </c>
      <c r="C759" s="18" t="s">
        <v>846</v>
      </c>
      <c r="D759" t="s">
        <v>1421</v>
      </c>
      <c r="E759" t="s">
        <v>1431</v>
      </c>
      <c r="F759">
        <v>140</v>
      </c>
      <c r="G759">
        <f t="shared" si="46"/>
        <v>82</v>
      </c>
      <c r="H759">
        <f t="shared" si="47"/>
        <v>230</v>
      </c>
      <c r="I759">
        <v>821</v>
      </c>
      <c r="J759">
        <v>2308</v>
      </c>
      <c r="K759" s="18" t="s">
        <v>847</v>
      </c>
      <c r="L759" s="21">
        <v>8.5</v>
      </c>
    </row>
    <row r="760" spans="1:12" x14ac:dyDescent="0.25">
      <c r="A760" t="str">
        <f t="shared" si="44"/>
        <v>2000-MI-RTX-165-780-2820</v>
      </c>
      <c r="B760" t="str">
        <f t="shared" si="45"/>
        <v>2000</v>
      </c>
      <c r="C760" s="18" t="s">
        <v>797</v>
      </c>
      <c r="D760" t="s">
        <v>1432</v>
      </c>
      <c r="E760" t="s">
        <v>1433</v>
      </c>
      <c r="F760">
        <v>165</v>
      </c>
      <c r="G760">
        <f t="shared" si="46"/>
        <v>78</v>
      </c>
      <c r="H760">
        <f t="shared" si="47"/>
        <v>282</v>
      </c>
      <c r="I760">
        <v>780</v>
      </c>
      <c r="J760">
        <v>2820</v>
      </c>
      <c r="K760" s="18" t="s">
        <v>798</v>
      </c>
      <c r="L760" s="21">
        <v>7</v>
      </c>
    </row>
    <row r="761" spans="1:12" x14ac:dyDescent="0.25">
      <c r="A761" t="str">
        <f t="shared" si="44"/>
        <v>2001-MI-RTX-162-830-2744</v>
      </c>
      <c r="B761" t="str">
        <f t="shared" si="45"/>
        <v>2001</v>
      </c>
      <c r="C761" s="18" t="s">
        <v>1004</v>
      </c>
      <c r="D761" t="s">
        <v>1432</v>
      </c>
      <c r="E761" t="s">
        <v>1434</v>
      </c>
      <c r="F761">
        <v>162</v>
      </c>
      <c r="G761">
        <f t="shared" si="46"/>
        <v>83</v>
      </c>
      <c r="H761">
        <f t="shared" si="47"/>
        <v>274</v>
      </c>
      <c r="I761">
        <v>830</v>
      </c>
      <c r="J761">
        <v>2744</v>
      </c>
      <c r="K761" s="18" t="s">
        <v>1012</v>
      </c>
      <c r="L761" s="21">
        <v>7.4</v>
      </c>
    </row>
    <row r="762" spans="1:12" x14ac:dyDescent="0.25">
      <c r="A762" t="str">
        <f t="shared" si="44"/>
        <v>99/0-MI-SLE-150-710-2720</v>
      </c>
      <c r="B762" t="str">
        <f t="shared" si="45"/>
        <v>99/0</v>
      </c>
      <c r="C762" s="18" t="s">
        <v>1436</v>
      </c>
      <c r="D762" t="s">
        <v>1432</v>
      </c>
      <c r="E762" t="s">
        <v>1435</v>
      </c>
      <c r="F762">
        <v>150</v>
      </c>
      <c r="G762">
        <f t="shared" si="46"/>
        <v>71</v>
      </c>
      <c r="H762">
        <f t="shared" si="47"/>
        <v>272</v>
      </c>
      <c r="I762">
        <v>710</v>
      </c>
      <c r="J762">
        <v>2720</v>
      </c>
      <c r="K762" s="18" t="s">
        <v>795</v>
      </c>
      <c r="L762" s="21">
        <v>7.3</v>
      </c>
    </row>
    <row r="763" spans="1:12" x14ac:dyDescent="0.25">
      <c r="A763" t="str">
        <f t="shared" si="44"/>
        <v>2000-MI-MTX-105-584-2711</v>
      </c>
      <c r="B763" t="str">
        <f t="shared" si="45"/>
        <v>2000</v>
      </c>
      <c r="C763" s="18" t="s">
        <v>797</v>
      </c>
      <c r="D763" t="s">
        <v>1432</v>
      </c>
      <c r="E763" t="s">
        <v>1437</v>
      </c>
      <c r="F763">
        <v>105</v>
      </c>
      <c r="G763">
        <f t="shared" si="46"/>
        <v>58</v>
      </c>
      <c r="H763">
        <f t="shared" si="47"/>
        <v>271</v>
      </c>
      <c r="I763">
        <v>584</v>
      </c>
      <c r="J763">
        <v>2711</v>
      </c>
      <c r="K763" s="18" t="s">
        <v>798</v>
      </c>
      <c r="L763" s="21">
        <v>6.3</v>
      </c>
    </row>
    <row r="764" spans="1:12" x14ac:dyDescent="0.25">
      <c r="A764" t="str">
        <f t="shared" si="44"/>
        <v>2000-MI-MTX-125-633-2816</v>
      </c>
      <c r="B764" t="str">
        <f t="shared" si="45"/>
        <v>2000</v>
      </c>
      <c r="C764" s="18" t="s">
        <v>797</v>
      </c>
      <c r="D764" t="s">
        <v>1432</v>
      </c>
      <c r="E764" t="s">
        <v>1438</v>
      </c>
      <c r="F764">
        <v>125</v>
      </c>
      <c r="G764">
        <f t="shared" si="46"/>
        <v>63</v>
      </c>
      <c r="H764">
        <f t="shared" si="47"/>
        <v>281</v>
      </c>
      <c r="I764">
        <v>633</v>
      </c>
      <c r="J764">
        <v>2816</v>
      </c>
      <c r="K764" s="18" t="s">
        <v>798</v>
      </c>
      <c r="L764" s="21">
        <v>6.9</v>
      </c>
    </row>
    <row r="765" spans="1:12" x14ac:dyDescent="0.25">
      <c r="A765" t="str">
        <f t="shared" si="44"/>
        <v>2000-MI-RTX-98-560-2710</v>
      </c>
      <c r="B765" t="str">
        <f t="shared" si="45"/>
        <v>2000</v>
      </c>
      <c r="C765" s="18" t="s">
        <v>797</v>
      </c>
      <c r="D765" t="s">
        <v>1432</v>
      </c>
      <c r="E765" t="s">
        <v>1439</v>
      </c>
      <c r="F765">
        <v>98</v>
      </c>
      <c r="G765">
        <f t="shared" si="46"/>
        <v>56</v>
      </c>
      <c r="H765">
        <f t="shared" si="47"/>
        <v>271</v>
      </c>
      <c r="I765">
        <v>560</v>
      </c>
      <c r="J765">
        <v>2710</v>
      </c>
      <c r="K765" s="18" t="s">
        <v>798</v>
      </c>
      <c r="L765" s="21">
        <v>4.8</v>
      </c>
    </row>
    <row r="766" spans="1:12" x14ac:dyDescent="0.25">
      <c r="A766" t="str">
        <f t="shared" si="44"/>
        <v>2007-MI-SL--96-592-2438</v>
      </c>
      <c r="B766" t="str">
        <f t="shared" si="45"/>
        <v>2007</v>
      </c>
      <c r="C766" s="18" t="s">
        <v>1035</v>
      </c>
      <c r="D766" t="s">
        <v>1432</v>
      </c>
      <c r="E766" t="s">
        <v>1440</v>
      </c>
      <c r="F766">
        <v>96</v>
      </c>
      <c r="G766">
        <f t="shared" si="46"/>
        <v>59</v>
      </c>
      <c r="H766">
        <f t="shared" si="47"/>
        <v>243</v>
      </c>
      <c r="I766">
        <v>592</v>
      </c>
      <c r="J766">
        <v>2438</v>
      </c>
      <c r="K766" s="18" t="s">
        <v>821</v>
      </c>
      <c r="L766" s="21">
        <v>5.5</v>
      </c>
    </row>
    <row r="767" spans="1:12" x14ac:dyDescent="0.25">
      <c r="A767" t="str">
        <f t="shared" si="44"/>
        <v>2007-MI-SL--111-664-2436</v>
      </c>
      <c r="B767" t="str">
        <f t="shared" si="45"/>
        <v>2007</v>
      </c>
      <c r="C767" s="18" t="s">
        <v>1035</v>
      </c>
      <c r="D767" t="s">
        <v>1432</v>
      </c>
      <c r="E767" t="s">
        <v>1441</v>
      </c>
      <c r="F767">
        <v>111</v>
      </c>
      <c r="G767">
        <f t="shared" si="46"/>
        <v>66</v>
      </c>
      <c r="H767">
        <f t="shared" si="47"/>
        <v>243</v>
      </c>
      <c r="I767">
        <v>664</v>
      </c>
      <c r="J767">
        <v>2436</v>
      </c>
      <c r="K767" s="18" t="s">
        <v>821</v>
      </c>
      <c r="L767" s="21">
        <v>6</v>
      </c>
    </row>
    <row r="768" spans="1:12" x14ac:dyDescent="0.25">
      <c r="A768" t="str">
        <f t="shared" si="44"/>
        <v>2007-MI-SL--123-732-2435</v>
      </c>
      <c r="B768" t="str">
        <f t="shared" si="45"/>
        <v>2007</v>
      </c>
      <c r="C768" s="18" t="s">
        <v>1035</v>
      </c>
      <c r="D768" t="s">
        <v>1432</v>
      </c>
      <c r="E768" t="s">
        <v>1442</v>
      </c>
      <c r="F768">
        <v>123</v>
      </c>
      <c r="G768">
        <f t="shared" si="46"/>
        <v>73</v>
      </c>
      <c r="H768">
        <f t="shared" si="47"/>
        <v>243</v>
      </c>
      <c r="I768">
        <v>732</v>
      </c>
      <c r="J768">
        <v>2435</v>
      </c>
      <c r="K768" s="18" t="s">
        <v>821</v>
      </c>
      <c r="L768" s="21">
        <v>6.4</v>
      </c>
    </row>
    <row r="769" spans="1:12" x14ac:dyDescent="0.25">
      <c r="A769" t="str">
        <f t="shared" si="44"/>
        <v>2007-MI-SL--137-795-2433</v>
      </c>
      <c r="B769" t="str">
        <f t="shared" si="45"/>
        <v>2007</v>
      </c>
      <c r="C769" s="18" t="s">
        <v>1035</v>
      </c>
      <c r="D769" t="s">
        <v>1432</v>
      </c>
      <c r="E769" t="s">
        <v>1443</v>
      </c>
      <c r="F769">
        <v>137</v>
      </c>
      <c r="G769">
        <f t="shared" si="46"/>
        <v>79</v>
      </c>
      <c r="H769">
        <f t="shared" si="47"/>
        <v>243</v>
      </c>
      <c r="I769">
        <v>795</v>
      </c>
      <c r="J769">
        <v>2433</v>
      </c>
      <c r="K769" s="18" t="s">
        <v>821</v>
      </c>
      <c r="L769" s="21">
        <v>6.9</v>
      </c>
    </row>
    <row r="770" spans="1:12" x14ac:dyDescent="0.25">
      <c r="A770" t="str">
        <f t="shared" ref="A770:A833" si="48">_xlfn.CONCAT(B770,"-",LEFT(D770,2),"-",LEFT(E770,3),"-",F770,"-",TRUNC(I770),"-",TRUNC(J770))</f>
        <v>2008-MI-SL--80-551-2405</v>
      </c>
      <c r="B770" t="str">
        <f t="shared" ref="B770:B833" si="49">LEFT(C770,4)</f>
        <v>2008</v>
      </c>
      <c r="C770" s="18" t="s">
        <v>1445</v>
      </c>
      <c r="D770" t="s">
        <v>1432</v>
      </c>
      <c r="E770" t="s">
        <v>1444</v>
      </c>
      <c r="F770">
        <v>80</v>
      </c>
      <c r="G770">
        <f t="shared" si="46"/>
        <v>55</v>
      </c>
      <c r="H770">
        <f t="shared" si="47"/>
        <v>240</v>
      </c>
      <c r="I770">
        <v>551</v>
      </c>
      <c r="J770">
        <v>2405</v>
      </c>
      <c r="K770" s="18" t="s">
        <v>841</v>
      </c>
      <c r="L770" s="21">
        <v>5</v>
      </c>
    </row>
    <row r="771" spans="1:12" x14ac:dyDescent="0.25">
      <c r="A771" t="str">
        <f t="shared" si="48"/>
        <v>2008-MI-SL--96-592-2438</v>
      </c>
      <c r="B771" t="str">
        <f t="shared" si="49"/>
        <v>2008</v>
      </c>
      <c r="C771" s="18" t="s">
        <v>1445</v>
      </c>
      <c r="D771" t="s">
        <v>1432</v>
      </c>
      <c r="E771" t="s">
        <v>1440</v>
      </c>
      <c r="F771">
        <v>96</v>
      </c>
      <c r="G771">
        <f t="shared" ref="G771:G834" si="50">TRUNC(I771/10)</f>
        <v>59</v>
      </c>
      <c r="H771">
        <f t="shared" ref="H771:H834" si="51">TRUNC(J771/10)</f>
        <v>243</v>
      </c>
      <c r="I771">
        <v>592</v>
      </c>
      <c r="J771">
        <v>2438</v>
      </c>
      <c r="K771" s="18" t="s">
        <v>841</v>
      </c>
      <c r="L771" s="21">
        <v>5.5</v>
      </c>
    </row>
    <row r="772" spans="1:12" x14ac:dyDescent="0.25">
      <c r="A772" t="str">
        <f t="shared" si="48"/>
        <v>2008-MI-SL--111-664-2436</v>
      </c>
      <c r="B772" t="str">
        <f t="shared" si="49"/>
        <v>2008</v>
      </c>
      <c r="C772" s="18" t="s">
        <v>1445</v>
      </c>
      <c r="D772" t="s">
        <v>1432</v>
      </c>
      <c r="E772" t="s">
        <v>1441</v>
      </c>
      <c r="F772">
        <v>111</v>
      </c>
      <c r="G772">
        <f t="shared" si="50"/>
        <v>66</v>
      </c>
      <c r="H772">
        <f t="shared" si="51"/>
        <v>243</v>
      </c>
      <c r="I772">
        <v>664</v>
      </c>
      <c r="J772">
        <v>2436</v>
      </c>
      <c r="K772" s="18" t="s">
        <v>841</v>
      </c>
      <c r="L772" s="21">
        <v>6</v>
      </c>
    </row>
    <row r="773" spans="1:12" x14ac:dyDescent="0.25">
      <c r="A773" t="str">
        <f t="shared" si="48"/>
        <v>2008-MI-SL--123-732-2435</v>
      </c>
      <c r="B773" t="str">
        <f t="shared" si="49"/>
        <v>2008</v>
      </c>
      <c r="C773" s="18" t="s">
        <v>1445</v>
      </c>
      <c r="D773" t="s">
        <v>1432</v>
      </c>
      <c r="E773" t="s">
        <v>1442</v>
      </c>
      <c r="F773">
        <v>123</v>
      </c>
      <c r="G773">
        <f t="shared" si="50"/>
        <v>73</v>
      </c>
      <c r="H773">
        <f t="shared" si="51"/>
        <v>243</v>
      </c>
      <c r="I773">
        <v>732</v>
      </c>
      <c r="J773">
        <v>2435</v>
      </c>
      <c r="K773" s="18" t="s">
        <v>841</v>
      </c>
      <c r="L773" s="21">
        <v>6.4</v>
      </c>
    </row>
    <row r="774" spans="1:12" x14ac:dyDescent="0.25">
      <c r="A774" t="str">
        <f t="shared" si="48"/>
        <v>2008-MI-SL--137-795-2433</v>
      </c>
      <c r="B774" t="str">
        <f t="shared" si="49"/>
        <v>2008</v>
      </c>
      <c r="C774" s="18" t="s">
        <v>1445</v>
      </c>
      <c r="D774" t="s">
        <v>1432</v>
      </c>
      <c r="E774" t="s">
        <v>1443</v>
      </c>
      <c r="F774">
        <v>137</v>
      </c>
      <c r="G774">
        <f t="shared" si="50"/>
        <v>79</v>
      </c>
      <c r="H774">
        <f t="shared" si="51"/>
        <v>243</v>
      </c>
      <c r="I774">
        <v>795</v>
      </c>
      <c r="J774">
        <v>2433</v>
      </c>
      <c r="K774" s="18" t="s">
        <v>841</v>
      </c>
      <c r="L774" s="21">
        <v>6.9</v>
      </c>
    </row>
    <row r="775" spans="1:12" x14ac:dyDescent="0.25">
      <c r="A775" t="str">
        <f t="shared" si="48"/>
        <v>2010-MI-Mis-63-470-2240</v>
      </c>
      <c r="B775" t="str">
        <f t="shared" si="49"/>
        <v>2010</v>
      </c>
      <c r="C775" s="18" t="s">
        <v>1447</v>
      </c>
      <c r="D775" t="s">
        <v>1432</v>
      </c>
      <c r="E775" t="s">
        <v>1446</v>
      </c>
      <c r="F775">
        <v>63</v>
      </c>
      <c r="G775">
        <f t="shared" si="50"/>
        <v>47</v>
      </c>
      <c r="H775">
        <f t="shared" si="51"/>
        <v>224</v>
      </c>
      <c r="I775">
        <v>470</v>
      </c>
      <c r="J775">
        <v>2240</v>
      </c>
      <c r="K775" s="18" t="s">
        <v>844</v>
      </c>
      <c r="L775" s="21">
        <v>4.7</v>
      </c>
    </row>
    <row r="776" spans="1:12" x14ac:dyDescent="0.25">
      <c r="A776" t="str">
        <f t="shared" si="48"/>
        <v>2010-MI-Mis-78-540-2360</v>
      </c>
      <c r="B776" t="str">
        <f t="shared" si="49"/>
        <v>2010</v>
      </c>
      <c r="C776" s="18" t="s">
        <v>1447</v>
      </c>
      <c r="D776" t="s">
        <v>1432</v>
      </c>
      <c r="E776" t="s">
        <v>1448</v>
      </c>
      <c r="F776">
        <v>78</v>
      </c>
      <c r="G776">
        <f t="shared" si="50"/>
        <v>54</v>
      </c>
      <c r="H776">
        <f t="shared" si="51"/>
        <v>236</v>
      </c>
      <c r="I776">
        <v>540</v>
      </c>
      <c r="J776">
        <v>2360</v>
      </c>
      <c r="K776" s="18" t="s">
        <v>844</v>
      </c>
      <c r="L776" s="21">
        <v>5.4</v>
      </c>
    </row>
    <row r="777" spans="1:12" x14ac:dyDescent="0.25">
      <c r="A777" t="str">
        <f t="shared" si="48"/>
        <v>2010-MI-Mis-95-592-2370</v>
      </c>
      <c r="B777" t="str">
        <f t="shared" si="49"/>
        <v>2010</v>
      </c>
      <c r="C777" s="18" t="s">
        <v>1447</v>
      </c>
      <c r="D777" t="s">
        <v>1432</v>
      </c>
      <c r="E777" t="s">
        <v>1449</v>
      </c>
      <c r="F777">
        <v>95</v>
      </c>
      <c r="G777">
        <f t="shared" si="50"/>
        <v>59</v>
      </c>
      <c r="H777">
        <f t="shared" si="51"/>
        <v>237</v>
      </c>
      <c r="I777">
        <v>592</v>
      </c>
      <c r="J777">
        <v>2370</v>
      </c>
      <c r="K777" s="18" t="s">
        <v>844</v>
      </c>
      <c r="L777" s="21">
        <v>5.8</v>
      </c>
    </row>
    <row r="778" spans="1:12" x14ac:dyDescent="0.25">
      <c r="A778" t="str">
        <f t="shared" si="48"/>
        <v>2010-MI-Mis-110-666-2350</v>
      </c>
      <c r="B778" t="str">
        <f t="shared" si="49"/>
        <v>2010</v>
      </c>
      <c r="C778" s="18" t="s">
        <v>1447</v>
      </c>
      <c r="D778" t="s">
        <v>1432</v>
      </c>
      <c r="E778" t="s">
        <v>1450</v>
      </c>
      <c r="F778">
        <v>110</v>
      </c>
      <c r="G778">
        <f t="shared" si="50"/>
        <v>66</v>
      </c>
      <c r="H778">
        <f t="shared" si="51"/>
        <v>235</v>
      </c>
      <c r="I778">
        <v>666</v>
      </c>
      <c r="J778">
        <v>2350</v>
      </c>
      <c r="K778" s="18" t="s">
        <v>844</v>
      </c>
      <c r="L778" s="21">
        <v>6.6</v>
      </c>
    </row>
    <row r="779" spans="1:12" x14ac:dyDescent="0.25">
      <c r="A779" t="str">
        <f t="shared" si="48"/>
        <v>2010-MI-Mis-123-746-2350</v>
      </c>
      <c r="B779" t="str">
        <f t="shared" si="49"/>
        <v>2010</v>
      </c>
      <c r="C779" s="18" t="s">
        <v>1447</v>
      </c>
      <c r="D779" t="s">
        <v>1432</v>
      </c>
      <c r="E779" t="s">
        <v>1451</v>
      </c>
      <c r="F779">
        <v>123</v>
      </c>
      <c r="G779">
        <f t="shared" si="50"/>
        <v>74</v>
      </c>
      <c r="H779">
        <f t="shared" si="51"/>
        <v>235</v>
      </c>
      <c r="I779">
        <v>746</v>
      </c>
      <c r="J779">
        <v>2350</v>
      </c>
      <c r="K779" s="18" t="s">
        <v>844</v>
      </c>
      <c r="L779" s="21">
        <v>7</v>
      </c>
    </row>
    <row r="780" spans="1:12" x14ac:dyDescent="0.25">
      <c r="A780" t="str">
        <f t="shared" si="48"/>
        <v>2010-MI-Mis-140-850-2400</v>
      </c>
      <c r="B780" t="str">
        <f t="shared" si="49"/>
        <v>2010</v>
      </c>
      <c r="C780" s="18" t="s">
        <v>1447</v>
      </c>
      <c r="D780" t="s">
        <v>1432</v>
      </c>
      <c r="E780" t="s">
        <v>1452</v>
      </c>
      <c r="F780">
        <v>140</v>
      </c>
      <c r="G780">
        <f t="shared" si="50"/>
        <v>85</v>
      </c>
      <c r="H780">
        <f t="shared" si="51"/>
        <v>240</v>
      </c>
      <c r="I780">
        <v>850</v>
      </c>
      <c r="J780">
        <v>2400</v>
      </c>
      <c r="K780" s="18" t="s">
        <v>844</v>
      </c>
      <c r="L780" s="21">
        <v>7.9</v>
      </c>
    </row>
    <row r="781" spans="1:12" x14ac:dyDescent="0.25">
      <c r="A781" t="str">
        <f t="shared" si="48"/>
        <v>2014-MI-Mis-73-470-2440</v>
      </c>
      <c r="B781" t="str">
        <f t="shared" si="49"/>
        <v>2014</v>
      </c>
      <c r="C781" s="18" t="s">
        <v>1454</v>
      </c>
      <c r="D781" t="s">
        <v>1432</v>
      </c>
      <c r="E781" t="s">
        <v>1453</v>
      </c>
      <c r="F781">
        <v>73</v>
      </c>
      <c r="G781">
        <f t="shared" si="50"/>
        <v>47</v>
      </c>
      <c r="H781">
        <f t="shared" si="51"/>
        <v>244</v>
      </c>
      <c r="I781">
        <v>470</v>
      </c>
      <c r="J781">
        <v>2440</v>
      </c>
      <c r="K781" s="18" t="s">
        <v>733</v>
      </c>
      <c r="L781" s="21">
        <v>5.4</v>
      </c>
    </row>
    <row r="782" spans="1:12" x14ac:dyDescent="0.25">
      <c r="A782" t="str">
        <f t="shared" si="48"/>
        <v>2014-MI-Mis-95-546-2553</v>
      </c>
      <c r="B782" t="str">
        <f t="shared" si="49"/>
        <v>2014</v>
      </c>
      <c r="C782" s="18" t="s">
        <v>1454</v>
      </c>
      <c r="D782" t="s">
        <v>1432</v>
      </c>
      <c r="E782" t="s">
        <v>1455</v>
      </c>
      <c r="F782">
        <v>95</v>
      </c>
      <c r="G782">
        <f t="shared" si="50"/>
        <v>54</v>
      </c>
      <c r="H782">
        <f t="shared" si="51"/>
        <v>255</v>
      </c>
      <c r="I782">
        <v>546</v>
      </c>
      <c r="J782">
        <v>2553</v>
      </c>
      <c r="K782" s="18" t="s">
        <v>733</v>
      </c>
      <c r="L782" s="21">
        <v>6.3</v>
      </c>
    </row>
    <row r="783" spans="1:12" x14ac:dyDescent="0.25">
      <c r="A783" t="str">
        <f t="shared" si="48"/>
        <v>2014-MI-Mis-91-570-2495</v>
      </c>
      <c r="B783" t="str">
        <f t="shared" si="49"/>
        <v>2014</v>
      </c>
      <c r="C783" s="18" t="s">
        <v>1454</v>
      </c>
      <c r="D783" t="s">
        <v>1432</v>
      </c>
      <c r="E783" t="s">
        <v>1456</v>
      </c>
      <c r="F783">
        <v>91</v>
      </c>
      <c r="G783">
        <f t="shared" si="50"/>
        <v>57</v>
      </c>
      <c r="H783">
        <f t="shared" si="51"/>
        <v>249</v>
      </c>
      <c r="I783">
        <v>570</v>
      </c>
      <c r="J783">
        <v>2495</v>
      </c>
      <c r="K783" s="18" t="s">
        <v>733</v>
      </c>
      <c r="L783" s="21">
        <v>6</v>
      </c>
    </row>
    <row r="784" spans="1:12" x14ac:dyDescent="0.25">
      <c r="A784" t="str">
        <f t="shared" si="48"/>
        <v>2014-MI-Mis-112-675-2490</v>
      </c>
      <c r="B784" t="str">
        <f t="shared" si="49"/>
        <v>2014</v>
      </c>
      <c r="C784" s="18" t="s">
        <v>1454</v>
      </c>
      <c r="D784" t="s">
        <v>1432</v>
      </c>
      <c r="E784" t="s">
        <v>1457</v>
      </c>
      <c r="F784">
        <v>112</v>
      </c>
      <c r="G784">
        <f t="shared" si="50"/>
        <v>67</v>
      </c>
      <c r="H784">
        <f t="shared" si="51"/>
        <v>249</v>
      </c>
      <c r="I784">
        <v>675</v>
      </c>
      <c r="J784">
        <v>2490</v>
      </c>
      <c r="K784" s="18" t="s">
        <v>733</v>
      </c>
      <c r="L784" s="21">
        <v>7</v>
      </c>
    </row>
    <row r="785" spans="1:12" x14ac:dyDescent="0.25">
      <c r="A785" t="str">
        <f t="shared" si="48"/>
        <v>2014-MI-Mis-137-820-2490</v>
      </c>
      <c r="B785" t="str">
        <f t="shared" si="49"/>
        <v>2014</v>
      </c>
      <c r="C785" s="18" t="s">
        <v>1454</v>
      </c>
      <c r="D785" t="s">
        <v>1432</v>
      </c>
      <c r="E785" t="s">
        <v>1458</v>
      </c>
      <c r="F785">
        <v>137</v>
      </c>
      <c r="G785">
        <f t="shared" si="50"/>
        <v>82</v>
      </c>
      <c r="H785">
        <f t="shared" si="51"/>
        <v>249</v>
      </c>
      <c r="I785">
        <v>820</v>
      </c>
      <c r="J785">
        <v>2490</v>
      </c>
      <c r="K785" s="18" t="s">
        <v>733</v>
      </c>
      <c r="L785" s="21">
        <v>8.1999999999999993</v>
      </c>
    </row>
    <row r="786" spans="1:12" x14ac:dyDescent="0.25">
      <c r="A786" t="str">
        <f t="shared" si="48"/>
        <v>2008-NA-SP -57-479-2216</v>
      </c>
      <c r="B786" t="str">
        <f t="shared" si="49"/>
        <v>2008</v>
      </c>
      <c r="C786" s="18" t="s">
        <v>825</v>
      </c>
      <c r="D786" t="s">
        <v>1459</v>
      </c>
      <c r="E786" t="s">
        <v>1460</v>
      </c>
      <c r="F786">
        <v>57</v>
      </c>
      <c r="G786">
        <f t="shared" si="50"/>
        <v>47</v>
      </c>
      <c r="H786">
        <f t="shared" si="51"/>
        <v>221</v>
      </c>
      <c r="I786">
        <v>479</v>
      </c>
      <c r="J786">
        <v>2216</v>
      </c>
      <c r="K786" s="18" t="s">
        <v>821</v>
      </c>
      <c r="L786" s="21">
        <v>4.9000000000000004</v>
      </c>
    </row>
    <row r="787" spans="1:12" x14ac:dyDescent="0.25">
      <c r="A787" t="str">
        <f t="shared" si="48"/>
        <v>2008-NA-SP -80-557-2383</v>
      </c>
      <c r="B787" t="str">
        <f t="shared" si="49"/>
        <v>2008</v>
      </c>
      <c r="C787" s="18" t="s">
        <v>825</v>
      </c>
      <c r="D787" t="s">
        <v>1459</v>
      </c>
      <c r="E787" t="s">
        <v>1461</v>
      </c>
      <c r="F787">
        <v>80</v>
      </c>
      <c r="G787">
        <f t="shared" si="50"/>
        <v>55</v>
      </c>
      <c r="H787">
        <f t="shared" si="51"/>
        <v>238</v>
      </c>
      <c r="I787">
        <v>557</v>
      </c>
      <c r="J787">
        <v>2383</v>
      </c>
      <c r="K787" s="18" t="s">
        <v>821</v>
      </c>
      <c r="L787" s="21">
        <v>5.6</v>
      </c>
    </row>
    <row r="788" spans="1:12" x14ac:dyDescent="0.25">
      <c r="A788" t="str">
        <f t="shared" si="48"/>
        <v>2008-NA-SP -89-592-2409</v>
      </c>
      <c r="B788" t="str">
        <f t="shared" si="49"/>
        <v>2008</v>
      </c>
      <c r="C788" s="18" t="s">
        <v>825</v>
      </c>
      <c r="D788" t="s">
        <v>1459</v>
      </c>
      <c r="E788" t="s">
        <v>1462</v>
      </c>
      <c r="F788">
        <v>89</v>
      </c>
      <c r="G788">
        <f t="shared" si="50"/>
        <v>59</v>
      </c>
      <c r="H788">
        <f t="shared" si="51"/>
        <v>240</v>
      </c>
      <c r="I788">
        <v>592</v>
      </c>
      <c r="J788">
        <v>2409</v>
      </c>
      <c r="K788" s="18" t="s">
        <v>821</v>
      </c>
      <c r="L788" s="21">
        <v>6</v>
      </c>
    </row>
    <row r="789" spans="1:12" x14ac:dyDescent="0.25">
      <c r="A789" t="str">
        <f t="shared" si="48"/>
        <v>2008-NA-SP -104-649-2411</v>
      </c>
      <c r="B789" t="str">
        <f t="shared" si="49"/>
        <v>2008</v>
      </c>
      <c r="C789" s="18" t="s">
        <v>825</v>
      </c>
      <c r="D789" t="s">
        <v>1459</v>
      </c>
      <c r="E789" t="s">
        <v>1463</v>
      </c>
      <c r="F789">
        <v>104</v>
      </c>
      <c r="G789">
        <f t="shared" si="50"/>
        <v>64</v>
      </c>
      <c r="H789">
        <f t="shared" si="51"/>
        <v>241</v>
      </c>
      <c r="I789">
        <v>649</v>
      </c>
      <c r="J789">
        <v>2411</v>
      </c>
      <c r="K789" s="18" t="s">
        <v>821</v>
      </c>
      <c r="L789" s="21">
        <v>6.6</v>
      </c>
    </row>
    <row r="790" spans="1:12" x14ac:dyDescent="0.25">
      <c r="A790" t="str">
        <f t="shared" si="48"/>
        <v>2008-NA-SP -128-763-2445</v>
      </c>
      <c r="B790" t="str">
        <f t="shared" si="49"/>
        <v>2008</v>
      </c>
      <c r="C790" s="18" t="s">
        <v>825</v>
      </c>
      <c r="D790" t="s">
        <v>1459</v>
      </c>
      <c r="E790" t="s">
        <v>1464</v>
      </c>
      <c r="F790">
        <v>128</v>
      </c>
      <c r="G790">
        <f t="shared" si="50"/>
        <v>76</v>
      </c>
      <c r="H790">
        <f t="shared" si="51"/>
        <v>244</v>
      </c>
      <c r="I790">
        <v>763</v>
      </c>
      <c r="J790">
        <v>2445</v>
      </c>
      <c r="K790" s="18" t="s">
        <v>821</v>
      </c>
      <c r="L790" s="21">
        <v>7.1</v>
      </c>
    </row>
    <row r="791" spans="1:12" x14ac:dyDescent="0.25">
      <c r="A791" t="str">
        <f t="shared" si="48"/>
        <v>2010-NA-SP -57-479-2216</v>
      </c>
      <c r="B791" t="str">
        <f t="shared" si="49"/>
        <v>2010</v>
      </c>
      <c r="C791" s="18" t="s">
        <v>840</v>
      </c>
      <c r="D791" t="s">
        <v>1459</v>
      </c>
      <c r="E791" t="s">
        <v>1460</v>
      </c>
      <c r="F791">
        <v>57</v>
      </c>
      <c r="G791">
        <f t="shared" si="50"/>
        <v>47</v>
      </c>
      <c r="H791">
        <f t="shared" si="51"/>
        <v>221</v>
      </c>
      <c r="I791">
        <v>479</v>
      </c>
      <c r="J791">
        <v>2216</v>
      </c>
      <c r="K791" s="18" t="s">
        <v>844</v>
      </c>
      <c r="L791" s="21">
        <v>4.9000000000000004</v>
      </c>
    </row>
    <row r="792" spans="1:12" x14ac:dyDescent="0.25">
      <c r="A792" t="str">
        <f t="shared" si="48"/>
        <v>2010-NA-SP -80-557-2383</v>
      </c>
      <c r="B792" t="str">
        <f t="shared" si="49"/>
        <v>2010</v>
      </c>
      <c r="C792" s="18" t="s">
        <v>840</v>
      </c>
      <c r="D792" t="s">
        <v>1459</v>
      </c>
      <c r="E792" t="s">
        <v>1461</v>
      </c>
      <c r="F792">
        <v>80</v>
      </c>
      <c r="G792">
        <f t="shared" si="50"/>
        <v>55</v>
      </c>
      <c r="H792">
        <f t="shared" si="51"/>
        <v>238</v>
      </c>
      <c r="I792">
        <v>557</v>
      </c>
      <c r="J792">
        <v>2383</v>
      </c>
      <c r="K792" s="18" t="s">
        <v>844</v>
      </c>
      <c r="L792" s="21">
        <v>5.6</v>
      </c>
    </row>
    <row r="793" spans="1:12" x14ac:dyDescent="0.25">
      <c r="A793" t="str">
        <f t="shared" si="48"/>
        <v>2010-NA-SP -89-592-2409</v>
      </c>
      <c r="B793" t="str">
        <f t="shared" si="49"/>
        <v>2010</v>
      </c>
      <c r="C793" s="18" t="s">
        <v>840</v>
      </c>
      <c r="D793" t="s">
        <v>1459</v>
      </c>
      <c r="E793" t="s">
        <v>1462</v>
      </c>
      <c r="F793">
        <v>89</v>
      </c>
      <c r="G793">
        <f t="shared" si="50"/>
        <v>59</v>
      </c>
      <c r="H793">
        <f t="shared" si="51"/>
        <v>240</v>
      </c>
      <c r="I793">
        <v>592</v>
      </c>
      <c r="J793">
        <v>2409</v>
      </c>
      <c r="K793" s="18" t="s">
        <v>844</v>
      </c>
      <c r="L793" s="21">
        <v>6</v>
      </c>
    </row>
    <row r="794" spans="1:12" x14ac:dyDescent="0.25">
      <c r="A794" t="str">
        <f t="shared" si="48"/>
        <v>2010-NA-SP -104-649-2411</v>
      </c>
      <c r="B794" t="str">
        <f t="shared" si="49"/>
        <v>2010</v>
      </c>
      <c r="C794" s="18" t="s">
        <v>840</v>
      </c>
      <c r="D794" t="s">
        <v>1459</v>
      </c>
      <c r="E794" t="s">
        <v>1463</v>
      </c>
      <c r="F794">
        <v>104</v>
      </c>
      <c r="G794">
        <f t="shared" si="50"/>
        <v>64</v>
      </c>
      <c r="H794">
        <f t="shared" si="51"/>
        <v>241</v>
      </c>
      <c r="I794">
        <v>649</v>
      </c>
      <c r="J794">
        <v>2411</v>
      </c>
      <c r="K794" s="18" t="s">
        <v>844</v>
      </c>
      <c r="L794" s="21">
        <v>6.6</v>
      </c>
    </row>
    <row r="795" spans="1:12" x14ac:dyDescent="0.25">
      <c r="A795" t="str">
        <f t="shared" si="48"/>
        <v>2010-NA-SP -128-763-2445</v>
      </c>
      <c r="B795" t="str">
        <f t="shared" si="49"/>
        <v>2010</v>
      </c>
      <c r="C795" s="18" t="s">
        <v>840</v>
      </c>
      <c r="D795" t="s">
        <v>1459</v>
      </c>
      <c r="E795" t="s">
        <v>1464</v>
      </c>
      <c r="F795">
        <v>128</v>
      </c>
      <c r="G795">
        <f t="shared" si="50"/>
        <v>76</v>
      </c>
      <c r="H795">
        <f t="shared" si="51"/>
        <v>244</v>
      </c>
      <c r="I795">
        <v>763</v>
      </c>
      <c r="J795">
        <v>2445</v>
      </c>
      <c r="K795" s="18" t="s">
        <v>844</v>
      </c>
      <c r="L795" s="21">
        <v>7.1</v>
      </c>
    </row>
    <row r="796" spans="1:12" x14ac:dyDescent="0.25">
      <c r="A796" t="str">
        <f t="shared" si="48"/>
        <v>2017-NE-RS:-135-803-2303</v>
      </c>
      <c r="B796" t="str">
        <f t="shared" si="49"/>
        <v>2017</v>
      </c>
      <c r="C796" s="18" t="s">
        <v>753</v>
      </c>
      <c r="D796" t="s">
        <v>1465</v>
      </c>
      <c r="E796" t="s">
        <v>1466</v>
      </c>
      <c r="F796">
        <v>135</v>
      </c>
      <c r="G796">
        <f t="shared" si="50"/>
        <v>80</v>
      </c>
      <c r="H796">
        <f t="shared" si="51"/>
        <v>230</v>
      </c>
      <c r="I796">
        <v>803</v>
      </c>
      <c r="J796">
        <v>2303</v>
      </c>
      <c r="K796" s="18" t="s">
        <v>1363</v>
      </c>
      <c r="L796" s="21">
        <v>6.7</v>
      </c>
    </row>
    <row r="797" spans="1:12" x14ac:dyDescent="0.25">
      <c r="A797" t="str">
        <f t="shared" si="48"/>
        <v>2017-NE-RS:-135-803-2303</v>
      </c>
      <c r="B797" t="str">
        <f t="shared" si="49"/>
        <v>2017</v>
      </c>
      <c r="C797" s="18" t="s">
        <v>753</v>
      </c>
      <c r="D797" t="s">
        <v>1465</v>
      </c>
      <c r="E797" t="s">
        <v>1467</v>
      </c>
      <c r="F797">
        <v>135</v>
      </c>
      <c r="G797">
        <f t="shared" si="50"/>
        <v>80</v>
      </c>
      <c r="H797">
        <f t="shared" si="51"/>
        <v>230</v>
      </c>
      <c r="I797">
        <v>803</v>
      </c>
      <c r="J797">
        <v>2303</v>
      </c>
      <c r="K797" s="18" t="s">
        <v>1363</v>
      </c>
      <c r="L797" s="21">
        <v>7.7</v>
      </c>
    </row>
    <row r="798" spans="1:12" x14ac:dyDescent="0.25">
      <c r="A798" t="str">
        <f t="shared" si="48"/>
        <v>2022-No-Cor-90-630-2289</v>
      </c>
      <c r="B798" t="str">
        <f t="shared" si="49"/>
        <v>2022</v>
      </c>
      <c r="C798" s="18" t="s">
        <v>866</v>
      </c>
      <c r="D798" t="s">
        <v>1468</v>
      </c>
      <c r="E798" t="s">
        <v>1469</v>
      </c>
      <c r="F798">
        <v>90</v>
      </c>
      <c r="G798">
        <f t="shared" si="50"/>
        <v>63</v>
      </c>
      <c r="H798">
        <f t="shared" si="51"/>
        <v>228</v>
      </c>
      <c r="I798">
        <v>630</v>
      </c>
      <c r="J798">
        <v>2289</v>
      </c>
      <c r="K798" s="18" t="s">
        <v>1470</v>
      </c>
      <c r="L798" s="21">
        <v>5.8</v>
      </c>
    </row>
    <row r="799" spans="1:12" x14ac:dyDescent="0.25">
      <c r="A799" t="str">
        <f t="shared" si="48"/>
        <v>2022-No-Cor-106-680-2310</v>
      </c>
      <c r="B799" t="str">
        <f t="shared" si="49"/>
        <v>2022</v>
      </c>
      <c r="C799" s="18" t="s">
        <v>866</v>
      </c>
      <c r="D799" t="s">
        <v>1468</v>
      </c>
      <c r="E799" t="s">
        <v>1471</v>
      </c>
      <c r="F799">
        <v>106</v>
      </c>
      <c r="G799">
        <f t="shared" si="50"/>
        <v>68</v>
      </c>
      <c r="H799">
        <f t="shared" si="51"/>
        <v>231</v>
      </c>
      <c r="I799">
        <v>680</v>
      </c>
      <c r="J799">
        <v>2310</v>
      </c>
      <c r="K799" s="18" t="s">
        <v>1470</v>
      </c>
      <c r="L799" s="21">
        <v>6.2</v>
      </c>
    </row>
    <row r="800" spans="1:12" x14ac:dyDescent="0.25">
      <c r="A800" t="str">
        <f t="shared" si="48"/>
        <v>2022-No-Cor-112-710-2310</v>
      </c>
      <c r="B800" t="str">
        <f t="shared" si="49"/>
        <v>2022</v>
      </c>
      <c r="C800" s="18" t="s">
        <v>866</v>
      </c>
      <c r="D800" t="s">
        <v>1468</v>
      </c>
      <c r="E800" t="s">
        <v>1472</v>
      </c>
      <c r="F800">
        <v>112</v>
      </c>
      <c r="G800">
        <f t="shared" si="50"/>
        <v>71</v>
      </c>
      <c r="H800">
        <f t="shared" si="51"/>
        <v>231</v>
      </c>
      <c r="I800">
        <v>710</v>
      </c>
      <c r="J800">
        <v>2310</v>
      </c>
      <c r="K800" s="18" t="s">
        <v>1470</v>
      </c>
      <c r="L800" s="21">
        <v>6.5</v>
      </c>
    </row>
    <row r="801" spans="1:12" x14ac:dyDescent="0.25">
      <c r="A801" t="str">
        <f t="shared" si="48"/>
        <v>2022-No-Cor-127-800-2280</v>
      </c>
      <c r="B801" t="str">
        <f t="shared" si="49"/>
        <v>2022</v>
      </c>
      <c r="C801" s="18" t="s">
        <v>866</v>
      </c>
      <c r="D801" t="s">
        <v>1468</v>
      </c>
      <c r="E801" t="s">
        <v>1473</v>
      </c>
      <c r="F801">
        <v>127</v>
      </c>
      <c r="G801">
        <f t="shared" si="50"/>
        <v>80</v>
      </c>
      <c r="H801">
        <f t="shared" si="51"/>
        <v>228</v>
      </c>
      <c r="I801">
        <v>800</v>
      </c>
      <c r="J801">
        <v>2280</v>
      </c>
      <c r="K801" s="18" t="s">
        <v>1470</v>
      </c>
      <c r="L801" s="21">
        <v>7</v>
      </c>
    </row>
    <row r="802" spans="1:12" x14ac:dyDescent="0.25">
      <c r="A802" t="str">
        <f t="shared" si="48"/>
        <v>2022-No-Cor-130-850-2280</v>
      </c>
      <c r="B802" t="str">
        <f t="shared" si="49"/>
        <v>2022</v>
      </c>
      <c r="C802" s="18" t="s">
        <v>866</v>
      </c>
      <c r="D802" t="s">
        <v>1468</v>
      </c>
      <c r="E802" t="s">
        <v>1474</v>
      </c>
      <c r="F802">
        <v>130</v>
      </c>
      <c r="G802">
        <f t="shared" si="50"/>
        <v>85</v>
      </c>
      <c r="H802">
        <f t="shared" si="51"/>
        <v>228</v>
      </c>
      <c r="I802">
        <v>850</v>
      </c>
      <c r="J802">
        <v>2280</v>
      </c>
      <c r="K802" s="18" t="s">
        <v>1470</v>
      </c>
      <c r="L802" s="21">
        <v>7.5</v>
      </c>
    </row>
    <row r="803" spans="1:12" x14ac:dyDescent="0.25">
      <c r="A803" t="str">
        <f t="shared" si="48"/>
        <v>2010-PA-Sla-86-567-2368</v>
      </c>
      <c r="B803" t="str">
        <f t="shared" si="49"/>
        <v>2010</v>
      </c>
      <c r="C803" s="18" t="s">
        <v>840</v>
      </c>
      <c r="D803" t="s">
        <v>1475</v>
      </c>
      <c r="E803" t="s">
        <v>1476</v>
      </c>
      <c r="F803">
        <v>86</v>
      </c>
      <c r="G803">
        <f t="shared" si="50"/>
        <v>56</v>
      </c>
      <c r="H803">
        <f t="shared" si="51"/>
        <v>236</v>
      </c>
      <c r="I803">
        <v>567</v>
      </c>
      <c r="J803">
        <v>2368</v>
      </c>
      <c r="K803" s="18" t="s">
        <v>844</v>
      </c>
      <c r="L803" s="21">
        <v>5.3</v>
      </c>
    </row>
    <row r="804" spans="1:12" x14ac:dyDescent="0.25">
      <c r="A804" t="str">
        <f t="shared" si="48"/>
        <v>2010-PA-Sla-113-681-2329</v>
      </c>
      <c r="B804" t="str">
        <f t="shared" si="49"/>
        <v>2010</v>
      </c>
      <c r="C804" s="18" t="s">
        <v>840</v>
      </c>
      <c r="D804" t="s">
        <v>1475</v>
      </c>
      <c r="E804" t="s">
        <v>1477</v>
      </c>
      <c r="F804">
        <v>113</v>
      </c>
      <c r="G804">
        <f t="shared" si="50"/>
        <v>68</v>
      </c>
      <c r="H804">
        <f t="shared" si="51"/>
        <v>232</v>
      </c>
      <c r="I804">
        <v>681</v>
      </c>
      <c r="J804">
        <v>2329</v>
      </c>
      <c r="K804" s="18" t="s">
        <v>844</v>
      </c>
      <c r="L804" s="21">
        <v>6.2</v>
      </c>
    </row>
    <row r="805" spans="1:12" x14ac:dyDescent="0.25">
      <c r="A805" t="str">
        <f t="shared" si="48"/>
        <v>2010-PA-Sla-135-824-2280</v>
      </c>
      <c r="B805" t="str">
        <f t="shared" si="49"/>
        <v>2010</v>
      </c>
      <c r="C805" s="18" t="s">
        <v>840</v>
      </c>
      <c r="D805" t="s">
        <v>1475</v>
      </c>
      <c r="E805" t="s">
        <v>1478</v>
      </c>
      <c r="F805">
        <v>135</v>
      </c>
      <c r="G805">
        <f t="shared" si="50"/>
        <v>82</v>
      </c>
      <c r="H805">
        <f t="shared" si="51"/>
        <v>228</v>
      </c>
      <c r="I805">
        <v>824</v>
      </c>
      <c r="J805">
        <v>2280</v>
      </c>
      <c r="K805" s="18" t="s">
        <v>844</v>
      </c>
      <c r="L805" s="21">
        <v>7.2</v>
      </c>
    </row>
    <row r="806" spans="1:12" x14ac:dyDescent="0.25">
      <c r="A806" t="str">
        <f t="shared" si="48"/>
        <v>2011-PA-Sla-103-645-2326</v>
      </c>
      <c r="B806" t="str">
        <f t="shared" si="49"/>
        <v>2011</v>
      </c>
      <c r="C806" s="18" t="s">
        <v>1480</v>
      </c>
      <c r="D806" t="s">
        <v>1475</v>
      </c>
      <c r="E806" t="s">
        <v>1479</v>
      </c>
      <c r="F806">
        <v>103</v>
      </c>
      <c r="G806">
        <f t="shared" si="50"/>
        <v>64</v>
      </c>
      <c r="H806">
        <f t="shared" si="51"/>
        <v>232</v>
      </c>
      <c r="I806">
        <v>645</v>
      </c>
      <c r="J806">
        <v>2326</v>
      </c>
      <c r="K806" s="18" t="s">
        <v>847</v>
      </c>
      <c r="L806" s="21">
        <v>5.9</v>
      </c>
    </row>
    <row r="807" spans="1:12" x14ac:dyDescent="0.25">
      <c r="A807" t="str">
        <f t="shared" si="48"/>
        <v>2011-PA-Sla-122-770-2325</v>
      </c>
      <c r="B807" t="str">
        <f t="shared" si="49"/>
        <v>2011</v>
      </c>
      <c r="C807" s="18" t="s">
        <v>1480</v>
      </c>
      <c r="D807" t="s">
        <v>1475</v>
      </c>
      <c r="E807" t="s">
        <v>1481</v>
      </c>
      <c r="F807">
        <v>122</v>
      </c>
      <c r="G807">
        <f t="shared" si="50"/>
        <v>77</v>
      </c>
      <c r="H807">
        <f t="shared" si="51"/>
        <v>232</v>
      </c>
      <c r="I807">
        <v>770</v>
      </c>
      <c r="J807">
        <v>2325</v>
      </c>
      <c r="K807" s="18" t="s">
        <v>847</v>
      </c>
      <c r="L807" s="21">
        <v>5.9</v>
      </c>
    </row>
    <row r="808" spans="1:12" x14ac:dyDescent="0.25">
      <c r="A808" t="str">
        <f t="shared" si="48"/>
        <v>2012-PA-Sla-92-593-2310</v>
      </c>
      <c r="B808" t="str">
        <f t="shared" si="49"/>
        <v>2012</v>
      </c>
      <c r="C808" s="18" t="s">
        <v>1483</v>
      </c>
      <c r="D808" t="s">
        <v>1475</v>
      </c>
      <c r="E808" t="s">
        <v>1482</v>
      </c>
      <c r="F808">
        <v>92</v>
      </c>
      <c r="G808">
        <f t="shared" si="50"/>
        <v>59</v>
      </c>
      <c r="H808">
        <f t="shared" si="51"/>
        <v>231</v>
      </c>
      <c r="I808">
        <v>593</v>
      </c>
      <c r="J808">
        <v>2310</v>
      </c>
      <c r="K808" s="18" t="s">
        <v>929</v>
      </c>
      <c r="L808" s="21">
        <v>5.5</v>
      </c>
    </row>
    <row r="809" spans="1:12" x14ac:dyDescent="0.25">
      <c r="A809" t="str">
        <f t="shared" si="48"/>
        <v>2012-PA-Sla-115-695-2317</v>
      </c>
      <c r="B809" t="str">
        <f t="shared" si="49"/>
        <v>2012</v>
      </c>
      <c r="C809" s="18" t="s">
        <v>1483</v>
      </c>
      <c r="D809" t="s">
        <v>1475</v>
      </c>
      <c r="E809" t="s">
        <v>1484</v>
      </c>
      <c r="F809">
        <v>115</v>
      </c>
      <c r="G809">
        <f t="shared" si="50"/>
        <v>69</v>
      </c>
      <c r="H809">
        <f t="shared" si="51"/>
        <v>231</v>
      </c>
      <c r="I809">
        <v>695</v>
      </c>
      <c r="J809">
        <v>2317</v>
      </c>
      <c r="K809" s="18" t="s">
        <v>929</v>
      </c>
      <c r="L809" s="21">
        <v>6.3</v>
      </c>
    </row>
    <row r="810" spans="1:12" x14ac:dyDescent="0.25">
      <c r="A810" t="str">
        <f t="shared" si="48"/>
        <v>2012-PA-Sla-122-774-2280</v>
      </c>
      <c r="B810" t="str">
        <f t="shared" si="49"/>
        <v>2012</v>
      </c>
      <c r="C810" s="18" t="s">
        <v>1483</v>
      </c>
      <c r="D810" t="s">
        <v>1475</v>
      </c>
      <c r="E810" t="s">
        <v>1481</v>
      </c>
      <c r="F810">
        <v>122</v>
      </c>
      <c r="G810">
        <f t="shared" si="50"/>
        <v>77</v>
      </c>
      <c r="H810">
        <f t="shared" si="51"/>
        <v>228</v>
      </c>
      <c r="I810">
        <v>774</v>
      </c>
      <c r="J810">
        <v>2280</v>
      </c>
      <c r="K810" s="18" t="s">
        <v>929</v>
      </c>
      <c r="L810" s="21">
        <v>6.8</v>
      </c>
    </row>
    <row r="811" spans="1:12" x14ac:dyDescent="0.25">
      <c r="A811" t="str">
        <f t="shared" si="48"/>
        <v>2012-PA-Sla-135-849-2264</v>
      </c>
      <c r="B811" t="str">
        <f t="shared" si="49"/>
        <v>2012</v>
      </c>
      <c r="C811" s="18" t="s">
        <v>1483</v>
      </c>
      <c r="D811" t="s">
        <v>1475</v>
      </c>
      <c r="E811" t="s">
        <v>1485</v>
      </c>
      <c r="F811">
        <v>135</v>
      </c>
      <c r="G811">
        <f t="shared" si="50"/>
        <v>84</v>
      </c>
      <c r="H811">
        <f t="shared" si="51"/>
        <v>226</v>
      </c>
      <c r="I811">
        <v>849</v>
      </c>
      <c r="J811">
        <v>2264</v>
      </c>
      <c r="K811" s="18" t="s">
        <v>929</v>
      </c>
      <c r="L811" s="21">
        <v>7.2</v>
      </c>
    </row>
    <row r="812" spans="1:12" x14ac:dyDescent="0.25">
      <c r="A812" t="str">
        <f t="shared" si="48"/>
        <v>2012-PA-Spe-61-433-2250</v>
      </c>
      <c r="B812" t="str">
        <f t="shared" si="49"/>
        <v>2012</v>
      </c>
      <c r="C812" s="18" t="s">
        <v>1483</v>
      </c>
      <c r="D812" t="s">
        <v>1475</v>
      </c>
      <c r="E812" t="s">
        <v>1486</v>
      </c>
      <c r="F812">
        <v>61</v>
      </c>
      <c r="G812">
        <f t="shared" si="50"/>
        <v>43</v>
      </c>
      <c r="H812">
        <f t="shared" si="51"/>
        <v>225</v>
      </c>
      <c r="I812">
        <v>433</v>
      </c>
      <c r="J812">
        <v>2250</v>
      </c>
      <c r="K812" s="18" t="s">
        <v>929</v>
      </c>
      <c r="L812" s="21">
        <v>4</v>
      </c>
    </row>
    <row r="813" spans="1:12" x14ac:dyDescent="0.25">
      <c r="A813" t="str">
        <f t="shared" si="48"/>
        <v>2012-PA-Spe-71-483-2250</v>
      </c>
      <c r="B813" t="str">
        <f t="shared" si="49"/>
        <v>2012</v>
      </c>
      <c r="C813" s="18" t="s">
        <v>1483</v>
      </c>
      <c r="D813" t="s">
        <v>1475</v>
      </c>
      <c r="E813" t="s">
        <v>1487</v>
      </c>
      <c r="F813">
        <v>71</v>
      </c>
      <c r="G813">
        <f t="shared" si="50"/>
        <v>48</v>
      </c>
      <c r="H813">
        <f t="shared" si="51"/>
        <v>225</v>
      </c>
      <c r="I813">
        <v>483</v>
      </c>
      <c r="J813">
        <v>2250</v>
      </c>
      <c r="K813" s="18" t="s">
        <v>929</v>
      </c>
      <c r="L813" s="21">
        <v>4.4000000000000004</v>
      </c>
    </row>
    <row r="814" spans="1:12" x14ac:dyDescent="0.25">
      <c r="A814" t="str">
        <f t="shared" si="48"/>
        <v>2012-PA-Spe-81-532-2265</v>
      </c>
      <c r="B814" t="str">
        <f t="shared" si="49"/>
        <v>2012</v>
      </c>
      <c r="C814" s="18" t="s">
        <v>1483</v>
      </c>
      <c r="D814" t="s">
        <v>1475</v>
      </c>
      <c r="E814" t="s">
        <v>1488</v>
      </c>
      <c r="F814">
        <v>81</v>
      </c>
      <c r="G814">
        <f t="shared" si="50"/>
        <v>53</v>
      </c>
      <c r="H814">
        <f t="shared" si="51"/>
        <v>226</v>
      </c>
      <c r="I814">
        <v>532</v>
      </c>
      <c r="J814">
        <v>2265</v>
      </c>
      <c r="K814" s="18" t="s">
        <v>929</v>
      </c>
      <c r="L814" s="21">
        <v>4.7</v>
      </c>
    </row>
    <row r="815" spans="1:12" x14ac:dyDescent="0.25">
      <c r="A815" t="str">
        <f t="shared" si="48"/>
        <v>2012-PA-Sla-128-810-2265</v>
      </c>
      <c r="B815" t="str">
        <f t="shared" si="49"/>
        <v>2012</v>
      </c>
      <c r="C815" s="18" t="s">
        <v>1483</v>
      </c>
      <c r="D815" t="s">
        <v>1475</v>
      </c>
      <c r="E815" t="s">
        <v>1489</v>
      </c>
      <c r="F815">
        <v>128</v>
      </c>
      <c r="G815">
        <f t="shared" si="50"/>
        <v>81</v>
      </c>
      <c r="H815">
        <f t="shared" si="51"/>
        <v>226</v>
      </c>
      <c r="I815">
        <v>810</v>
      </c>
      <c r="J815">
        <v>2265</v>
      </c>
      <c r="K815" s="18" t="s">
        <v>853</v>
      </c>
      <c r="L815" s="21">
        <v>6.9</v>
      </c>
    </row>
    <row r="816" spans="1:12" x14ac:dyDescent="0.25">
      <c r="A816" t="str">
        <f t="shared" si="48"/>
        <v>2012-PA-Spe-51-395-2250</v>
      </c>
      <c r="B816" t="str">
        <f t="shared" si="49"/>
        <v>2012</v>
      </c>
      <c r="C816" s="18" t="s">
        <v>1483</v>
      </c>
      <c r="D816" t="s">
        <v>1475</v>
      </c>
      <c r="E816" t="s">
        <v>1490</v>
      </c>
      <c r="F816">
        <v>51</v>
      </c>
      <c r="G816">
        <f t="shared" si="50"/>
        <v>39</v>
      </c>
      <c r="H816">
        <f t="shared" si="51"/>
        <v>225</v>
      </c>
      <c r="I816">
        <v>395</v>
      </c>
      <c r="J816">
        <v>2250</v>
      </c>
      <c r="K816" s="18" t="s">
        <v>853</v>
      </c>
      <c r="L816" s="21">
        <v>3.6</v>
      </c>
    </row>
    <row r="817" spans="1:12" x14ac:dyDescent="0.25">
      <c r="A817" t="str">
        <f t="shared" si="48"/>
        <v>2014-PA-SL -115-700-2315</v>
      </c>
      <c r="B817" t="str">
        <f t="shared" si="49"/>
        <v>2014</v>
      </c>
      <c r="C817" s="18" t="s">
        <v>733</v>
      </c>
      <c r="D817" t="s">
        <v>1475</v>
      </c>
      <c r="E817" t="s">
        <v>1491</v>
      </c>
      <c r="F817">
        <v>115</v>
      </c>
      <c r="G817">
        <f t="shared" si="50"/>
        <v>70</v>
      </c>
      <c r="H817">
        <f t="shared" si="51"/>
        <v>231</v>
      </c>
      <c r="I817">
        <v>700</v>
      </c>
      <c r="J817">
        <v>2315</v>
      </c>
      <c r="K817" s="18" t="s">
        <v>733</v>
      </c>
      <c r="L817" s="21">
        <v>6.3</v>
      </c>
    </row>
    <row r="818" spans="1:12" x14ac:dyDescent="0.25">
      <c r="A818" t="str">
        <f t="shared" si="48"/>
        <v>2014-PA-SL -135-850-2265</v>
      </c>
      <c r="B818" t="str">
        <f t="shared" si="49"/>
        <v>2014</v>
      </c>
      <c r="C818" s="18" t="s">
        <v>733</v>
      </c>
      <c r="D818" t="s">
        <v>1475</v>
      </c>
      <c r="E818" t="s">
        <v>1492</v>
      </c>
      <c r="F818">
        <v>135</v>
      </c>
      <c r="G818">
        <f t="shared" si="50"/>
        <v>85</v>
      </c>
      <c r="H818">
        <f t="shared" si="51"/>
        <v>226</v>
      </c>
      <c r="I818">
        <v>850</v>
      </c>
      <c r="J818">
        <v>2265</v>
      </c>
      <c r="K818" s="18" t="s">
        <v>733</v>
      </c>
      <c r="L818" s="21">
        <v>7.1</v>
      </c>
    </row>
    <row r="819" spans="1:12" x14ac:dyDescent="0.25">
      <c r="A819" t="str">
        <f t="shared" si="48"/>
        <v>2014-PA-SL -128-810-2265</v>
      </c>
      <c r="B819" t="str">
        <f t="shared" si="49"/>
        <v>2014</v>
      </c>
      <c r="C819" s="18" t="s">
        <v>733</v>
      </c>
      <c r="D819" t="s">
        <v>1475</v>
      </c>
      <c r="E819" t="s">
        <v>1493</v>
      </c>
      <c r="F819">
        <v>128</v>
      </c>
      <c r="G819">
        <f t="shared" si="50"/>
        <v>81</v>
      </c>
      <c r="H819">
        <f t="shared" si="51"/>
        <v>226</v>
      </c>
      <c r="I819">
        <v>810</v>
      </c>
      <c r="J819">
        <v>2265</v>
      </c>
      <c r="K819" s="18" t="s">
        <v>1494</v>
      </c>
      <c r="L819" s="21">
        <v>6.1</v>
      </c>
    </row>
    <row r="820" spans="1:12" x14ac:dyDescent="0.25">
      <c r="A820" t="str">
        <f t="shared" si="48"/>
        <v>2014-PA-SL -135-850-2265</v>
      </c>
      <c r="B820" t="str">
        <f t="shared" si="49"/>
        <v>2014</v>
      </c>
      <c r="C820" s="18" t="s">
        <v>733</v>
      </c>
      <c r="D820" t="s">
        <v>1475</v>
      </c>
      <c r="E820" t="s">
        <v>1495</v>
      </c>
      <c r="F820">
        <v>135</v>
      </c>
      <c r="G820">
        <f t="shared" si="50"/>
        <v>85</v>
      </c>
      <c r="H820">
        <f t="shared" si="51"/>
        <v>226</v>
      </c>
      <c r="I820">
        <v>850</v>
      </c>
      <c r="J820">
        <v>2265</v>
      </c>
      <c r="K820" s="18" t="s">
        <v>1494</v>
      </c>
      <c r="L820" s="21">
        <v>6.2</v>
      </c>
    </row>
    <row r="821" spans="1:12" x14ac:dyDescent="0.25">
      <c r="A821" t="str">
        <f t="shared" si="48"/>
        <v>2015-PA-SL -87-568-2345</v>
      </c>
      <c r="B821" t="str">
        <f t="shared" si="49"/>
        <v>2015</v>
      </c>
      <c r="C821" s="18" t="s">
        <v>1497</v>
      </c>
      <c r="D821" t="s">
        <v>1475</v>
      </c>
      <c r="E821" t="s">
        <v>1496</v>
      </c>
      <c r="F821">
        <v>87</v>
      </c>
      <c r="G821">
        <f t="shared" si="50"/>
        <v>56</v>
      </c>
      <c r="H821">
        <f t="shared" si="51"/>
        <v>234</v>
      </c>
      <c r="I821">
        <v>568</v>
      </c>
      <c r="J821">
        <v>2345</v>
      </c>
      <c r="K821" s="18" t="s">
        <v>1498</v>
      </c>
      <c r="L821" s="21">
        <v>5.2</v>
      </c>
    </row>
    <row r="822" spans="1:12" x14ac:dyDescent="0.25">
      <c r="A822" t="str">
        <f t="shared" si="48"/>
        <v>2015-PA-SL -92-594-2310</v>
      </c>
      <c r="B822" t="str">
        <f t="shared" si="49"/>
        <v>2015</v>
      </c>
      <c r="C822" s="18" t="s">
        <v>1497</v>
      </c>
      <c r="D822" t="s">
        <v>1475</v>
      </c>
      <c r="E822" t="s">
        <v>1499</v>
      </c>
      <c r="F822">
        <v>92</v>
      </c>
      <c r="G822">
        <f t="shared" si="50"/>
        <v>59</v>
      </c>
      <c r="H822">
        <f t="shared" si="51"/>
        <v>231</v>
      </c>
      <c r="I822">
        <v>594</v>
      </c>
      <c r="J822">
        <v>2310</v>
      </c>
      <c r="K822" s="18" t="s">
        <v>1498</v>
      </c>
      <c r="L822" s="21">
        <v>5.4</v>
      </c>
    </row>
    <row r="823" spans="1:12" x14ac:dyDescent="0.25">
      <c r="A823" t="str">
        <f t="shared" si="48"/>
        <v>2015-PA-SL -100-645-2304</v>
      </c>
      <c r="B823" t="str">
        <f t="shared" si="49"/>
        <v>2015</v>
      </c>
      <c r="C823" s="18" t="s">
        <v>1497</v>
      </c>
      <c r="D823" t="s">
        <v>1475</v>
      </c>
      <c r="E823" t="s">
        <v>1500</v>
      </c>
      <c r="F823">
        <v>100</v>
      </c>
      <c r="G823">
        <f t="shared" si="50"/>
        <v>64</v>
      </c>
      <c r="H823">
        <f t="shared" si="51"/>
        <v>230</v>
      </c>
      <c r="I823">
        <v>645</v>
      </c>
      <c r="J823">
        <v>2304</v>
      </c>
      <c r="K823" s="18" t="s">
        <v>1498</v>
      </c>
      <c r="L823" s="21">
        <v>5.6</v>
      </c>
    </row>
    <row r="824" spans="1:12" x14ac:dyDescent="0.25">
      <c r="A824" t="str">
        <f t="shared" si="48"/>
        <v>2015-PA-SL -110-681-2305</v>
      </c>
      <c r="B824" t="str">
        <f t="shared" si="49"/>
        <v>2015</v>
      </c>
      <c r="C824" s="18" t="s">
        <v>1497</v>
      </c>
      <c r="D824" t="s">
        <v>1475</v>
      </c>
      <c r="E824" t="s">
        <v>1501</v>
      </c>
      <c r="F824">
        <v>110</v>
      </c>
      <c r="G824">
        <f t="shared" si="50"/>
        <v>68</v>
      </c>
      <c r="H824">
        <f t="shared" si="51"/>
        <v>230</v>
      </c>
      <c r="I824">
        <v>681</v>
      </c>
      <c r="J824">
        <v>2305</v>
      </c>
      <c r="K824" s="18" t="s">
        <v>1498</v>
      </c>
      <c r="L824" s="21">
        <v>6</v>
      </c>
    </row>
    <row r="825" spans="1:12" x14ac:dyDescent="0.25">
      <c r="A825" t="str">
        <f t="shared" si="48"/>
        <v>2015-PA-SL -122-775-2280</v>
      </c>
      <c r="B825" t="str">
        <f t="shared" si="49"/>
        <v>2015</v>
      </c>
      <c r="C825" s="18" t="s">
        <v>1497</v>
      </c>
      <c r="D825" t="s">
        <v>1475</v>
      </c>
      <c r="E825" t="s">
        <v>1502</v>
      </c>
      <c r="F825">
        <v>122</v>
      </c>
      <c r="G825">
        <f t="shared" si="50"/>
        <v>77</v>
      </c>
      <c r="H825">
        <f t="shared" si="51"/>
        <v>228</v>
      </c>
      <c r="I825">
        <v>775</v>
      </c>
      <c r="J825">
        <v>2280</v>
      </c>
      <c r="K825" s="18" t="s">
        <v>1498</v>
      </c>
      <c r="L825" s="21">
        <v>6.6</v>
      </c>
    </row>
    <row r="826" spans="1:12" x14ac:dyDescent="0.25">
      <c r="A826" t="str">
        <f t="shared" si="48"/>
        <v>2015-PA-SL -115-700-2315</v>
      </c>
      <c r="B826" t="str">
        <f t="shared" si="49"/>
        <v>2015</v>
      </c>
      <c r="C826" s="18" t="s">
        <v>1497</v>
      </c>
      <c r="D826" t="s">
        <v>1475</v>
      </c>
      <c r="E826" t="s">
        <v>1503</v>
      </c>
      <c r="F826">
        <v>115</v>
      </c>
      <c r="G826">
        <f t="shared" si="50"/>
        <v>70</v>
      </c>
      <c r="H826">
        <f t="shared" si="51"/>
        <v>231</v>
      </c>
      <c r="I826">
        <v>700</v>
      </c>
      <c r="J826">
        <v>2315</v>
      </c>
      <c r="K826" s="18" t="s">
        <v>1498</v>
      </c>
      <c r="L826" s="21">
        <v>6.3</v>
      </c>
    </row>
    <row r="827" spans="1:12" x14ac:dyDescent="0.25">
      <c r="A827" t="str">
        <f t="shared" si="48"/>
        <v>2015-PA-SL -128-810-2265</v>
      </c>
      <c r="B827" t="str">
        <f t="shared" si="49"/>
        <v>2015</v>
      </c>
      <c r="C827" s="18" t="s">
        <v>1497</v>
      </c>
      <c r="D827" t="s">
        <v>1475</v>
      </c>
      <c r="E827" t="s">
        <v>1504</v>
      </c>
      <c r="F827">
        <v>128</v>
      </c>
      <c r="G827">
        <f t="shared" si="50"/>
        <v>81</v>
      </c>
      <c r="H827">
        <f t="shared" si="51"/>
        <v>226</v>
      </c>
      <c r="I827">
        <v>810</v>
      </c>
      <c r="J827">
        <v>2265</v>
      </c>
      <c r="K827" s="18" t="s">
        <v>1498</v>
      </c>
      <c r="L827" s="21">
        <v>6.9</v>
      </c>
    </row>
    <row r="828" spans="1:12" x14ac:dyDescent="0.25">
      <c r="A828" t="str">
        <f t="shared" si="48"/>
        <v>2015-PA-SL -128-810-2265</v>
      </c>
      <c r="B828" t="str">
        <f t="shared" si="49"/>
        <v>2015</v>
      </c>
      <c r="C828" s="18" t="s">
        <v>1497</v>
      </c>
      <c r="D828" t="s">
        <v>1475</v>
      </c>
      <c r="E828" t="s">
        <v>1493</v>
      </c>
      <c r="F828">
        <v>128</v>
      </c>
      <c r="G828">
        <f t="shared" si="50"/>
        <v>81</v>
      </c>
      <c r="H828">
        <f t="shared" si="51"/>
        <v>226</v>
      </c>
      <c r="I828">
        <v>810</v>
      </c>
      <c r="J828">
        <v>2265</v>
      </c>
      <c r="K828" s="18" t="s">
        <v>1498</v>
      </c>
      <c r="L828" s="21">
        <v>6.1</v>
      </c>
    </row>
    <row r="829" spans="1:12" x14ac:dyDescent="0.25">
      <c r="A829" t="str">
        <f t="shared" si="48"/>
        <v>2015-PA-SL -135-850-2265</v>
      </c>
      <c r="B829" t="str">
        <f t="shared" si="49"/>
        <v>2015</v>
      </c>
      <c r="C829" s="18" t="s">
        <v>1497</v>
      </c>
      <c r="D829" t="s">
        <v>1475</v>
      </c>
      <c r="E829" t="s">
        <v>1492</v>
      </c>
      <c r="F829">
        <v>135</v>
      </c>
      <c r="G829">
        <f t="shared" si="50"/>
        <v>85</v>
      </c>
      <c r="H829">
        <f t="shared" si="51"/>
        <v>226</v>
      </c>
      <c r="I829">
        <v>850</v>
      </c>
      <c r="J829">
        <v>2265</v>
      </c>
      <c r="K829" s="18" t="s">
        <v>1498</v>
      </c>
      <c r="L829" s="21">
        <v>7.1</v>
      </c>
    </row>
    <row r="830" spans="1:12" x14ac:dyDescent="0.25">
      <c r="A830" t="str">
        <f t="shared" si="48"/>
        <v>2015-PA-SL -135-850-2265</v>
      </c>
      <c r="B830" t="str">
        <f t="shared" si="49"/>
        <v>2015</v>
      </c>
      <c r="C830" s="18" t="s">
        <v>1497</v>
      </c>
      <c r="D830" t="s">
        <v>1475</v>
      </c>
      <c r="E830" t="s">
        <v>1495</v>
      </c>
      <c r="F830">
        <v>135</v>
      </c>
      <c r="G830">
        <f t="shared" si="50"/>
        <v>85</v>
      </c>
      <c r="H830">
        <f t="shared" si="51"/>
        <v>226</v>
      </c>
      <c r="I830">
        <v>850</v>
      </c>
      <c r="J830">
        <v>2265</v>
      </c>
      <c r="K830" s="18" t="s">
        <v>1498</v>
      </c>
      <c r="L830" s="21">
        <v>6.2</v>
      </c>
    </row>
    <row r="831" spans="1:12" x14ac:dyDescent="0.25">
      <c r="A831" t="str">
        <f t="shared" si="48"/>
        <v>2016-PA-SL -115-699-2340</v>
      </c>
      <c r="B831" t="str">
        <f t="shared" si="49"/>
        <v>2016</v>
      </c>
      <c r="C831" s="18" t="s">
        <v>747</v>
      </c>
      <c r="D831" t="s">
        <v>1475</v>
      </c>
      <c r="E831" t="s">
        <v>1505</v>
      </c>
      <c r="F831">
        <v>115</v>
      </c>
      <c r="G831">
        <f t="shared" si="50"/>
        <v>69</v>
      </c>
      <c r="H831">
        <f t="shared" si="51"/>
        <v>234</v>
      </c>
      <c r="I831">
        <v>699</v>
      </c>
      <c r="J831">
        <v>2340</v>
      </c>
      <c r="K831" s="18" t="s">
        <v>1506</v>
      </c>
      <c r="L831" s="21">
        <v>6.3</v>
      </c>
    </row>
    <row r="832" spans="1:12" x14ac:dyDescent="0.25">
      <c r="A832" t="str">
        <f t="shared" si="48"/>
        <v>2016-PA-SL -128-810-2290</v>
      </c>
      <c r="B832" t="str">
        <f t="shared" si="49"/>
        <v>2016</v>
      </c>
      <c r="C832" s="18" t="s">
        <v>747</v>
      </c>
      <c r="D832" t="s">
        <v>1475</v>
      </c>
      <c r="E832" t="s">
        <v>1507</v>
      </c>
      <c r="F832">
        <v>128</v>
      </c>
      <c r="G832">
        <f t="shared" si="50"/>
        <v>81</v>
      </c>
      <c r="H832">
        <f t="shared" si="51"/>
        <v>229</v>
      </c>
      <c r="I832">
        <v>810</v>
      </c>
      <c r="J832">
        <v>2290</v>
      </c>
      <c r="K832" s="18" t="s">
        <v>1506</v>
      </c>
      <c r="L832" s="21">
        <v>6.9</v>
      </c>
    </row>
    <row r="833" spans="1:12" x14ac:dyDescent="0.25">
      <c r="A833" t="str">
        <f t="shared" si="48"/>
        <v>2016-PA-SL -135-850-2290</v>
      </c>
      <c r="B833" t="str">
        <f t="shared" si="49"/>
        <v>2016</v>
      </c>
      <c r="C833" s="18" t="s">
        <v>747</v>
      </c>
      <c r="D833" t="s">
        <v>1475</v>
      </c>
      <c r="E833" t="s">
        <v>1508</v>
      </c>
      <c r="F833">
        <v>135</v>
      </c>
      <c r="G833">
        <f t="shared" si="50"/>
        <v>85</v>
      </c>
      <c r="H833">
        <f t="shared" si="51"/>
        <v>229</v>
      </c>
      <c r="I833">
        <v>850</v>
      </c>
      <c r="J833">
        <v>2290</v>
      </c>
      <c r="K833" s="18" t="s">
        <v>1506</v>
      </c>
      <c r="L833" s="21">
        <v>7.1</v>
      </c>
    </row>
    <row r="834" spans="1:12" x14ac:dyDescent="0.25">
      <c r="A834" t="str">
        <f t="shared" ref="A834:A897" si="52">_xlfn.CONCAT(B834,"-",LEFT(D834,2),"-",LEFT(E834,3),"-",F834,"-",TRUNC(I834),"-",TRUNC(J834))</f>
        <v>2017-PA-Sla-95-622-2314</v>
      </c>
      <c r="B834" t="str">
        <f t="shared" ref="B834:B897" si="53">LEFT(C834,4)</f>
        <v>2017</v>
      </c>
      <c r="C834" s="18" t="s">
        <v>753</v>
      </c>
      <c r="D834" t="s">
        <v>1475</v>
      </c>
      <c r="E834" t="s">
        <v>1509</v>
      </c>
      <c r="F834">
        <v>95</v>
      </c>
      <c r="G834">
        <f t="shared" si="50"/>
        <v>62</v>
      </c>
      <c r="H834">
        <f t="shared" si="51"/>
        <v>231</v>
      </c>
      <c r="I834">
        <v>622</v>
      </c>
      <c r="J834">
        <v>2314</v>
      </c>
      <c r="K834" s="18" t="s">
        <v>1510</v>
      </c>
      <c r="L834" s="21">
        <v>5.5</v>
      </c>
    </row>
    <row r="835" spans="1:12" x14ac:dyDescent="0.25">
      <c r="A835" t="str">
        <f t="shared" si="52"/>
        <v>2017-PA-Sla-110-686-2315</v>
      </c>
      <c r="B835" t="str">
        <f t="shared" si="53"/>
        <v>2017</v>
      </c>
      <c r="C835" s="18" t="s">
        <v>753</v>
      </c>
      <c r="D835" t="s">
        <v>1475</v>
      </c>
      <c r="E835" t="s">
        <v>1511</v>
      </c>
      <c r="F835">
        <v>110</v>
      </c>
      <c r="G835">
        <f t="shared" ref="G835:G898" si="54">TRUNC(I835/10)</f>
        <v>68</v>
      </c>
      <c r="H835">
        <f t="shared" ref="H835:H898" si="55">TRUNC(J835/10)</f>
        <v>231</v>
      </c>
      <c r="I835">
        <v>686</v>
      </c>
      <c r="J835">
        <v>2315</v>
      </c>
      <c r="K835" s="18" t="s">
        <v>1510</v>
      </c>
      <c r="L835" s="21">
        <v>5.2</v>
      </c>
    </row>
    <row r="836" spans="1:12" x14ac:dyDescent="0.25">
      <c r="A836" t="str">
        <f t="shared" si="52"/>
        <v>2017-PA-Sla-110-682-2328</v>
      </c>
      <c r="B836" t="str">
        <f t="shared" si="53"/>
        <v>2017</v>
      </c>
      <c r="C836" s="18" t="s">
        <v>753</v>
      </c>
      <c r="D836" t="s">
        <v>1475</v>
      </c>
      <c r="E836" t="s">
        <v>1512</v>
      </c>
      <c r="F836">
        <v>110</v>
      </c>
      <c r="G836">
        <f t="shared" si="54"/>
        <v>68</v>
      </c>
      <c r="H836">
        <f t="shared" si="55"/>
        <v>232</v>
      </c>
      <c r="I836">
        <v>682</v>
      </c>
      <c r="J836">
        <v>2328</v>
      </c>
      <c r="K836" s="18" t="s">
        <v>1510</v>
      </c>
      <c r="L836" s="21">
        <v>6.1</v>
      </c>
    </row>
    <row r="837" spans="1:12" x14ac:dyDescent="0.25">
      <c r="A837" t="str">
        <f t="shared" si="52"/>
        <v>2017-PA-Sla-115-708-2323</v>
      </c>
      <c r="B837" t="str">
        <f t="shared" si="53"/>
        <v>2017</v>
      </c>
      <c r="C837" s="18" t="s">
        <v>753</v>
      </c>
      <c r="D837" t="s">
        <v>1475</v>
      </c>
      <c r="E837" t="s">
        <v>1513</v>
      </c>
      <c r="F837">
        <v>115</v>
      </c>
      <c r="G837">
        <f t="shared" si="54"/>
        <v>70</v>
      </c>
      <c r="H837">
        <f t="shared" si="55"/>
        <v>232</v>
      </c>
      <c r="I837">
        <v>708</v>
      </c>
      <c r="J837">
        <v>2323</v>
      </c>
      <c r="K837" s="18" t="s">
        <v>1510</v>
      </c>
      <c r="L837" s="21">
        <v>5.4</v>
      </c>
    </row>
    <row r="838" spans="1:12" x14ac:dyDescent="0.25">
      <c r="A838" t="str">
        <f t="shared" si="52"/>
        <v>2017-PA-Sla-115-698-2338</v>
      </c>
      <c r="B838" t="str">
        <f t="shared" si="53"/>
        <v>2017</v>
      </c>
      <c r="C838" s="18" t="s">
        <v>753</v>
      </c>
      <c r="D838" t="s">
        <v>1475</v>
      </c>
      <c r="E838" t="s">
        <v>1514</v>
      </c>
      <c r="F838">
        <v>115</v>
      </c>
      <c r="G838">
        <f t="shared" si="54"/>
        <v>69</v>
      </c>
      <c r="H838">
        <f t="shared" si="55"/>
        <v>233</v>
      </c>
      <c r="I838">
        <v>698</v>
      </c>
      <c r="J838">
        <v>2338</v>
      </c>
      <c r="K838" s="18" t="s">
        <v>1510</v>
      </c>
      <c r="L838" s="21">
        <v>6.3</v>
      </c>
    </row>
    <row r="839" spans="1:12" x14ac:dyDescent="0.25">
      <c r="A839" t="str">
        <f t="shared" si="52"/>
        <v>2017-PA-Sla-125-772-2302</v>
      </c>
      <c r="B839" t="str">
        <f t="shared" si="53"/>
        <v>2017</v>
      </c>
      <c r="C839" s="18" t="s">
        <v>753</v>
      </c>
      <c r="D839" t="s">
        <v>1475</v>
      </c>
      <c r="E839" t="s">
        <v>1515</v>
      </c>
      <c r="F839">
        <v>125</v>
      </c>
      <c r="G839">
        <f t="shared" si="54"/>
        <v>77</v>
      </c>
      <c r="H839">
        <f t="shared" si="55"/>
        <v>230</v>
      </c>
      <c r="I839">
        <v>772</v>
      </c>
      <c r="J839">
        <v>2302</v>
      </c>
      <c r="K839" s="18" t="s">
        <v>1510</v>
      </c>
      <c r="L839" s="21">
        <v>6.8</v>
      </c>
    </row>
    <row r="840" spans="1:12" x14ac:dyDescent="0.25">
      <c r="A840" t="str">
        <f t="shared" si="52"/>
        <v>2017-PA-Sla-130-808-2288</v>
      </c>
      <c r="B840" t="str">
        <f t="shared" si="53"/>
        <v>2017</v>
      </c>
      <c r="C840" s="18" t="s">
        <v>753</v>
      </c>
      <c r="D840" t="s">
        <v>1475</v>
      </c>
      <c r="E840" t="s">
        <v>1516</v>
      </c>
      <c r="F840">
        <v>130</v>
      </c>
      <c r="G840">
        <f t="shared" si="54"/>
        <v>80</v>
      </c>
      <c r="H840">
        <f t="shared" si="55"/>
        <v>228</v>
      </c>
      <c r="I840">
        <v>808</v>
      </c>
      <c r="J840">
        <v>2288</v>
      </c>
      <c r="K840" s="18" t="s">
        <v>1510</v>
      </c>
      <c r="L840" s="21">
        <v>7</v>
      </c>
    </row>
    <row r="841" spans="1:12" x14ac:dyDescent="0.25">
      <c r="A841" t="str">
        <f t="shared" si="52"/>
        <v>2017-PA-Sla-130-808-2230</v>
      </c>
      <c r="B841" t="str">
        <f t="shared" si="53"/>
        <v>2017</v>
      </c>
      <c r="C841" s="18" t="s">
        <v>753</v>
      </c>
      <c r="D841" t="s">
        <v>1475</v>
      </c>
      <c r="E841" t="s">
        <v>1517</v>
      </c>
      <c r="F841">
        <v>130</v>
      </c>
      <c r="G841">
        <f t="shared" si="54"/>
        <v>80</v>
      </c>
      <c r="H841">
        <f t="shared" si="55"/>
        <v>223</v>
      </c>
      <c r="I841">
        <v>808</v>
      </c>
      <c r="J841">
        <v>2230</v>
      </c>
      <c r="K841" s="18" t="s">
        <v>1510</v>
      </c>
      <c r="L841" s="21">
        <v>5.9</v>
      </c>
    </row>
    <row r="842" spans="1:12" x14ac:dyDescent="0.25">
      <c r="A842" t="str">
        <f t="shared" si="52"/>
        <v>2017-PA-Sla-140-848-2288</v>
      </c>
      <c r="B842" t="str">
        <f t="shared" si="53"/>
        <v>2017</v>
      </c>
      <c r="C842" s="18" t="s">
        <v>753</v>
      </c>
      <c r="D842" t="s">
        <v>1475</v>
      </c>
      <c r="E842" t="s">
        <v>1518</v>
      </c>
      <c r="F842">
        <v>140</v>
      </c>
      <c r="G842">
        <f t="shared" si="54"/>
        <v>84</v>
      </c>
      <c r="H842">
        <f t="shared" si="55"/>
        <v>228</v>
      </c>
      <c r="I842">
        <v>848</v>
      </c>
      <c r="J842">
        <v>2288</v>
      </c>
      <c r="K842" s="18" t="s">
        <v>1510</v>
      </c>
      <c r="L842" s="21">
        <v>7.2</v>
      </c>
    </row>
    <row r="843" spans="1:12" x14ac:dyDescent="0.25">
      <c r="A843" t="str">
        <f t="shared" si="52"/>
        <v>2017-PA-Sla-140-849-2295</v>
      </c>
      <c r="B843" t="str">
        <f t="shared" si="53"/>
        <v>2017</v>
      </c>
      <c r="C843" s="18" t="s">
        <v>753</v>
      </c>
      <c r="D843" t="s">
        <v>1475</v>
      </c>
      <c r="E843" t="s">
        <v>1519</v>
      </c>
      <c r="F843">
        <v>140</v>
      </c>
      <c r="G843">
        <f t="shared" si="54"/>
        <v>84</v>
      </c>
      <c r="H843">
        <f t="shared" si="55"/>
        <v>229</v>
      </c>
      <c r="I843">
        <v>849</v>
      </c>
      <c r="J843">
        <v>2295</v>
      </c>
      <c r="K843" s="18" t="s">
        <v>1510</v>
      </c>
      <c r="L843" s="21">
        <v>6.1</v>
      </c>
    </row>
    <row r="844" spans="1:12" x14ac:dyDescent="0.25">
      <c r="A844" t="str">
        <f t="shared" si="52"/>
        <v>2018-PA-Sla-87-568-2370</v>
      </c>
      <c r="B844" t="str">
        <f t="shared" si="53"/>
        <v>2018</v>
      </c>
      <c r="C844" s="18" t="s">
        <v>760</v>
      </c>
      <c r="D844" t="s">
        <v>1475</v>
      </c>
      <c r="E844" t="s">
        <v>1520</v>
      </c>
      <c r="F844">
        <v>87</v>
      </c>
      <c r="G844">
        <f t="shared" si="54"/>
        <v>56</v>
      </c>
      <c r="H844">
        <f t="shared" si="55"/>
        <v>237</v>
      </c>
      <c r="I844">
        <v>568</v>
      </c>
      <c r="J844">
        <v>2370</v>
      </c>
      <c r="K844" s="18" t="s">
        <v>1521</v>
      </c>
      <c r="L844" s="21">
        <v>5.4</v>
      </c>
    </row>
    <row r="845" spans="1:12" x14ac:dyDescent="0.25">
      <c r="A845" t="str">
        <f t="shared" si="52"/>
        <v>2018-PA-Sla-87-568-2370</v>
      </c>
      <c r="B845" t="str">
        <f t="shared" si="53"/>
        <v>2018</v>
      </c>
      <c r="C845" s="18" t="s">
        <v>760</v>
      </c>
      <c r="D845" t="s">
        <v>1475</v>
      </c>
      <c r="E845" t="s">
        <v>1522</v>
      </c>
      <c r="F845">
        <v>87</v>
      </c>
      <c r="G845">
        <f t="shared" si="54"/>
        <v>56</v>
      </c>
      <c r="H845">
        <f t="shared" si="55"/>
        <v>237</v>
      </c>
      <c r="I845">
        <v>568</v>
      </c>
      <c r="J845">
        <v>2370</v>
      </c>
      <c r="K845" s="18" t="s">
        <v>1521</v>
      </c>
      <c r="L845" s="21">
        <v>5.5</v>
      </c>
    </row>
    <row r="846" spans="1:12" x14ac:dyDescent="0.25">
      <c r="A846" t="str">
        <f t="shared" si="52"/>
        <v>2018-PA-Sla-92-594-2335</v>
      </c>
      <c r="B846" t="str">
        <f t="shared" si="53"/>
        <v>2018</v>
      </c>
      <c r="C846" s="18" t="s">
        <v>760</v>
      </c>
      <c r="D846" t="s">
        <v>1475</v>
      </c>
      <c r="E846" t="s">
        <v>1523</v>
      </c>
      <c r="F846">
        <v>92</v>
      </c>
      <c r="G846">
        <f t="shared" si="54"/>
        <v>59</v>
      </c>
      <c r="H846">
        <f t="shared" si="55"/>
        <v>233</v>
      </c>
      <c r="I846">
        <v>594</v>
      </c>
      <c r="J846">
        <v>2335</v>
      </c>
      <c r="K846" s="18" t="s">
        <v>1521</v>
      </c>
      <c r="L846" s="21">
        <v>5.6</v>
      </c>
    </row>
    <row r="847" spans="1:12" x14ac:dyDescent="0.25">
      <c r="A847" t="str">
        <f t="shared" si="52"/>
        <v>2018-PA-Sla-92-594-2335</v>
      </c>
      <c r="B847" t="str">
        <f t="shared" si="53"/>
        <v>2018</v>
      </c>
      <c r="C847" s="18" t="s">
        <v>760</v>
      </c>
      <c r="D847" t="s">
        <v>1475</v>
      </c>
      <c r="E847" t="s">
        <v>1524</v>
      </c>
      <c r="F847">
        <v>92</v>
      </c>
      <c r="G847">
        <f t="shared" si="54"/>
        <v>59</v>
      </c>
      <c r="H847">
        <f t="shared" si="55"/>
        <v>233</v>
      </c>
      <c r="I847">
        <v>594</v>
      </c>
      <c r="J847">
        <v>2335</v>
      </c>
      <c r="K847" s="18" t="s">
        <v>1521</v>
      </c>
      <c r="L847" s="21">
        <v>5.7</v>
      </c>
    </row>
    <row r="848" spans="1:12" x14ac:dyDescent="0.25">
      <c r="A848" t="str">
        <f t="shared" si="52"/>
        <v>2018-PA-Sla-95-622-2315</v>
      </c>
      <c r="B848" t="str">
        <f t="shared" si="53"/>
        <v>2018</v>
      </c>
      <c r="C848" s="18" t="s">
        <v>760</v>
      </c>
      <c r="D848" t="s">
        <v>1475</v>
      </c>
      <c r="E848" t="s">
        <v>1525</v>
      </c>
      <c r="F848">
        <v>95</v>
      </c>
      <c r="G848">
        <f t="shared" si="54"/>
        <v>62</v>
      </c>
      <c r="H848">
        <f t="shared" si="55"/>
        <v>231</v>
      </c>
      <c r="I848">
        <v>622</v>
      </c>
      <c r="J848">
        <v>2315</v>
      </c>
      <c r="K848" s="18" t="s">
        <v>1521</v>
      </c>
      <c r="L848" s="21">
        <v>5.8</v>
      </c>
    </row>
    <row r="849" spans="1:12" x14ac:dyDescent="0.25">
      <c r="A849" t="str">
        <f t="shared" si="52"/>
        <v>2018-PA-Sla-100-645-2329</v>
      </c>
      <c r="B849" t="str">
        <f t="shared" si="53"/>
        <v>2018</v>
      </c>
      <c r="C849" s="18" t="s">
        <v>760</v>
      </c>
      <c r="D849" t="s">
        <v>1475</v>
      </c>
      <c r="E849" t="s">
        <v>1526</v>
      </c>
      <c r="F849">
        <v>100</v>
      </c>
      <c r="G849">
        <f t="shared" si="54"/>
        <v>64</v>
      </c>
      <c r="H849">
        <f t="shared" si="55"/>
        <v>232</v>
      </c>
      <c r="I849">
        <v>645</v>
      </c>
      <c r="J849">
        <v>2329</v>
      </c>
      <c r="K849" s="18" t="s">
        <v>1521</v>
      </c>
      <c r="L849" s="21">
        <v>5.9</v>
      </c>
    </row>
    <row r="850" spans="1:12" x14ac:dyDescent="0.25">
      <c r="A850" t="str">
        <f t="shared" si="52"/>
        <v>2018-PA-Sla-100-645-2329</v>
      </c>
      <c r="B850" t="str">
        <f t="shared" si="53"/>
        <v>2018</v>
      </c>
      <c r="C850" s="18" t="s">
        <v>760</v>
      </c>
      <c r="D850" t="s">
        <v>1475</v>
      </c>
      <c r="E850" t="s">
        <v>1527</v>
      </c>
      <c r="F850">
        <v>100</v>
      </c>
      <c r="G850">
        <f t="shared" si="54"/>
        <v>64</v>
      </c>
      <c r="H850">
        <f t="shared" si="55"/>
        <v>232</v>
      </c>
      <c r="I850">
        <v>645</v>
      </c>
      <c r="J850">
        <v>2329</v>
      </c>
      <c r="K850" s="18" t="s">
        <v>1521</v>
      </c>
      <c r="L850" s="21">
        <v>6</v>
      </c>
    </row>
    <row r="851" spans="1:12" x14ac:dyDescent="0.25">
      <c r="A851" t="str">
        <f t="shared" si="52"/>
        <v>2018-PA-Sla-110-682-2328</v>
      </c>
      <c r="B851" t="str">
        <f t="shared" si="53"/>
        <v>2018</v>
      </c>
      <c r="C851" s="18" t="s">
        <v>760</v>
      </c>
      <c r="D851" t="s">
        <v>1475</v>
      </c>
      <c r="E851" t="s">
        <v>1528</v>
      </c>
      <c r="F851">
        <v>110</v>
      </c>
      <c r="G851">
        <f t="shared" si="54"/>
        <v>68</v>
      </c>
      <c r="H851">
        <f t="shared" si="55"/>
        <v>232</v>
      </c>
      <c r="I851">
        <v>682</v>
      </c>
      <c r="J851">
        <v>2328</v>
      </c>
      <c r="K851" s="18" t="s">
        <v>1521</v>
      </c>
      <c r="L851" s="21">
        <v>6.3</v>
      </c>
    </row>
    <row r="852" spans="1:12" x14ac:dyDescent="0.25">
      <c r="A852" t="str">
        <f t="shared" si="52"/>
        <v>2018-PA-Sla-115-698-2338</v>
      </c>
      <c r="B852" t="str">
        <f t="shared" si="53"/>
        <v>2018</v>
      </c>
      <c r="C852" s="18" t="s">
        <v>760</v>
      </c>
      <c r="D852" t="s">
        <v>1475</v>
      </c>
      <c r="E852" t="s">
        <v>1529</v>
      </c>
      <c r="F852">
        <v>115</v>
      </c>
      <c r="G852">
        <f t="shared" si="54"/>
        <v>69</v>
      </c>
      <c r="H852">
        <f t="shared" si="55"/>
        <v>233</v>
      </c>
      <c r="I852">
        <v>698</v>
      </c>
      <c r="J852">
        <v>2338</v>
      </c>
      <c r="K852" s="18" t="s">
        <v>1521</v>
      </c>
      <c r="L852" s="21">
        <v>6.4</v>
      </c>
    </row>
    <row r="853" spans="1:12" x14ac:dyDescent="0.25">
      <c r="A853" t="str">
        <f t="shared" si="52"/>
        <v>2018-PA-Sla-125-772-2302</v>
      </c>
      <c r="B853" t="str">
        <f t="shared" si="53"/>
        <v>2018</v>
      </c>
      <c r="C853" s="18" t="s">
        <v>760</v>
      </c>
      <c r="D853" t="s">
        <v>1475</v>
      </c>
      <c r="E853" t="s">
        <v>1530</v>
      </c>
      <c r="F853">
        <v>125</v>
      </c>
      <c r="G853">
        <f t="shared" si="54"/>
        <v>77</v>
      </c>
      <c r="H853">
        <f t="shared" si="55"/>
        <v>230</v>
      </c>
      <c r="I853">
        <v>772</v>
      </c>
      <c r="J853">
        <v>2302</v>
      </c>
      <c r="K853" s="18" t="s">
        <v>1521</v>
      </c>
      <c r="L853" s="21">
        <v>6.9</v>
      </c>
    </row>
    <row r="854" spans="1:12" x14ac:dyDescent="0.25">
      <c r="A854" t="str">
        <f t="shared" si="52"/>
        <v>2018-PA-Sla-130-808-2288</v>
      </c>
      <c r="B854" t="str">
        <f t="shared" si="53"/>
        <v>2018</v>
      </c>
      <c r="C854" s="18" t="s">
        <v>760</v>
      </c>
      <c r="D854" t="s">
        <v>1475</v>
      </c>
      <c r="E854" t="s">
        <v>1531</v>
      </c>
      <c r="F854">
        <v>130</v>
      </c>
      <c r="G854">
        <f t="shared" si="54"/>
        <v>80</v>
      </c>
      <c r="H854">
        <f t="shared" si="55"/>
        <v>228</v>
      </c>
      <c r="I854">
        <v>808</v>
      </c>
      <c r="J854">
        <v>2288</v>
      </c>
      <c r="K854" s="18" t="s">
        <v>1521</v>
      </c>
      <c r="L854" s="21">
        <v>7.2</v>
      </c>
    </row>
    <row r="855" spans="1:12" x14ac:dyDescent="0.25">
      <c r="A855" t="str">
        <f t="shared" si="52"/>
        <v>2018-PA-Sla-140-848-2288</v>
      </c>
      <c r="B855" t="str">
        <f t="shared" si="53"/>
        <v>2018</v>
      </c>
      <c r="C855" s="18" t="s">
        <v>760</v>
      </c>
      <c r="D855" t="s">
        <v>1475</v>
      </c>
      <c r="E855" t="s">
        <v>1532</v>
      </c>
      <c r="F855">
        <v>140</v>
      </c>
      <c r="G855">
        <f t="shared" si="54"/>
        <v>84</v>
      </c>
      <c r="H855">
        <f t="shared" si="55"/>
        <v>228</v>
      </c>
      <c r="I855">
        <v>848</v>
      </c>
      <c r="J855">
        <v>2288</v>
      </c>
      <c r="K855" s="18" t="s">
        <v>1521</v>
      </c>
      <c r="L855" s="21">
        <v>7.4</v>
      </c>
    </row>
    <row r="856" spans="1:12" x14ac:dyDescent="0.25">
      <c r="A856" t="str">
        <f t="shared" si="52"/>
        <v>2019-PA-Foi-165-908-2235</v>
      </c>
      <c r="B856" t="str">
        <f t="shared" si="53"/>
        <v>2019</v>
      </c>
      <c r="C856" s="18" t="s">
        <v>763</v>
      </c>
      <c r="D856" t="s">
        <v>1475</v>
      </c>
      <c r="E856" t="s">
        <v>1533</v>
      </c>
      <c r="F856">
        <v>165</v>
      </c>
      <c r="G856">
        <f t="shared" si="54"/>
        <v>90</v>
      </c>
      <c r="H856">
        <f t="shared" si="55"/>
        <v>223</v>
      </c>
      <c r="I856">
        <v>908</v>
      </c>
      <c r="J856">
        <v>2235</v>
      </c>
      <c r="K856" s="18" t="s">
        <v>1534</v>
      </c>
      <c r="L856" s="21">
        <v>8.9</v>
      </c>
    </row>
    <row r="857" spans="1:12" x14ac:dyDescent="0.25">
      <c r="A857" t="str">
        <f t="shared" si="52"/>
        <v>2019-PA-Foi-185-908-2298</v>
      </c>
      <c r="B857" t="str">
        <f t="shared" si="53"/>
        <v>2019</v>
      </c>
      <c r="C857" s="18" t="s">
        <v>763</v>
      </c>
      <c r="D857" t="s">
        <v>1475</v>
      </c>
      <c r="E857" t="s">
        <v>1535</v>
      </c>
      <c r="F857">
        <v>185</v>
      </c>
      <c r="G857">
        <f t="shared" si="54"/>
        <v>90</v>
      </c>
      <c r="H857">
        <f t="shared" si="55"/>
        <v>229</v>
      </c>
      <c r="I857">
        <v>908</v>
      </c>
      <c r="J857">
        <v>2298</v>
      </c>
      <c r="K857" s="18" t="s">
        <v>1534</v>
      </c>
      <c r="L857" s="21">
        <v>7.5</v>
      </c>
    </row>
    <row r="858" spans="1:12" x14ac:dyDescent="0.25">
      <c r="A858" t="str">
        <f t="shared" si="52"/>
        <v>2019-PA-Sla-95-622-2314</v>
      </c>
      <c r="B858" t="str">
        <f t="shared" si="53"/>
        <v>2019</v>
      </c>
      <c r="C858" s="18" t="s">
        <v>763</v>
      </c>
      <c r="D858" t="s">
        <v>1475</v>
      </c>
      <c r="E858" t="s">
        <v>1536</v>
      </c>
      <c r="F858">
        <v>95</v>
      </c>
      <c r="G858">
        <f t="shared" si="54"/>
        <v>62</v>
      </c>
      <c r="H858">
        <f t="shared" si="55"/>
        <v>231</v>
      </c>
      <c r="I858">
        <v>622</v>
      </c>
      <c r="J858">
        <v>2314</v>
      </c>
      <c r="K858" s="18" t="s">
        <v>1534</v>
      </c>
      <c r="L858" s="21">
        <v>5.3</v>
      </c>
    </row>
    <row r="859" spans="1:12" x14ac:dyDescent="0.25">
      <c r="A859" t="str">
        <f t="shared" si="52"/>
        <v>2019-PA-Sla-110-686-2316</v>
      </c>
      <c r="B859" t="str">
        <f t="shared" si="53"/>
        <v>2019</v>
      </c>
      <c r="C859" s="18" t="s">
        <v>763</v>
      </c>
      <c r="D859" t="s">
        <v>1475</v>
      </c>
      <c r="E859" t="s">
        <v>1537</v>
      </c>
      <c r="F859">
        <v>110</v>
      </c>
      <c r="G859">
        <f t="shared" si="54"/>
        <v>68</v>
      </c>
      <c r="H859">
        <f t="shared" si="55"/>
        <v>231</v>
      </c>
      <c r="I859">
        <v>686</v>
      </c>
      <c r="J859">
        <v>2316</v>
      </c>
      <c r="K859" s="18" t="s">
        <v>1534</v>
      </c>
      <c r="L859" s="21">
        <v>5.5</v>
      </c>
    </row>
    <row r="860" spans="1:12" x14ac:dyDescent="0.25">
      <c r="A860" t="str">
        <f t="shared" si="52"/>
        <v>2019-PA-Sla-110-682-2328</v>
      </c>
      <c r="B860" t="str">
        <f t="shared" si="53"/>
        <v>2019</v>
      </c>
      <c r="C860" s="18" t="s">
        <v>763</v>
      </c>
      <c r="D860" t="s">
        <v>1475</v>
      </c>
      <c r="E860" t="s">
        <v>1538</v>
      </c>
      <c r="F860">
        <v>110</v>
      </c>
      <c r="G860">
        <f t="shared" si="54"/>
        <v>68</v>
      </c>
      <c r="H860">
        <f t="shared" si="55"/>
        <v>232</v>
      </c>
      <c r="I860">
        <v>682</v>
      </c>
      <c r="J860">
        <v>2328</v>
      </c>
      <c r="K860" s="18" t="s">
        <v>1534</v>
      </c>
      <c r="L860" s="21">
        <v>6.3</v>
      </c>
    </row>
    <row r="861" spans="1:12" x14ac:dyDescent="0.25">
      <c r="A861" t="str">
        <f t="shared" si="52"/>
        <v>2019-PA-Sla-110-682-2328</v>
      </c>
      <c r="B861" t="str">
        <f t="shared" si="53"/>
        <v>2019</v>
      </c>
      <c r="C861" s="18" t="s">
        <v>763</v>
      </c>
      <c r="D861" t="s">
        <v>1475</v>
      </c>
      <c r="E861" t="s">
        <v>1539</v>
      </c>
      <c r="F861">
        <v>110</v>
      </c>
      <c r="G861">
        <f t="shared" si="54"/>
        <v>68</v>
      </c>
      <c r="H861">
        <f t="shared" si="55"/>
        <v>232</v>
      </c>
      <c r="I861">
        <v>682</v>
      </c>
      <c r="J861">
        <v>2328</v>
      </c>
      <c r="K861" s="18" t="s">
        <v>1534</v>
      </c>
      <c r="L861" s="21">
        <v>6.4</v>
      </c>
    </row>
    <row r="862" spans="1:12" x14ac:dyDescent="0.25">
      <c r="A862" t="str">
        <f t="shared" si="52"/>
        <v>2019-PA-Sla-115-707-2322</v>
      </c>
      <c r="B862" t="str">
        <f t="shared" si="53"/>
        <v>2019</v>
      </c>
      <c r="C862" s="18" t="s">
        <v>763</v>
      </c>
      <c r="D862" t="s">
        <v>1475</v>
      </c>
      <c r="E862" t="s">
        <v>1540</v>
      </c>
      <c r="F862">
        <v>115</v>
      </c>
      <c r="G862">
        <f t="shared" si="54"/>
        <v>70</v>
      </c>
      <c r="H862">
        <f t="shared" si="55"/>
        <v>232</v>
      </c>
      <c r="I862">
        <v>707</v>
      </c>
      <c r="J862">
        <v>2322</v>
      </c>
      <c r="K862" s="18" t="s">
        <v>1534</v>
      </c>
      <c r="L862" s="21">
        <v>5.6</v>
      </c>
    </row>
    <row r="863" spans="1:12" x14ac:dyDescent="0.25">
      <c r="A863" t="str">
        <f t="shared" si="52"/>
        <v>2019-PA-Sla-115-695-2332</v>
      </c>
      <c r="B863" t="str">
        <f t="shared" si="53"/>
        <v>2019</v>
      </c>
      <c r="C863" s="18" t="s">
        <v>763</v>
      </c>
      <c r="D863" t="s">
        <v>1475</v>
      </c>
      <c r="E863" t="s">
        <v>1541</v>
      </c>
      <c r="F863">
        <v>115</v>
      </c>
      <c r="G863">
        <f t="shared" si="54"/>
        <v>69</v>
      </c>
      <c r="H863">
        <f t="shared" si="55"/>
        <v>233</v>
      </c>
      <c r="I863">
        <v>695</v>
      </c>
      <c r="J863">
        <v>2332</v>
      </c>
      <c r="K863" s="18" t="s">
        <v>1534</v>
      </c>
      <c r="L863" s="21">
        <v>6.4</v>
      </c>
    </row>
    <row r="864" spans="1:12" x14ac:dyDescent="0.25">
      <c r="A864" t="str">
        <f t="shared" si="52"/>
        <v>2019-PA-Sla-115-695-2332</v>
      </c>
      <c r="B864" t="str">
        <f t="shared" si="53"/>
        <v>2019</v>
      </c>
      <c r="C864" s="18" t="s">
        <v>763</v>
      </c>
      <c r="D864" t="s">
        <v>1475</v>
      </c>
      <c r="E864" t="s">
        <v>1542</v>
      </c>
      <c r="F864">
        <v>115</v>
      </c>
      <c r="G864">
        <f t="shared" si="54"/>
        <v>69</v>
      </c>
      <c r="H864">
        <f t="shared" si="55"/>
        <v>233</v>
      </c>
      <c r="I864">
        <v>695</v>
      </c>
      <c r="J864">
        <v>2332</v>
      </c>
      <c r="K864" s="18" t="s">
        <v>1534</v>
      </c>
      <c r="L864" s="21">
        <v>6.5</v>
      </c>
    </row>
    <row r="865" spans="1:12" x14ac:dyDescent="0.25">
      <c r="A865" t="str">
        <f t="shared" si="52"/>
        <v>2019-PA-Sla-125-772-2302</v>
      </c>
      <c r="B865" t="str">
        <f t="shared" si="53"/>
        <v>2019</v>
      </c>
      <c r="C865" s="18" t="s">
        <v>763</v>
      </c>
      <c r="D865" t="s">
        <v>1475</v>
      </c>
      <c r="E865" t="s">
        <v>1543</v>
      </c>
      <c r="F865">
        <v>125</v>
      </c>
      <c r="G865">
        <f t="shared" si="54"/>
        <v>77</v>
      </c>
      <c r="H865">
        <f t="shared" si="55"/>
        <v>230</v>
      </c>
      <c r="I865">
        <v>772</v>
      </c>
      <c r="J865">
        <v>2302</v>
      </c>
      <c r="K865" s="18" t="s">
        <v>1534</v>
      </c>
      <c r="L865" s="21">
        <v>7.1</v>
      </c>
    </row>
    <row r="866" spans="1:12" x14ac:dyDescent="0.25">
      <c r="A866" t="str">
        <f t="shared" si="52"/>
        <v>2019-PA-Sla-125-772-2302</v>
      </c>
      <c r="B866" t="str">
        <f t="shared" si="53"/>
        <v>2019</v>
      </c>
      <c r="C866" s="18" t="s">
        <v>763</v>
      </c>
      <c r="D866" t="s">
        <v>1475</v>
      </c>
      <c r="E866" t="s">
        <v>1544</v>
      </c>
      <c r="F866">
        <v>125</v>
      </c>
      <c r="G866">
        <f t="shared" si="54"/>
        <v>77</v>
      </c>
      <c r="H866">
        <f t="shared" si="55"/>
        <v>230</v>
      </c>
      <c r="I866">
        <v>772</v>
      </c>
      <c r="J866">
        <v>2302</v>
      </c>
      <c r="K866" s="18" t="s">
        <v>1534</v>
      </c>
      <c r="L866" s="21">
        <v>7.3</v>
      </c>
    </row>
    <row r="867" spans="1:12" x14ac:dyDescent="0.25">
      <c r="A867" t="str">
        <f t="shared" si="52"/>
        <v>2019-PA-Sla-130-808-2296</v>
      </c>
      <c r="B867" t="str">
        <f t="shared" si="53"/>
        <v>2019</v>
      </c>
      <c r="C867" s="18" t="s">
        <v>763</v>
      </c>
      <c r="D867" t="s">
        <v>1475</v>
      </c>
      <c r="E867" t="s">
        <v>1545</v>
      </c>
      <c r="F867">
        <v>130</v>
      </c>
      <c r="G867">
        <f t="shared" si="54"/>
        <v>80</v>
      </c>
      <c r="H867">
        <f t="shared" si="55"/>
        <v>229</v>
      </c>
      <c r="I867">
        <v>808</v>
      </c>
      <c r="J867">
        <v>2296</v>
      </c>
      <c r="K867" s="18" t="s">
        <v>1534</v>
      </c>
      <c r="L867" s="21">
        <v>6.1</v>
      </c>
    </row>
    <row r="868" spans="1:12" x14ac:dyDescent="0.25">
      <c r="A868" t="str">
        <f t="shared" si="52"/>
        <v>2019-PA-Sla-130-808-2288</v>
      </c>
      <c r="B868" t="str">
        <f t="shared" si="53"/>
        <v>2019</v>
      </c>
      <c r="C868" s="18" t="s">
        <v>763</v>
      </c>
      <c r="D868" t="s">
        <v>1475</v>
      </c>
      <c r="E868" t="s">
        <v>1546</v>
      </c>
      <c r="F868">
        <v>130</v>
      </c>
      <c r="G868">
        <f t="shared" si="54"/>
        <v>80</v>
      </c>
      <c r="H868">
        <f t="shared" si="55"/>
        <v>228</v>
      </c>
      <c r="I868">
        <v>808</v>
      </c>
      <c r="J868">
        <v>2288</v>
      </c>
      <c r="K868" s="18" t="s">
        <v>1534</v>
      </c>
      <c r="L868" s="21">
        <v>7.2</v>
      </c>
    </row>
    <row r="869" spans="1:12" x14ac:dyDescent="0.25">
      <c r="A869" t="str">
        <f t="shared" si="52"/>
        <v>2019-PA-Sla-130-808-2288</v>
      </c>
      <c r="B869" t="str">
        <f t="shared" si="53"/>
        <v>2019</v>
      </c>
      <c r="C869" s="18" t="s">
        <v>763</v>
      </c>
      <c r="D869" t="s">
        <v>1475</v>
      </c>
      <c r="E869" t="s">
        <v>1547</v>
      </c>
      <c r="F869">
        <v>130</v>
      </c>
      <c r="G869">
        <f t="shared" si="54"/>
        <v>80</v>
      </c>
      <c r="H869">
        <f t="shared" si="55"/>
        <v>228</v>
      </c>
      <c r="I869">
        <v>808</v>
      </c>
      <c r="J869">
        <v>2288</v>
      </c>
      <c r="K869" s="18" t="s">
        <v>1534</v>
      </c>
      <c r="L869" s="21">
        <v>7.4</v>
      </c>
    </row>
    <row r="870" spans="1:12" x14ac:dyDescent="0.25">
      <c r="A870" t="str">
        <f t="shared" si="52"/>
        <v>2019-PA-Sla-140-849-2295</v>
      </c>
      <c r="B870" t="str">
        <f t="shared" si="53"/>
        <v>2019</v>
      </c>
      <c r="C870" s="18" t="s">
        <v>763</v>
      </c>
      <c r="D870" t="s">
        <v>1475</v>
      </c>
      <c r="E870" t="s">
        <v>1548</v>
      </c>
      <c r="F870">
        <v>140</v>
      </c>
      <c r="G870">
        <f t="shared" si="54"/>
        <v>84</v>
      </c>
      <c r="H870">
        <f t="shared" si="55"/>
        <v>229</v>
      </c>
      <c r="I870">
        <v>849</v>
      </c>
      <c r="J870">
        <v>2295</v>
      </c>
      <c r="K870" s="18" t="s">
        <v>1534</v>
      </c>
      <c r="L870" s="21">
        <v>6.3</v>
      </c>
    </row>
    <row r="871" spans="1:12" x14ac:dyDescent="0.25">
      <c r="A871" t="str">
        <f t="shared" si="52"/>
        <v>2019-PA-Sla-140-848-2288</v>
      </c>
      <c r="B871" t="str">
        <f t="shared" si="53"/>
        <v>2019</v>
      </c>
      <c r="C871" s="18" t="s">
        <v>763</v>
      </c>
      <c r="D871" t="s">
        <v>1475</v>
      </c>
      <c r="E871" t="s">
        <v>1549</v>
      </c>
      <c r="F871">
        <v>140</v>
      </c>
      <c r="G871">
        <f t="shared" si="54"/>
        <v>84</v>
      </c>
      <c r="H871">
        <f t="shared" si="55"/>
        <v>228</v>
      </c>
      <c r="I871">
        <v>848</v>
      </c>
      <c r="J871">
        <v>2288</v>
      </c>
      <c r="K871" s="18" t="s">
        <v>1534</v>
      </c>
      <c r="L871" s="21">
        <v>7.5</v>
      </c>
    </row>
    <row r="872" spans="1:12" x14ac:dyDescent="0.25">
      <c r="A872" t="str">
        <f t="shared" si="52"/>
        <v>2019-PA-Sla-140-848-2288</v>
      </c>
      <c r="B872" t="str">
        <f t="shared" si="53"/>
        <v>2019</v>
      </c>
      <c r="C872" s="18" t="s">
        <v>763</v>
      </c>
      <c r="D872" t="s">
        <v>1475</v>
      </c>
      <c r="E872" t="s">
        <v>1550</v>
      </c>
      <c r="F872">
        <v>140</v>
      </c>
      <c r="G872">
        <f t="shared" si="54"/>
        <v>84</v>
      </c>
      <c r="H872">
        <f t="shared" si="55"/>
        <v>228</v>
      </c>
      <c r="I872">
        <v>848</v>
      </c>
      <c r="J872">
        <v>2288</v>
      </c>
      <c r="K872" s="18" t="s">
        <v>1534</v>
      </c>
      <c r="L872" s="21">
        <v>7.7</v>
      </c>
    </row>
    <row r="873" spans="1:12" x14ac:dyDescent="0.25">
      <c r="A873" t="str">
        <f t="shared" si="52"/>
        <v>2019-PA-Sla-150-906-2300</v>
      </c>
      <c r="B873" t="str">
        <f t="shared" si="53"/>
        <v>2019</v>
      </c>
      <c r="C873" s="18" t="s">
        <v>763</v>
      </c>
      <c r="D873" t="s">
        <v>1475</v>
      </c>
      <c r="E873" t="s">
        <v>1551</v>
      </c>
      <c r="F873">
        <v>150</v>
      </c>
      <c r="G873">
        <f t="shared" si="54"/>
        <v>90</v>
      </c>
      <c r="H873">
        <f t="shared" si="55"/>
        <v>230</v>
      </c>
      <c r="I873">
        <v>906</v>
      </c>
      <c r="J873">
        <v>2300</v>
      </c>
      <c r="K873" s="18" t="s">
        <v>1534</v>
      </c>
      <c r="L873" s="21">
        <v>7.9</v>
      </c>
    </row>
    <row r="874" spans="1:12" x14ac:dyDescent="0.25">
      <c r="A874" t="str">
        <f t="shared" si="52"/>
        <v>2019-PA-Sla-150-906-2300</v>
      </c>
      <c r="B874" t="str">
        <f t="shared" si="53"/>
        <v>2019</v>
      </c>
      <c r="C874" s="18" t="s">
        <v>763</v>
      </c>
      <c r="D874" t="s">
        <v>1475</v>
      </c>
      <c r="E874" t="s">
        <v>1552</v>
      </c>
      <c r="F874">
        <v>150</v>
      </c>
      <c r="G874">
        <f t="shared" si="54"/>
        <v>90</v>
      </c>
      <c r="H874">
        <f t="shared" si="55"/>
        <v>230</v>
      </c>
      <c r="I874">
        <v>906</v>
      </c>
      <c r="J874">
        <v>2300</v>
      </c>
      <c r="K874" s="18" t="s">
        <v>1534</v>
      </c>
      <c r="L874" s="21">
        <v>8.1999999999999993</v>
      </c>
    </row>
    <row r="875" spans="1:12" x14ac:dyDescent="0.25">
      <c r="A875" t="str">
        <f t="shared" si="52"/>
        <v>2020-PA-Sla-115-695-2332</v>
      </c>
      <c r="B875" t="str">
        <f t="shared" si="53"/>
        <v>2020</v>
      </c>
      <c r="C875" s="18" t="s">
        <v>767</v>
      </c>
      <c r="D875" t="s">
        <v>1475</v>
      </c>
      <c r="E875" t="s">
        <v>1553</v>
      </c>
      <c r="F875">
        <v>115</v>
      </c>
      <c r="G875">
        <f t="shared" si="54"/>
        <v>69</v>
      </c>
      <c r="H875">
        <f t="shared" si="55"/>
        <v>233</v>
      </c>
      <c r="I875">
        <v>695</v>
      </c>
      <c r="J875">
        <v>2332</v>
      </c>
      <c r="K875" s="18" t="s">
        <v>1554</v>
      </c>
      <c r="L875" s="21">
        <v>6.4</v>
      </c>
    </row>
    <row r="876" spans="1:12" x14ac:dyDescent="0.25">
      <c r="A876" t="str">
        <f t="shared" si="52"/>
        <v>2020-PA-Sla-125-772-2302</v>
      </c>
      <c r="B876" t="str">
        <f t="shared" si="53"/>
        <v>2020</v>
      </c>
      <c r="C876" s="18" t="s">
        <v>767</v>
      </c>
      <c r="D876" t="s">
        <v>1475</v>
      </c>
      <c r="E876" t="s">
        <v>1555</v>
      </c>
      <c r="F876">
        <v>125</v>
      </c>
      <c r="G876">
        <f t="shared" si="54"/>
        <v>77</v>
      </c>
      <c r="H876">
        <f t="shared" si="55"/>
        <v>230</v>
      </c>
      <c r="I876">
        <v>772</v>
      </c>
      <c r="J876">
        <v>2302</v>
      </c>
      <c r="K876" s="18" t="s">
        <v>1554</v>
      </c>
      <c r="L876" s="21">
        <v>7.1</v>
      </c>
    </row>
    <row r="877" spans="1:12" x14ac:dyDescent="0.25">
      <c r="A877" t="str">
        <f t="shared" si="52"/>
        <v>2020-PA-Sla-130-808-2288</v>
      </c>
      <c r="B877" t="str">
        <f t="shared" si="53"/>
        <v>2020</v>
      </c>
      <c r="C877" s="18" t="s">
        <v>767</v>
      </c>
      <c r="D877" t="s">
        <v>1475</v>
      </c>
      <c r="E877" t="s">
        <v>1556</v>
      </c>
      <c r="F877">
        <v>130</v>
      </c>
      <c r="G877">
        <f t="shared" si="54"/>
        <v>80</v>
      </c>
      <c r="H877">
        <f t="shared" si="55"/>
        <v>228</v>
      </c>
      <c r="I877">
        <v>808</v>
      </c>
      <c r="J877">
        <v>2288</v>
      </c>
      <c r="K877" s="18" t="s">
        <v>1554</v>
      </c>
      <c r="L877" s="21">
        <v>7.2</v>
      </c>
    </row>
    <row r="878" spans="1:12" x14ac:dyDescent="0.25">
      <c r="A878" t="str">
        <f t="shared" si="52"/>
        <v>2020-PA-Sla-140-848-2288</v>
      </c>
      <c r="B878" t="str">
        <f t="shared" si="53"/>
        <v>2020</v>
      </c>
      <c r="C878" s="18" t="s">
        <v>767</v>
      </c>
      <c r="D878" t="s">
        <v>1475</v>
      </c>
      <c r="E878" t="s">
        <v>1557</v>
      </c>
      <c r="F878">
        <v>140</v>
      </c>
      <c r="G878">
        <f t="shared" si="54"/>
        <v>84</v>
      </c>
      <c r="H878">
        <f t="shared" si="55"/>
        <v>228</v>
      </c>
      <c r="I878">
        <v>848</v>
      </c>
      <c r="J878">
        <v>2288</v>
      </c>
      <c r="K878" s="18" t="s">
        <v>1554</v>
      </c>
      <c r="L878" s="21">
        <v>7.5</v>
      </c>
    </row>
    <row r="879" spans="1:12" x14ac:dyDescent="0.25">
      <c r="A879" t="str">
        <f t="shared" si="52"/>
        <v>2020-PA-Sla-150-906-2300</v>
      </c>
      <c r="B879" t="str">
        <f t="shared" si="53"/>
        <v>2020</v>
      </c>
      <c r="C879" s="18" t="s">
        <v>767</v>
      </c>
      <c r="D879" t="s">
        <v>1475</v>
      </c>
      <c r="E879" t="s">
        <v>1558</v>
      </c>
      <c r="F879">
        <v>150</v>
      </c>
      <c r="G879">
        <f t="shared" si="54"/>
        <v>90</v>
      </c>
      <c r="H879">
        <f t="shared" si="55"/>
        <v>230</v>
      </c>
      <c r="I879">
        <v>906</v>
      </c>
      <c r="J879">
        <v>2300</v>
      </c>
      <c r="K879" s="18" t="s">
        <v>1554</v>
      </c>
      <c r="L879" s="21">
        <v>7.9</v>
      </c>
    </row>
    <row r="880" spans="1:12" x14ac:dyDescent="0.25">
      <c r="A880" t="str">
        <f t="shared" si="52"/>
        <v>2020-PA-Sla-85-568-2370</v>
      </c>
      <c r="B880" t="str">
        <f t="shared" si="53"/>
        <v>2020</v>
      </c>
      <c r="C880" s="18" t="s">
        <v>767</v>
      </c>
      <c r="D880" t="s">
        <v>1475</v>
      </c>
      <c r="E880" t="s">
        <v>1559</v>
      </c>
      <c r="F880">
        <v>85</v>
      </c>
      <c r="G880">
        <f t="shared" si="54"/>
        <v>56</v>
      </c>
      <c r="H880">
        <f t="shared" si="55"/>
        <v>237</v>
      </c>
      <c r="I880">
        <v>568</v>
      </c>
      <c r="J880">
        <v>2370</v>
      </c>
      <c r="K880" s="18" t="s">
        <v>1560</v>
      </c>
      <c r="L880" s="21">
        <v>5.3</v>
      </c>
    </row>
    <row r="881" spans="1:12" x14ac:dyDescent="0.25">
      <c r="A881" t="str">
        <f t="shared" si="52"/>
        <v>2020-PA-Sla-90-594-2335</v>
      </c>
      <c r="B881" t="str">
        <f t="shared" si="53"/>
        <v>2020</v>
      </c>
      <c r="C881" s="18" t="s">
        <v>767</v>
      </c>
      <c r="D881" t="s">
        <v>1475</v>
      </c>
      <c r="E881" t="s">
        <v>1561</v>
      </c>
      <c r="F881">
        <v>90</v>
      </c>
      <c r="G881">
        <f t="shared" si="54"/>
        <v>59</v>
      </c>
      <c r="H881">
        <f t="shared" si="55"/>
        <v>233</v>
      </c>
      <c r="I881">
        <v>594</v>
      </c>
      <c r="J881">
        <v>2335</v>
      </c>
      <c r="K881" s="18" t="s">
        <v>1560</v>
      </c>
      <c r="L881" s="21">
        <v>5.5</v>
      </c>
    </row>
    <row r="882" spans="1:12" x14ac:dyDescent="0.25">
      <c r="A882" t="str">
        <f t="shared" si="52"/>
        <v>2020-PA-Sla-95-622-2314</v>
      </c>
      <c r="B882" t="str">
        <f t="shared" si="53"/>
        <v>2020</v>
      </c>
      <c r="C882" s="18" t="s">
        <v>767</v>
      </c>
      <c r="D882" t="s">
        <v>1475</v>
      </c>
      <c r="E882" t="s">
        <v>1562</v>
      </c>
      <c r="F882">
        <v>95</v>
      </c>
      <c r="G882">
        <f t="shared" si="54"/>
        <v>62</v>
      </c>
      <c r="H882">
        <f t="shared" si="55"/>
        <v>231</v>
      </c>
      <c r="I882">
        <v>622</v>
      </c>
      <c r="J882">
        <v>2314</v>
      </c>
      <c r="K882" s="18" t="s">
        <v>1560</v>
      </c>
      <c r="L882" s="21">
        <v>5.6</v>
      </c>
    </row>
    <row r="883" spans="1:12" x14ac:dyDescent="0.25">
      <c r="A883" t="str">
        <f t="shared" si="52"/>
        <v>2020-PA-Sla-100-645-2329</v>
      </c>
      <c r="B883" t="str">
        <f t="shared" si="53"/>
        <v>2020</v>
      </c>
      <c r="C883" s="18" t="s">
        <v>767</v>
      </c>
      <c r="D883" t="s">
        <v>1475</v>
      </c>
      <c r="E883" t="s">
        <v>1563</v>
      </c>
      <c r="F883">
        <v>100</v>
      </c>
      <c r="G883">
        <f t="shared" si="54"/>
        <v>64</v>
      </c>
      <c r="H883">
        <f t="shared" si="55"/>
        <v>232</v>
      </c>
      <c r="I883">
        <v>645</v>
      </c>
      <c r="J883">
        <v>2329</v>
      </c>
      <c r="K883" s="18" t="s">
        <v>1560</v>
      </c>
      <c r="L883" s="21">
        <v>5.7</v>
      </c>
    </row>
    <row r="884" spans="1:12" x14ac:dyDescent="0.25">
      <c r="A884" t="str">
        <f t="shared" si="52"/>
        <v>2023-PA-PAT-90-595-2335</v>
      </c>
      <c r="B884" t="str">
        <f t="shared" si="53"/>
        <v>2023</v>
      </c>
      <c r="C884" s="18" t="s">
        <v>1565</v>
      </c>
      <c r="D884" t="s">
        <v>1475</v>
      </c>
      <c r="E884" t="s">
        <v>1564</v>
      </c>
      <c r="F884">
        <v>90</v>
      </c>
      <c r="G884">
        <f t="shared" si="54"/>
        <v>59</v>
      </c>
      <c r="H884">
        <f t="shared" si="55"/>
        <v>233</v>
      </c>
      <c r="I884">
        <v>595</v>
      </c>
      <c r="J884">
        <v>2335</v>
      </c>
      <c r="K884" s="18" t="s">
        <v>1566</v>
      </c>
      <c r="L884" s="21">
        <v>5.66</v>
      </c>
    </row>
    <row r="885" spans="1:12" x14ac:dyDescent="0.25">
      <c r="A885" t="str">
        <f t="shared" si="52"/>
        <v>2023-PA-PAT-95-625-2315</v>
      </c>
      <c r="B885" t="str">
        <f t="shared" si="53"/>
        <v>2023</v>
      </c>
      <c r="C885" s="18" t="s">
        <v>1565</v>
      </c>
      <c r="D885" t="s">
        <v>1475</v>
      </c>
      <c r="E885" t="s">
        <v>1567</v>
      </c>
      <c r="F885">
        <v>95</v>
      </c>
      <c r="G885">
        <f t="shared" si="54"/>
        <v>62</v>
      </c>
      <c r="H885">
        <f t="shared" si="55"/>
        <v>231</v>
      </c>
      <c r="I885">
        <v>625</v>
      </c>
      <c r="J885">
        <v>2315</v>
      </c>
      <c r="K885" s="18" t="s">
        <v>1566</v>
      </c>
      <c r="L885" s="21">
        <v>5.87</v>
      </c>
    </row>
    <row r="886" spans="1:12" x14ac:dyDescent="0.25">
      <c r="A886" t="str">
        <f t="shared" si="52"/>
        <v>2023-PA-PAT-100-645-2325</v>
      </c>
      <c r="B886" t="str">
        <f t="shared" si="53"/>
        <v>2023</v>
      </c>
      <c r="C886" s="18" t="s">
        <v>1565</v>
      </c>
      <c r="D886" t="s">
        <v>1475</v>
      </c>
      <c r="E886" t="s">
        <v>1568</v>
      </c>
      <c r="F886">
        <v>100</v>
      </c>
      <c r="G886">
        <f t="shared" si="54"/>
        <v>64</v>
      </c>
      <c r="H886">
        <f t="shared" si="55"/>
        <v>232</v>
      </c>
      <c r="I886">
        <v>645</v>
      </c>
      <c r="J886">
        <v>2325</v>
      </c>
      <c r="K886" s="18" t="s">
        <v>1566</v>
      </c>
      <c r="L886" s="21">
        <v>5.94</v>
      </c>
    </row>
    <row r="887" spans="1:12" x14ac:dyDescent="0.25">
      <c r="A887" t="str">
        <f t="shared" si="52"/>
        <v>2023-PA-PAT-115-695-2335</v>
      </c>
      <c r="B887" t="str">
        <f t="shared" si="53"/>
        <v>2023</v>
      </c>
      <c r="C887" s="18" t="s">
        <v>1565</v>
      </c>
      <c r="D887" t="s">
        <v>1475</v>
      </c>
      <c r="E887" t="s">
        <v>1569</v>
      </c>
      <c r="F887">
        <v>115</v>
      </c>
      <c r="G887">
        <f t="shared" si="54"/>
        <v>69</v>
      </c>
      <c r="H887">
        <f t="shared" si="55"/>
        <v>233</v>
      </c>
      <c r="I887">
        <v>695</v>
      </c>
      <c r="J887">
        <v>2335</v>
      </c>
      <c r="K887" s="18" t="s">
        <v>1566</v>
      </c>
      <c r="L887" s="21">
        <v>6.46</v>
      </c>
    </row>
    <row r="888" spans="1:12" x14ac:dyDescent="0.25">
      <c r="A888" t="str">
        <f t="shared" si="52"/>
        <v>2023-PA-PAT-125-775-2305</v>
      </c>
      <c r="B888" t="str">
        <f t="shared" si="53"/>
        <v>2023</v>
      </c>
      <c r="C888" s="18" t="s">
        <v>1565</v>
      </c>
      <c r="D888" t="s">
        <v>1475</v>
      </c>
      <c r="E888" t="s">
        <v>1570</v>
      </c>
      <c r="F888">
        <v>125</v>
      </c>
      <c r="G888">
        <f t="shared" si="54"/>
        <v>77</v>
      </c>
      <c r="H888">
        <f t="shared" si="55"/>
        <v>230</v>
      </c>
      <c r="I888">
        <v>775</v>
      </c>
      <c r="J888">
        <v>2305</v>
      </c>
      <c r="K888" s="18" t="s">
        <v>1566</v>
      </c>
      <c r="L888" s="21">
        <v>7.05</v>
      </c>
    </row>
    <row r="889" spans="1:12" x14ac:dyDescent="0.25">
      <c r="A889" t="str">
        <f t="shared" si="52"/>
        <v>2023-PA-PAT-130-810-2290</v>
      </c>
      <c r="B889" t="str">
        <f t="shared" si="53"/>
        <v>2023</v>
      </c>
      <c r="C889" s="18" t="s">
        <v>1565</v>
      </c>
      <c r="D889" t="s">
        <v>1475</v>
      </c>
      <c r="E889" t="s">
        <v>1571</v>
      </c>
      <c r="F889">
        <v>130</v>
      </c>
      <c r="G889">
        <f t="shared" si="54"/>
        <v>81</v>
      </c>
      <c r="H889">
        <f t="shared" si="55"/>
        <v>229</v>
      </c>
      <c r="I889">
        <v>810</v>
      </c>
      <c r="J889">
        <v>2290</v>
      </c>
      <c r="K889" s="18" t="s">
        <v>1566</v>
      </c>
      <c r="L889" s="21">
        <v>7.23</v>
      </c>
    </row>
    <row r="890" spans="1:12" x14ac:dyDescent="0.25">
      <c r="A890" t="str">
        <f t="shared" si="52"/>
        <v>2023-PA-PAT-140-850-2290</v>
      </c>
      <c r="B890" t="str">
        <f t="shared" si="53"/>
        <v>2023</v>
      </c>
      <c r="C890" s="18" t="s">
        <v>1565</v>
      </c>
      <c r="D890" t="s">
        <v>1475</v>
      </c>
      <c r="E890" t="s">
        <v>1572</v>
      </c>
      <c r="F890">
        <v>140</v>
      </c>
      <c r="G890">
        <f t="shared" si="54"/>
        <v>85</v>
      </c>
      <c r="H890">
        <f t="shared" si="55"/>
        <v>229</v>
      </c>
      <c r="I890">
        <v>850</v>
      </c>
      <c r="J890">
        <v>2290</v>
      </c>
      <c r="K890" s="18" t="s">
        <v>1566</v>
      </c>
      <c r="L890" s="21">
        <v>7.59</v>
      </c>
    </row>
    <row r="891" spans="1:12" x14ac:dyDescent="0.25">
      <c r="A891" t="str">
        <f t="shared" si="52"/>
        <v>2024-PA-PAT-141-732-2060</v>
      </c>
      <c r="B891" t="str">
        <f t="shared" si="53"/>
        <v>2024</v>
      </c>
      <c r="C891" s="18" t="s">
        <v>1574</v>
      </c>
      <c r="D891" t="s">
        <v>1475</v>
      </c>
      <c r="E891" t="s">
        <v>1573</v>
      </c>
      <c r="F891">
        <v>141</v>
      </c>
      <c r="G891">
        <f t="shared" si="54"/>
        <v>73</v>
      </c>
      <c r="H891">
        <f t="shared" si="55"/>
        <v>206</v>
      </c>
      <c r="I891">
        <v>732</v>
      </c>
      <c r="J891">
        <v>2060</v>
      </c>
      <c r="K891" s="18" t="s">
        <v>1575</v>
      </c>
      <c r="L891" s="21">
        <v>7.9</v>
      </c>
    </row>
    <row r="892" spans="1:12" x14ac:dyDescent="0.25">
      <c r="A892" t="str">
        <f t="shared" si="52"/>
        <v>2024-PA-PAT-155-792-2070</v>
      </c>
      <c r="B892" t="str">
        <f t="shared" si="53"/>
        <v>2024</v>
      </c>
      <c r="C892" s="18" t="s">
        <v>1574</v>
      </c>
      <c r="D892" t="s">
        <v>1475</v>
      </c>
      <c r="E892" t="s">
        <v>1576</v>
      </c>
      <c r="F892">
        <v>155</v>
      </c>
      <c r="G892">
        <f t="shared" si="54"/>
        <v>79</v>
      </c>
      <c r="H892">
        <f t="shared" si="55"/>
        <v>207</v>
      </c>
      <c r="I892">
        <v>792</v>
      </c>
      <c r="J892">
        <v>2070</v>
      </c>
      <c r="K892" s="18" t="s">
        <v>1575</v>
      </c>
      <c r="L892" s="21">
        <v>8.3000000000000007</v>
      </c>
    </row>
    <row r="893" spans="1:12" x14ac:dyDescent="0.25">
      <c r="A893" t="str">
        <f t="shared" si="52"/>
        <v>2024-PA-PAT-169-852-2080</v>
      </c>
      <c r="B893" t="str">
        <f t="shared" si="53"/>
        <v>2024</v>
      </c>
      <c r="C893" s="18" t="s">
        <v>1574</v>
      </c>
      <c r="D893" t="s">
        <v>1475</v>
      </c>
      <c r="E893" t="s">
        <v>1577</v>
      </c>
      <c r="F893">
        <v>169</v>
      </c>
      <c r="G893">
        <f t="shared" si="54"/>
        <v>85</v>
      </c>
      <c r="H893">
        <f t="shared" si="55"/>
        <v>208</v>
      </c>
      <c r="I893">
        <v>852</v>
      </c>
      <c r="J893">
        <v>2080</v>
      </c>
      <c r="K893" s="18" t="s">
        <v>1575</v>
      </c>
      <c r="L893" s="21">
        <v>8.6999999999999993</v>
      </c>
    </row>
    <row r="894" spans="1:12" x14ac:dyDescent="0.25">
      <c r="A894" t="str">
        <f t="shared" si="52"/>
        <v>2024-PA-PAT-178-892-2090</v>
      </c>
      <c r="B894" t="str">
        <f t="shared" si="53"/>
        <v>2024</v>
      </c>
      <c r="C894" s="18" t="s">
        <v>1574</v>
      </c>
      <c r="D894" t="s">
        <v>1475</v>
      </c>
      <c r="E894" t="s">
        <v>1578</v>
      </c>
      <c r="F894">
        <v>178</v>
      </c>
      <c r="G894">
        <f t="shared" si="54"/>
        <v>89</v>
      </c>
      <c r="H894">
        <f t="shared" si="55"/>
        <v>209</v>
      </c>
      <c r="I894">
        <v>892</v>
      </c>
      <c r="J894">
        <v>2090</v>
      </c>
      <c r="K894" s="18" t="s">
        <v>1575</v>
      </c>
      <c r="L894" s="21">
        <v>9</v>
      </c>
    </row>
    <row r="895" spans="1:12" x14ac:dyDescent="0.25">
      <c r="A895" t="str">
        <f t="shared" si="52"/>
        <v>2023-PA-iQF-196-944-2199</v>
      </c>
      <c r="B895" t="str">
        <f t="shared" si="53"/>
        <v>2023</v>
      </c>
      <c r="C895" s="18" t="s">
        <v>776</v>
      </c>
      <c r="D895" t="s">
        <v>1475</v>
      </c>
      <c r="E895" t="s">
        <v>1579</v>
      </c>
      <c r="F895">
        <v>196</v>
      </c>
      <c r="G895">
        <f t="shared" si="54"/>
        <v>94</v>
      </c>
      <c r="H895">
        <f t="shared" si="55"/>
        <v>219</v>
      </c>
      <c r="I895">
        <v>944</v>
      </c>
      <c r="J895">
        <v>2199</v>
      </c>
      <c r="K895" s="18" t="s">
        <v>1580</v>
      </c>
      <c r="L895" s="21">
        <v>10.9</v>
      </c>
    </row>
    <row r="896" spans="1:12" x14ac:dyDescent="0.25">
      <c r="A896" t="str">
        <f t="shared" si="52"/>
        <v>2025-PA-DEF-84-552-2320</v>
      </c>
      <c r="B896" t="str">
        <f t="shared" si="53"/>
        <v>2025</v>
      </c>
      <c r="C896" s="18" t="s">
        <v>1582</v>
      </c>
      <c r="D896" t="s">
        <v>1475</v>
      </c>
      <c r="E896" t="s">
        <v>1581</v>
      </c>
      <c r="F896">
        <v>84</v>
      </c>
      <c r="G896">
        <f t="shared" si="54"/>
        <v>55</v>
      </c>
      <c r="H896">
        <f t="shared" si="55"/>
        <v>232</v>
      </c>
      <c r="I896">
        <v>552</v>
      </c>
      <c r="J896">
        <v>2320</v>
      </c>
      <c r="K896" s="18" t="s">
        <v>1583</v>
      </c>
      <c r="L896" s="21">
        <v>5.2</v>
      </c>
    </row>
    <row r="897" spans="1:12" x14ac:dyDescent="0.25">
      <c r="A897" t="str">
        <f t="shared" si="52"/>
        <v>2025-PA-DEF-93-592-2320</v>
      </c>
      <c r="B897" t="str">
        <f t="shared" si="53"/>
        <v>2025</v>
      </c>
      <c r="C897" s="18" t="s">
        <v>1582</v>
      </c>
      <c r="D897" t="s">
        <v>1475</v>
      </c>
      <c r="E897" t="s">
        <v>1584</v>
      </c>
      <c r="F897">
        <v>93</v>
      </c>
      <c r="G897">
        <f t="shared" si="54"/>
        <v>59</v>
      </c>
      <c r="H897">
        <f t="shared" si="55"/>
        <v>232</v>
      </c>
      <c r="I897">
        <v>592</v>
      </c>
      <c r="J897">
        <v>2320</v>
      </c>
      <c r="K897" s="18" t="s">
        <v>1583</v>
      </c>
      <c r="L897" s="21">
        <v>5.5</v>
      </c>
    </row>
    <row r="898" spans="1:12" x14ac:dyDescent="0.25">
      <c r="A898" t="str">
        <f t="shared" ref="A898:A961" si="56">_xlfn.CONCAT(B898,"-",LEFT(D898,2),"-",LEFT(E898,3),"-",F898,"-",TRUNC(I898),"-",TRUNC(J898))</f>
        <v>2025-PA-DEF-103-641-2320</v>
      </c>
      <c r="B898" t="str">
        <f t="shared" ref="B898:B961" si="57">LEFT(C898,4)</f>
        <v>2025</v>
      </c>
      <c r="C898" s="18" t="s">
        <v>1582</v>
      </c>
      <c r="D898" t="s">
        <v>1475</v>
      </c>
      <c r="E898" t="s">
        <v>1585</v>
      </c>
      <c r="F898">
        <v>103</v>
      </c>
      <c r="G898">
        <f t="shared" si="54"/>
        <v>64</v>
      </c>
      <c r="H898">
        <f t="shared" si="55"/>
        <v>232</v>
      </c>
      <c r="I898">
        <v>641</v>
      </c>
      <c r="J898">
        <v>2320</v>
      </c>
      <c r="K898" s="18" t="s">
        <v>1583</v>
      </c>
      <c r="L898" s="21">
        <v>5.9</v>
      </c>
    </row>
    <row r="899" spans="1:12" x14ac:dyDescent="0.25">
      <c r="A899" t="str">
        <f t="shared" si="56"/>
        <v>2025-PA-DEF-93-591-2370</v>
      </c>
      <c r="B899" t="str">
        <f t="shared" si="57"/>
        <v>2025</v>
      </c>
      <c r="C899" s="18" t="s">
        <v>1582</v>
      </c>
      <c r="D899" t="s">
        <v>1475</v>
      </c>
      <c r="E899" t="s">
        <v>1586</v>
      </c>
      <c r="F899">
        <v>93</v>
      </c>
      <c r="G899">
        <f t="shared" ref="G899:G962" si="58">TRUNC(I899/10)</f>
        <v>59</v>
      </c>
      <c r="H899">
        <f t="shared" ref="H899:H962" si="59">TRUNC(J899/10)</f>
        <v>237</v>
      </c>
      <c r="I899">
        <v>591</v>
      </c>
      <c r="J899">
        <v>2370</v>
      </c>
      <c r="K899" s="18" t="s">
        <v>1583</v>
      </c>
      <c r="L899" s="21">
        <v>5.6</v>
      </c>
    </row>
    <row r="900" spans="1:12" x14ac:dyDescent="0.25">
      <c r="A900" t="str">
        <f t="shared" si="56"/>
        <v>2025-PA-DEF-103-641-2370</v>
      </c>
      <c r="B900" t="str">
        <f t="shared" si="57"/>
        <v>2025</v>
      </c>
      <c r="C900" s="18" t="s">
        <v>1582</v>
      </c>
      <c r="D900" t="s">
        <v>1475</v>
      </c>
      <c r="E900" t="s">
        <v>1587</v>
      </c>
      <c r="F900">
        <v>103</v>
      </c>
      <c r="G900">
        <f t="shared" si="58"/>
        <v>64</v>
      </c>
      <c r="H900">
        <f t="shared" si="59"/>
        <v>237</v>
      </c>
      <c r="I900">
        <v>641</v>
      </c>
      <c r="J900">
        <v>2370</v>
      </c>
      <c r="K900" s="18" t="s">
        <v>1583</v>
      </c>
      <c r="L900" s="21">
        <v>6</v>
      </c>
    </row>
    <row r="901" spans="1:12" x14ac:dyDescent="0.25">
      <c r="A901" t="str">
        <f t="shared" si="56"/>
        <v>2025-PA-FOI-149-800-2090</v>
      </c>
      <c r="B901" t="str">
        <f t="shared" si="57"/>
        <v>2025</v>
      </c>
      <c r="C901" s="18" t="s">
        <v>1582</v>
      </c>
      <c r="D901" t="s">
        <v>1475</v>
      </c>
      <c r="E901" t="s">
        <v>1588</v>
      </c>
      <c r="F901">
        <v>149</v>
      </c>
      <c r="G901">
        <f t="shared" si="58"/>
        <v>80</v>
      </c>
      <c r="H901">
        <f t="shared" si="59"/>
        <v>209</v>
      </c>
      <c r="I901">
        <v>800</v>
      </c>
      <c r="J901">
        <v>2090</v>
      </c>
      <c r="K901" s="18" t="s">
        <v>1583</v>
      </c>
      <c r="L901" s="21">
        <v>8.6</v>
      </c>
    </row>
    <row r="902" spans="1:12" x14ac:dyDescent="0.25">
      <c r="A902" t="str">
        <f t="shared" si="56"/>
        <v>2025-PA-FOI-160-850-2090</v>
      </c>
      <c r="B902" t="str">
        <f t="shared" si="57"/>
        <v>2025</v>
      </c>
      <c r="C902" s="18" t="s">
        <v>1582</v>
      </c>
      <c r="D902" t="s">
        <v>1475</v>
      </c>
      <c r="E902" t="s">
        <v>1589</v>
      </c>
      <c r="F902">
        <v>160</v>
      </c>
      <c r="G902">
        <f t="shared" si="58"/>
        <v>85</v>
      </c>
      <c r="H902">
        <f t="shared" si="59"/>
        <v>209</v>
      </c>
      <c r="I902">
        <v>850</v>
      </c>
      <c r="J902">
        <v>2090</v>
      </c>
      <c r="K902" s="18" t="s">
        <v>1583</v>
      </c>
      <c r="L902" s="21">
        <v>9</v>
      </c>
    </row>
    <row r="903" spans="1:12" x14ac:dyDescent="0.25">
      <c r="A903" t="str">
        <f t="shared" si="56"/>
        <v>2026-PA-PAT-116-690-2350</v>
      </c>
      <c r="B903" t="str">
        <f t="shared" si="57"/>
        <v>2026</v>
      </c>
      <c r="C903" s="18" t="s">
        <v>1591</v>
      </c>
      <c r="D903" t="s">
        <v>1475</v>
      </c>
      <c r="E903" t="s">
        <v>1590</v>
      </c>
      <c r="F903">
        <v>116</v>
      </c>
      <c r="G903">
        <f t="shared" si="58"/>
        <v>69</v>
      </c>
      <c r="H903">
        <f t="shared" si="59"/>
        <v>235</v>
      </c>
      <c r="I903">
        <v>690</v>
      </c>
      <c r="J903">
        <v>2350</v>
      </c>
      <c r="K903" s="18" t="s">
        <v>1592</v>
      </c>
      <c r="L903" s="21">
        <v>6.4</v>
      </c>
    </row>
    <row r="904" spans="1:12" x14ac:dyDescent="0.25">
      <c r="A904" t="str">
        <f t="shared" si="56"/>
        <v>2026-PA-PAT-113-690-2300</v>
      </c>
      <c r="B904" t="str">
        <f t="shared" si="57"/>
        <v>2026</v>
      </c>
      <c r="C904" s="18" t="s">
        <v>1591</v>
      </c>
      <c r="D904" t="s">
        <v>1475</v>
      </c>
      <c r="E904" t="s">
        <v>1593</v>
      </c>
      <c r="F904">
        <v>113</v>
      </c>
      <c r="G904">
        <f t="shared" si="58"/>
        <v>69</v>
      </c>
      <c r="H904">
        <f t="shared" si="59"/>
        <v>230</v>
      </c>
      <c r="I904">
        <v>690</v>
      </c>
      <c r="J904">
        <v>2300</v>
      </c>
      <c r="K904" s="18" t="s">
        <v>1592</v>
      </c>
      <c r="L904" s="21">
        <v>6.2</v>
      </c>
    </row>
    <row r="905" spans="1:12" x14ac:dyDescent="0.25">
      <c r="A905" t="str">
        <f t="shared" si="56"/>
        <v>2026-PA-PAT-92-600-2320</v>
      </c>
      <c r="B905" t="str">
        <f t="shared" si="57"/>
        <v>2026</v>
      </c>
      <c r="C905" s="18" t="s">
        <v>1591</v>
      </c>
      <c r="D905" t="s">
        <v>1475</v>
      </c>
      <c r="E905" t="s">
        <v>1594</v>
      </c>
      <c r="F905">
        <v>92</v>
      </c>
      <c r="G905">
        <f t="shared" si="58"/>
        <v>60</v>
      </c>
      <c r="H905">
        <f t="shared" si="59"/>
        <v>232</v>
      </c>
      <c r="I905">
        <v>600</v>
      </c>
      <c r="J905">
        <v>2320</v>
      </c>
      <c r="K905" s="18" t="s">
        <v>1592</v>
      </c>
      <c r="L905" s="21">
        <v>5.6</v>
      </c>
    </row>
    <row r="906" spans="1:12" x14ac:dyDescent="0.25">
      <c r="A906" t="str">
        <f t="shared" si="56"/>
        <v>2026-PA-PAT-97-630-2320</v>
      </c>
      <c r="B906" t="str">
        <f t="shared" si="57"/>
        <v>2026</v>
      </c>
      <c r="C906" s="18" t="s">
        <v>1591</v>
      </c>
      <c r="D906" t="s">
        <v>1475</v>
      </c>
      <c r="E906" t="s">
        <v>1595</v>
      </c>
      <c r="F906">
        <v>97</v>
      </c>
      <c r="G906">
        <f t="shared" si="58"/>
        <v>63</v>
      </c>
      <c r="H906">
        <f t="shared" si="59"/>
        <v>232</v>
      </c>
      <c r="I906">
        <v>630</v>
      </c>
      <c r="J906">
        <v>2320</v>
      </c>
      <c r="K906" s="18" t="s">
        <v>1592</v>
      </c>
      <c r="L906" s="21">
        <v>5.8</v>
      </c>
    </row>
    <row r="907" spans="1:12" x14ac:dyDescent="0.25">
      <c r="A907" t="str">
        <f t="shared" si="56"/>
        <v>2026-PA-PAT-115-705-2320</v>
      </c>
      <c r="B907" t="str">
        <f t="shared" si="57"/>
        <v>2026</v>
      </c>
      <c r="C907" s="18" t="s">
        <v>1591</v>
      </c>
      <c r="D907" t="s">
        <v>1475</v>
      </c>
      <c r="E907" t="s">
        <v>1596</v>
      </c>
      <c r="F907">
        <v>115</v>
      </c>
      <c r="G907">
        <f t="shared" si="58"/>
        <v>70</v>
      </c>
      <c r="H907">
        <f t="shared" si="59"/>
        <v>232</v>
      </c>
      <c r="I907">
        <v>705</v>
      </c>
      <c r="J907">
        <v>2320</v>
      </c>
      <c r="K907" s="18" t="s">
        <v>1592</v>
      </c>
      <c r="L907" s="21">
        <v>6.4</v>
      </c>
    </row>
    <row r="908" spans="1:12" x14ac:dyDescent="0.25">
      <c r="A908" t="str">
        <f t="shared" si="56"/>
        <v>2022-PH-IRI-192-909-2145</v>
      </c>
      <c r="B908" t="str">
        <f t="shared" si="57"/>
        <v>2022</v>
      </c>
      <c r="C908" s="18" t="s">
        <v>866</v>
      </c>
      <c r="D908" t="s">
        <v>1597</v>
      </c>
      <c r="E908" t="s">
        <v>1598</v>
      </c>
      <c r="F908">
        <v>192</v>
      </c>
      <c r="G908">
        <f t="shared" si="58"/>
        <v>90</v>
      </c>
      <c r="H908">
        <f t="shared" si="59"/>
        <v>214</v>
      </c>
      <c r="I908">
        <v>909</v>
      </c>
      <c r="J908">
        <v>2145</v>
      </c>
      <c r="K908" s="18" t="s">
        <v>1599</v>
      </c>
      <c r="L908" s="21">
        <v>10.1</v>
      </c>
    </row>
    <row r="909" spans="1:12" x14ac:dyDescent="0.25">
      <c r="A909" t="str">
        <f t="shared" si="56"/>
        <v>2022-PH-IRI-181-855-2122</v>
      </c>
      <c r="B909" t="str">
        <f t="shared" si="57"/>
        <v>2022</v>
      </c>
      <c r="C909" s="18" t="s">
        <v>866</v>
      </c>
      <c r="D909" t="s">
        <v>1597</v>
      </c>
      <c r="E909" t="s">
        <v>1600</v>
      </c>
      <c r="F909">
        <v>181</v>
      </c>
      <c r="G909">
        <f t="shared" si="58"/>
        <v>85</v>
      </c>
      <c r="H909">
        <f t="shared" si="59"/>
        <v>212</v>
      </c>
      <c r="I909">
        <v>855</v>
      </c>
      <c r="J909">
        <v>2122</v>
      </c>
      <c r="K909" s="18" t="s">
        <v>1601</v>
      </c>
      <c r="L909" s="21">
        <v>9.5500000000000007</v>
      </c>
    </row>
    <row r="910" spans="1:12" x14ac:dyDescent="0.25">
      <c r="A910" t="str">
        <f t="shared" si="56"/>
        <v>2022-PH-IRI-164-780-2100</v>
      </c>
      <c r="B910" t="str">
        <f t="shared" si="57"/>
        <v>2022</v>
      </c>
      <c r="C910" s="18" t="s">
        <v>866</v>
      </c>
      <c r="D910" t="s">
        <v>1597</v>
      </c>
      <c r="E910" t="s">
        <v>1602</v>
      </c>
      <c r="F910">
        <v>164</v>
      </c>
      <c r="G910">
        <f t="shared" si="58"/>
        <v>78</v>
      </c>
      <c r="H910">
        <f t="shared" si="59"/>
        <v>210</v>
      </c>
      <c r="I910">
        <v>780</v>
      </c>
      <c r="J910">
        <v>2100</v>
      </c>
      <c r="K910" s="18" t="s">
        <v>1603</v>
      </c>
      <c r="L910" s="21">
        <v>9.1300000000000008</v>
      </c>
    </row>
    <row r="911" spans="1:12" x14ac:dyDescent="0.25">
      <c r="A911" t="str">
        <f t="shared" si="56"/>
        <v>2022-PH-IRI-181-855-2121</v>
      </c>
      <c r="B911" t="str">
        <f t="shared" si="57"/>
        <v>2022</v>
      </c>
      <c r="C911" s="18" t="s">
        <v>866</v>
      </c>
      <c r="D911" t="s">
        <v>1597</v>
      </c>
      <c r="E911" t="s">
        <v>1604</v>
      </c>
      <c r="F911">
        <v>181</v>
      </c>
      <c r="G911">
        <f t="shared" si="58"/>
        <v>85</v>
      </c>
      <c r="H911">
        <f t="shared" si="59"/>
        <v>212</v>
      </c>
      <c r="I911">
        <v>855</v>
      </c>
      <c r="J911">
        <v>2121</v>
      </c>
      <c r="K911" s="18" t="s">
        <v>1605</v>
      </c>
      <c r="L911" s="21">
        <v>10.15</v>
      </c>
    </row>
    <row r="912" spans="1:12" x14ac:dyDescent="0.25">
      <c r="A912" t="str">
        <f t="shared" si="56"/>
        <v>2022-PH-IRI-164-780-2100</v>
      </c>
      <c r="B912" t="str">
        <f t="shared" si="57"/>
        <v>2022</v>
      </c>
      <c r="C912" s="18" t="s">
        <v>866</v>
      </c>
      <c r="D912" t="s">
        <v>1597</v>
      </c>
      <c r="E912" t="s">
        <v>1606</v>
      </c>
      <c r="F912">
        <v>164</v>
      </c>
      <c r="G912">
        <f t="shared" si="58"/>
        <v>78</v>
      </c>
      <c r="H912">
        <f t="shared" si="59"/>
        <v>210</v>
      </c>
      <c r="I912">
        <v>780</v>
      </c>
      <c r="J912">
        <v>2100</v>
      </c>
      <c r="K912" s="18" t="s">
        <v>1607</v>
      </c>
      <c r="L912" s="21">
        <v>9.75</v>
      </c>
    </row>
    <row r="913" spans="1:12" x14ac:dyDescent="0.25">
      <c r="A913" t="str">
        <f t="shared" si="56"/>
        <v>2024-PH-INF-145-766-2070</v>
      </c>
      <c r="B913" t="str">
        <f t="shared" si="57"/>
        <v>2024</v>
      </c>
      <c r="C913" s="18" t="s">
        <v>871</v>
      </c>
      <c r="D913" t="s">
        <v>1597</v>
      </c>
      <c r="E913" t="s">
        <v>1608</v>
      </c>
      <c r="F913">
        <v>145</v>
      </c>
      <c r="G913">
        <f t="shared" si="58"/>
        <v>76</v>
      </c>
      <c r="H913">
        <f t="shared" si="59"/>
        <v>207</v>
      </c>
      <c r="I913">
        <v>766</v>
      </c>
      <c r="J913">
        <v>2070</v>
      </c>
      <c r="K913" s="18" t="s">
        <v>1609</v>
      </c>
      <c r="L913" s="21">
        <v>8.44</v>
      </c>
    </row>
    <row r="914" spans="1:12" x14ac:dyDescent="0.25">
      <c r="A914" t="str">
        <f t="shared" si="56"/>
        <v>2024-PH-INF-171.7-861-2100</v>
      </c>
      <c r="B914" t="str">
        <f t="shared" si="57"/>
        <v>2024</v>
      </c>
      <c r="C914" s="18" t="s">
        <v>871</v>
      </c>
      <c r="D914" t="s">
        <v>1597</v>
      </c>
      <c r="E914" t="s">
        <v>1610</v>
      </c>
      <c r="F914">
        <v>171.7</v>
      </c>
      <c r="G914">
        <f t="shared" si="58"/>
        <v>86</v>
      </c>
      <c r="H914">
        <f t="shared" si="59"/>
        <v>210</v>
      </c>
      <c r="I914">
        <v>861</v>
      </c>
      <c r="J914">
        <v>2100</v>
      </c>
      <c r="K914" s="18" t="s">
        <v>1611</v>
      </c>
      <c r="L914" s="21">
        <v>9.3000000000000007</v>
      </c>
    </row>
    <row r="915" spans="1:12" x14ac:dyDescent="0.25">
      <c r="A915" t="str">
        <f t="shared" si="56"/>
        <v>1999-RO-ROB-140-640-2720</v>
      </c>
      <c r="B915" t="str">
        <f t="shared" si="57"/>
        <v>1999</v>
      </c>
      <c r="C915" s="18" t="s">
        <v>794</v>
      </c>
      <c r="D915" t="s">
        <v>1612</v>
      </c>
      <c r="E915" t="s">
        <v>1613</v>
      </c>
      <c r="F915">
        <v>140</v>
      </c>
      <c r="G915">
        <f t="shared" si="58"/>
        <v>64</v>
      </c>
      <c r="H915">
        <f t="shared" si="59"/>
        <v>272</v>
      </c>
      <c r="I915">
        <v>640</v>
      </c>
      <c r="J915">
        <v>2720</v>
      </c>
      <c r="K915" s="18" t="s">
        <v>795</v>
      </c>
      <c r="L915" s="21">
        <v>7</v>
      </c>
    </row>
    <row r="916" spans="1:12" x14ac:dyDescent="0.25">
      <c r="A916" t="str">
        <f t="shared" si="56"/>
        <v>1999-RO-ROB-150-710-2770</v>
      </c>
      <c r="B916" t="str">
        <f t="shared" si="57"/>
        <v>1999</v>
      </c>
      <c r="C916" s="18" t="s">
        <v>794</v>
      </c>
      <c r="D916" t="s">
        <v>1612</v>
      </c>
      <c r="E916" t="s">
        <v>1614</v>
      </c>
      <c r="F916">
        <v>150</v>
      </c>
      <c r="G916">
        <f t="shared" si="58"/>
        <v>71</v>
      </c>
      <c r="H916">
        <f t="shared" si="59"/>
        <v>277</v>
      </c>
      <c r="I916">
        <v>710</v>
      </c>
      <c r="J916">
        <v>2770</v>
      </c>
      <c r="K916" s="18" t="s">
        <v>795</v>
      </c>
      <c r="L916" s="21">
        <v>7.3</v>
      </c>
    </row>
    <row r="917" spans="1:12" x14ac:dyDescent="0.25">
      <c r="A917" t="str">
        <f t="shared" si="56"/>
        <v>1999-RO-ROB-180-790-2800</v>
      </c>
      <c r="B917" t="str">
        <f t="shared" si="57"/>
        <v>1999</v>
      </c>
      <c r="C917" s="18" t="s">
        <v>794</v>
      </c>
      <c r="D917" t="s">
        <v>1612</v>
      </c>
      <c r="E917" t="s">
        <v>1615</v>
      </c>
      <c r="F917">
        <v>180</v>
      </c>
      <c r="G917">
        <f t="shared" si="58"/>
        <v>79</v>
      </c>
      <c r="H917">
        <f t="shared" si="59"/>
        <v>280</v>
      </c>
      <c r="I917">
        <v>790</v>
      </c>
      <c r="J917">
        <v>2800</v>
      </c>
      <c r="K917" s="18" t="s">
        <v>795</v>
      </c>
      <c r="L917" s="21">
        <v>8</v>
      </c>
    </row>
    <row r="918" spans="1:12" x14ac:dyDescent="0.25">
      <c r="A918" t="str">
        <f t="shared" si="56"/>
        <v>99/0-RR-270-130-710-2690</v>
      </c>
      <c r="B918" t="str">
        <f t="shared" si="57"/>
        <v>99/0</v>
      </c>
      <c r="C918" s="18" t="s">
        <v>1436</v>
      </c>
      <c r="D918" t="s">
        <v>1616</v>
      </c>
      <c r="E918" t="s">
        <v>1617</v>
      </c>
      <c r="F918">
        <v>130</v>
      </c>
      <c r="G918">
        <f t="shared" si="58"/>
        <v>71</v>
      </c>
      <c r="H918">
        <f t="shared" si="59"/>
        <v>269</v>
      </c>
      <c r="I918">
        <v>710</v>
      </c>
      <c r="J918">
        <v>2690</v>
      </c>
      <c r="K918" s="18" t="s">
        <v>795</v>
      </c>
      <c r="L918" s="21">
        <v>6.8</v>
      </c>
    </row>
    <row r="919" spans="1:12" x14ac:dyDescent="0.25">
      <c r="A919" t="str">
        <f t="shared" si="56"/>
        <v>99/0-RR-280-140-770-2780</v>
      </c>
      <c r="B919" t="str">
        <f t="shared" si="57"/>
        <v>99/0</v>
      </c>
      <c r="C919" s="18" t="s">
        <v>1436</v>
      </c>
      <c r="D919" t="s">
        <v>1616</v>
      </c>
      <c r="E919" t="s">
        <v>1618</v>
      </c>
      <c r="F919">
        <v>140</v>
      </c>
      <c r="G919">
        <f t="shared" si="58"/>
        <v>77</v>
      </c>
      <c r="H919">
        <f t="shared" si="59"/>
        <v>278</v>
      </c>
      <c r="I919">
        <v>770</v>
      </c>
      <c r="J919">
        <v>2780</v>
      </c>
      <c r="K919" s="18" t="s">
        <v>795</v>
      </c>
      <c r="L919" s="21">
        <v>7.2</v>
      </c>
    </row>
    <row r="920" spans="1:12" x14ac:dyDescent="0.25">
      <c r="A920" t="str">
        <f t="shared" si="56"/>
        <v>98/9-RR-313-180-750-3090</v>
      </c>
      <c r="B920" t="str">
        <f t="shared" si="57"/>
        <v>98/9</v>
      </c>
      <c r="C920" s="18" t="s">
        <v>1620</v>
      </c>
      <c r="D920" t="s">
        <v>1616</v>
      </c>
      <c r="E920" t="s">
        <v>1619</v>
      </c>
      <c r="F920">
        <v>180</v>
      </c>
      <c r="G920">
        <f t="shared" si="58"/>
        <v>75</v>
      </c>
      <c r="H920">
        <f t="shared" si="59"/>
        <v>309</v>
      </c>
      <c r="I920">
        <v>750</v>
      </c>
      <c r="J920">
        <v>3090</v>
      </c>
      <c r="K920" s="18" t="s">
        <v>848</v>
      </c>
      <c r="L920" s="21">
        <v>7.8</v>
      </c>
    </row>
    <row r="921" spans="1:12" x14ac:dyDescent="0.25">
      <c r="A921" t="str">
        <f t="shared" si="56"/>
        <v>98/9-RR-270-108-580-2680</v>
      </c>
      <c r="B921" t="str">
        <f t="shared" si="57"/>
        <v>98/9</v>
      </c>
      <c r="C921" s="18" t="s">
        <v>1620</v>
      </c>
      <c r="D921" t="s">
        <v>1616</v>
      </c>
      <c r="E921" t="s">
        <v>1621</v>
      </c>
      <c r="F921">
        <v>108</v>
      </c>
      <c r="G921">
        <f t="shared" si="58"/>
        <v>58</v>
      </c>
      <c r="H921">
        <f t="shared" si="59"/>
        <v>268</v>
      </c>
      <c r="I921">
        <v>580</v>
      </c>
      <c r="J921">
        <v>2680</v>
      </c>
      <c r="K921" s="18" t="s">
        <v>848</v>
      </c>
      <c r="L921" s="21" t="s">
        <v>1622</v>
      </c>
    </row>
    <row r="922" spans="1:12" x14ac:dyDescent="0.25">
      <c r="A922" t="str">
        <f t="shared" si="56"/>
        <v>1999-RR-278-84-550-2750</v>
      </c>
      <c r="B922" t="str">
        <f t="shared" si="57"/>
        <v>1999</v>
      </c>
      <c r="C922" s="18" t="s">
        <v>794</v>
      </c>
      <c r="D922" t="s">
        <v>1616</v>
      </c>
      <c r="E922" t="s">
        <v>1623</v>
      </c>
      <c r="F922">
        <v>84</v>
      </c>
      <c r="G922">
        <f t="shared" si="58"/>
        <v>55</v>
      </c>
      <c r="H922">
        <f t="shared" si="59"/>
        <v>275</v>
      </c>
      <c r="I922">
        <v>550</v>
      </c>
      <c r="J922">
        <v>2750</v>
      </c>
      <c r="K922" s="18" t="s">
        <v>795</v>
      </c>
      <c r="L922" s="21">
        <v>5.4</v>
      </c>
    </row>
    <row r="923" spans="1:12" x14ac:dyDescent="0.25">
      <c r="A923" t="str">
        <f t="shared" si="56"/>
        <v>2005-RR-SPI-90-563-2307</v>
      </c>
      <c r="B923" t="str">
        <f t="shared" si="57"/>
        <v>2005</v>
      </c>
      <c r="C923" s="18" t="s">
        <v>811</v>
      </c>
      <c r="D923" t="s">
        <v>1616</v>
      </c>
      <c r="E923" t="s">
        <v>1624</v>
      </c>
      <c r="F923">
        <v>90</v>
      </c>
      <c r="G923">
        <f t="shared" si="58"/>
        <v>56</v>
      </c>
      <c r="H923">
        <f t="shared" si="59"/>
        <v>230</v>
      </c>
      <c r="I923">
        <v>563</v>
      </c>
      <c r="J923">
        <v>2307</v>
      </c>
      <c r="K923" s="18" t="s">
        <v>896</v>
      </c>
      <c r="L923" s="21">
        <v>5.7</v>
      </c>
    </row>
    <row r="924" spans="1:12" x14ac:dyDescent="0.25">
      <c r="A924" t="str">
        <f t="shared" si="56"/>
        <v>2005-RR-SPI-102-604-2309</v>
      </c>
      <c r="B924" t="str">
        <f t="shared" si="57"/>
        <v>2005</v>
      </c>
      <c r="C924" s="18" t="s">
        <v>811</v>
      </c>
      <c r="D924" t="s">
        <v>1616</v>
      </c>
      <c r="E924" t="s">
        <v>1625</v>
      </c>
      <c r="F924">
        <v>102</v>
      </c>
      <c r="G924">
        <f t="shared" si="58"/>
        <v>60</v>
      </c>
      <c r="H924">
        <f t="shared" si="59"/>
        <v>230</v>
      </c>
      <c r="I924">
        <v>604</v>
      </c>
      <c r="J924">
        <v>2309</v>
      </c>
      <c r="K924" s="18" t="s">
        <v>896</v>
      </c>
      <c r="L924" s="21">
        <v>6</v>
      </c>
    </row>
    <row r="925" spans="1:12" x14ac:dyDescent="0.25">
      <c r="A925" t="str">
        <f t="shared" si="56"/>
        <v>2005-RR-SPI-116-640-2351</v>
      </c>
      <c r="B925" t="str">
        <f t="shared" si="57"/>
        <v>2005</v>
      </c>
      <c r="C925" s="18" t="s">
        <v>811</v>
      </c>
      <c r="D925" t="s">
        <v>1616</v>
      </c>
      <c r="E925" t="s">
        <v>1626</v>
      </c>
      <c r="F925">
        <v>116</v>
      </c>
      <c r="G925">
        <f t="shared" si="58"/>
        <v>64</v>
      </c>
      <c r="H925">
        <f t="shared" si="59"/>
        <v>235</v>
      </c>
      <c r="I925">
        <v>640</v>
      </c>
      <c r="J925">
        <v>2351</v>
      </c>
      <c r="K925" s="18" t="s">
        <v>896</v>
      </c>
      <c r="L925" s="21">
        <v>6.3</v>
      </c>
    </row>
    <row r="926" spans="1:12" x14ac:dyDescent="0.25">
      <c r="A926" t="str">
        <f t="shared" si="56"/>
        <v>2005-RR-SPI-129-678-2349</v>
      </c>
      <c r="B926" t="str">
        <f t="shared" si="57"/>
        <v>2005</v>
      </c>
      <c r="C926" s="18" t="s">
        <v>811</v>
      </c>
      <c r="D926" t="s">
        <v>1616</v>
      </c>
      <c r="E926" t="s">
        <v>1627</v>
      </c>
      <c r="F926">
        <v>129</v>
      </c>
      <c r="G926">
        <f t="shared" si="58"/>
        <v>67</v>
      </c>
      <c r="H926">
        <f t="shared" si="59"/>
        <v>234</v>
      </c>
      <c r="I926">
        <v>678</v>
      </c>
      <c r="J926">
        <v>2349</v>
      </c>
      <c r="K926" s="18" t="s">
        <v>896</v>
      </c>
      <c r="L926" s="21">
        <v>6.7</v>
      </c>
    </row>
    <row r="927" spans="1:12" x14ac:dyDescent="0.25">
      <c r="A927" t="str">
        <f t="shared" si="56"/>
        <v>2005-RR-SPI-149-730-2345</v>
      </c>
      <c r="B927" t="str">
        <f t="shared" si="57"/>
        <v>2005</v>
      </c>
      <c r="C927" s="18" t="s">
        <v>811</v>
      </c>
      <c r="D927" t="s">
        <v>1616</v>
      </c>
      <c r="E927" t="s">
        <v>1628</v>
      </c>
      <c r="F927">
        <v>149</v>
      </c>
      <c r="G927">
        <f t="shared" si="58"/>
        <v>73</v>
      </c>
      <c r="H927">
        <f t="shared" si="59"/>
        <v>234</v>
      </c>
      <c r="I927">
        <v>730</v>
      </c>
      <c r="J927">
        <v>2345</v>
      </c>
      <c r="K927" s="18" t="s">
        <v>896</v>
      </c>
      <c r="L927" s="21">
        <v>7</v>
      </c>
    </row>
    <row r="928" spans="1:12" x14ac:dyDescent="0.25">
      <c r="A928" t="str">
        <f t="shared" si="56"/>
        <v>2008-RR-X-F-73-543-2260</v>
      </c>
      <c r="B928" t="str">
        <f t="shared" si="57"/>
        <v>2008</v>
      </c>
      <c r="C928" s="18" t="s">
        <v>825</v>
      </c>
      <c r="D928" t="s">
        <v>1616</v>
      </c>
      <c r="E928" t="s">
        <v>1629</v>
      </c>
      <c r="F928">
        <v>73</v>
      </c>
      <c r="G928">
        <f t="shared" si="58"/>
        <v>54</v>
      </c>
      <c r="H928">
        <f t="shared" si="59"/>
        <v>226</v>
      </c>
      <c r="I928">
        <v>543</v>
      </c>
      <c r="J928">
        <v>2260</v>
      </c>
      <c r="K928" s="18" t="s">
        <v>821</v>
      </c>
      <c r="L928" s="21">
        <v>5</v>
      </c>
    </row>
    <row r="929" spans="1:12" x14ac:dyDescent="0.25">
      <c r="A929" t="str">
        <f t="shared" si="56"/>
        <v>2008-RR-X-F-79-596-2269</v>
      </c>
      <c r="B929" t="str">
        <f t="shared" si="57"/>
        <v>2008</v>
      </c>
      <c r="C929" s="18" t="s">
        <v>825</v>
      </c>
      <c r="D929" t="s">
        <v>1616</v>
      </c>
      <c r="E929" t="s">
        <v>1630</v>
      </c>
      <c r="F929">
        <v>79</v>
      </c>
      <c r="G929">
        <f t="shared" si="58"/>
        <v>59</v>
      </c>
      <c r="H929">
        <f t="shared" si="59"/>
        <v>226</v>
      </c>
      <c r="I929">
        <v>596</v>
      </c>
      <c r="J929">
        <v>2269</v>
      </c>
      <c r="K929" s="18" t="s">
        <v>821</v>
      </c>
      <c r="L929" s="21">
        <v>5.5</v>
      </c>
    </row>
    <row r="930" spans="1:12" x14ac:dyDescent="0.25">
      <c r="A930" t="str">
        <f t="shared" si="56"/>
        <v>2008-RR-X-F-90-646-2265</v>
      </c>
      <c r="B930" t="str">
        <f t="shared" si="57"/>
        <v>2008</v>
      </c>
      <c r="C930" s="18" t="s">
        <v>825</v>
      </c>
      <c r="D930" t="s">
        <v>1616</v>
      </c>
      <c r="E930" t="s">
        <v>1631</v>
      </c>
      <c r="F930">
        <v>90</v>
      </c>
      <c r="G930">
        <f t="shared" si="58"/>
        <v>64</v>
      </c>
      <c r="H930">
        <f t="shared" si="59"/>
        <v>226</v>
      </c>
      <c r="I930">
        <v>646</v>
      </c>
      <c r="J930">
        <v>2265</v>
      </c>
      <c r="K930" s="18" t="s">
        <v>821</v>
      </c>
      <c r="L930" s="21">
        <v>5.9</v>
      </c>
    </row>
    <row r="931" spans="1:12" x14ac:dyDescent="0.25">
      <c r="A931" t="str">
        <f t="shared" si="56"/>
        <v>2008-RR-X-F-103-697-2315</v>
      </c>
      <c r="B931" t="str">
        <f t="shared" si="57"/>
        <v>2008</v>
      </c>
      <c r="C931" s="18" t="s">
        <v>825</v>
      </c>
      <c r="D931" t="s">
        <v>1616</v>
      </c>
      <c r="E931" t="s">
        <v>1632</v>
      </c>
      <c r="F931">
        <v>103</v>
      </c>
      <c r="G931">
        <f t="shared" si="58"/>
        <v>69</v>
      </c>
      <c r="H931">
        <f t="shared" si="59"/>
        <v>231</v>
      </c>
      <c r="I931">
        <v>697</v>
      </c>
      <c r="J931">
        <v>2315</v>
      </c>
      <c r="K931" s="18" t="s">
        <v>821</v>
      </c>
      <c r="L931" s="21">
        <v>6.2</v>
      </c>
    </row>
    <row r="932" spans="1:12" x14ac:dyDescent="0.25">
      <c r="A932" t="str">
        <f t="shared" si="56"/>
        <v>2008-RR-X-F-116-792-2360</v>
      </c>
      <c r="B932" t="str">
        <f t="shared" si="57"/>
        <v>2008</v>
      </c>
      <c r="C932" s="18" t="s">
        <v>825</v>
      </c>
      <c r="D932" t="s">
        <v>1616</v>
      </c>
      <c r="E932" t="s">
        <v>1633</v>
      </c>
      <c r="F932">
        <v>116</v>
      </c>
      <c r="G932">
        <f t="shared" si="58"/>
        <v>79</v>
      </c>
      <c r="H932">
        <f t="shared" si="59"/>
        <v>236</v>
      </c>
      <c r="I932">
        <v>792</v>
      </c>
      <c r="J932">
        <v>2360</v>
      </c>
      <c r="K932" s="18" t="s">
        <v>821</v>
      </c>
      <c r="L932" s="21">
        <v>6.9</v>
      </c>
    </row>
    <row r="933" spans="1:12" x14ac:dyDescent="0.25">
      <c r="A933" t="str">
        <f t="shared" si="56"/>
        <v>2008-RR-X-F-128-847-2415</v>
      </c>
      <c r="B933" t="str">
        <f t="shared" si="57"/>
        <v>2008</v>
      </c>
      <c r="C933" s="18" t="s">
        <v>825</v>
      </c>
      <c r="D933" t="s">
        <v>1616</v>
      </c>
      <c r="E933" t="s">
        <v>1634</v>
      </c>
      <c r="F933">
        <v>128</v>
      </c>
      <c r="G933">
        <f t="shared" si="58"/>
        <v>84</v>
      </c>
      <c r="H933">
        <f t="shared" si="59"/>
        <v>241</v>
      </c>
      <c r="I933">
        <v>847</v>
      </c>
      <c r="J933">
        <v>2415</v>
      </c>
      <c r="K933" s="18" t="s">
        <v>821</v>
      </c>
      <c r="L933" s="21">
        <v>7.5</v>
      </c>
    </row>
    <row r="934" spans="1:12" x14ac:dyDescent="0.25">
      <c r="A934" t="str">
        <f t="shared" si="56"/>
        <v>2009-RR-X-F-84-581-2380</v>
      </c>
      <c r="B934" t="str">
        <f t="shared" si="57"/>
        <v>2009</v>
      </c>
      <c r="C934" s="18" t="s">
        <v>884</v>
      </c>
      <c r="D934" t="s">
        <v>1616</v>
      </c>
      <c r="E934" t="s">
        <v>1635</v>
      </c>
      <c r="F934">
        <v>84</v>
      </c>
      <c r="G934">
        <f t="shared" si="58"/>
        <v>58</v>
      </c>
      <c r="H934">
        <f t="shared" si="59"/>
        <v>238</v>
      </c>
      <c r="I934">
        <v>581</v>
      </c>
      <c r="J934">
        <v>2380</v>
      </c>
      <c r="K934" s="18" t="s">
        <v>826</v>
      </c>
      <c r="L934" s="21">
        <v>5.5</v>
      </c>
    </row>
    <row r="935" spans="1:12" x14ac:dyDescent="0.25">
      <c r="A935" t="str">
        <f t="shared" si="56"/>
        <v>2009-RR-X-F-98-641-2331</v>
      </c>
      <c r="B935" t="str">
        <f t="shared" si="57"/>
        <v>2009</v>
      </c>
      <c r="C935" s="18" t="s">
        <v>884</v>
      </c>
      <c r="D935" t="s">
        <v>1616</v>
      </c>
      <c r="E935" t="s">
        <v>1636</v>
      </c>
      <c r="F935">
        <v>98</v>
      </c>
      <c r="G935">
        <f t="shared" si="58"/>
        <v>64</v>
      </c>
      <c r="H935">
        <f t="shared" si="59"/>
        <v>233</v>
      </c>
      <c r="I935">
        <v>641</v>
      </c>
      <c r="J935">
        <v>2331</v>
      </c>
      <c r="K935" s="18" t="s">
        <v>826</v>
      </c>
      <c r="L935" s="21">
        <v>5.9</v>
      </c>
    </row>
    <row r="936" spans="1:12" x14ac:dyDescent="0.25">
      <c r="A936" t="str">
        <f t="shared" si="56"/>
        <v>2009-RR-X-F-114-750-2280</v>
      </c>
      <c r="B936" t="str">
        <f t="shared" si="57"/>
        <v>2009</v>
      </c>
      <c r="C936" s="18" t="s">
        <v>884</v>
      </c>
      <c r="D936" t="s">
        <v>1616</v>
      </c>
      <c r="E936" t="s">
        <v>1637</v>
      </c>
      <c r="F936">
        <v>114</v>
      </c>
      <c r="G936">
        <f t="shared" si="58"/>
        <v>75</v>
      </c>
      <c r="H936">
        <f t="shared" si="59"/>
        <v>228</v>
      </c>
      <c r="I936">
        <v>750</v>
      </c>
      <c r="J936">
        <v>2280</v>
      </c>
      <c r="K936" s="18" t="s">
        <v>826</v>
      </c>
      <c r="L936" s="21">
        <v>6.5</v>
      </c>
    </row>
    <row r="937" spans="1:12" x14ac:dyDescent="0.25">
      <c r="A937" t="str">
        <f t="shared" si="56"/>
        <v>2009-RR-X-F-126-841-2240</v>
      </c>
      <c r="B937" t="str">
        <f t="shared" si="57"/>
        <v>2009</v>
      </c>
      <c r="C937" s="18" t="s">
        <v>884</v>
      </c>
      <c r="D937" t="s">
        <v>1616</v>
      </c>
      <c r="E937" t="s">
        <v>1638</v>
      </c>
      <c r="F937">
        <v>126</v>
      </c>
      <c r="G937">
        <f t="shared" si="58"/>
        <v>84</v>
      </c>
      <c r="H937">
        <f t="shared" si="59"/>
        <v>224</v>
      </c>
      <c r="I937">
        <v>841</v>
      </c>
      <c r="J937">
        <v>2240</v>
      </c>
      <c r="K937" s="18" t="s">
        <v>826</v>
      </c>
      <c r="L937" s="21">
        <v>7.3</v>
      </c>
    </row>
    <row r="938" spans="1:12" x14ac:dyDescent="0.25">
      <c r="A938" t="str">
        <f t="shared" si="56"/>
        <v>2009-RR-X-F-109-695-2350</v>
      </c>
      <c r="B938" t="str">
        <f t="shared" si="57"/>
        <v>2009</v>
      </c>
      <c r="C938" s="18" t="s">
        <v>884</v>
      </c>
      <c r="D938" t="s">
        <v>1616</v>
      </c>
      <c r="E938" t="s">
        <v>1639</v>
      </c>
      <c r="F938">
        <v>109</v>
      </c>
      <c r="G938">
        <f t="shared" si="58"/>
        <v>69</v>
      </c>
      <c r="H938">
        <f t="shared" si="59"/>
        <v>235</v>
      </c>
      <c r="I938">
        <v>695</v>
      </c>
      <c r="J938">
        <v>2350</v>
      </c>
      <c r="K938" s="18" t="s">
        <v>826</v>
      </c>
      <c r="L938" s="21">
        <v>6.4</v>
      </c>
    </row>
    <row r="939" spans="1:12" x14ac:dyDescent="0.25">
      <c r="A939" t="str">
        <f t="shared" si="56"/>
        <v>2010-RR-X F-77-530-2344</v>
      </c>
      <c r="B939" t="str">
        <f t="shared" si="57"/>
        <v>2010</v>
      </c>
      <c r="C939" s="18" t="s">
        <v>840</v>
      </c>
      <c r="D939" t="s">
        <v>1616</v>
      </c>
      <c r="E939" t="s">
        <v>1640</v>
      </c>
      <c r="F939">
        <v>77</v>
      </c>
      <c r="G939">
        <f t="shared" si="58"/>
        <v>53</v>
      </c>
      <c r="H939">
        <f t="shared" si="59"/>
        <v>234</v>
      </c>
      <c r="I939">
        <v>530</v>
      </c>
      <c r="J939">
        <v>2344</v>
      </c>
      <c r="K939" s="18" t="s">
        <v>844</v>
      </c>
      <c r="L939" s="21">
        <v>5.2</v>
      </c>
    </row>
    <row r="940" spans="1:12" x14ac:dyDescent="0.25">
      <c r="A940" t="str">
        <f t="shared" si="56"/>
        <v>2010-RR-X F-84-585-2396</v>
      </c>
      <c r="B940" t="str">
        <f t="shared" si="57"/>
        <v>2010</v>
      </c>
      <c r="C940" s="18" t="s">
        <v>840</v>
      </c>
      <c r="D940" t="s">
        <v>1616</v>
      </c>
      <c r="E940" t="s">
        <v>1641</v>
      </c>
      <c r="F940">
        <v>84</v>
      </c>
      <c r="G940">
        <f t="shared" si="58"/>
        <v>58</v>
      </c>
      <c r="H940">
        <f t="shared" si="59"/>
        <v>239</v>
      </c>
      <c r="I940">
        <v>585</v>
      </c>
      <c r="J940">
        <v>2396</v>
      </c>
      <c r="K940" s="18" t="s">
        <v>844</v>
      </c>
      <c r="L940" s="21">
        <v>5.6</v>
      </c>
    </row>
    <row r="941" spans="1:12" x14ac:dyDescent="0.25">
      <c r="A941" t="str">
        <f t="shared" si="56"/>
        <v>2010-RR-X F-102-654-2346</v>
      </c>
      <c r="B941" t="str">
        <f t="shared" si="57"/>
        <v>2010</v>
      </c>
      <c r="C941" s="18" t="s">
        <v>840</v>
      </c>
      <c r="D941" t="s">
        <v>1616</v>
      </c>
      <c r="E941" t="s">
        <v>1642</v>
      </c>
      <c r="F941">
        <v>102</v>
      </c>
      <c r="G941">
        <f t="shared" si="58"/>
        <v>65</v>
      </c>
      <c r="H941">
        <f t="shared" si="59"/>
        <v>234</v>
      </c>
      <c r="I941">
        <v>654</v>
      </c>
      <c r="J941">
        <v>2346</v>
      </c>
      <c r="K941" s="18" t="s">
        <v>844</v>
      </c>
      <c r="L941" s="21">
        <v>6</v>
      </c>
    </row>
    <row r="942" spans="1:12" x14ac:dyDescent="0.25">
      <c r="A942" t="str">
        <f t="shared" si="56"/>
        <v>2010-RR-X F-109-695-2350</v>
      </c>
      <c r="B942" t="str">
        <f t="shared" si="57"/>
        <v>2010</v>
      </c>
      <c r="C942" s="18" t="s">
        <v>840</v>
      </c>
      <c r="D942" t="s">
        <v>1616</v>
      </c>
      <c r="E942" t="s">
        <v>1643</v>
      </c>
      <c r="F942">
        <v>109</v>
      </c>
      <c r="G942">
        <f t="shared" si="58"/>
        <v>69</v>
      </c>
      <c r="H942">
        <f t="shared" si="59"/>
        <v>235</v>
      </c>
      <c r="I942">
        <v>695</v>
      </c>
      <c r="J942">
        <v>2350</v>
      </c>
      <c r="K942" s="18" t="s">
        <v>844</v>
      </c>
      <c r="L942" s="21">
        <v>6.5</v>
      </c>
    </row>
    <row r="943" spans="1:12" x14ac:dyDescent="0.25">
      <c r="A943" t="str">
        <f t="shared" si="56"/>
        <v>2010-RR-X F-131-774-2296</v>
      </c>
      <c r="B943" t="str">
        <f t="shared" si="57"/>
        <v>2010</v>
      </c>
      <c r="C943" s="18" t="s">
        <v>840</v>
      </c>
      <c r="D943" t="s">
        <v>1616</v>
      </c>
      <c r="E943" t="s">
        <v>1644</v>
      </c>
      <c r="F943">
        <v>131</v>
      </c>
      <c r="G943">
        <f t="shared" si="58"/>
        <v>77</v>
      </c>
      <c r="H943">
        <f t="shared" si="59"/>
        <v>229</v>
      </c>
      <c r="I943">
        <v>774</v>
      </c>
      <c r="J943">
        <v>2296</v>
      </c>
      <c r="K943" s="18" t="s">
        <v>844</v>
      </c>
      <c r="L943" s="21">
        <v>6.7</v>
      </c>
    </row>
    <row r="944" spans="1:12" x14ac:dyDescent="0.25">
      <c r="A944" t="str">
        <f t="shared" si="56"/>
        <v>2010-RR-X F-142-849-2295</v>
      </c>
      <c r="B944" t="str">
        <f t="shared" si="57"/>
        <v>2010</v>
      </c>
      <c r="C944" s="18" t="s">
        <v>840</v>
      </c>
      <c r="D944" t="s">
        <v>1616</v>
      </c>
      <c r="E944" t="s">
        <v>1645</v>
      </c>
      <c r="F944">
        <v>142</v>
      </c>
      <c r="G944">
        <f t="shared" si="58"/>
        <v>84</v>
      </c>
      <c r="H944">
        <f t="shared" si="59"/>
        <v>229</v>
      </c>
      <c r="I944">
        <v>849</v>
      </c>
      <c r="J944">
        <v>2295</v>
      </c>
      <c r="K944" s="18" t="s">
        <v>844</v>
      </c>
      <c r="L944" s="21">
        <v>7</v>
      </c>
    </row>
    <row r="945" spans="1:12" x14ac:dyDescent="0.25">
      <c r="A945" t="str">
        <f t="shared" si="56"/>
        <v>2010-RR-Fir-98-648-2338</v>
      </c>
      <c r="B945" t="str">
        <f t="shared" si="57"/>
        <v>2010</v>
      </c>
      <c r="C945" s="18" t="s">
        <v>840</v>
      </c>
      <c r="D945" t="s">
        <v>1616</v>
      </c>
      <c r="E945" t="s">
        <v>1646</v>
      </c>
      <c r="F945">
        <v>98</v>
      </c>
      <c r="G945">
        <f t="shared" si="58"/>
        <v>64</v>
      </c>
      <c r="H945">
        <f t="shared" si="59"/>
        <v>233</v>
      </c>
      <c r="I945">
        <v>648</v>
      </c>
      <c r="J945">
        <v>2338</v>
      </c>
      <c r="K945" s="18" t="s">
        <v>844</v>
      </c>
      <c r="L945" s="21">
        <v>6.9</v>
      </c>
    </row>
    <row r="946" spans="1:12" x14ac:dyDescent="0.25">
      <c r="A946" t="str">
        <f t="shared" si="56"/>
        <v>2010-RR-Fir-109-695-2300</v>
      </c>
      <c r="B946" t="str">
        <f t="shared" si="57"/>
        <v>2010</v>
      </c>
      <c r="C946" s="18" t="s">
        <v>840</v>
      </c>
      <c r="D946" t="s">
        <v>1616</v>
      </c>
      <c r="E946" t="s">
        <v>1647</v>
      </c>
      <c r="F946">
        <v>109</v>
      </c>
      <c r="G946">
        <f t="shared" si="58"/>
        <v>69</v>
      </c>
      <c r="H946">
        <f t="shared" si="59"/>
        <v>230</v>
      </c>
      <c r="I946">
        <v>695</v>
      </c>
      <c r="J946">
        <v>2300</v>
      </c>
      <c r="K946" s="18" t="s">
        <v>844</v>
      </c>
      <c r="L946" s="21">
        <v>7.4</v>
      </c>
    </row>
    <row r="947" spans="1:12" x14ac:dyDescent="0.25">
      <c r="A947" t="str">
        <f t="shared" si="56"/>
        <v>2010-RR-Fir-114-750-2283</v>
      </c>
      <c r="B947" t="str">
        <f t="shared" si="57"/>
        <v>2010</v>
      </c>
      <c r="C947" s="18" t="s">
        <v>840</v>
      </c>
      <c r="D947" t="s">
        <v>1616</v>
      </c>
      <c r="E947" t="s">
        <v>1648</v>
      </c>
      <c r="F947">
        <v>114</v>
      </c>
      <c r="G947">
        <f t="shared" si="58"/>
        <v>75</v>
      </c>
      <c r="H947">
        <f t="shared" si="59"/>
        <v>228</v>
      </c>
      <c r="I947">
        <v>750</v>
      </c>
      <c r="J947">
        <v>2283</v>
      </c>
      <c r="K947" s="18" t="s">
        <v>844</v>
      </c>
      <c r="L947" s="21">
        <v>7.6</v>
      </c>
    </row>
    <row r="948" spans="1:12" x14ac:dyDescent="0.25">
      <c r="A948" t="str">
        <f t="shared" si="56"/>
        <v>2010-RR-Fir-126-848-2242</v>
      </c>
      <c r="B948" t="str">
        <f t="shared" si="57"/>
        <v>2010</v>
      </c>
      <c r="C948" s="18" t="s">
        <v>840</v>
      </c>
      <c r="D948" t="s">
        <v>1616</v>
      </c>
      <c r="E948" t="s">
        <v>1649</v>
      </c>
      <c r="F948">
        <v>126</v>
      </c>
      <c r="G948">
        <f t="shared" si="58"/>
        <v>84</v>
      </c>
      <c r="H948">
        <f t="shared" si="59"/>
        <v>224</v>
      </c>
      <c r="I948">
        <v>848</v>
      </c>
      <c r="J948">
        <v>2242</v>
      </c>
      <c r="K948" s="18" t="s">
        <v>844</v>
      </c>
      <c r="L948" s="21">
        <v>8.1</v>
      </c>
    </row>
    <row r="949" spans="1:12" x14ac:dyDescent="0.25">
      <c r="A949" t="str">
        <f t="shared" si="56"/>
        <v>2010-RR-Fir-84-570-2380</v>
      </c>
      <c r="B949" t="str">
        <f t="shared" si="57"/>
        <v>2010</v>
      </c>
      <c r="C949" s="18" t="s">
        <v>840</v>
      </c>
      <c r="D949" t="s">
        <v>1616</v>
      </c>
      <c r="E949" t="s">
        <v>1650</v>
      </c>
      <c r="F949">
        <v>84</v>
      </c>
      <c r="G949">
        <f t="shared" si="58"/>
        <v>57</v>
      </c>
      <c r="H949">
        <f t="shared" si="59"/>
        <v>238</v>
      </c>
      <c r="I949">
        <v>570</v>
      </c>
      <c r="J949">
        <v>2380</v>
      </c>
      <c r="K949" s="18" t="s">
        <v>844</v>
      </c>
      <c r="L949" s="21">
        <v>6.9</v>
      </c>
    </row>
    <row r="950" spans="1:12" x14ac:dyDescent="0.25">
      <c r="A950" t="str">
        <f t="shared" si="56"/>
        <v>2010-RR-Fir-102-653-2332</v>
      </c>
      <c r="B950" t="str">
        <f t="shared" si="57"/>
        <v>2010</v>
      </c>
      <c r="C950" s="18" t="s">
        <v>840</v>
      </c>
      <c r="D950" t="s">
        <v>1616</v>
      </c>
      <c r="E950" t="s">
        <v>1651</v>
      </c>
      <c r="F950">
        <v>102</v>
      </c>
      <c r="G950">
        <f t="shared" si="58"/>
        <v>65</v>
      </c>
      <c r="H950">
        <f t="shared" si="59"/>
        <v>233</v>
      </c>
      <c r="I950">
        <v>653</v>
      </c>
      <c r="J950">
        <v>2332</v>
      </c>
      <c r="K950" s="18" t="s">
        <v>844</v>
      </c>
      <c r="L950" s="21">
        <v>7.1</v>
      </c>
    </row>
    <row r="951" spans="1:12" x14ac:dyDescent="0.25">
      <c r="A951" t="str">
        <f t="shared" si="56"/>
        <v>2010-RR-Fir-109-695-2300</v>
      </c>
      <c r="B951" t="str">
        <f t="shared" si="57"/>
        <v>2010</v>
      </c>
      <c r="C951" s="18" t="s">
        <v>840</v>
      </c>
      <c r="D951" t="s">
        <v>1616</v>
      </c>
      <c r="E951" t="s">
        <v>1652</v>
      </c>
      <c r="F951">
        <v>109</v>
      </c>
      <c r="G951">
        <f t="shared" si="58"/>
        <v>69</v>
      </c>
      <c r="H951">
        <f t="shared" si="59"/>
        <v>230</v>
      </c>
      <c r="I951">
        <v>695</v>
      </c>
      <c r="J951">
        <v>2300</v>
      </c>
      <c r="K951" s="18" t="s">
        <v>844</v>
      </c>
      <c r="L951" s="21">
        <v>7.4</v>
      </c>
    </row>
    <row r="952" spans="1:12" x14ac:dyDescent="0.25">
      <c r="A952" t="str">
        <f t="shared" si="56"/>
        <v>2010-RR-Fir-131-777-2283</v>
      </c>
      <c r="B952" t="str">
        <f t="shared" si="57"/>
        <v>2010</v>
      </c>
      <c r="C952" s="18" t="s">
        <v>840</v>
      </c>
      <c r="D952" t="s">
        <v>1616</v>
      </c>
      <c r="E952" t="s">
        <v>1653</v>
      </c>
      <c r="F952">
        <v>131</v>
      </c>
      <c r="G952">
        <f t="shared" si="58"/>
        <v>77</v>
      </c>
      <c r="H952">
        <f t="shared" si="59"/>
        <v>228</v>
      </c>
      <c r="I952">
        <v>777</v>
      </c>
      <c r="J952">
        <v>2283</v>
      </c>
      <c r="K952" s="18" t="s">
        <v>844</v>
      </c>
      <c r="L952" s="21">
        <v>8.1999999999999993</v>
      </c>
    </row>
    <row r="953" spans="1:12" x14ac:dyDescent="0.25">
      <c r="A953" t="str">
        <f t="shared" si="56"/>
        <v>2010-RR-Fir-142-851-2284</v>
      </c>
      <c r="B953" t="str">
        <f t="shared" si="57"/>
        <v>2010</v>
      </c>
      <c r="C953" s="18" t="s">
        <v>840</v>
      </c>
      <c r="D953" t="s">
        <v>1616</v>
      </c>
      <c r="E953" t="s">
        <v>1654</v>
      </c>
      <c r="F953">
        <v>142</v>
      </c>
      <c r="G953">
        <f t="shared" si="58"/>
        <v>85</v>
      </c>
      <c r="H953">
        <f t="shared" si="59"/>
        <v>228</v>
      </c>
      <c r="I953">
        <v>851</v>
      </c>
      <c r="J953">
        <v>2284</v>
      </c>
      <c r="K953" s="18" t="s">
        <v>844</v>
      </c>
      <c r="L953" s="21">
        <v>8.5</v>
      </c>
    </row>
    <row r="954" spans="1:12" x14ac:dyDescent="0.25">
      <c r="A954" t="str">
        <f t="shared" si="56"/>
        <v>2011-RR-X-F-77-530-2330</v>
      </c>
      <c r="B954" t="str">
        <f t="shared" si="57"/>
        <v>2011</v>
      </c>
      <c r="C954" s="18" t="s">
        <v>846</v>
      </c>
      <c r="D954" t="s">
        <v>1616</v>
      </c>
      <c r="E954" t="s">
        <v>1655</v>
      </c>
      <c r="F954">
        <v>77</v>
      </c>
      <c r="G954">
        <f t="shared" si="58"/>
        <v>53</v>
      </c>
      <c r="H954">
        <f t="shared" si="59"/>
        <v>233</v>
      </c>
      <c r="I954">
        <v>530</v>
      </c>
      <c r="J954">
        <v>2330</v>
      </c>
      <c r="K954" s="18" t="s">
        <v>847</v>
      </c>
      <c r="L954" s="21">
        <v>5.4</v>
      </c>
    </row>
    <row r="955" spans="1:12" x14ac:dyDescent="0.25">
      <c r="A955" t="str">
        <f t="shared" si="56"/>
        <v>2011-RR-X-F-84-570-2380</v>
      </c>
      <c r="B955" t="str">
        <f t="shared" si="57"/>
        <v>2011</v>
      </c>
      <c r="C955" s="18" t="s">
        <v>846</v>
      </c>
      <c r="D955" t="s">
        <v>1616</v>
      </c>
      <c r="E955" t="s">
        <v>1656</v>
      </c>
      <c r="F955">
        <v>84</v>
      </c>
      <c r="G955">
        <f t="shared" si="58"/>
        <v>57</v>
      </c>
      <c r="H955">
        <f t="shared" si="59"/>
        <v>238</v>
      </c>
      <c r="I955">
        <v>570.70000000000005</v>
      </c>
      <c r="J955">
        <v>2380.4</v>
      </c>
      <c r="K955" s="18" t="s">
        <v>847</v>
      </c>
      <c r="L955" s="21">
        <v>5.6</v>
      </c>
    </row>
    <row r="956" spans="1:12" x14ac:dyDescent="0.25">
      <c r="A956" t="str">
        <f t="shared" si="56"/>
        <v>2011-RR-X-F-102-654-2346</v>
      </c>
      <c r="B956" t="str">
        <f t="shared" si="57"/>
        <v>2011</v>
      </c>
      <c r="C956" s="18" t="s">
        <v>846</v>
      </c>
      <c r="D956" t="s">
        <v>1616</v>
      </c>
      <c r="E956" t="s">
        <v>1657</v>
      </c>
      <c r="F956">
        <v>102</v>
      </c>
      <c r="G956">
        <f t="shared" si="58"/>
        <v>65</v>
      </c>
      <c r="H956">
        <f t="shared" si="59"/>
        <v>234</v>
      </c>
      <c r="I956">
        <v>654</v>
      </c>
      <c r="J956">
        <v>2346</v>
      </c>
      <c r="K956" s="18" t="s">
        <v>847</v>
      </c>
      <c r="L956" s="21">
        <v>6.2</v>
      </c>
    </row>
    <row r="957" spans="1:12" x14ac:dyDescent="0.25">
      <c r="A957" t="str">
        <f t="shared" si="56"/>
        <v>2011-RR-X-F-117-693-2332</v>
      </c>
      <c r="B957" t="str">
        <f t="shared" si="57"/>
        <v>2011</v>
      </c>
      <c r="C957" s="18" t="s">
        <v>846</v>
      </c>
      <c r="D957" t="s">
        <v>1616</v>
      </c>
      <c r="E957" t="s">
        <v>1658</v>
      </c>
      <c r="F957">
        <v>117</v>
      </c>
      <c r="G957">
        <f t="shared" si="58"/>
        <v>69</v>
      </c>
      <c r="H957">
        <f t="shared" si="59"/>
        <v>233</v>
      </c>
      <c r="I957">
        <v>693</v>
      </c>
      <c r="J957">
        <v>2332</v>
      </c>
      <c r="K957" s="18" t="s">
        <v>847</v>
      </c>
      <c r="L957" s="21">
        <v>6.2</v>
      </c>
    </row>
    <row r="958" spans="1:12" x14ac:dyDescent="0.25">
      <c r="A958" t="str">
        <f t="shared" si="56"/>
        <v>2011-RR-X-F-121-791-2239</v>
      </c>
      <c r="B958" t="str">
        <f t="shared" si="57"/>
        <v>2011</v>
      </c>
      <c r="C958" s="18" t="s">
        <v>846</v>
      </c>
      <c r="D958" t="s">
        <v>1616</v>
      </c>
      <c r="E958" t="s">
        <v>1659</v>
      </c>
      <c r="F958">
        <v>121</v>
      </c>
      <c r="G958">
        <f t="shared" si="58"/>
        <v>79</v>
      </c>
      <c r="H958">
        <f t="shared" si="59"/>
        <v>223</v>
      </c>
      <c r="I958">
        <v>791</v>
      </c>
      <c r="J958">
        <v>2239</v>
      </c>
      <c r="K958" s="18" t="s">
        <v>847</v>
      </c>
      <c r="L958" s="21">
        <v>6.5</v>
      </c>
    </row>
    <row r="959" spans="1:12" x14ac:dyDescent="0.25">
      <c r="A959" t="str">
        <f t="shared" si="56"/>
        <v>2011-RR-X-F-142-847-2239</v>
      </c>
      <c r="B959" t="str">
        <f t="shared" si="57"/>
        <v>2011</v>
      </c>
      <c r="C959" s="18" t="s">
        <v>846</v>
      </c>
      <c r="D959" t="s">
        <v>1616</v>
      </c>
      <c r="E959" t="s">
        <v>1660</v>
      </c>
      <c r="F959">
        <v>142</v>
      </c>
      <c r="G959">
        <f t="shared" si="58"/>
        <v>84</v>
      </c>
      <c r="H959">
        <f t="shared" si="59"/>
        <v>223</v>
      </c>
      <c r="I959">
        <v>847</v>
      </c>
      <c r="J959">
        <v>2239</v>
      </c>
      <c r="K959" s="18" t="s">
        <v>847</v>
      </c>
      <c r="L959" s="21">
        <v>6.99</v>
      </c>
    </row>
    <row r="960" spans="1:12" x14ac:dyDescent="0.25">
      <c r="A960" t="str">
        <f t="shared" si="56"/>
        <v>2012-RR-X-F-84-570-2380</v>
      </c>
      <c r="B960" t="str">
        <f t="shared" si="57"/>
        <v>2012</v>
      </c>
      <c r="C960" s="18" t="s">
        <v>928</v>
      </c>
      <c r="D960" t="s">
        <v>1616</v>
      </c>
      <c r="E960" t="s">
        <v>1661</v>
      </c>
      <c r="F960">
        <v>84</v>
      </c>
      <c r="G960">
        <f t="shared" si="58"/>
        <v>57</v>
      </c>
      <c r="H960">
        <f t="shared" si="59"/>
        <v>238</v>
      </c>
      <c r="I960">
        <v>570.70000000000005</v>
      </c>
      <c r="J960">
        <v>2380.4</v>
      </c>
      <c r="K960" s="18" t="s">
        <v>929</v>
      </c>
      <c r="L960" s="21">
        <v>5.6</v>
      </c>
    </row>
    <row r="961" spans="1:12" x14ac:dyDescent="0.25">
      <c r="A961" t="str">
        <f t="shared" si="56"/>
        <v>2012-RR-X-F-93-619-2337</v>
      </c>
      <c r="B961" t="str">
        <f t="shared" si="57"/>
        <v>2012</v>
      </c>
      <c r="C961" s="18" t="s">
        <v>928</v>
      </c>
      <c r="D961" t="s">
        <v>1616</v>
      </c>
      <c r="E961" t="s">
        <v>1662</v>
      </c>
      <c r="F961">
        <v>93</v>
      </c>
      <c r="G961">
        <f t="shared" si="58"/>
        <v>61</v>
      </c>
      <c r="H961">
        <f t="shared" si="59"/>
        <v>233</v>
      </c>
      <c r="I961">
        <v>619</v>
      </c>
      <c r="J961">
        <v>2337</v>
      </c>
      <c r="K961" s="18" t="s">
        <v>929</v>
      </c>
      <c r="L961" s="21">
        <v>6</v>
      </c>
    </row>
    <row r="962" spans="1:12" x14ac:dyDescent="0.25">
      <c r="A962" t="str">
        <f t="shared" ref="A962:A1025" si="60">_xlfn.CONCAT(B962,"-",LEFT(D962,2),"-",LEFT(E962,3),"-",F962,"-",TRUNC(I962),"-",TRUNC(J962))</f>
        <v>2012-RR-X-F-104-655-2340</v>
      </c>
      <c r="B962" t="str">
        <f t="shared" ref="B962:B1025" si="61">LEFT(C962,4)</f>
        <v>2012</v>
      </c>
      <c r="C962" s="18" t="s">
        <v>928</v>
      </c>
      <c r="D962" t="s">
        <v>1616</v>
      </c>
      <c r="E962" t="s">
        <v>1663</v>
      </c>
      <c r="F962">
        <v>104</v>
      </c>
      <c r="G962">
        <f t="shared" si="58"/>
        <v>65</v>
      </c>
      <c r="H962">
        <f t="shared" si="59"/>
        <v>234</v>
      </c>
      <c r="I962">
        <v>655</v>
      </c>
      <c r="J962">
        <v>2340</v>
      </c>
      <c r="K962" s="18" t="s">
        <v>929</v>
      </c>
      <c r="L962" s="21">
        <v>6.3</v>
      </c>
    </row>
    <row r="963" spans="1:12" x14ac:dyDescent="0.25">
      <c r="A963" t="str">
        <f t="shared" si="60"/>
        <v>2012-RR-X-F-117-699-2334</v>
      </c>
      <c r="B963" t="str">
        <f t="shared" si="61"/>
        <v>2012</v>
      </c>
      <c r="C963" s="18" t="s">
        <v>928</v>
      </c>
      <c r="D963" t="s">
        <v>1616</v>
      </c>
      <c r="E963" t="s">
        <v>1664</v>
      </c>
      <c r="F963">
        <v>117</v>
      </c>
      <c r="G963">
        <f t="shared" ref="G963:G1026" si="62">TRUNC(I963/10)</f>
        <v>69</v>
      </c>
      <c r="H963">
        <f t="shared" ref="H963:H1026" si="63">TRUNC(J963/10)</f>
        <v>233</v>
      </c>
      <c r="I963">
        <v>699</v>
      </c>
      <c r="J963">
        <v>2334</v>
      </c>
      <c r="K963" s="18" t="s">
        <v>929</v>
      </c>
      <c r="L963" s="21">
        <v>6.32</v>
      </c>
    </row>
    <row r="964" spans="1:12" x14ac:dyDescent="0.25">
      <c r="A964" t="str">
        <f t="shared" si="60"/>
        <v>2012-RR-X-F-123-810-2270</v>
      </c>
      <c r="B964" t="str">
        <f t="shared" si="61"/>
        <v>2012</v>
      </c>
      <c r="C964" s="18" t="s">
        <v>928</v>
      </c>
      <c r="D964" t="s">
        <v>1616</v>
      </c>
      <c r="E964" t="s">
        <v>1665</v>
      </c>
      <c r="F964">
        <v>123</v>
      </c>
      <c r="G964">
        <f t="shared" si="62"/>
        <v>81</v>
      </c>
      <c r="H964">
        <f t="shared" si="63"/>
        <v>227</v>
      </c>
      <c r="I964">
        <v>810</v>
      </c>
      <c r="J964">
        <v>2270</v>
      </c>
      <c r="K964" s="18" t="s">
        <v>929</v>
      </c>
      <c r="L964" s="21">
        <v>6.7</v>
      </c>
    </row>
    <row r="965" spans="1:12" x14ac:dyDescent="0.25">
      <c r="A965" t="str">
        <f t="shared" si="60"/>
        <v>2012-RR-X-F-134-850-2272</v>
      </c>
      <c r="B965" t="str">
        <f t="shared" si="61"/>
        <v>2012</v>
      </c>
      <c r="C965" s="18" t="s">
        <v>928</v>
      </c>
      <c r="D965" t="s">
        <v>1616</v>
      </c>
      <c r="E965" t="s">
        <v>1666</v>
      </c>
      <c r="F965">
        <v>134</v>
      </c>
      <c r="G965">
        <f t="shared" si="62"/>
        <v>85</v>
      </c>
      <c r="H965">
        <f t="shared" si="63"/>
        <v>227</v>
      </c>
      <c r="I965">
        <v>850</v>
      </c>
      <c r="J965">
        <v>2272</v>
      </c>
      <c r="K965" s="18" t="s">
        <v>929</v>
      </c>
      <c r="L965" s="21">
        <v>7.25</v>
      </c>
    </row>
    <row r="966" spans="1:12" x14ac:dyDescent="0.25">
      <c r="A966" t="e">
        <f t="shared" si="60"/>
        <v>#VALUE!</v>
      </c>
      <c r="B966" t="str">
        <f t="shared" si="61"/>
        <v>2012</v>
      </c>
      <c r="C966" s="18" t="s">
        <v>928</v>
      </c>
      <c r="D966" t="s">
        <v>1616</v>
      </c>
      <c r="E966" t="s">
        <v>1667</v>
      </c>
      <c r="F966">
        <v>84</v>
      </c>
      <c r="G966" t="e">
        <f t="shared" si="62"/>
        <v>#VALUE!</v>
      </c>
      <c r="H966" t="e">
        <f t="shared" si="63"/>
        <v>#VALUE!</v>
      </c>
      <c r="I966" t="s">
        <v>1669</v>
      </c>
      <c r="J966" t="s">
        <v>1668</v>
      </c>
      <c r="K966" s="18" t="s">
        <v>929</v>
      </c>
      <c r="L966" s="21">
        <v>6.12</v>
      </c>
    </row>
    <row r="967" spans="1:12" x14ac:dyDescent="0.25">
      <c r="A967" t="str">
        <f t="shared" si="60"/>
        <v>2012-RR-Fir-102-654-2346</v>
      </c>
      <c r="B967" t="str">
        <f t="shared" si="61"/>
        <v>2012</v>
      </c>
      <c r="C967" s="18" t="s">
        <v>928</v>
      </c>
      <c r="D967" t="s">
        <v>1616</v>
      </c>
      <c r="E967" t="s">
        <v>1670</v>
      </c>
      <c r="F967">
        <v>102</v>
      </c>
      <c r="G967">
        <f t="shared" si="62"/>
        <v>65</v>
      </c>
      <c r="H967">
        <f t="shared" si="63"/>
        <v>234</v>
      </c>
      <c r="I967">
        <v>654</v>
      </c>
      <c r="J967">
        <v>2346</v>
      </c>
      <c r="K967" s="18" t="s">
        <v>929</v>
      </c>
      <c r="L967" s="21">
        <v>6.95</v>
      </c>
    </row>
    <row r="968" spans="1:12" x14ac:dyDescent="0.25">
      <c r="A968" t="str">
        <f t="shared" si="60"/>
        <v>2012-RR-Fir-117-693-2332</v>
      </c>
      <c r="B968" t="str">
        <f t="shared" si="61"/>
        <v>2012</v>
      </c>
      <c r="C968" s="18" t="s">
        <v>928</v>
      </c>
      <c r="D968" t="s">
        <v>1616</v>
      </c>
      <c r="E968" t="s">
        <v>1671</v>
      </c>
      <c r="F968">
        <v>117</v>
      </c>
      <c r="G968">
        <f t="shared" si="62"/>
        <v>69</v>
      </c>
      <c r="H968">
        <f t="shared" si="63"/>
        <v>233</v>
      </c>
      <c r="I968">
        <v>693</v>
      </c>
      <c r="J968">
        <v>2332</v>
      </c>
      <c r="K968" s="18" t="s">
        <v>929</v>
      </c>
      <c r="L968" s="21">
        <v>7.49</v>
      </c>
    </row>
    <row r="969" spans="1:12" x14ac:dyDescent="0.25">
      <c r="A969" t="str">
        <f t="shared" si="60"/>
        <v>2012-RR-Fir-121-791-2239</v>
      </c>
      <c r="B969" t="str">
        <f t="shared" si="61"/>
        <v>2012</v>
      </c>
      <c r="C969" s="18" t="s">
        <v>928</v>
      </c>
      <c r="D969" t="s">
        <v>1616</v>
      </c>
      <c r="E969" t="s">
        <v>1672</v>
      </c>
      <c r="F969">
        <v>121</v>
      </c>
      <c r="G969">
        <f t="shared" si="62"/>
        <v>79</v>
      </c>
      <c r="H969">
        <f t="shared" si="63"/>
        <v>223</v>
      </c>
      <c r="I969">
        <v>791</v>
      </c>
      <c r="J969">
        <v>2239</v>
      </c>
      <c r="K969" s="18" t="s">
        <v>929</v>
      </c>
      <c r="L969" s="21">
        <v>7.96</v>
      </c>
    </row>
    <row r="970" spans="1:12" x14ac:dyDescent="0.25">
      <c r="A970" t="str">
        <f t="shared" si="60"/>
        <v>2012-RR-Fir-142-847-2239</v>
      </c>
      <c r="B970" t="str">
        <f t="shared" si="61"/>
        <v>2012</v>
      </c>
      <c r="C970" s="18" t="s">
        <v>928</v>
      </c>
      <c r="D970" t="s">
        <v>1616</v>
      </c>
      <c r="E970" t="s">
        <v>1673</v>
      </c>
      <c r="F970">
        <v>142</v>
      </c>
      <c r="G970">
        <f t="shared" si="62"/>
        <v>84</v>
      </c>
      <c r="H970">
        <f t="shared" si="63"/>
        <v>223</v>
      </c>
      <c r="I970">
        <v>847</v>
      </c>
      <c r="J970">
        <v>2239</v>
      </c>
      <c r="K970" s="18" t="s">
        <v>929</v>
      </c>
      <c r="L970" s="21">
        <v>8.7100000000000009</v>
      </c>
    </row>
    <row r="971" spans="1:12" x14ac:dyDescent="0.25">
      <c r="A971" t="str">
        <f t="shared" si="60"/>
        <v>2013-RR-X-F-93-592-2332</v>
      </c>
      <c r="B971" t="str">
        <f t="shared" si="61"/>
        <v>2013</v>
      </c>
      <c r="C971" s="18" t="s">
        <v>852</v>
      </c>
      <c r="D971" t="s">
        <v>1616</v>
      </c>
      <c r="E971" t="s">
        <v>1674</v>
      </c>
      <c r="F971">
        <v>93</v>
      </c>
      <c r="G971">
        <f t="shared" si="62"/>
        <v>59</v>
      </c>
      <c r="H971">
        <f t="shared" si="63"/>
        <v>233</v>
      </c>
      <c r="I971">
        <v>592</v>
      </c>
      <c r="J971">
        <v>2332</v>
      </c>
      <c r="K971" s="18" t="s">
        <v>929</v>
      </c>
      <c r="L971" s="21">
        <v>5.9</v>
      </c>
    </row>
    <row r="972" spans="1:12" x14ac:dyDescent="0.25">
      <c r="A972" t="str">
        <f t="shared" si="60"/>
        <v>2013-RR-X-F-93-619-2337</v>
      </c>
      <c r="B972" t="str">
        <f t="shared" si="61"/>
        <v>2013</v>
      </c>
      <c r="C972" s="18" t="s">
        <v>852</v>
      </c>
      <c r="D972" t="s">
        <v>1616</v>
      </c>
      <c r="E972" t="s">
        <v>1675</v>
      </c>
      <c r="F972">
        <v>93</v>
      </c>
      <c r="G972">
        <f t="shared" si="62"/>
        <v>61</v>
      </c>
      <c r="H972">
        <f t="shared" si="63"/>
        <v>233</v>
      </c>
      <c r="I972">
        <v>619</v>
      </c>
      <c r="J972">
        <v>2337</v>
      </c>
      <c r="K972" s="18" t="s">
        <v>929</v>
      </c>
      <c r="L972" s="21">
        <v>6</v>
      </c>
    </row>
    <row r="973" spans="1:12" x14ac:dyDescent="0.25">
      <c r="A973" t="str">
        <f t="shared" si="60"/>
        <v>2013-RR-X-F-104-655-2340</v>
      </c>
      <c r="B973" t="str">
        <f t="shared" si="61"/>
        <v>2013</v>
      </c>
      <c r="C973" s="18" t="s">
        <v>852</v>
      </c>
      <c r="D973" t="s">
        <v>1616</v>
      </c>
      <c r="E973" t="s">
        <v>1676</v>
      </c>
      <c r="F973">
        <v>104</v>
      </c>
      <c r="G973">
        <f t="shared" si="62"/>
        <v>65</v>
      </c>
      <c r="H973">
        <f t="shared" si="63"/>
        <v>234</v>
      </c>
      <c r="I973">
        <v>655</v>
      </c>
      <c r="J973">
        <v>2340</v>
      </c>
      <c r="K973" s="18" t="s">
        <v>929</v>
      </c>
      <c r="L973" s="21">
        <v>6.3</v>
      </c>
    </row>
    <row r="974" spans="1:12" x14ac:dyDescent="0.25">
      <c r="A974" t="str">
        <f t="shared" si="60"/>
        <v>2013-RR-X-F-119-700-2325</v>
      </c>
      <c r="B974" t="str">
        <f t="shared" si="61"/>
        <v>2013</v>
      </c>
      <c r="C974" s="18" t="s">
        <v>852</v>
      </c>
      <c r="D974" t="s">
        <v>1616</v>
      </c>
      <c r="E974" t="s">
        <v>1677</v>
      </c>
      <c r="F974">
        <v>119</v>
      </c>
      <c r="G974">
        <f t="shared" si="62"/>
        <v>70</v>
      </c>
      <c r="H974">
        <f t="shared" si="63"/>
        <v>232</v>
      </c>
      <c r="I974">
        <v>700</v>
      </c>
      <c r="J974">
        <v>2325</v>
      </c>
      <c r="K974" s="18" t="s">
        <v>929</v>
      </c>
      <c r="L974" s="21">
        <v>6.3</v>
      </c>
    </row>
    <row r="975" spans="1:12" x14ac:dyDescent="0.25">
      <c r="A975" t="str">
        <f t="shared" si="60"/>
        <v>2013-RR-X-F-123-810-2260</v>
      </c>
      <c r="B975" t="str">
        <f t="shared" si="61"/>
        <v>2013</v>
      </c>
      <c r="C975" s="18" t="s">
        <v>852</v>
      </c>
      <c r="D975" t="s">
        <v>1616</v>
      </c>
      <c r="E975" t="s">
        <v>1678</v>
      </c>
      <c r="F975">
        <v>123</v>
      </c>
      <c r="G975">
        <f t="shared" si="62"/>
        <v>81</v>
      </c>
      <c r="H975">
        <f t="shared" si="63"/>
        <v>226</v>
      </c>
      <c r="I975">
        <v>810</v>
      </c>
      <c r="J975">
        <v>2260</v>
      </c>
      <c r="K975" s="18" t="s">
        <v>929</v>
      </c>
      <c r="L975" s="21">
        <v>6.7</v>
      </c>
    </row>
    <row r="976" spans="1:12" x14ac:dyDescent="0.25">
      <c r="A976" t="str">
        <f t="shared" si="60"/>
        <v>2013-RR-X-F-138-850-2263</v>
      </c>
      <c r="B976" t="str">
        <f t="shared" si="61"/>
        <v>2013</v>
      </c>
      <c r="C976" s="18" t="s">
        <v>852</v>
      </c>
      <c r="D976" t="s">
        <v>1616</v>
      </c>
      <c r="E976" t="s">
        <v>1679</v>
      </c>
      <c r="F976">
        <v>138</v>
      </c>
      <c r="G976">
        <f t="shared" si="62"/>
        <v>85</v>
      </c>
      <c r="H976">
        <f t="shared" si="63"/>
        <v>226</v>
      </c>
      <c r="I976">
        <v>850</v>
      </c>
      <c r="J976">
        <v>2263</v>
      </c>
      <c r="K976" s="18" t="s">
        <v>929</v>
      </c>
      <c r="L976" s="21">
        <v>7.25</v>
      </c>
    </row>
    <row r="977" spans="1:12" x14ac:dyDescent="0.25">
      <c r="A977" t="str">
        <f t="shared" si="60"/>
        <v>2014-RR-X-F-92.1-592-2332</v>
      </c>
      <c r="B977" t="str">
        <f t="shared" si="61"/>
        <v>2014</v>
      </c>
      <c r="C977" s="31" t="s">
        <v>733</v>
      </c>
      <c r="D977" s="30" t="s">
        <v>1616</v>
      </c>
      <c r="E977" s="30" t="s">
        <v>1680</v>
      </c>
      <c r="F977" s="30">
        <v>92.1</v>
      </c>
      <c r="G977">
        <f t="shared" si="62"/>
        <v>59</v>
      </c>
      <c r="H977">
        <f t="shared" si="63"/>
        <v>233</v>
      </c>
      <c r="I977" s="30">
        <v>592</v>
      </c>
      <c r="J977" s="30">
        <v>2332</v>
      </c>
      <c r="K977" s="31" t="s">
        <v>733</v>
      </c>
      <c r="L977" s="32">
        <v>5.9</v>
      </c>
    </row>
    <row r="978" spans="1:12" x14ac:dyDescent="0.25">
      <c r="A978" t="str">
        <f t="shared" si="60"/>
        <v>2014-RR-X-F-92.6-619-2337</v>
      </c>
      <c r="B978" t="str">
        <f t="shared" si="61"/>
        <v>2014</v>
      </c>
      <c r="C978" s="18" t="s">
        <v>733</v>
      </c>
      <c r="D978" t="s">
        <v>1616</v>
      </c>
      <c r="E978" t="s">
        <v>1681</v>
      </c>
      <c r="F978">
        <v>92.6</v>
      </c>
      <c r="G978">
        <f t="shared" si="62"/>
        <v>61</v>
      </c>
      <c r="H978">
        <f t="shared" si="63"/>
        <v>233</v>
      </c>
      <c r="I978">
        <v>619</v>
      </c>
      <c r="J978">
        <v>2337</v>
      </c>
      <c r="K978" s="18" t="s">
        <v>733</v>
      </c>
      <c r="L978" s="21">
        <v>6</v>
      </c>
    </row>
    <row r="979" spans="1:12" x14ac:dyDescent="0.25">
      <c r="A979" t="str">
        <f t="shared" si="60"/>
        <v>2014-RR-X-F-107-650-2347</v>
      </c>
      <c r="B979" t="str">
        <f t="shared" si="61"/>
        <v>2014</v>
      </c>
      <c r="C979" s="18" t="s">
        <v>733</v>
      </c>
      <c r="D979" t="s">
        <v>1616</v>
      </c>
      <c r="E979" t="s">
        <v>1682</v>
      </c>
      <c r="F979">
        <v>107</v>
      </c>
      <c r="G979">
        <f t="shared" si="62"/>
        <v>65</v>
      </c>
      <c r="H979">
        <f t="shared" si="63"/>
        <v>234</v>
      </c>
      <c r="I979">
        <v>650</v>
      </c>
      <c r="J979">
        <v>2347</v>
      </c>
      <c r="K979" s="18" t="s">
        <v>733</v>
      </c>
      <c r="L979" s="21">
        <v>6.5</v>
      </c>
    </row>
    <row r="980" spans="1:12" x14ac:dyDescent="0.25">
      <c r="A980" t="str">
        <f t="shared" si="60"/>
        <v>2014-RR-X-F-119-700-2325</v>
      </c>
      <c r="B980" t="str">
        <f t="shared" si="61"/>
        <v>2014</v>
      </c>
      <c r="C980" s="18" t="s">
        <v>733</v>
      </c>
      <c r="D980" t="s">
        <v>1616</v>
      </c>
      <c r="E980" t="s">
        <v>1683</v>
      </c>
      <c r="F980">
        <v>119</v>
      </c>
      <c r="G980">
        <f t="shared" si="62"/>
        <v>70</v>
      </c>
      <c r="H980">
        <f t="shared" si="63"/>
        <v>232</v>
      </c>
      <c r="I980">
        <v>700</v>
      </c>
      <c r="J980">
        <v>2325</v>
      </c>
      <c r="K980" s="18" t="s">
        <v>733</v>
      </c>
      <c r="L980" s="21">
        <v>6.3</v>
      </c>
    </row>
    <row r="981" spans="1:12" x14ac:dyDescent="0.25">
      <c r="A981" t="str">
        <f t="shared" si="60"/>
        <v>2014-RR-X-F-123-810-2260</v>
      </c>
      <c r="B981" t="str">
        <f t="shared" si="61"/>
        <v>2014</v>
      </c>
      <c r="C981" s="18" t="s">
        <v>733</v>
      </c>
      <c r="D981" t="s">
        <v>1616</v>
      </c>
      <c r="E981" t="s">
        <v>1684</v>
      </c>
      <c r="F981">
        <v>123</v>
      </c>
      <c r="G981">
        <f t="shared" si="62"/>
        <v>81</v>
      </c>
      <c r="H981">
        <f t="shared" si="63"/>
        <v>226</v>
      </c>
      <c r="I981">
        <v>810</v>
      </c>
      <c r="J981">
        <v>2260</v>
      </c>
      <c r="K981" s="18" t="s">
        <v>733</v>
      </c>
      <c r="L981" s="21">
        <v>6.7</v>
      </c>
    </row>
    <row r="982" spans="1:12" x14ac:dyDescent="0.25">
      <c r="A982" t="str">
        <f t="shared" si="60"/>
        <v>2014-RR-X-F-139-850-2263</v>
      </c>
      <c r="B982" t="str">
        <f t="shared" si="61"/>
        <v>2014</v>
      </c>
      <c r="C982" s="18" t="s">
        <v>733</v>
      </c>
      <c r="D982" t="s">
        <v>1616</v>
      </c>
      <c r="E982" t="s">
        <v>1685</v>
      </c>
      <c r="F982">
        <v>139</v>
      </c>
      <c r="G982">
        <f t="shared" si="62"/>
        <v>85</v>
      </c>
      <c r="H982">
        <f t="shared" si="63"/>
        <v>226</v>
      </c>
      <c r="I982">
        <v>850</v>
      </c>
      <c r="J982">
        <v>2263</v>
      </c>
      <c r="K982" s="18" t="s">
        <v>733</v>
      </c>
      <c r="L982" s="21">
        <v>7.4</v>
      </c>
    </row>
    <row r="983" spans="1:12" x14ac:dyDescent="0.25">
      <c r="A983" t="str">
        <f t="shared" si="60"/>
        <v>2015-RR-X-F-77-530-2330</v>
      </c>
      <c r="B983" t="str">
        <f t="shared" si="61"/>
        <v>2015</v>
      </c>
      <c r="C983" s="18" t="s">
        <v>741</v>
      </c>
      <c r="D983" t="s">
        <v>1616</v>
      </c>
      <c r="E983" t="s">
        <v>1686</v>
      </c>
      <c r="F983">
        <v>77</v>
      </c>
      <c r="G983">
        <f t="shared" si="62"/>
        <v>53</v>
      </c>
      <c r="H983">
        <f t="shared" si="63"/>
        <v>233</v>
      </c>
      <c r="I983">
        <v>530</v>
      </c>
      <c r="J983">
        <v>2330</v>
      </c>
      <c r="K983" s="18" t="s">
        <v>1687</v>
      </c>
      <c r="L983" s="21">
        <v>5.4</v>
      </c>
    </row>
    <row r="984" spans="1:12" x14ac:dyDescent="0.25">
      <c r="A984" t="str">
        <f t="shared" si="60"/>
        <v>2015-RR-X-F-90-582-2334</v>
      </c>
      <c r="B984" t="str">
        <f t="shared" si="61"/>
        <v>2015</v>
      </c>
      <c r="C984" s="18" t="s">
        <v>741</v>
      </c>
      <c r="D984" t="s">
        <v>1616</v>
      </c>
      <c r="E984" t="s">
        <v>1688</v>
      </c>
      <c r="F984">
        <v>90</v>
      </c>
      <c r="G984">
        <f t="shared" si="62"/>
        <v>58</v>
      </c>
      <c r="H984">
        <f t="shared" si="63"/>
        <v>233</v>
      </c>
      <c r="I984">
        <v>582</v>
      </c>
      <c r="J984">
        <v>2334</v>
      </c>
      <c r="K984" s="18" t="s">
        <v>1687</v>
      </c>
      <c r="L984" s="21">
        <v>5.7</v>
      </c>
    </row>
    <row r="985" spans="1:12" x14ac:dyDescent="0.25">
      <c r="A985" t="str">
        <f t="shared" si="60"/>
        <v>2015-RR-X-F-97-620-2336</v>
      </c>
      <c r="B985" t="str">
        <f t="shared" si="61"/>
        <v>2015</v>
      </c>
      <c r="C985" s="18" t="s">
        <v>741</v>
      </c>
      <c r="D985" t="s">
        <v>1616</v>
      </c>
      <c r="E985" t="s">
        <v>1689</v>
      </c>
      <c r="F985">
        <v>97</v>
      </c>
      <c r="G985">
        <f t="shared" si="62"/>
        <v>62</v>
      </c>
      <c r="H985">
        <f t="shared" si="63"/>
        <v>233</v>
      </c>
      <c r="I985">
        <v>620</v>
      </c>
      <c r="J985">
        <v>2336</v>
      </c>
      <c r="K985" s="18" t="s">
        <v>1687</v>
      </c>
      <c r="L985" s="21">
        <v>6.13</v>
      </c>
    </row>
    <row r="986" spans="1:12" x14ac:dyDescent="0.25">
      <c r="A986" t="str">
        <f t="shared" si="60"/>
        <v>2015-RR-X-F-107-650-2347</v>
      </c>
      <c r="B986" t="str">
        <f t="shared" si="61"/>
        <v>2015</v>
      </c>
      <c r="C986" s="18" t="s">
        <v>741</v>
      </c>
      <c r="D986" t="s">
        <v>1616</v>
      </c>
      <c r="E986" t="s">
        <v>1690</v>
      </c>
      <c r="F986">
        <v>107</v>
      </c>
      <c r="G986">
        <f t="shared" si="62"/>
        <v>65</v>
      </c>
      <c r="H986">
        <f t="shared" si="63"/>
        <v>234</v>
      </c>
      <c r="I986">
        <v>650</v>
      </c>
      <c r="J986">
        <v>2347</v>
      </c>
      <c r="K986" s="18" t="s">
        <v>1687</v>
      </c>
      <c r="L986" s="21">
        <v>6.59</v>
      </c>
    </row>
    <row r="987" spans="1:12" x14ac:dyDescent="0.25">
      <c r="A987" t="str">
        <f t="shared" si="60"/>
        <v>2015-RR-X-F-119-699-2335</v>
      </c>
      <c r="B987" t="str">
        <f t="shared" si="61"/>
        <v>2015</v>
      </c>
      <c r="C987" s="18" t="s">
        <v>741</v>
      </c>
      <c r="D987" t="s">
        <v>1616</v>
      </c>
      <c r="E987" t="s">
        <v>1691</v>
      </c>
      <c r="F987">
        <v>119</v>
      </c>
      <c r="G987">
        <f t="shared" si="62"/>
        <v>69</v>
      </c>
      <c r="H987">
        <f t="shared" si="63"/>
        <v>233</v>
      </c>
      <c r="I987">
        <v>699</v>
      </c>
      <c r="J987">
        <v>2335</v>
      </c>
      <c r="K987" s="18" t="s">
        <v>1687</v>
      </c>
      <c r="L987" s="21">
        <v>6.39</v>
      </c>
    </row>
    <row r="988" spans="1:12" x14ac:dyDescent="0.25">
      <c r="A988" t="str">
        <f t="shared" si="60"/>
        <v>2015-RR-X-F-133-805-2265</v>
      </c>
      <c r="B988" t="str">
        <f t="shared" si="61"/>
        <v>2015</v>
      </c>
      <c r="C988" s="18" t="s">
        <v>741</v>
      </c>
      <c r="D988" t="s">
        <v>1616</v>
      </c>
      <c r="E988" t="s">
        <v>1692</v>
      </c>
      <c r="F988">
        <v>133</v>
      </c>
      <c r="G988">
        <f t="shared" si="62"/>
        <v>80</v>
      </c>
      <c r="H988">
        <f t="shared" si="63"/>
        <v>226</v>
      </c>
      <c r="I988">
        <v>805</v>
      </c>
      <c r="J988">
        <v>2265</v>
      </c>
      <c r="K988" s="18" t="s">
        <v>1687</v>
      </c>
      <c r="L988" s="21">
        <v>7.18</v>
      </c>
    </row>
    <row r="989" spans="1:12" x14ac:dyDescent="0.25">
      <c r="A989" t="str">
        <f t="shared" si="60"/>
        <v>2015-RR-X-F-143-850-2263</v>
      </c>
      <c r="B989" t="str">
        <f t="shared" si="61"/>
        <v>2015</v>
      </c>
      <c r="C989" s="18" t="s">
        <v>741</v>
      </c>
      <c r="D989" t="s">
        <v>1616</v>
      </c>
      <c r="E989" t="s">
        <v>1693</v>
      </c>
      <c r="F989">
        <v>143</v>
      </c>
      <c r="G989">
        <f t="shared" si="62"/>
        <v>85</v>
      </c>
      <c r="H989">
        <f t="shared" si="63"/>
        <v>226</v>
      </c>
      <c r="I989">
        <v>850</v>
      </c>
      <c r="J989">
        <v>2263</v>
      </c>
      <c r="K989" s="18" t="s">
        <v>1687</v>
      </c>
      <c r="L989" s="21">
        <v>7.59</v>
      </c>
    </row>
    <row r="990" spans="1:12" x14ac:dyDescent="0.25">
      <c r="A990" t="str">
        <f t="shared" si="60"/>
        <v>2015-RR-X-F-77-530-2330</v>
      </c>
      <c r="B990" t="str">
        <f t="shared" si="61"/>
        <v>2015</v>
      </c>
      <c r="C990" s="18" t="s">
        <v>741</v>
      </c>
      <c r="D990" t="s">
        <v>1616</v>
      </c>
      <c r="E990" t="s">
        <v>1694</v>
      </c>
      <c r="F990">
        <v>77</v>
      </c>
      <c r="G990">
        <f t="shared" si="62"/>
        <v>53</v>
      </c>
      <c r="H990">
        <f t="shared" si="63"/>
        <v>233</v>
      </c>
      <c r="I990">
        <v>530</v>
      </c>
      <c r="J990">
        <v>2330</v>
      </c>
      <c r="K990" s="18" t="s">
        <v>1687</v>
      </c>
      <c r="L990" s="21">
        <v>5.6</v>
      </c>
    </row>
    <row r="991" spans="1:12" x14ac:dyDescent="0.25">
      <c r="A991" t="str">
        <f t="shared" si="60"/>
        <v>2015-RR-X-F-90-582-2334</v>
      </c>
      <c r="B991" t="str">
        <f t="shared" si="61"/>
        <v>2015</v>
      </c>
      <c r="C991" s="18" t="s">
        <v>741</v>
      </c>
      <c r="D991" t="s">
        <v>1616</v>
      </c>
      <c r="E991" t="s">
        <v>1695</v>
      </c>
      <c r="F991">
        <v>90</v>
      </c>
      <c r="G991">
        <f t="shared" si="62"/>
        <v>58</v>
      </c>
      <c r="H991">
        <f t="shared" si="63"/>
        <v>233</v>
      </c>
      <c r="I991">
        <v>582</v>
      </c>
      <c r="J991">
        <v>2334</v>
      </c>
      <c r="K991" s="18" t="s">
        <v>1687</v>
      </c>
      <c r="L991" s="21">
        <v>6.23</v>
      </c>
    </row>
    <row r="992" spans="1:12" x14ac:dyDescent="0.25">
      <c r="A992" t="str">
        <f t="shared" si="60"/>
        <v>2015-RR-X-F-97-620-2336</v>
      </c>
      <c r="B992" t="str">
        <f t="shared" si="61"/>
        <v>2015</v>
      </c>
      <c r="C992" s="18" t="s">
        <v>741</v>
      </c>
      <c r="D992" t="s">
        <v>1616</v>
      </c>
      <c r="E992" t="s">
        <v>1696</v>
      </c>
      <c r="F992">
        <v>97</v>
      </c>
      <c r="G992">
        <f t="shared" si="62"/>
        <v>62</v>
      </c>
      <c r="H992">
        <f t="shared" si="63"/>
        <v>233</v>
      </c>
      <c r="I992">
        <v>620</v>
      </c>
      <c r="J992">
        <v>2336</v>
      </c>
      <c r="K992" s="18" t="s">
        <v>1687</v>
      </c>
      <c r="L992" s="21">
        <v>6.4</v>
      </c>
    </row>
    <row r="993" spans="1:12" x14ac:dyDescent="0.25">
      <c r="A993" t="str">
        <f t="shared" si="60"/>
        <v>2015-RR-X-F-107-650-2347</v>
      </c>
      <c r="B993" t="str">
        <f t="shared" si="61"/>
        <v>2015</v>
      </c>
      <c r="C993" s="18" t="s">
        <v>741</v>
      </c>
      <c r="D993" t="s">
        <v>1616</v>
      </c>
      <c r="E993" t="s">
        <v>1697</v>
      </c>
      <c r="F993">
        <v>107</v>
      </c>
      <c r="G993">
        <f t="shared" si="62"/>
        <v>65</v>
      </c>
      <c r="H993">
        <f t="shared" si="63"/>
        <v>234</v>
      </c>
      <c r="I993">
        <v>650</v>
      </c>
      <c r="J993">
        <v>2347</v>
      </c>
      <c r="K993" s="18" t="s">
        <v>1687</v>
      </c>
      <c r="L993" s="21">
        <v>6.7</v>
      </c>
    </row>
    <row r="994" spans="1:12" x14ac:dyDescent="0.25">
      <c r="A994" t="str">
        <f t="shared" si="60"/>
        <v>2015-RR-X-F-119-699-2335</v>
      </c>
      <c r="B994" t="str">
        <f t="shared" si="61"/>
        <v>2015</v>
      </c>
      <c r="C994" s="18" t="s">
        <v>741</v>
      </c>
      <c r="D994" t="s">
        <v>1616</v>
      </c>
      <c r="E994" t="s">
        <v>1698</v>
      </c>
      <c r="F994">
        <v>119</v>
      </c>
      <c r="G994">
        <f t="shared" si="62"/>
        <v>69</v>
      </c>
      <c r="H994">
        <f t="shared" si="63"/>
        <v>233</v>
      </c>
      <c r="I994">
        <v>699</v>
      </c>
      <c r="J994">
        <v>2335</v>
      </c>
      <c r="K994" s="18" t="s">
        <v>1687</v>
      </c>
      <c r="L994" s="21">
        <v>7.36</v>
      </c>
    </row>
    <row r="995" spans="1:12" x14ac:dyDescent="0.25">
      <c r="A995" t="str">
        <f t="shared" si="60"/>
        <v>2015-RR-X-F-133-805-2265</v>
      </c>
      <c r="B995" t="str">
        <f t="shared" si="61"/>
        <v>2015</v>
      </c>
      <c r="C995" s="18" t="s">
        <v>741</v>
      </c>
      <c r="D995" t="s">
        <v>1616</v>
      </c>
      <c r="E995" t="s">
        <v>1699</v>
      </c>
      <c r="F995">
        <v>133</v>
      </c>
      <c r="G995">
        <f t="shared" si="62"/>
        <v>80</v>
      </c>
      <c r="H995">
        <f t="shared" si="63"/>
        <v>226</v>
      </c>
      <c r="I995">
        <v>805</v>
      </c>
      <c r="J995">
        <v>2265</v>
      </c>
      <c r="K995" s="18" t="s">
        <v>1687</v>
      </c>
      <c r="L995" s="21">
        <v>7.8</v>
      </c>
    </row>
    <row r="996" spans="1:12" x14ac:dyDescent="0.25">
      <c r="A996" t="str">
        <f t="shared" si="60"/>
        <v>2015-RR-X-F-143-850-2263</v>
      </c>
      <c r="B996" t="str">
        <f t="shared" si="61"/>
        <v>2015</v>
      </c>
      <c r="C996" s="18" t="s">
        <v>741</v>
      </c>
      <c r="D996" t="s">
        <v>1616</v>
      </c>
      <c r="E996" t="s">
        <v>1700</v>
      </c>
      <c r="F996">
        <v>143</v>
      </c>
      <c r="G996">
        <f t="shared" si="62"/>
        <v>85</v>
      </c>
      <c r="H996">
        <f t="shared" si="63"/>
        <v>226</v>
      </c>
      <c r="I996">
        <v>850</v>
      </c>
      <c r="J996">
        <v>2263</v>
      </c>
      <c r="K996" s="18" t="s">
        <v>1687</v>
      </c>
      <c r="L996" s="21">
        <v>8.6999999999999993</v>
      </c>
    </row>
    <row r="997" spans="1:12" x14ac:dyDescent="0.25">
      <c r="A997" t="str">
        <f t="shared" si="60"/>
        <v>2016-RR-X-F-90-583-2346</v>
      </c>
      <c r="B997" t="str">
        <f t="shared" si="61"/>
        <v>2016</v>
      </c>
      <c r="C997" s="18" t="s">
        <v>747</v>
      </c>
      <c r="D997" t="s">
        <v>1616</v>
      </c>
      <c r="E997" t="s">
        <v>1701</v>
      </c>
      <c r="F997">
        <v>90</v>
      </c>
      <c r="G997">
        <f t="shared" si="62"/>
        <v>58</v>
      </c>
      <c r="H997">
        <f t="shared" si="63"/>
        <v>234</v>
      </c>
      <c r="I997">
        <v>583</v>
      </c>
      <c r="J997">
        <v>2346</v>
      </c>
      <c r="K997" s="18" t="s">
        <v>1702</v>
      </c>
      <c r="L997" s="21">
        <v>5.79</v>
      </c>
    </row>
    <row r="998" spans="1:12" x14ac:dyDescent="0.25">
      <c r="A998" t="str">
        <f t="shared" si="60"/>
        <v>2016-RR-X-F-101-624-2346</v>
      </c>
      <c r="B998" t="str">
        <f t="shared" si="61"/>
        <v>2016</v>
      </c>
      <c r="C998" s="18" t="s">
        <v>747</v>
      </c>
      <c r="D998" t="s">
        <v>1616</v>
      </c>
      <c r="E998" t="s">
        <v>1703</v>
      </c>
      <c r="F998">
        <v>101</v>
      </c>
      <c r="G998">
        <f t="shared" si="62"/>
        <v>62</v>
      </c>
      <c r="H998">
        <f t="shared" si="63"/>
        <v>234</v>
      </c>
      <c r="I998">
        <v>624</v>
      </c>
      <c r="J998">
        <v>2346</v>
      </c>
      <c r="K998" s="18" t="s">
        <v>1702</v>
      </c>
      <c r="L998" s="21">
        <v>6.2</v>
      </c>
    </row>
    <row r="999" spans="1:12" x14ac:dyDescent="0.25">
      <c r="A999" t="str">
        <f t="shared" si="60"/>
        <v>2016-RR-X-F-116-687-2346</v>
      </c>
      <c r="B999" t="str">
        <f t="shared" si="61"/>
        <v>2016</v>
      </c>
      <c r="C999" s="18" t="s">
        <v>747</v>
      </c>
      <c r="D999" t="s">
        <v>1616</v>
      </c>
      <c r="E999" t="s">
        <v>1704</v>
      </c>
      <c r="F999">
        <v>116</v>
      </c>
      <c r="G999">
        <f t="shared" si="62"/>
        <v>68</v>
      </c>
      <c r="H999">
        <f t="shared" si="63"/>
        <v>234</v>
      </c>
      <c r="I999">
        <v>687</v>
      </c>
      <c r="J999">
        <v>2346</v>
      </c>
      <c r="K999" s="18" t="s">
        <v>1702</v>
      </c>
      <c r="L999" s="21">
        <v>6.7</v>
      </c>
    </row>
    <row r="1000" spans="1:12" x14ac:dyDescent="0.25">
      <c r="A1000" t="str">
        <f t="shared" si="60"/>
        <v>2016-RR-X-F-123-702-2347</v>
      </c>
      <c r="B1000" t="str">
        <f t="shared" si="61"/>
        <v>2016</v>
      </c>
      <c r="C1000" s="18" t="s">
        <v>747</v>
      </c>
      <c r="D1000" t="s">
        <v>1616</v>
      </c>
      <c r="E1000" t="s">
        <v>1705</v>
      </c>
      <c r="F1000">
        <v>123</v>
      </c>
      <c r="G1000">
        <f t="shared" si="62"/>
        <v>70</v>
      </c>
      <c r="H1000">
        <f t="shared" si="63"/>
        <v>234</v>
      </c>
      <c r="I1000">
        <v>702</v>
      </c>
      <c r="J1000">
        <v>2347</v>
      </c>
      <c r="K1000" s="18" t="s">
        <v>1702</v>
      </c>
      <c r="L1000" s="21">
        <v>6.4</v>
      </c>
    </row>
    <row r="1001" spans="1:12" x14ac:dyDescent="0.25">
      <c r="A1001" t="str">
        <f t="shared" si="60"/>
        <v>2016-RR-X-F-139-813-2276</v>
      </c>
      <c r="B1001" t="str">
        <f t="shared" si="61"/>
        <v>2016</v>
      </c>
      <c r="C1001" s="18" t="s">
        <v>747</v>
      </c>
      <c r="D1001" t="s">
        <v>1616</v>
      </c>
      <c r="E1001" t="s">
        <v>1706</v>
      </c>
      <c r="F1001">
        <v>139</v>
      </c>
      <c r="G1001">
        <f t="shared" si="62"/>
        <v>81</v>
      </c>
      <c r="H1001">
        <f t="shared" si="63"/>
        <v>227</v>
      </c>
      <c r="I1001">
        <v>813</v>
      </c>
      <c r="J1001">
        <v>2276</v>
      </c>
      <c r="K1001" s="18" t="s">
        <v>1702</v>
      </c>
      <c r="L1001" s="21">
        <v>7.2</v>
      </c>
    </row>
    <row r="1002" spans="1:12" x14ac:dyDescent="0.25">
      <c r="A1002" t="str">
        <f t="shared" si="60"/>
        <v>2016-RR-X-F-146-849-2280</v>
      </c>
      <c r="B1002" t="str">
        <f t="shared" si="61"/>
        <v>2016</v>
      </c>
      <c r="C1002" s="18" t="s">
        <v>747</v>
      </c>
      <c r="D1002" t="s">
        <v>1616</v>
      </c>
      <c r="E1002" t="s">
        <v>1707</v>
      </c>
      <c r="F1002">
        <v>146</v>
      </c>
      <c r="G1002">
        <f t="shared" si="62"/>
        <v>84</v>
      </c>
      <c r="H1002">
        <f t="shared" si="63"/>
        <v>228</v>
      </c>
      <c r="I1002">
        <v>849</v>
      </c>
      <c r="J1002">
        <v>2280</v>
      </c>
      <c r="K1002" s="18" t="s">
        <v>1702</v>
      </c>
      <c r="L1002" s="21">
        <v>7.7</v>
      </c>
    </row>
    <row r="1003" spans="1:12" x14ac:dyDescent="0.25">
      <c r="A1003" t="str">
        <f t="shared" si="60"/>
        <v>2016-RR-X-F-101-624-2346</v>
      </c>
      <c r="B1003" t="str">
        <f t="shared" si="61"/>
        <v>2016</v>
      </c>
      <c r="C1003" s="18" t="s">
        <v>747</v>
      </c>
      <c r="D1003" t="s">
        <v>1616</v>
      </c>
      <c r="E1003" t="s">
        <v>1708</v>
      </c>
      <c r="F1003">
        <v>101</v>
      </c>
      <c r="G1003">
        <f t="shared" si="62"/>
        <v>62</v>
      </c>
      <c r="H1003">
        <f t="shared" si="63"/>
        <v>234</v>
      </c>
      <c r="I1003">
        <v>624</v>
      </c>
      <c r="J1003">
        <v>2346</v>
      </c>
      <c r="K1003" s="18" t="s">
        <v>1702</v>
      </c>
      <c r="L1003" s="21">
        <v>6.7</v>
      </c>
    </row>
    <row r="1004" spans="1:12" x14ac:dyDescent="0.25">
      <c r="A1004" t="str">
        <f t="shared" si="60"/>
        <v>2016-RR-X-F-116-687-2346</v>
      </c>
      <c r="B1004" t="str">
        <f t="shared" si="61"/>
        <v>2016</v>
      </c>
      <c r="C1004" s="18" t="s">
        <v>747</v>
      </c>
      <c r="D1004" t="s">
        <v>1616</v>
      </c>
      <c r="E1004" t="s">
        <v>1709</v>
      </c>
      <c r="F1004">
        <v>116</v>
      </c>
      <c r="G1004">
        <f t="shared" si="62"/>
        <v>68</v>
      </c>
      <c r="H1004">
        <f t="shared" si="63"/>
        <v>234</v>
      </c>
      <c r="I1004">
        <v>687</v>
      </c>
      <c r="J1004">
        <v>2346</v>
      </c>
      <c r="K1004" s="18" t="s">
        <v>1702</v>
      </c>
      <c r="L1004" s="21">
        <v>7.3</v>
      </c>
    </row>
    <row r="1005" spans="1:12" x14ac:dyDescent="0.25">
      <c r="A1005" t="str">
        <f t="shared" si="60"/>
        <v>2016-RR-X-F-123-702-2347</v>
      </c>
      <c r="B1005" t="str">
        <f t="shared" si="61"/>
        <v>2016</v>
      </c>
      <c r="C1005" s="18" t="s">
        <v>747</v>
      </c>
      <c r="D1005" t="s">
        <v>1616</v>
      </c>
      <c r="E1005" t="s">
        <v>1710</v>
      </c>
      <c r="F1005">
        <v>123</v>
      </c>
      <c r="G1005">
        <f t="shared" si="62"/>
        <v>70</v>
      </c>
      <c r="H1005">
        <f t="shared" si="63"/>
        <v>234</v>
      </c>
      <c r="I1005">
        <v>702</v>
      </c>
      <c r="J1005">
        <v>2347</v>
      </c>
      <c r="K1005" s="18" t="s">
        <v>1702</v>
      </c>
      <c r="L1005" s="21">
        <v>7</v>
      </c>
    </row>
    <row r="1006" spans="1:12" x14ac:dyDescent="0.25">
      <c r="A1006" t="str">
        <f t="shared" si="60"/>
        <v>2016-RR-X-F-139-813-2276</v>
      </c>
      <c r="B1006" t="str">
        <f t="shared" si="61"/>
        <v>2016</v>
      </c>
      <c r="C1006" s="18" t="s">
        <v>747</v>
      </c>
      <c r="D1006" t="s">
        <v>1616</v>
      </c>
      <c r="E1006" t="s">
        <v>1711</v>
      </c>
      <c r="F1006">
        <v>139</v>
      </c>
      <c r="G1006">
        <f t="shared" si="62"/>
        <v>81</v>
      </c>
      <c r="H1006">
        <f t="shared" si="63"/>
        <v>227</v>
      </c>
      <c r="I1006">
        <v>813</v>
      </c>
      <c r="J1006">
        <v>2276</v>
      </c>
      <c r="K1006" s="18" t="s">
        <v>1702</v>
      </c>
      <c r="L1006" s="21">
        <v>8</v>
      </c>
    </row>
    <row r="1007" spans="1:12" x14ac:dyDescent="0.25">
      <c r="A1007" t="str">
        <f t="shared" si="60"/>
        <v>2016-RR-FIR-100-648-2341</v>
      </c>
      <c r="B1007" t="str">
        <f t="shared" si="61"/>
        <v>2016</v>
      </c>
      <c r="C1007" s="18" t="s">
        <v>747</v>
      </c>
      <c r="D1007" t="s">
        <v>1616</v>
      </c>
      <c r="E1007" t="s">
        <v>1712</v>
      </c>
      <c r="F1007">
        <v>100</v>
      </c>
      <c r="G1007">
        <f t="shared" si="62"/>
        <v>64</v>
      </c>
      <c r="H1007">
        <f t="shared" si="63"/>
        <v>234</v>
      </c>
      <c r="I1007">
        <v>648</v>
      </c>
      <c r="J1007">
        <v>2341</v>
      </c>
      <c r="K1007" s="18" t="s">
        <v>1702</v>
      </c>
      <c r="L1007" s="21">
        <v>6.5</v>
      </c>
    </row>
    <row r="1008" spans="1:12" x14ac:dyDescent="0.25">
      <c r="A1008" t="str">
        <f t="shared" si="60"/>
        <v>2016-RR-FIR-122-748-2342</v>
      </c>
      <c r="B1008" t="str">
        <f t="shared" si="61"/>
        <v>2016</v>
      </c>
      <c r="C1008" s="18" t="s">
        <v>747</v>
      </c>
      <c r="D1008" t="s">
        <v>1616</v>
      </c>
      <c r="E1008" t="s">
        <v>1713</v>
      </c>
      <c r="F1008">
        <v>122</v>
      </c>
      <c r="G1008">
        <f t="shared" si="62"/>
        <v>74</v>
      </c>
      <c r="H1008">
        <f t="shared" si="63"/>
        <v>234</v>
      </c>
      <c r="I1008">
        <v>748</v>
      </c>
      <c r="J1008">
        <v>2342</v>
      </c>
      <c r="K1008" s="18" t="s">
        <v>1702</v>
      </c>
      <c r="L1008" s="21">
        <v>7.3</v>
      </c>
    </row>
    <row r="1009" spans="1:12" x14ac:dyDescent="0.25">
      <c r="A1009" t="str">
        <f t="shared" si="60"/>
        <v>2016-RR-FIR-109-698-2342</v>
      </c>
      <c r="B1009" t="str">
        <f t="shared" si="61"/>
        <v>2016</v>
      </c>
      <c r="C1009" s="18" t="s">
        <v>747</v>
      </c>
      <c r="D1009" t="s">
        <v>1616</v>
      </c>
      <c r="E1009" t="s">
        <v>1714</v>
      </c>
      <c r="F1009">
        <v>109</v>
      </c>
      <c r="G1009">
        <f t="shared" si="62"/>
        <v>69</v>
      </c>
      <c r="H1009">
        <f t="shared" si="63"/>
        <v>234</v>
      </c>
      <c r="I1009">
        <v>698</v>
      </c>
      <c r="J1009">
        <v>2342</v>
      </c>
      <c r="K1009" s="18" t="s">
        <v>1702</v>
      </c>
      <c r="L1009" s="21">
        <v>6.8</v>
      </c>
    </row>
    <row r="1010" spans="1:12" x14ac:dyDescent="0.25">
      <c r="A1010" t="str">
        <f t="shared" si="60"/>
        <v>2016-RR-FIR-101-648-2341</v>
      </c>
      <c r="B1010" t="str">
        <f t="shared" si="61"/>
        <v>2016</v>
      </c>
      <c r="C1010" s="18" t="s">
        <v>747</v>
      </c>
      <c r="D1010" t="s">
        <v>1616</v>
      </c>
      <c r="E1010" t="s">
        <v>1715</v>
      </c>
      <c r="F1010">
        <v>101</v>
      </c>
      <c r="G1010">
        <f t="shared" si="62"/>
        <v>64</v>
      </c>
      <c r="H1010">
        <f t="shared" si="63"/>
        <v>234</v>
      </c>
      <c r="I1010">
        <v>648</v>
      </c>
      <c r="J1010">
        <v>2341</v>
      </c>
      <c r="K1010" s="18" t="s">
        <v>1702</v>
      </c>
      <c r="L1010" s="21">
        <v>7</v>
      </c>
    </row>
    <row r="1011" spans="1:12" x14ac:dyDescent="0.25">
      <c r="A1011" t="str">
        <f t="shared" si="60"/>
        <v>2016-RR-FIR-122-748-2342</v>
      </c>
      <c r="B1011" t="str">
        <f t="shared" si="61"/>
        <v>2016</v>
      </c>
      <c r="C1011" s="18" t="s">
        <v>747</v>
      </c>
      <c r="D1011" t="s">
        <v>1616</v>
      </c>
      <c r="E1011" t="s">
        <v>1716</v>
      </c>
      <c r="F1011">
        <v>122</v>
      </c>
      <c r="G1011">
        <f t="shared" si="62"/>
        <v>74</v>
      </c>
      <c r="H1011">
        <f t="shared" si="63"/>
        <v>234</v>
      </c>
      <c r="I1011">
        <v>748</v>
      </c>
      <c r="J1011">
        <v>2342</v>
      </c>
      <c r="K1011" s="18" t="s">
        <v>1702</v>
      </c>
      <c r="L1011" s="21">
        <v>7.8</v>
      </c>
    </row>
    <row r="1012" spans="1:12" x14ac:dyDescent="0.25">
      <c r="A1012" t="str">
        <f t="shared" si="60"/>
        <v>2016-RR-FIR-109-698-2342</v>
      </c>
      <c r="B1012" t="str">
        <f t="shared" si="61"/>
        <v>2016</v>
      </c>
      <c r="C1012" s="18" t="s">
        <v>747</v>
      </c>
      <c r="D1012" t="s">
        <v>1616</v>
      </c>
      <c r="E1012" t="s">
        <v>1717</v>
      </c>
      <c r="F1012">
        <v>109</v>
      </c>
      <c r="G1012">
        <f t="shared" si="62"/>
        <v>69</v>
      </c>
      <c r="H1012">
        <f t="shared" si="63"/>
        <v>234</v>
      </c>
      <c r="I1012">
        <v>698</v>
      </c>
      <c r="J1012">
        <v>2342</v>
      </c>
      <c r="K1012" s="18" t="s">
        <v>1702</v>
      </c>
      <c r="L1012" s="21">
        <v>7.4</v>
      </c>
    </row>
    <row r="1013" spans="1:12" x14ac:dyDescent="0.25">
      <c r="A1013" t="str">
        <f t="shared" si="60"/>
        <v>2017-RR-X-F-90-583-2346</v>
      </c>
      <c r="B1013" t="str">
        <f t="shared" si="61"/>
        <v>2017</v>
      </c>
      <c r="C1013" s="18" t="s">
        <v>753</v>
      </c>
      <c r="D1013" t="s">
        <v>1616</v>
      </c>
      <c r="E1013" t="s">
        <v>1718</v>
      </c>
      <c r="F1013">
        <v>90</v>
      </c>
      <c r="G1013">
        <f t="shared" si="62"/>
        <v>58</v>
      </c>
      <c r="H1013">
        <f t="shared" si="63"/>
        <v>234</v>
      </c>
      <c r="I1013">
        <v>583</v>
      </c>
      <c r="J1013">
        <v>2346</v>
      </c>
      <c r="K1013" s="18" t="s">
        <v>1719</v>
      </c>
      <c r="L1013" s="21">
        <v>5.7</v>
      </c>
    </row>
    <row r="1014" spans="1:12" x14ac:dyDescent="0.25">
      <c r="A1014" t="str">
        <f t="shared" si="60"/>
        <v>2017-RR-X-F-100-623-2345</v>
      </c>
      <c r="B1014" t="str">
        <f t="shared" si="61"/>
        <v>2017</v>
      </c>
      <c r="C1014" s="18" t="s">
        <v>753</v>
      </c>
      <c r="D1014" t="s">
        <v>1616</v>
      </c>
      <c r="E1014" t="s">
        <v>1720</v>
      </c>
      <c r="F1014">
        <v>100</v>
      </c>
      <c r="G1014">
        <f t="shared" si="62"/>
        <v>62</v>
      </c>
      <c r="H1014">
        <f t="shared" si="63"/>
        <v>234</v>
      </c>
      <c r="I1014">
        <v>623</v>
      </c>
      <c r="J1014">
        <v>2345</v>
      </c>
      <c r="K1014" s="18" t="s">
        <v>1719</v>
      </c>
      <c r="L1014" s="21">
        <v>6.2</v>
      </c>
    </row>
    <row r="1015" spans="1:12" x14ac:dyDescent="0.25">
      <c r="A1015" t="str">
        <f t="shared" si="60"/>
        <v>2017-RR-X-F-108-703-2320</v>
      </c>
      <c r="B1015" t="str">
        <f t="shared" si="61"/>
        <v>2017</v>
      </c>
      <c r="C1015" s="18" t="s">
        <v>753</v>
      </c>
      <c r="D1015" t="s">
        <v>1616</v>
      </c>
      <c r="E1015" t="s">
        <v>1721</v>
      </c>
      <c r="F1015">
        <v>108</v>
      </c>
      <c r="G1015">
        <f t="shared" si="62"/>
        <v>70</v>
      </c>
      <c r="H1015">
        <f t="shared" si="63"/>
        <v>232</v>
      </c>
      <c r="I1015">
        <v>703</v>
      </c>
      <c r="J1015">
        <v>2320</v>
      </c>
      <c r="K1015" s="18" t="s">
        <v>1719</v>
      </c>
      <c r="L1015" s="21">
        <v>6.7</v>
      </c>
    </row>
    <row r="1016" spans="1:12" x14ac:dyDescent="0.25">
      <c r="A1016" t="str">
        <f t="shared" si="60"/>
        <v>2017-RR-X-F-114-712-2317</v>
      </c>
      <c r="B1016" t="str">
        <f t="shared" si="61"/>
        <v>2017</v>
      </c>
      <c r="C1016" s="18" t="s">
        <v>753</v>
      </c>
      <c r="D1016" t="s">
        <v>1616</v>
      </c>
      <c r="E1016" t="s">
        <v>1722</v>
      </c>
      <c r="F1016">
        <v>114</v>
      </c>
      <c r="G1016">
        <f t="shared" si="62"/>
        <v>71</v>
      </c>
      <c r="H1016">
        <f t="shared" si="63"/>
        <v>231</v>
      </c>
      <c r="I1016">
        <v>712</v>
      </c>
      <c r="J1016">
        <v>2317</v>
      </c>
      <c r="K1016" s="18" t="s">
        <v>1719</v>
      </c>
      <c r="L1016" s="21">
        <v>6.4</v>
      </c>
    </row>
    <row r="1017" spans="1:12" x14ac:dyDescent="0.25">
      <c r="A1017" t="str">
        <f t="shared" si="60"/>
        <v>2017-RR-X-F-132-835-2277</v>
      </c>
      <c r="B1017" t="str">
        <f t="shared" si="61"/>
        <v>2017</v>
      </c>
      <c r="C1017" s="18" t="s">
        <v>753</v>
      </c>
      <c r="D1017" t="s">
        <v>1616</v>
      </c>
      <c r="E1017" t="s">
        <v>1723</v>
      </c>
      <c r="F1017">
        <v>132</v>
      </c>
      <c r="G1017">
        <f t="shared" si="62"/>
        <v>83</v>
      </c>
      <c r="H1017">
        <f t="shared" si="63"/>
        <v>227</v>
      </c>
      <c r="I1017">
        <v>835</v>
      </c>
      <c r="J1017">
        <v>2277</v>
      </c>
      <c r="K1017" s="18" t="s">
        <v>1724</v>
      </c>
      <c r="L1017" s="21">
        <v>7.2</v>
      </c>
    </row>
    <row r="1018" spans="1:12" x14ac:dyDescent="0.25">
      <c r="A1018" t="str">
        <f t="shared" si="60"/>
        <v>2017-RR-X-F-139-850-2282</v>
      </c>
      <c r="B1018" t="str">
        <f t="shared" si="61"/>
        <v>2017</v>
      </c>
      <c r="C1018" s="18" t="s">
        <v>753</v>
      </c>
      <c r="D1018" t="s">
        <v>1616</v>
      </c>
      <c r="E1018" t="s">
        <v>1725</v>
      </c>
      <c r="F1018">
        <v>139</v>
      </c>
      <c r="G1018">
        <f t="shared" si="62"/>
        <v>85</v>
      </c>
      <c r="H1018">
        <f t="shared" si="63"/>
        <v>228</v>
      </c>
      <c r="I1018">
        <v>850</v>
      </c>
      <c r="J1018">
        <v>2282</v>
      </c>
      <c r="K1018" s="18" t="s">
        <v>1719</v>
      </c>
      <c r="L1018" s="21">
        <v>7.7</v>
      </c>
    </row>
    <row r="1019" spans="1:12" x14ac:dyDescent="0.25">
      <c r="A1019" t="str">
        <f t="shared" si="60"/>
        <v>2017-RR-FIR-100-648-2341</v>
      </c>
      <c r="B1019" t="str">
        <f t="shared" si="61"/>
        <v>2017</v>
      </c>
      <c r="C1019" s="18" t="s">
        <v>753</v>
      </c>
      <c r="D1019" t="s">
        <v>1616</v>
      </c>
      <c r="E1019" t="s">
        <v>1726</v>
      </c>
      <c r="F1019">
        <v>100</v>
      </c>
      <c r="G1019">
        <f t="shared" si="62"/>
        <v>64</v>
      </c>
      <c r="H1019">
        <f t="shared" si="63"/>
        <v>234</v>
      </c>
      <c r="I1019">
        <v>648</v>
      </c>
      <c r="J1019">
        <v>2341</v>
      </c>
      <c r="K1019" s="18" t="s">
        <v>1719</v>
      </c>
      <c r="L1019" s="21">
        <v>6.5</v>
      </c>
    </row>
    <row r="1020" spans="1:12" x14ac:dyDescent="0.25">
      <c r="A1020" t="str">
        <f t="shared" si="60"/>
        <v>2017-RR-FIR-100-648-2341</v>
      </c>
      <c r="B1020" t="str">
        <f t="shared" si="61"/>
        <v>2017</v>
      </c>
      <c r="C1020" s="18" t="s">
        <v>753</v>
      </c>
      <c r="D1020" t="s">
        <v>1616</v>
      </c>
      <c r="E1020" t="s">
        <v>1727</v>
      </c>
      <c r="F1020">
        <v>100</v>
      </c>
      <c r="G1020">
        <f t="shared" si="62"/>
        <v>64</v>
      </c>
      <c r="H1020">
        <f t="shared" si="63"/>
        <v>234</v>
      </c>
      <c r="I1020">
        <v>648</v>
      </c>
      <c r="J1020">
        <v>2341</v>
      </c>
      <c r="K1020" s="18" t="s">
        <v>1719</v>
      </c>
      <c r="L1020" s="21">
        <v>7.4</v>
      </c>
    </row>
    <row r="1021" spans="1:12" x14ac:dyDescent="0.25">
      <c r="A1021" t="str">
        <f t="shared" si="60"/>
        <v>2017-RR-FIR-109-698-2342</v>
      </c>
      <c r="B1021" t="str">
        <f t="shared" si="61"/>
        <v>2017</v>
      </c>
      <c r="C1021" s="18" t="s">
        <v>753</v>
      </c>
      <c r="D1021" t="s">
        <v>1616</v>
      </c>
      <c r="E1021" t="s">
        <v>1728</v>
      </c>
      <c r="F1021">
        <v>109</v>
      </c>
      <c r="G1021">
        <f t="shared" si="62"/>
        <v>69</v>
      </c>
      <c r="H1021">
        <f t="shared" si="63"/>
        <v>234</v>
      </c>
      <c r="I1021">
        <v>698</v>
      </c>
      <c r="J1021">
        <v>2342</v>
      </c>
      <c r="K1021" s="18" t="s">
        <v>1719</v>
      </c>
      <c r="L1021" s="21">
        <v>6.8</v>
      </c>
    </row>
    <row r="1022" spans="1:12" x14ac:dyDescent="0.25">
      <c r="A1022" t="str">
        <f t="shared" si="60"/>
        <v>2017-RR-FIR-109-698-2342</v>
      </c>
      <c r="B1022" t="str">
        <f t="shared" si="61"/>
        <v>2017</v>
      </c>
      <c r="C1022" s="18" t="s">
        <v>753</v>
      </c>
      <c r="D1022" t="s">
        <v>1616</v>
      </c>
      <c r="E1022" t="s">
        <v>1729</v>
      </c>
      <c r="F1022">
        <v>109</v>
      </c>
      <c r="G1022">
        <f t="shared" si="62"/>
        <v>69</v>
      </c>
      <c r="H1022">
        <f t="shared" si="63"/>
        <v>234</v>
      </c>
      <c r="I1022">
        <v>698</v>
      </c>
      <c r="J1022">
        <v>2342</v>
      </c>
      <c r="K1022" s="18" t="s">
        <v>1719</v>
      </c>
      <c r="L1022" s="21">
        <v>8.4</v>
      </c>
    </row>
    <row r="1023" spans="1:12" x14ac:dyDescent="0.25">
      <c r="A1023" t="str">
        <f t="shared" si="60"/>
        <v>2017-RR-FIR-122-748-2342</v>
      </c>
      <c r="B1023" t="str">
        <f t="shared" si="61"/>
        <v>2017</v>
      </c>
      <c r="C1023" s="18" t="s">
        <v>753</v>
      </c>
      <c r="D1023" t="s">
        <v>1616</v>
      </c>
      <c r="E1023" t="s">
        <v>1730</v>
      </c>
      <c r="F1023">
        <v>122</v>
      </c>
      <c r="G1023">
        <f t="shared" si="62"/>
        <v>74</v>
      </c>
      <c r="H1023">
        <f t="shared" si="63"/>
        <v>234</v>
      </c>
      <c r="I1023">
        <v>748</v>
      </c>
      <c r="J1023">
        <v>2342</v>
      </c>
      <c r="K1023" s="18" t="s">
        <v>1719</v>
      </c>
      <c r="L1023" s="21">
        <v>7.3</v>
      </c>
    </row>
    <row r="1024" spans="1:12" x14ac:dyDescent="0.25">
      <c r="A1024" t="str">
        <f t="shared" si="60"/>
        <v>2017-RR-FIR-122-748-2342</v>
      </c>
      <c r="B1024" t="str">
        <f t="shared" si="61"/>
        <v>2017</v>
      </c>
      <c r="C1024" s="18" t="s">
        <v>753</v>
      </c>
      <c r="D1024" t="s">
        <v>1616</v>
      </c>
      <c r="E1024" t="s">
        <v>1731</v>
      </c>
      <c r="F1024">
        <v>122</v>
      </c>
      <c r="G1024">
        <f t="shared" si="62"/>
        <v>74</v>
      </c>
      <c r="H1024">
        <f t="shared" si="63"/>
        <v>234</v>
      </c>
      <c r="I1024">
        <v>748</v>
      </c>
      <c r="J1024">
        <v>2342</v>
      </c>
      <c r="K1024" s="18" t="s">
        <v>1719</v>
      </c>
      <c r="L1024" s="21">
        <v>9.4</v>
      </c>
    </row>
    <row r="1025" spans="1:12" x14ac:dyDescent="0.25">
      <c r="A1025" t="str">
        <f t="shared" si="60"/>
        <v>2018-RR-X-F-77-530-2344</v>
      </c>
      <c r="B1025" t="str">
        <f t="shared" si="61"/>
        <v>2018</v>
      </c>
      <c r="C1025" s="18" t="s">
        <v>760</v>
      </c>
      <c r="D1025" t="s">
        <v>1616</v>
      </c>
      <c r="E1025" t="s">
        <v>1732</v>
      </c>
      <c r="F1025">
        <v>77</v>
      </c>
      <c r="G1025">
        <f t="shared" si="62"/>
        <v>53</v>
      </c>
      <c r="H1025">
        <f t="shared" si="63"/>
        <v>234</v>
      </c>
      <c r="I1025">
        <v>530</v>
      </c>
      <c r="J1025">
        <v>2344</v>
      </c>
      <c r="K1025" s="18" t="s">
        <v>1733</v>
      </c>
      <c r="L1025" s="21">
        <v>5.4</v>
      </c>
    </row>
    <row r="1026" spans="1:12" x14ac:dyDescent="0.25">
      <c r="A1026" t="str">
        <f t="shared" ref="A1026:A1089" si="64">_xlfn.CONCAT(B1026,"-",LEFT(D1026,2),"-",LEFT(E1026,3),"-",F1026,"-",TRUNC(I1026),"-",TRUNC(J1026))</f>
        <v>2018-RR-X-F-92-593-2324</v>
      </c>
      <c r="B1026" t="str">
        <f t="shared" ref="B1026:B1089" si="65">LEFT(C1026,4)</f>
        <v>2018</v>
      </c>
      <c r="C1026" s="18" t="s">
        <v>760</v>
      </c>
      <c r="D1026" t="s">
        <v>1616</v>
      </c>
      <c r="E1026" t="s">
        <v>1734</v>
      </c>
      <c r="F1026">
        <v>92</v>
      </c>
      <c r="G1026">
        <f t="shared" si="62"/>
        <v>59</v>
      </c>
      <c r="H1026">
        <f t="shared" si="63"/>
        <v>232</v>
      </c>
      <c r="I1026">
        <v>593</v>
      </c>
      <c r="J1026">
        <v>2324</v>
      </c>
      <c r="K1026" s="18" t="s">
        <v>1733</v>
      </c>
      <c r="L1026" s="21">
        <v>5.4</v>
      </c>
    </row>
    <row r="1027" spans="1:12" x14ac:dyDescent="0.25">
      <c r="A1027" t="str">
        <f t="shared" si="64"/>
        <v>2018-RR-X-F-101-623-2345</v>
      </c>
      <c r="B1027" t="str">
        <f t="shared" si="65"/>
        <v>2018</v>
      </c>
      <c r="C1027" s="18" t="s">
        <v>760</v>
      </c>
      <c r="D1027" t="s">
        <v>1616</v>
      </c>
      <c r="E1027" t="s">
        <v>1735</v>
      </c>
      <c r="F1027">
        <v>101</v>
      </c>
      <c r="G1027">
        <f t="shared" ref="G1027:G1090" si="66">TRUNC(I1027/10)</f>
        <v>62</v>
      </c>
      <c r="H1027">
        <f t="shared" ref="H1027:H1090" si="67">TRUNC(J1027/10)</f>
        <v>234</v>
      </c>
      <c r="I1027">
        <v>623</v>
      </c>
      <c r="J1027">
        <v>2345</v>
      </c>
      <c r="K1027" s="18" t="s">
        <v>1733</v>
      </c>
      <c r="L1027" s="21">
        <v>6.1</v>
      </c>
    </row>
    <row r="1028" spans="1:12" x14ac:dyDescent="0.25">
      <c r="A1028" t="str">
        <f t="shared" si="64"/>
        <v>2018-RR-X-F-110-703-2320</v>
      </c>
      <c r="B1028" t="str">
        <f t="shared" si="65"/>
        <v>2018</v>
      </c>
      <c r="C1028" s="18" t="s">
        <v>760</v>
      </c>
      <c r="D1028" t="s">
        <v>1616</v>
      </c>
      <c r="E1028" t="s">
        <v>1736</v>
      </c>
      <c r="F1028">
        <v>110</v>
      </c>
      <c r="G1028">
        <f t="shared" si="66"/>
        <v>70</v>
      </c>
      <c r="H1028">
        <f t="shared" si="67"/>
        <v>232</v>
      </c>
      <c r="I1028">
        <v>703</v>
      </c>
      <c r="J1028">
        <v>2320</v>
      </c>
      <c r="K1028" s="18" t="s">
        <v>1733</v>
      </c>
      <c r="L1028" s="21">
        <v>6.1</v>
      </c>
    </row>
    <row r="1029" spans="1:12" x14ac:dyDescent="0.25">
      <c r="A1029" t="str">
        <f t="shared" si="64"/>
        <v>2018-RR-X-F-117-712-2317</v>
      </c>
      <c r="B1029" t="str">
        <f t="shared" si="65"/>
        <v>2018</v>
      </c>
      <c r="C1029" s="18" t="s">
        <v>760</v>
      </c>
      <c r="D1029" t="s">
        <v>1616</v>
      </c>
      <c r="E1029" t="s">
        <v>1737</v>
      </c>
      <c r="F1029">
        <v>117</v>
      </c>
      <c r="G1029">
        <f t="shared" si="66"/>
        <v>71</v>
      </c>
      <c r="H1029">
        <f t="shared" si="67"/>
        <v>231</v>
      </c>
      <c r="I1029">
        <v>712</v>
      </c>
      <c r="J1029">
        <v>2317</v>
      </c>
      <c r="K1029" s="18" t="s">
        <v>1733</v>
      </c>
      <c r="L1029" s="21">
        <v>6.4</v>
      </c>
    </row>
    <row r="1030" spans="1:12" x14ac:dyDescent="0.25">
      <c r="A1030" t="str">
        <f t="shared" si="64"/>
        <v>2018-RR-X-F-139-835-2272</v>
      </c>
      <c r="B1030" t="str">
        <f t="shared" si="65"/>
        <v>2018</v>
      </c>
      <c r="C1030" s="18" t="s">
        <v>760</v>
      </c>
      <c r="D1030" t="s">
        <v>1616</v>
      </c>
      <c r="E1030" t="s">
        <v>1738</v>
      </c>
      <c r="F1030">
        <v>139</v>
      </c>
      <c r="G1030">
        <f t="shared" si="66"/>
        <v>83</v>
      </c>
      <c r="H1030">
        <f t="shared" si="67"/>
        <v>227</v>
      </c>
      <c r="I1030">
        <v>835</v>
      </c>
      <c r="J1030">
        <v>2272</v>
      </c>
      <c r="K1030" s="18" t="s">
        <v>1733</v>
      </c>
      <c r="L1030" s="21">
        <v>6</v>
      </c>
    </row>
    <row r="1031" spans="1:12" x14ac:dyDescent="0.25">
      <c r="A1031" t="str">
        <f t="shared" si="64"/>
        <v>2018-RR-X-F-150-845-2278</v>
      </c>
      <c r="B1031" t="str">
        <f t="shared" si="65"/>
        <v>2018</v>
      </c>
      <c r="C1031" s="18" t="s">
        <v>760</v>
      </c>
      <c r="D1031" t="s">
        <v>1616</v>
      </c>
      <c r="E1031" t="s">
        <v>1739</v>
      </c>
      <c r="F1031">
        <v>150</v>
      </c>
      <c r="G1031">
        <f t="shared" si="66"/>
        <v>84</v>
      </c>
      <c r="H1031">
        <f t="shared" si="67"/>
        <v>227</v>
      </c>
      <c r="I1031">
        <v>845</v>
      </c>
      <c r="J1031">
        <v>2278</v>
      </c>
      <c r="K1031" s="18" t="s">
        <v>1733</v>
      </c>
      <c r="L1031" s="21">
        <v>6.1</v>
      </c>
    </row>
    <row r="1032" spans="1:12" x14ac:dyDescent="0.25">
      <c r="A1032" t="str">
        <f t="shared" si="64"/>
        <v>2019-RR-X-F-77-530-2344</v>
      </c>
      <c r="B1032" t="str">
        <f t="shared" si="65"/>
        <v>2019</v>
      </c>
      <c r="C1032" s="18" t="s">
        <v>763</v>
      </c>
      <c r="D1032" t="s">
        <v>1616</v>
      </c>
      <c r="E1032" t="s">
        <v>1740</v>
      </c>
      <c r="F1032">
        <v>77</v>
      </c>
      <c r="G1032">
        <f t="shared" si="66"/>
        <v>53</v>
      </c>
      <c r="H1032">
        <f t="shared" si="67"/>
        <v>234</v>
      </c>
      <c r="I1032">
        <v>530</v>
      </c>
      <c r="J1032">
        <v>2344</v>
      </c>
      <c r="K1032" s="18" t="s">
        <v>1741</v>
      </c>
      <c r="L1032" s="21">
        <v>5.4</v>
      </c>
    </row>
    <row r="1033" spans="1:12" x14ac:dyDescent="0.25">
      <c r="A1033" t="str">
        <f t="shared" si="64"/>
        <v>2019-RR-X-F-92-593-2324</v>
      </c>
      <c r="B1033" t="str">
        <f t="shared" si="65"/>
        <v>2019</v>
      </c>
      <c r="C1033" s="18" t="s">
        <v>763</v>
      </c>
      <c r="D1033" t="s">
        <v>1616</v>
      </c>
      <c r="E1033" t="s">
        <v>1742</v>
      </c>
      <c r="F1033">
        <v>92</v>
      </c>
      <c r="G1033">
        <f t="shared" si="66"/>
        <v>59</v>
      </c>
      <c r="H1033">
        <f t="shared" si="67"/>
        <v>232</v>
      </c>
      <c r="I1033">
        <v>593</v>
      </c>
      <c r="J1033">
        <v>2324</v>
      </c>
      <c r="K1033" s="18" t="s">
        <v>1743</v>
      </c>
      <c r="L1033" s="21">
        <v>5.4</v>
      </c>
    </row>
    <row r="1034" spans="1:12" x14ac:dyDescent="0.25">
      <c r="A1034" t="str">
        <f t="shared" si="64"/>
        <v>2019-RR-X-F-101-623-2345</v>
      </c>
      <c r="B1034" t="str">
        <f t="shared" si="65"/>
        <v>2019</v>
      </c>
      <c r="C1034" s="18" t="s">
        <v>763</v>
      </c>
      <c r="D1034" t="s">
        <v>1616</v>
      </c>
      <c r="E1034" t="s">
        <v>1744</v>
      </c>
      <c r="F1034">
        <v>101</v>
      </c>
      <c r="G1034">
        <f t="shared" si="66"/>
        <v>62</v>
      </c>
      <c r="H1034">
        <f t="shared" si="67"/>
        <v>234</v>
      </c>
      <c r="I1034">
        <v>623</v>
      </c>
      <c r="J1034">
        <v>2345</v>
      </c>
      <c r="K1034" s="18" t="s">
        <v>1743</v>
      </c>
      <c r="L1034" s="21">
        <v>6.1</v>
      </c>
    </row>
    <row r="1035" spans="1:12" x14ac:dyDescent="0.25">
      <c r="A1035" t="str">
        <f t="shared" si="64"/>
        <v>2019-RR-X-F-110-703-2320</v>
      </c>
      <c r="B1035" t="str">
        <f t="shared" si="65"/>
        <v>2019</v>
      </c>
      <c r="C1035" s="18" t="s">
        <v>763</v>
      </c>
      <c r="D1035" t="s">
        <v>1616</v>
      </c>
      <c r="E1035" t="s">
        <v>1745</v>
      </c>
      <c r="F1035">
        <v>110</v>
      </c>
      <c r="G1035">
        <f t="shared" si="66"/>
        <v>70</v>
      </c>
      <c r="H1035">
        <f t="shared" si="67"/>
        <v>232</v>
      </c>
      <c r="I1035">
        <v>703</v>
      </c>
      <c r="J1035">
        <v>2320</v>
      </c>
      <c r="K1035" s="18" t="s">
        <v>1743</v>
      </c>
      <c r="L1035" s="21">
        <v>6.1</v>
      </c>
    </row>
    <row r="1036" spans="1:12" x14ac:dyDescent="0.25">
      <c r="A1036" t="str">
        <f t="shared" si="64"/>
        <v>2019-RR-X-F-118-712-2317</v>
      </c>
      <c r="B1036" t="str">
        <f t="shared" si="65"/>
        <v>2019</v>
      </c>
      <c r="C1036" s="18" t="s">
        <v>763</v>
      </c>
      <c r="D1036" t="s">
        <v>1616</v>
      </c>
      <c r="E1036" t="s">
        <v>1746</v>
      </c>
      <c r="F1036">
        <v>118</v>
      </c>
      <c r="G1036">
        <f t="shared" si="66"/>
        <v>71</v>
      </c>
      <c r="H1036">
        <f t="shared" si="67"/>
        <v>231</v>
      </c>
      <c r="I1036">
        <v>712</v>
      </c>
      <c r="J1036">
        <v>2317</v>
      </c>
      <c r="K1036" s="18" t="s">
        <v>1743</v>
      </c>
      <c r="L1036" s="21">
        <v>6.4</v>
      </c>
    </row>
    <row r="1037" spans="1:12" x14ac:dyDescent="0.25">
      <c r="A1037" t="str">
        <f t="shared" si="64"/>
        <v>2019-RR-X-F-122-750-2308</v>
      </c>
      <c r="B1037" t="str">
        <f t="shared" si="65"/>
        <v>2019</v>
      </c>
      <c r="C1037" s="18" t="s">
        <v>763</v>
      </c>
      <c r="D1037" t="s">
        <v>1616</v>
      </c>
      <c r="E1037" t="s">
        <v>1747</v>
      </c>
      <c r="F1037">
        <v>122</v>
      </c>
      <c r="G1037">
        <f t="shared" si="66"/>
        <v>75</v>
      </c>
      <c r="H1037">
        <f t="shared" si="67"/>
        <v>230</v>
      </c>
      <c r="I1037">
        <v>750</v>
      </c>
      <c r="J1037">
        <v>2308</v>
      </c>
      <c r="K1037" s="18" t="s">
        <v>1743</v>
      </c>
      <c r="L1037" s="21">
        <v>6</v>
      </c>
    </row>
    <row r="1038" spans="1:12" x14ac:dyDescent="0.25">
      <c r="A1038" t="str">
        <f t="shared" si="64"/>
        <v>2019-RR-X-F-131-835-2267</v>
      </c>
      <c r="B1038" t="str">
        <f t="shared" si="65"/>
        <v>2019</v>
      </c>
      <c r="C1038" s="18" t="s">
        <v>763</v>
      </c>
      <c r="D1038" t="s">
        <v>1616</v>
      </c>
      <c r="E1038" t="s">
        <v>1748</v>
      </c>
      <c r="F1038">
        <v>131</v>
      </c>
      <c r="G1038">
        <f t="shared" si="66"/>
        <v>83</v>
      </c>
      <c r="H1038">
        <f t="shared" si="67"/>
        <v>226</v>
      </c>
      <c r="I1038">
        <v>835</v>
      </c>
      <c r="J1038">
        <v>2267</v>
      </c>
      <c r="K1038" s="18" t="s">
        <v>1743</v>
      </c>
      <c r="L1038" s="21">
        <v>6</v>
      </c>
    </row>
    <row r="1039" spans="1:12" x14ac:dyDescent="0.25">
      <c r="A1039" t="str">
        <f t="shared" si="64"/>
        <v>2019-RR-X-F-138-847-2282</v>
      </c>
      <c r="B1039" t="str">
        <f t="shared" si="65"/>
        <v>2019</v>
      </c>
      <c r="C1039" s="18" t="s">
        <v>763</v>
      </c>
      <c r="D1039" t="s">
        <v>1616</v>
      </c>
      <c r="E1039" t="s">
        <v>1749</v>
      </c>
      <c r="F1039">
        <v>138</v>
      </c>
      <c r="G1039">
        <f t="shared" si="66"/>
        <v>84</v>
      </c>
      <c r="H1039">
        <f t="shared" si="67"/>
        <v>228</v>
      </c>
      <c r="I1039">
        <v>847</v>
      </c>
      <c r="J1039">
        <v>2282</v>
      </c>
      <c r="K1039" s="18" t="s">
        <v>1743</v>
      </c>
      <c r="L1039" s="21">
        <v>6.1</v>
      </c>
    </row>
    <row r="1040" spans="1:12" x14ac:dyDescent="0.25">
      <c r="A1040" t="str">
        <f t="shared" si="64"/>
        <v>2019-RR-H-F-161-911-2244</v>
      </c>
      <c r="B1040" t="str">
        <f t="shared" si="65"/>
        <v>2019</v>
      </c>
      <c r="C1040" s="18" t="s">
        <v>763</v>
      </c>
      <c r="D1040" t="s">
        <v>1616</v>
      </c>
      <c r="E1040" t="s">
        <v>1750</v>
      </c>
      <c r="F1040">
        <v>161</v>
      </c>
      <c r="G1040">
        <f t="shared" si="66"/>
        <v>91</v>
      </c>
      <c r="H1040">
        <f t="shared" si="67"/>
        <v>224</v>
      </c>
      <c r="I1040">
        <v>911</v>
      </c>
      <c r="J1040">
        <v>2244</v>
      </c>
      <c r="K1040" s="18" t="s">
        <v>1743</v>
      </c>
      <c r="L1040" s="21">
        <v>9</v>
      </c>
    </row>
    <row r="1041" spans="1:12" x14ac:dyDescent="0.25">
      <c r="A1041" t="str">
        <f t="shared" si="64"/>
        <v>2020-RR-X-F-92-593-2324</v>
      </c>
      <c r="B1041" t="str">
        <f t="shared" si="65"/>
        <v>2020</v>
      </c>
      <c r="C1041" s="18" t="s">
        <v>861</v>
      </c>
      <c r="D1041" t="s">
        <v>1616</v>
      </c>
      <c r="E1041" t="s">
        <v>1751</v>
      </c>
      <c r="F1041">
        <v>92</v>
      </c>
      <c r="G1041">
        <f t="shared" si="66"/>
        <v>59</v>
      </c>
      <c r="H1041">
        <f t="shared" si="67"/>
        <v>232</v>
      </c>
      <c r="I1041">
        <v>593</v>
      </c>
      <c r="J1041">
        <v>2324</v>
      </c>
      <c r="K1041" s="18" t="s">
        <v>862</v>
      </c>
      <c r="L1041" s="21">
        <v>6.4</v>
      </c>
    </row>
    <row r="1042" spans="1:12" x14ac:dyDescent="0.25">
      <c r="A1042" t="str">
        <f t="shared" si="64"/>
        <v>2020-RR-X-F-101-623-2345</v>
      </c>
      <c r="B1042" t="str">
        <f t="shared" si="65"/>
        <v>2020</v>
      </c>
      <c r="C1042" s="18" t="s">
        <v>861</v>
      </c>
      <c r="D1042" t="s">
        <v>1616</v>
      </c>
      <c r="E1042" t="s">
        <v>1752</v>
      </c>
      <c r="F1042">
        <v>101</v>
      </c>
      <c r="G1042">
        <f t="shared" si="66"/>
        <v>62</v>
      </c>
      <c r="H1042">
        <f t="shared" si="67"/>
        <v>234</v>
      </c>
      <c r="I1042">
        <v>623</v>
      </c>
      <c r="J1042">
        <v>2345</v>
      </c>
      <c r="K1042" s="18" t="s">
        <v>862</v>
      </c>
      <c r="L1042" s="21">
        <v>6.5</v>
      </c>
    </row>
    <row r="1043" spans="1:12" x14ac:dyDescent="0.25">
      <c r="A1043" t="str">
        <f t="shared" si="64"/>
        <v>2020-RR-X-F-110-703-2320</v>
      </c>
      <c r="B1043" t="str">
        <f t="shared" si="65"/>
        <v>2020</v>
      </c>
      <c r="C1043" s="18" t="s">
        <v>861</v>
      </c>
      <c r="D1043" t="s">
        <v>1616</v>
      </c>
      <c r="E1043" t="s">
        <v>1753</v>
      </c>
      <c r="F1043">
        <v>110</v>
      </c>
      <c r="G1043">
        <f t="shared" si="66"/>
        <v>70</v>
      </c>
      <c r="H1043">
        <f t="shared" si="67"/>
        <v>232</v>
      </c>
      <c r="I1043">
        <v>703</v>
      </c>
      <c r="J1043">
        <v>2320</v>
      </c>
      <c r="K1043" s="18" t="s">
        <v>862</v>
      </c>
      <c r="L1043" s="21">
        <v>6.8</v>
      </c>
    </row>
    <row r="1044" spans="1:12" x14ac:dyDescent="0.25">
      <c r="A1044" t="str">
        <f t="shared" si="64"/>
        <v>2020-RR-X-F-118-712-2317</v>
      </c>
      <c r="B1044" t="str">
        <f t="shared" si="65"/>
        <v>2020</v>
      </c>
      <c r="C1044" s="18" t="s">
        <v>861</v>
      </c>
      <c r="D1044" t="s">
        <v>1616</v>
      </c>
      <c r="E1044" t="s">
        <v>1754</v>
      </c>
      <c r="F1044">
        <v>118</v>
      </c>
      <c r="G1044">
        <f t="shared" si="66"/>
        <v>71</v>
      </c>
      <c r="H1044">
        <f t="shared" si="67"/>
        <v>231</v>
      </c>
      <c r="I1044">
        <v>712</v>
      </c>
      <c r="J1044">
        <v>2317</v>
      </c>
      <c r="K1044" s="18" t="s">
        <v>862</v>
      </c>
      <c r="L1044" s="21">
        <v>6.7</v>
      </c>
    </row>
    <row r="1045" spans="1:12" x14ac:dyDescent="0.25">
      <c r="A1045" t="str">
        <f t="shared" si="64"/>
        <v>2020-RR-X-F-122-750-2308</v>
      </c>
      <c r="B1045" t="str">
        <f t="shared" si="65"/>
        <v>2020</v>
      </c>
      <c r="C1045" s="18" t="s">
        <v>861</v>
      </c>
      <c r="D1045" t="s">
        <v>1616</v>
      </c>
      <c r="E1045" t="s">
        <v>1755</v>
      </c>
      <c r="F1045">
        <v>122</v>
      </c>
      <c r="G1045">
        <f t="shared" si="66"/>
        <v>75</v>
      </c>
      <c r="H1045">
        <f t="shared" si="67"/>
        <v>230</v>
      </c>
      <c r="I1045">
        <v>750</v>
      </c>
      <c r="J1045">
        <v>2308</v>
      </c>
      <c r="K1045" s="18" t="s">
        <v>862</v>
      </c>
      <c r="L1045" s="21">
        <v>6.9</v>
      </c>
    </row>
    <row r="1046" spans="1:12" x14ac:dyDescent="0.25">
      <c r="A1046" t="str">
        <f t="shared" si="64"/>
        <v>2020-RR-X-F-134-835-2277</v>
      </c>
      <c r="B1046" t="str">
        <f t="shared" si="65"/>
        <v>2020</v>
      </c>
      <c r="C1046" s="18" t="s">
        <v>861</v>
      </c>
      <c r="D1046" t="s">
        <v>1616</v>
      </c>
      <c r="E1046" t="s">
        <v>1756</v>
      </c>
      <c r="F1046">
        <v>134</v>
      </c>
      <c r="G1046">
        <f t="shared" si="66"/>
        <v>83</v>
      </c>
      <c r="H1046">
        <f t="shared" si="67"/>
        <v>227</v>
      </c>
      <c r="I1046">
        <v>835</v>
      </c>
      <c r="J1046">
        <v>2277</v>
      </c>
      <c r="K1046" s="18" t="s">
        <v>862</v>
      </c>
      <c r="L1046" s="21">
        <v>7.5</v>
      </c>
    </row>
    <row r="1047" spans="1:12" x14ac:dyDescent="0.25">
      <c r="A1047" t="str">
        <f t="shared" si="64"/>
        <v>2020-RR-X-F-140-850-2282</v>
      </c>
      <c r="B1047" t="str">
        <f t="shared" si="65"/>
        <v>2020</v>
      </c>
      <c r="C1047" s="18" t="s">
        <v>861</v>
      </c>
      <c r="D1047" t="s">
        <v>1616</v>
      </c>
      <c r="E1047" t="s">
        <v>1757</v>
      </c>
      <c r="F1047">
        <v>140</v>
      </c>
      <c r="G1047">
        <f t="shared" si="66"/>
        <v>85</v>
      </c>
      <c r="H1047">
        <f t="shared" si="67"/>
        <v>228</v>
      </c>
      <c r="I1047">
        <v>850</v>
      </c>
      <c r="J1047">
        <v>2282</v>
      </c>
      <c r="K1047" s="18" t="s">
        <v>862</v>
      </c>
      <c r="L1047" s="21">
        <v>7.8</v>
      </c>
    </row>
    <row r="1048" spans="1:12" x14ac:dyDescent="0.25">
      <c r="A1048" t="str">
        <f t="shared" si="64"/>
        <v>2021-RR-H-F-140-810-210</v>
      </c>
      <c r="B1048" t="str">
        <f t="shared" si="65"/>
        <v>2021</v>
      </c>
      <c r="C1048" s="18" t="s">
        <v>1152</v>
      </c>
      <c r="D1048" t="s">
        <v>1616</v>
      </c>
      <c r="E1048" t="s">
        <v>1758</v>
      </c>
      <c r="F1048">
        <v>140</v>
      </c>
      <c r="G1048">
        <f t="shared" si="66"/>
        <v>81</v>
      </c>
      <c r="H1048">
        <f t="shared" si="67"/>
        <v>21</v>
      </c>
      <c r="I1048">
        <v>810</v>
      </c>
      <c r="J1048">
        <v>210</v>
      </c>
      <c r="K1048" s="18" t="s">
        <v>1759</v>
      </c>
      <c r="L1048" s="21">
        <v>8.6</v>
      </c>
    </row>
    <row r="1049" spans="1:12" x14ac:dyDescent="0.25">
      <c r="A1049" t="str">
        <f t="shared" si="64"/>
        <v>2021-RR-H-F-140-810-210</v>
      </c>
      <c r="B1049" t="str">
        <f t="shared" si="65"/>
        <v>2021</v>
      </c>
      <c r="C1049" s="18" t="s">
        <v>1152</v>
      </c>
      <c r="D1049" t="s">
        <v>1616</v>
      </c>
      <c r="E1049" t="s">
        <v>1760</v>
      </c>
      <c r="F1049">
        <v>140</v>
      </c>
      <c r="G1049">
        <f t="shared" si="66"/>
        <v>81</v>
      </c>
      <c r="H1049">
        <f t="shared" si="67"/>
        <v>21</v>
      </c>
      <c r="I1049">
        <v>810</v>
      </c>
      <c r="J1049">
        <v>210</v>
      </c>
      <c r="K1049" s="18" t="s">
        <v>1759</v>
      </c>
      <c r="L1049" s="21">
        <v>8</v>
      </c>
    </row>
    <row r="1050" spans="1:12" x14ac:dyDescent="0.25">
      <c r="A1050" t="str">
        <f t="shared" si="64"/>
        <v>2024-RR-H-F-160-860-2100</v>
      </c>
      <c r="B1050" t="str">
        <f t="shared" si="65"/>
        <v>2024</v>
      </c>
      <c r="C1050" s="18" t="s">
        <v>871</v>
      </c>
      <c r="D1050" t="s">
        <v>1616</v>
      </c>
      <c r="E1050" t="s">
        <v>1761</v>
      </c>
      <c r="F1050">
        <v>160</v>
      </c>
      <c r="G1050">
        <f t="shared" si="66"/>
        <v>86</v>
      </c>
      <c r="H1050">
        <f t="shared" si="67"/>
        <v>210</v>
      </c>
      <c r="I1050">
        <v>860</v>
      </c>
      <c r="J1050">
        <v>2100</v>
      </c>
      <c r="K1050" s="18" t="s">
        <v>1762</v>
      </c>
      <c r="L1050" s="21">
        <v>9.5</v>
      </c>
    </row>
    <row r="1051" spans="1:12" x14ac:dyDescent="0.25">
      <c r="A1051" t="str">
        <f t="shared" si="64"/>
        <v>2024-RR-H-F-103-630-2315</v>
      </c>
      <c r="B1051" t="str">
        <f t="shared" si="65"/>
        <v>2024</v>
      </c>
      <c r="C1051" s="18" t="s">
        <v>871</v>
      </c>
      <c r="D1051" t="s">
        <v>1616</v>
      </c>
      <c r="E1051" t="s">
        <v>1763</v>
      </c>
      <c r="F1051">
        <v>103</v>
      </c>
      <c r="G1051">
        <f t="shared" si="66"/>
        <v>63</v>
      </c>
      <c r="H1051">
        <f t="shared" si="67"/>
        <v>231</v>
      </c>
      <c r="I1051">
        <v>630</v>
      </c>
      <c r="J1051">
        <v>2315</v>
      </c>
      <c r="K1051" s="18" t="s">
        <v>1762</v>
      </c>
      <c r="L1051" s="21">
        <v>6.4</v>
      </c>
    </row>
    <row r="1052" spans="1:12" x14ac:dyDescent="0.25">
      <c r="A1052" t="str">
        <f t="shared" si="64"/>
        <v>2024-RR-H-F-124-727-2314</v>
      </c>
      <c r="B1052" t="str">
        <f t="shared" si="65"/>
        <v>2024</v>
      </c>
      <c r="C1052" s="18" t="s">
        <v>871</v>
      </c>
      <c r="D1052" t="s">
        <v>1616</v>
      </c>
      <c r="E1052" t="s">
        <v>1764</v>
      </c>
      <c r="F1052">
        <v>124</v>
      </c>
      <c r="G1052">
        <f t="shared" si="66"/>
        <v>72</v>
      </c>
      <c r="H1052">
        <f t="shared" si="67"/>
        <v>231</v>
      </c>
      <c r="I1052">
        <v>727</v>
      </c>
      <c r="J1052">
        <v>2314</v>
      </c>
      <c r="K1052" s="18" t="s">
        <v>1762</v>
      </c>
      <c r="L1052" s="21">
        <v>7.3</v>
      </c>
    </row>
    <row r="1053" spans="1:12" x14ac:dyDescent="0.25">
      <c r="A1053" t="str">
        <f t="shared" si="64"/>
        <v>1998-SE-ALL-130-640-2720</v>
      </c>
      <c r="B1053" t="str">
        <f t="shared" si="65"/>
        <v>1998</v>
      </c>
      <c r="C1053" s="18" t="s">
        <v>918</v>
      </c>
      <c r="D1053" t="s">
        <v>1765</v>
      </c>
      <c r="E1053" t="s">
        <v>1766</v>
      </c>
      <c r="F1053">
        <v>130</v>
      </c>
      <c r="G1053">
        <f t="shared" si="66"/>
        <v>64</v>
      </c>
      <c r="H1053">
        <f t="shared" si="67"/>
        <v>272</v>
      </c>
      <c r="I1053">
        <v>640</v>
      </c>
      <c r="J1053">
        <v>2720</v>
      </c>
      <c r="K1053" s="18" t="s">
        <v>848</v>
      </c>
      <c r="L1053" s="21">
        <v>8</v>
      </c>
    </row>
    <row r="1054" spans="1:12" x14ac:dyDescent="0.25">
      <c r="A1054" t="str">
        <f t="shared" si="64"/>
        <v>1998-SE-ALL-140-710-2770</v>
      </c>
      <c r="B1054" t="str">
        <f t="shared" si="65"/>
        <v>1998</v>
      </c>
      <c r="C1054" s="18" t="s">
        <v>918</v>
      </c>
      <c r="D1054" t="s">
        <v>1765</v>
      </c>
      <c r="E1054" t="s">
        <v>1767</v>
      </c>
      <c r="F1054">
        <v>140</v>
      </c>
      <c r="G1054">
        <f t="shared" si="66"/>
        <v>71</v>
      </c>
      <c r="H1054">
        <f t="shared" si="67"/>
        <v>277</v>
      </c>
      <c r="I1054">
        <v>710</v>
      </c>
      <c r="J1054">
        <v>2770</v>
      </c>
      <c r="K1054" s="18" t="s">
        <v>848</v>
      </c>
      <c r="L1054" s="21">
        <v>8.5</v>
      </c>
    </row>
    <row r="1055" spans="1:12" x14ac:dyDescent="0.25">
      <c r="A1055" t="str">
        <f t="shared" si="64"/>
        <v>1999-SE-ALL-180-790-2800</v>
      </c>
      <c r="B1055" t="str">
        <f t="shared" si="65"/>
        <v>1999</v>
      </c>
      <c r="C1055" s="18" t="s">
        <v>794</v>
      </c>
      <c r="D1055" t="s">
        <v>1765</v>
      </c>
      <c r="E1055" t="s">
        <v>1768</v>
      </c>
      <c r="F1055">
        <v>180</v>
      </c>
      <c r="G1055">
        <f t="shared" si="66"/>
        <v>79</v>
      </c>
      <c r="H1055">
        <f t="shared" si="67"/>
        <v>280</v>
      </c>
      <c r="I1055">
        <v>790</v>
      </c>
      <c r="J1055">
        <v>2800</v>
      </c>
      <c r="K1055" s="18" t="s">
        <v>795</v>
      </c>
      <c r="L1055" s="21">
        <v>8</v>
      </c>
    </row>
    <row r="1056" spans="1:12" x14ac:dyDescent="0.25">
      <c r="A1056" t="str">
        <f t="shared" si="64"/>
        <v>1999-SE-ALL-140-640-2720</v>
      </c>
      <c r="B1056" t="str">
        <f t="shared" si="65"/>
        <v>1999</v>
      </c>
      <c r="C1056" s="18" t="s">
        <v>794</v>
      </c>
      <c r="D1056" t="s">
        <v>1765</v>
      </c>
      <c r="E1056" t="s">
        <v>1766</v>
      </c>
      <c r="F1056">
        <v>140</v>
      </c>
      <c r="G1056">
        <f t="shared" si="66"/>
        <v>64</v>
      </c>
      <c r="H1056">
        <f t="shared" si="67"/>
        <v>272</v>
      </c>
      <c r="I1056">
        <v>640</v>
      </c>
      <c r="J1056">
        <v>2720</v>
      </c>
      <c r="K1056" s="18" t="s">
        <v>795</v>
      </c>
      <c r="L1056" s="21">
        <v>7</v>
      </c>
    </row>
    <row r="1057" spans="1:12" x14ac:dyDescent="0.25">
      <c r="A1057" t="str">
        <f t="shared" si="64"/>
        <v>1999-SE-ALL-150-710-2770</v>
      </c>
      <c r="B1057" t="str">
        <f t="shared" si="65"/>
        <v>1999</v>
      </c>
      <c r="C1057" s="18" t="s">
        <v>794</v>
      </c>
      <c r="D1057" t="s">
        <v>1765</v>
      </c>
      <c r="E1057" t="s">
        <v>1767</v>
      </c>
      <c r="F1057">
        <v>150</v>
      </c>
      <c r="G1057">
        <f t="shared" si="66"/>
        <v>71</v>
      </c>
      <c r="H1057">
        <f t="shared" si="67"/>
        <v>277</v>
      </c>
      <c r="I1057">
        <v>710</v>
      </c>
      <c r="J1057">
        <v>2770</v>
      </c>
      <c r="K1057" s="18" t="s">
        <v>795</v>
      </c>
      <c r="L1057" s="21">
        <v>7.3</v>
      </c>
    </row>
    <row r="1058" spans="1:12" x14ac:dyDescent="0.25">
      <c r="A1058" t="str">
        <f t="shared" si="64"/>
        <v>2026-SE-Meg-101-630-2286</v>
      </c>
      <c r="B1058" t="str">
        <f t="shared" si="65"/>
        <v>2026</v>
      </c>
      <c r="C1058" s="18" t="s">
        <v>878</v>
      </c>
      <c r="D1058" t="s">
        <v>1769</v>
      </c>
      <c r="E1058" t="s">
        <v>1770</v>
      </c>
      <c r="F1058">
        <v>101</v>
      </c>
      <c r="G1058">
        <f t="shared" si="66"/>
        <v>63</v>
      </c>
      <c r="H1058">
        <f t="shared" si="67"/>
        <v>228</v>
      </c>
      <c r="I1058">
        <v>630</v>
      </c>
      <c r="J1058">
        <v>2286</v>
      </c>
      <c r="K1058" s="18" t="s">
        <v>1771</v>
      </c>
      <c r="L1058" s="21">
        <v>6.1</v>
      </c>
    </row>
    <row r="1059" spans="1:12" x14ac:dyDescent="0.25">
      <c r="A1059" t="str">
        <f t="shared" si="64"/>
        <v>2026-SE-Meg-122-725-2285</v>
      </c>
      <c r="B1059" t="str">
        <f t="shared" si="65"/>
        <v>2026</v>
      </c>
      <c r="C1059" s="18" t="s">
        <v>878</v>
      </c>
      <c r="D1059" t="s">
        <v>1769</v>
      </c>
      <c r="E1059" t="s">
        <v>1772</v>
      </c>
      <c r="F1059">
        <v>122</v>
      </c>
      <c r="G1059">
        <f t="shared" si="66"/>
        <v>72</v>
      </c>
      <c r="H1059">
        <f t="shared" si="67"/>
        <v>228</v>
      </c>
      <c r="I1059">
        <v>725</v>
      </c>
      <c r="J1059">
        <v>2285</v>
      </c>
      <c r="K1059" s="18" t="s">
        <v>1771</v>
      </c>
      <c r="L1059" s="21">
        <v>6.75</v>
      </c>
    </row>
    <row r="1060" spans="1:12" x14ac:dyDescent="0.25">
      <c r="A1060" t="str">
        <f t="shared" si="64"/>
        <v>2026-SE-Hyd-157-840-2070</v>
      </c>
      <c r="B1060" t="str">
        <f t="shared" si="65"/>
        <v>2026</v>
      </c>
      <c r="C1060" s="18" t="s">
        <v>878</v>
      </c>
      <c r="D1060" t="s">
        <v>1769</v>
      </c>
      <c r="E1060" t="s">
        <v>1773</v>
      </c>
      <c r="F1060">
        <v>157</v>
      </c>
      <c r="G1060">
        <f t="shared" si="66"/>
        <v>84</v>
      </c>
      <c r="H1060">
        <f t="shared" si="67"/>
        <v>207</v>
      </c>
      <c r="I1060">
        <v>840</v>
      </c>
      <c r="J1060">
        <v>2070</v>
      </c>
      <c r="K1060" s="18" t="s">
        <v>1771</v>
      </c>
      <c r="L1060" s="21">
        <v>8.5</v>
      </c>
    </row>
    <row r="1061" spans="1:12" x14ac:dyDescent="0.25">
      <c r="A1061" t="str">
        <f t="shared" si="64"/>
        <v>2018-SI-Sla-96-620-2333</v>
      </c>
      <c r="B1061" t="str">
        <f t="shared" si="65"/>
        <v>2018</v>
      </c>
      <c r="C1061" s="18" t="s">
        <v>760</v>
      </c>
      <c r="D1061" t="s">
        <v>1774</v>
      </c>
      <c r="E1061" t="s">
        <v>1775</v>
      </c>
      <c r="F1061">
        <v>96</v>
      </c>
      <c r="G1061">
        <f t="shared" si="66"/>
        <v>62</v>
      </c>
      <c r="H1061">
        <f t="shared" si="67"/>
        <v>233</v>
      </c>
      <c r="I1061">
        <v>620</v>
      </c>
      <c r="J1061">
        <v>2333</v>
      </c>
      <c r="K1061" s="18" t="s">
        <v>986</v>
      </c>
      <c r="L1061" s="21">
        <v>6.1</v>
      </c>
    </row>
    <row r="1062" spans="1:12" x14ac:dyDescent="0.25">
      <c r="A1062" t="str">
        <f t="shared" si="64"/>
        <v>2018-SI-Sla-106-684-2310</v>
      </c>
      <c r="B1062" t="str">
        <f t="shared" si="65"/>
        <v>2018</v>
      </c>
      <c r="C1062" s="18" t="s">
        <v>760</v>
      </c>
      <c r="D1062" t="s">
        <v>1774</v>
      </c>
      <c r="E1062" t="s">
        <v>1776</v>
      </c>
      <c r="F1062">
        <v>106</v>
      </c>
      <c r="G1062">
        <f t="shared" si="66"/>
        <v>68</v>
      </c>
      <c r="H1062">
        <f t="shared" si="67"/>
        <v>231</v>
      </c>
      <c r="I1062">
        <v>684</v>
      </c>
      <c r="J1062">
        <v>2310</v>
      </c>
      <c r="K1062" s="18" t="s">
        <v>986</v>
      </c>
      <c r="L1062" s="21">
        <v>6.2</v>
      </c>
    </row>
    <row r="1063" spans="1:12" x14ac:dyDescent="0.25">
      <c r="A1063" t="str">
        <f t="shared" si="64"/>
        <v>2018-SI-Sla-116-718-2330</v>
      </c>
      <c r="B1063" t="str">
        <f t="shared" si="65"/>
        <v>2018</v>
      </c>
      <c r="C1063" s="18" t="s">
        <v>760</v>
      </c>
      <c r="D1063" t="s">
        <v>1774</v>
      </c>
      <c r="E1063" t="s">
        <v>1777</v>
      </c>
      <c r="F1063">
        <v>116</v>
      </c>
      <c r="G1063">
        <f t="shared" si="66"/>
        <v>71</v>
      </c>
      <c r="H1063">
        <f t="shared" si="67"/>
        <v>233</v>
      </c>
      <c r="I1063">
        <v>718</v>
      </c>
      <c r="J1063">
        <v>2330</v>
      </c>
      <c r="K1063" s="18" t="s">
        <v>986</v>
      </c>
      <c r="L1063" s="21">
        <v>6.5</v>
      </c>
    </row>
    <row r="1064" spans="1:12" x14ac:dyDescent="0.25">
      <c r="A1064" t="str">
        <f t="shared" si="64"/>
        <v>2018-SI-Sla-126-834-2290</v>
      </c>
      <c r="B1064" t="str">
        <f t="shared" si="65"/>
        <v>2018</v>
      </c>
      <c r="C1064" s="18" t="s">
        <v>760</v>
      </c>
      <c r="D1064" t="s">
        <v>1774</v>
      </c>
      <c r="E1064" t="s">
        <v>1778</v>
      </c>
      <c r="F1064">
        <v>126</v>
      </c>
      <c r="G1064">
        <f t="shared" si="66"/>
        <v>83</v>
      </c>
      <c r="H1064">
        <f t="shared" si="67"/>
        <v>229</v>
      </c>
      <c r="I1064">
        <v>834</v>
      </c>
      <c r="J1064">
        <v>2290</v>
      </c>
      <c r="K1064" s="18" t="s">
        <v>986</v>
      </c>
      <c r="L1064" s="21">
        <v>7.2</v>
      </c>
    </row>
    <row r="1065" spans="1:12" x14ac:dyDescent="0.25">
      <c r="A1065" t="str">
        <f t="shared" si="64"/>
        <v>2018-SI-Sla-136-850-2280</v>
      </c>
      <c r="B1065" t="str">
        <f t="shared" si="65"/>
        <v>2018</v>
      </c>
      <c r="C1065" s="18" t="s">
        <v>760</v>
      </c>
      <c r="D1065" t="s">
        <v>1774</v>
      </c>
      <c r="E1065" t="s">
        <v>1779</v>
      </c>
      <c r="F1065">
        <v>136</v>
      </c>
      <c r="G1065">
        <f t="shared" si="66"/>
        <v>85</v>
      </c>
      <c r="H1065">
        <f t="shared" si="67"/>
        <v>228</v>
      </c>
      <c r="I1065">
        <v>850</v>
      </c>
      <c r="J1065">
        <v>2280</v>
      </c>
      <c r="K1065" s="18" t="s">
        <v>986</v>
      </c>
      <c r="L1065" s="21">
        <v>7.5</v>
      </c>
    </row>
    <row r="1066" spans="1:12" x14ac:dyDescent="0.25">
      <c r="A1066" t="str">
        <f t="shared" si="64"/>
        <v>2019-SI-Sla-96-620-2333</v>
      </c>
      <c r="B1066" t="str">
        <f t="shared" si="65"/>
        <v>2019</v>
      </c>
      <c r="C1066" s="18" t="s">
        <v>763</v>
      </c>
      <c r="D1066" t="s">
        <v>1774</v>
      </c>
      <c r="E1066" t="s">
        <v>1780</v>
      </c>
      <c r="F1066">
        <v>96</v>
      </c>
      <c r="G1066">
        <f t="shared" si="66"/>
        <v>62</v>
      </c>
      <c r="H1066">
        <f t="shared" si="67"/>
        <v>233</v>
      </c>
      <c r="I1066">
        <v>620</v>
      </c>
      <c r="J1066">
        <v>2333</v>
      </c>
      <c r="K1066" s="18" t="s">
        <v>1781</v>
      </c>
      <c r="L1066" s="21">
        <v>6.1</v>
      </c>
    </row>
    <row r="1067" spans="1:12" x14ac:dyDescent="0.25">
      <c r="A1067" t="str">
        <f t="shared" si="64"/>
        <v>2019-SI-Sla-106-684-2310</v>
      </c>
      <c r="B1067" t="str">
        <f t="shared" si="65"/>
        <v>2019</v>
      </c>
      <c r="C1067" s="18" t="s">
        <v>763</v>
      </c>
      <c r="D1067" t="s">
        <v>1774</v>
      </c>
      <c r="E1067" t="s">
        <v>1782</v>
      </c>
      <c r="F1067">
        <v>106</v>
      </c>
      <c r="G1067">
        <f t="shared" si="66"/>
        <v>68</v>
      </c>
      <c r="H1067">
        <f t="shared" si="67"/>
        <v>231</v>
      </c>
      <c r="I1067">
        <v>684</v>
      </c>
      <c r="J1067">
        <v>2310</v>
      </c>
      <c r="K1067" s="18" t="s">
        <v>1781</v>
      </c>
      <c r="L1067" s="21">
        <v>6.2</v>
      </c>
    </row>
    <row r="1068" spans="1:12" x14ac:dyDescent="0.25">
      <c r="A1068" t="str">
        <f t="shared" si="64"/>
        <v>2019-SI-Sla-116-718-2330</v>
      </c>
      <c r="B1068" t="str">
        <f t="shared" si="65"/>
        <v>2019</v>
      </c>
      <c r="C1068" s="18" t="s">
        <v>763</v>
      </c>
      <c r="D1068" t="s">
        <v>1774</v>
      </c>
      <c r="E1068" t="s">
        <v>1783</v>
      </c>
      <c r="F1068">
        <v>116</v>
      </c>
      <c r="G1068">
        <f t="shared" si="66"/>
        <v>71</v>
      </c>
      <c r="H1068">
        <f t="shared" si="67"/>
        <v>233</v>
      </c>
      <c r="I1068">
        <v>718</v>
      </c>
      <c r="J1068">
        <v>2330</v>
      </c>
      <c r="K1068" s="18" t="s">
        <v>1781</v>
      </c>
      <c r="L1068" s="21">
        <v>6.5</v>
      </c>
    </row>
    <row r="1069" spans="1:12" x14ac:dyDescent="0.25">
      <c r="A1069" t="str">
        <f t="shared" si="64"/>
        <v>2019-SI-Sla-126-834-2290</v>
      </c>
      <c r="B1069" t="str">
        <f t="shared" si="65"/>
        <v>2019</v>
      </c>
      <c r="C1069" s="18" t="s">
        <v>763</v>
      </c>
      <c r="D1069" t="s">
        <v>1774</v>
      </c>
      <c r="E1069" t="s">
        <v>1784</v>
      </c>
      <c r="F1069">
        <v>126</v>
      </c>
      <c r="G1069">
        <f t="shared" si="66"/>
        <v>83</v>
      </c>
      <c r="H1069">
        <f t="shared" si="67"/>
        <v>229</v>
      </c>
      <c r="I1069">
        <v>834</v>
      </c>
      <c r="J1069">
        <v>2290</v>
      </c>
      <c r="K1069" s="18" t="s">
        <v>1781</v>
      </c>
      <c r="L1069" s="21">
        <v>7.2</v>
      </c>
    </row>
    <row r="1070" spans="1:12" x14ac:dyDescent="0.25">
      <c r="A1070" t="str">
        <f t="shared" si="64"/>
        <v>2019-SI-Sla-136-850-2280</v>
      </c>
      <c r="B1070" t="str">
        <f t="shared" si="65"/>
        <v>2019</v>
      </c>
      <c r="C1070" s="18" t="s">
        <v>763</v>
      </c>
      <c r="D1070" t="s">
        <v>1774</v>
      </c>
      <c r="E1070" t="s">
        <v>1785</v>
      </c>
      <c r="F1070">
        <v>136</v>
      </c>
      <c r="G1070">
        <f t="shared" si="66"/>
        <v>85</v>
      </c>
      <c r="H1070">
        <f t="shared" si="67"/>
        <v>228</v>
      </c>
      <c r="I1070">
        <v>850</v>
      </c>
      <c r="J1070">
        <v>2280</v>
      </c>
      <c r="K1070" s="18" t="s">
        <v>1781</v>
      </c>
      <c r="L1070" s="21">
        <v>7.5</v>
      </c>
    </row>
    <row r="1071" spans="1:12" x14ac:dyDescent="0.25">
      <c r="A1071" t="str">
        <f t="shared" si="64"/>
        <v>2000-ST-W52-74-520-2680</v>
      </c>
      <c r="B1071" t="str">
        <f t="shared" si="65"/>
        <v>2000</v>
      </c>
      <c r="C1071" s="18" t="s">
        <v>797</v>
      </c>
      <c r="D1071" t="s">
        <v>1786</v>
      </c>
      <c r="E1071" t="s">
        <v>1787</v>
      </c>
      <c r="F1071">
        <v>74</v>
      </c>
      <c r="G1071">
        <f t="shared" si="66"/>
        <v>52</v>
      </c>
      <c r="H1071">
        <f t="shared" si="67"/>
        <v>268</v>
      </c>
      <c r="I1071">
        <v>520</v>
      </c>
      <c r="J1071">
        <v>2680</v>
      </c>
      <c r="K1071" s="18" t="s">
        <v>798</v>
      </c>
      <c r="L1071" s="21">
        <v>5.2</v>
      </c>
    </row>
    <row r="1072" spans="1:12" x14ac:dyDescent="0.25">
      <c r="A1072" t="str">
        <f t="shared" si="64"/>
        <v>2000-ST-W55-91-550-2700</v>
      </c>
      <c r="B1072" t="str">
        <f t="shared" si="65"/>
        <v>2000</v>
      </c>
      <c r="C1072" s="18" t="s">
        <v>797</v>
      </c>
      <c r="D1072" t="s">
        <v>1786</v>
      </c>
      <c r="E1072" t="s">
        <v>1788</v>
      </c>
      <c r="F1072">
        <v>91</v>
      </c>
      <c r="G1072">
        <f t="shared" si="66"/>
        <v>55</v>
      </c>
      <c r="H1072">
        <f t="shared" si="67"/>
        <v>270</v>
      </c>
      <c r="I1072">
        <v>550</v>
      </c>
      <c r="J1072">
        <v>2700</v>
      </c>
      <c r="K1072" s="18" t="s">
        <v>798</v>
      </c>
      <c r="L1072" s="21">
        <v>5.6</v>
      </c>
    </row>
    <row r="1073" spans="1:12" x14ac:dyDescent="0.25">
      <c r="A1073" t="str">
        <f t="shared" si="64"/>
        <v>1999-ST-SON-125-740-2730</v>
      </c>
      <c r="B1073" t="str">
        <f t="shared" si="65"/>
        <v>1999</v>
      </c>
      <c r="C1073" s="18" t="s">
        <v>794</v>
      </c>
      <c r="D1073" t="s">
        <v>1786</v>
      </c>
      <c r="E1073" t="s">
        <v>1789</v>
      </c>
      <c r="F1073">
        <v>125</v>
      </c>
      <c r="G1073">
        <f t="shared" si="66"/>
        <v>74</v>
      </c>
      <c r="H1073">
        <f t="shared" si="67"/>
        <v>273</v>
      </c>
      <c r="I1073">
        <v>740</v>
      </c>
      <c r="J1073">
        <v>2730</v>
      </c>
      <c r="K1073" s="18" t="s">
        <v>795</v>
      </c>
      <c r="L1073" s="21">
        <v>6.5</v>
      </c>
    </row>
    <row r="1074" spans="1:12" x14ac:dyDescent="0.25">
      <c r="A1074" t="str">
        <f t="shared" si="64"/>
        <v>1999-ST-SON-145-740-2730</v>
      </c>
      <c r="B1074" t="str">
        <f t="shared" si="65"/>
        <v>1999</v>
      </c>
      <c r="C1074" s="18" t="s">
        <v>794</v>
      </c>
      <c r="D1074" t="s">
        <v>1786</v>
      </c>
      <c r="E1074" t="s">
        <v>1790</v>
      </c>
      <c r="F1074">
        <v>145</v>
      </c>
      <c r="G1074">
        <f t="shared" si="66"/>
        <v>74</v>
      </c>
      <c r="H1074">
        <f t="shared" si="67"/>
        <v>273</v>
      </c>
      <c r="I1074">
        <v>740</v>
      </c>
      <c r="J1074">
        <v>2730</v>
      </c>
      <c r="K1074" s="18" t="s">
        <v>795</v>
      </c>
      <c r="L1074" s="21">
        <v>7.6</v>
      </c>
    </row>
    <row r="1075" spans="1:12" x14ac:dyDescent="0.25">
      <c r="A1075" t="str">
        <f t="shared" si="64"/>
        <v>1999-ST-SON-94-540-2740</v>
      </c>
      <c r="B1075" t="str">
        <f t="shared" si="65"/>
        <v>1999</v>
      </c>
      <c r="C1075" s="18" t="s">
        <v>794</v>
      </c>
      <c r="D1075" t="s">
        <v>1786</v>
      </c>
      <c r="E1075" t="s">
        <v>1791</v>
      </c>
      <c r="F1075">
        <v>94</v>
      </c>
      <c r="G1075">
        <f t="shared" si="66"/>
        <v>54</v>
      </c>
      <c r="H1075">
        <f t="shared" si="67"/>
        <v>274</v>
      </c>
      <c r="I1075">
        <v>540</v>
      </c>
      <c r="J1075">
        <v>2740</v>
      </c>
      <c r="K1075" s="18" t="s">
        <v>795</v>
      </c>
      <c r="L1075" s="21">
        <v>5.6</v>
      </c>
    </row>
    <row r="1076" spans="1:12" x14ac:dyDescent="0.25">
      <c r="A1076" t="str">
        <f t="shared" si="64"/>
        <v>2004-ST-HYP-132-770-2170</v>
      </c>
      <c r="B1076" t="str">
        <f t="shared" si="65"/>
        <v>2004</v>
      </c>
      <c r="C1076" s="18" t="s">
        <v>803</v>
      </c>
      <c r="D1076" t="s">
        <v>1786</v>
      </c>
      <c r="E1076" t="s">
        <v>1792</v>
      </c>
      <c r="F1076">
        <v>132</v>
      </c>
      <c r="G1076">
        <f t="shared" si="66"/>
        <v>77</v>
      </c>
      <c r="H1076">
        <f t="shared" si="67"/>
        <v>217</v>
      </c>
      <c r="I1076">
        <v>770</v>
      </c>
      <c r="J1076">
        <v>2170</v>
      </c>
      <c r="K1076" s="18" t="s">
        <v>801</v>
      </c>
      <c r="L1076" s="21">
        <v>6.5</v>
      </c>
    </row>
    <row r="1077" spans="1:12" x14ac:dyDescent="0.25">
      <c r="A1077" t="str">
        <f t="shared" si="64"/>
        <v>2003-ST-HYP-123-770-2300</v>
      </c>
      <c r="B1077" t="str">
        <f t="shared" si="65"/>
        <v>2003</v>
      </c>
      <c r="C1077" s="18" t="s">
        <v>800</v>
      </c>
      <c r="D1077" t="s">
        <v>1786</v>
      </c>
      <c r="E1077" t="s">
        <v>1793</v>
      </c>
      <c r="F1077">
        <v>123</v>
      </c>
      <c r="G1077">
        <f t="shared" si="66"/>
        <v>77</v>
      </c>
      <c r="H1077">
        <f t="shared" si="67"/>
        <v>230</v>
      </c>
      <c r="I1077">
        <v>770</v>
      </c>
      <c r="J1077">
        <v>2300</v>
      </c>
      <c r="K1077" s="18" t="s">
        <v>801</v>
      </c>
      <c r="L1077" s="21">
        <v>6.5</v>
      </c>
    </row>
    <row r="1078" spans="1:12" x14ac:dyDescent="0.25">
      <c r="A1078" t="str">
        <f t="shared" si="64"/>
        <v>2004-ST-HYP-111-770-2180</v>
      </c>
      <c r="B1078" t="str">
        <f t="shared" si="65"/>
        <v>2004</v>
      </c>
      <c r="C1078" s="18" t="s">
        <v>803</v>
      </c>
      <c r="D1078" t="s">
        <v>1786</v>
      </c>
      <c r="E1078" t="s">
        <v>1794</v>
      </c>
      <c r="F1078">
        <v>111</v>
      </c>
      <c r="G1078">
        <f t="shared" si="66"/>
        <v>77</v>
      </c>
      <c r="H1078">
        <f t="shared" si="67"/>
        <v>218</v>
      </c>
      <c r="I1078">
        <v>770</v>
      </c>
      <c r="J1078">
        <v>2180</v>
      </c>
      <c r="K1078" s="18" t="s">
        <v>801</v>
      </c>
      <c r="L1078" s="21">
        <v>6.3</v>
      </c>
    </row>
    <row r="1079" spans="1:12" x14ac:dyDescent="0.25">
      <c r="A1079" t="str">
        <f t="shared" si="64"/>
        <v>2003-ST-HYP-102-770-2260</v>
      </c>
      <c r="B1079" t="str">
        <f t="shared" si="65"/>
        <v>2003</v>
      </c>
      <c r="C1079" s="18" t="s">
        <v>800</v>
      </c>
      <c r="D1079" t="s">
        <v>1786</v>
      </c>
      <c r="E1079" t="s">
        <v>1795</v>
      </c>
      <c r="F1079">
        <v>102</v>
      </c>
      <c r="G1079">
        <f t="shared" si="66"/>
        <v>77</v>
      </c>
      <c r="H1079">
        <f t="shared" si="67"/>
        <v>226</v>
      </c>
      <c r="I1079">
        <v>770</v>
      </c>
      <c r="J1079">
        <v>2260</v>
      </c>
      <c r="K1079" s="18" t="s">
        <v>801</v>
      </c>
      <c r="L1079" s="21">
        <v>6.3</v>
      </c>
    </row>
    <row r="1080" spans="1:12" x14ac:dyDescent="0.25">
      <c r="A1080" t="str">
        <f t="shared" si="64"/>
        <v>2004-ST-HYP-96-770-2190</v>
      </c>
      <c r="B1080" t="str">
        <f t="shared" si="65"/>
        <v>2004</v>
      </c>
      <c r="C1080" s="18" t="s">
        <v>803</v>
      </c>
      <c r="D1080" t="s">
        <v>1786</v>
      </c>
      <c r="E1080" t="s">
        <v>1796</v>
      </c>
      <c r="F1080">
        <v>96</v>
      </c>
      <c r="G1080">
        <f t="shared" si="66"/>
        <v>77</v>
      </c>
      <c r="H1080">
        <f t="shared" si="67"/>
        <v>219</v>
      </c>
      <c r="I1080">
        <v>770</v>
      </c>
      <c r="J1080">
        <v>2190</v>
      </c>
      <c r="K1080" s="18" t="s">
        <v>801</v>
      </c>
      <c r="L1080" s="21">
        <v>6.1</v>
      </c>
    </row>
    <row r="1081" spans="1:12" x14ac:dyDescent="0.25">
      <c r="A1081" t="str">
        <f t="shared" si="64"/>
        <v>1999-ST-GO-225-820-2830</v>
      </c>
      <c r="B1081" t="str">
        <f t="shared" si="65"/>
        <v>1999</v>
      </c>
      <c r="C1081" s="18" t="s">
        <v>794</v>
      </c>
      <c r="D1081" t="s">
        <v>1786</v>
      </c>
      <c r="E1081" t="s">
        <v>1797</v>
      </c>
      <c r="F1081">
        <v>225</v>
      </c>
      <c r="G1081">
        <f t="shared" si="66"/>
        <v>82</v>
      </c>
      <c r="H1081">
        <f t="shared" si="67"/>
        <v>283</v>
      </c>
      <c r="I1081">
        <v>820</v>
      </c>
      <c r="J1081">
        <v>2830</v>
      </c>
      <c r="K1081" s="18" t="s">
        <v>795</v>
      </c>
      <c r="L1081" s="21">
        <v>9</v>
      </c>
    </row>
    <row r="1082" spans="1:12" x14ac:dyDescent="0.25">
      <c r="A1082" t="str">
        <f t="shared" si="64"/>
        <v>2003-ST-SON-81-550-2550</v>
      </c>
      <c r="B1082" t="str">
        <f t="shared" si="65"/>
        <v>2003</v>
      </c>
      <c r="C1082" s="18" t="s">
        <v>800</v>
      </c>
      <c r="D1082" t="s">
        <v>1786</v>
      </c>
      <c r="E1082" t="s">
        <v>1798</v>
      </c>
      <c r="F1082">
        <v>81</v>
      </c>
      <c r="G1082">
        <f t="shared" si="66"/>
        <v>55</v>
      </c>
      <c r="H1082">
        <f t="shared" si="67"/>
        <v>255</v>
      </c>
      <c r="I1082">
        <v>550</v>
      </c>
      <c r="J1082">
        <v>2550</v>
      </c>
      <c r="K1082" s="18" t="s">
        <v>801</v>
      </c>
      <c r="L1082" s="21">
        <v>5.3</v>
      </c>
    </row>
    <row r="1083" spans="1:12" x14ac:dyDescent="0.25">
      <c r="A1083" t="str">
        <f t="shared" si="64"/>
        <v>2004-ST-SON-90-560-2550</v>
      </c>
      <c r="B1083" t="str">
        <f t="shared" si="65"/>
        <v>2004</v>
      </c>
      <c r="C1083" s="18" t="s">
        <v>803</v>
      </c>
      <c r="D1083" t="s">
        <v>1786</v>
      </c>
      <c r="E1083" t="s">
        <v>1799</v>
      </c>
      <c r="F1083">
        <v>90</v>
      </c>
      <c r="G1083">
        <f t="shared" si="66"/>
        <v>56</v>
      </c>
      <c r="H1083">
        <f t="shared" si="67"/>
        <v>255</v>
      </c>
      <c r="I1083">
        <v>560</v>
      </c>
      <c r="J1083">
        <v>2550</v>
      </c>
      <c r="K1083" s="18" t="s">
        <v>801</v>
      </c>
      <c r="L1083" s="21">
        <v>5.4</v>
      </c>
    </row>
    <row r="1084" spans="1:12" x14ac:dyDescent="0.25">
      <c r="A1084" t="str">
        <f t="shared" si="64"/>
        <v>2003-ST-SON-90-590-2600</v>
      </c>
      <c r="B1084" t="str">
        <f t="shared" si="65"/>
        <v>2003</v>
      </c>
      <c r="C1084" s="18" t="s">
        <v>800</v>
      </c>
      <c r="D1084" t="s">
        <v>1786</v>
      </c>
      <c r="E1084" t="s">
        <v>1800</v>
      </c>
      <c r="F1084">
        <v>90</v>
      </c>
      <c r="G1084">
        <f t="shared" si="66"/>
        <v>59</v>
      </c>
      <c r="H1084">
        <f t="shared" si="67"/>
        <v>260</v>
      </c>
      <c r="I1084">
        <v>590</v>
      </c>
      <c r="J1084">
        <v>2600</v>
      </c>
      <c r="K1084" s="18" t="s">
        <v>801</v>
      </c>
      <c r="L1084" s="21">
        <v>5.5</v>
      </c>
    </row>
    <row r="1085" spans="1:12" x14ac:dyDescent="0.25">
      <c r="A1085" t="str">
        <f t="shared" si="64"/>
        <v>2004-ST-SON-100-590-2460</v>
      </c>
      <c r="B1085" t="str">
        <f t="shared" si="65"/>
        <v>2004</v>
      </c>
      <c r="C1085" s="18" t="s">
        <v>803</v>
      </c>
      <c r="D1085" t="s">
        <v>1786</v>
      </c>
      <c r="E1085" t="s">
        <v>1801</v>
      </c>
      <c r="F1085">
        <v>100</v>
      </c>
      <c r="G1085">
        <f t="shared" si="66"/>
        <v>59</v>
      </c>
      <c r="H1085">
        <f t="shared" si="67"/>
        <v>246</v>
      </c>
      <c r="I1085">
        <v>590</v>
      </c>
      <c r="J1085">
        <v>2460</v>
      </c>
      <c r="K1085" s="18" t="s">
        <v>801</v>
      </c>
      <c r="L1085" s="21">
        <v>5.6</v>
      </c>
    </row>
    <row r="1086" spans="1:12" x14ac:dyDescent="0.25">
      <c r="A1086" t="str">
        <f t="shared" si="64"/>
        <v>2004-ST-SON-110-690-2360</v>
      </c>
      <c r="B1086" t="str">
        <f t="shared" si="65"/>
        <v>2004</v>
      </c>
      <c r="C1086" s="18" t="s">
        <v>803</v>
      </c>
      <c r="D1086" t="s">
        <v>1786</v>
      </c>
      <c r="E1086" t="s">
        <v>1802</v>
      </c>
      <c r="F1086">
        <v>110</v>
      </c>
      <c r="G1086">
        <f t="shared" si="66"/>
        <v>69</v>
      </c>
      <c r="H1086">
        <f t="shared" si="67"/>
        <v>236</v>
      </c>
      <c r="I1086">
        <v>690</v>
      </c>
      <c r="J1086">
        <v>2360</v>
      </c>
      <c r="K1086" s="18" t="s">
        <v>801</v>
      </c>
      <c r="L1086" s="21">
        <v>5.9</v>
      </c>
    </row>
    <row r="1087" spans="1:12" x14ac:dyDescent="0.25">
      <c r="A1087" t="str">
        <f t="shared" si="64"/>
        <v>2005-ST-SON-124-746-2372</v>
      </c>
      <c r="B1087" t="str">
        <f t="shared" si="65"/>
        <v>2005</v>
      </c>
      <c r="C1087" s="18" t="s">
        <v>811</v>
      </c>
      <c r="D1087" t="s">
        <v>1786</v>
      </c>
      <c r="E1087" t="s">
        <v>1803</v>
      </c>
      <c r="F1087">
        <v>124</v>
      </c>
      <c r="G1087">
        <f t="shared" si="66"/>
        <v>74</v>
      </c>
      <c r="H1087">
        <f t="shared" si="67"/>
        <v>237</v>
      </c>
      <c r="I1087">
        <v>746</v>
      </c>
      <c r="J1087">
        <v>2372</v>
      </c>
      <c r="K1087" s="18" t="s">
        <v>804</v>
      </c>
      <c r="L1087" s="21">
        <v>6.7</v>
      </c>
    </row>
    <row r="1088" spans="1:12" x14ac:dyDescent="0.25">
      <c r="A1088" t="str">
        <f t="shared" si="64"/>
        <v>2005-ST-CAR-159-818-2542</v>
      </c>
      <c r="B1088" t="str">
        <f t="shared" si="65"/>
        <v>2005</v>
      </c>
      <c r="C1088" s="18" t="s">
        <v>811</v>
      </c>
      <c r="D1088" t="s">
        <v>1786</v>
      </c>
      <c r="E1088" t="s">
        <v>1804</v>
      </c>
      <c r="F1088">
        <v>159</v>
      </c>
      <c r="G1088">
        <f t="shared" si="66"/>
        <v>81</v>
      </c>
      <c r="H1088">
        <f t="shared" si="67"/>
        <v>254</v>
      </c>
      <c r="I1088">
        <v>818</v>
      </c>
      <c r="J1088">
        <v>2542</v>
      </c>
      <c r="K1088" s="18" t="s">
        <v>896</v>
      </c>
      <c r="L1088" s="21">
        <v>8.1</v>
      </c>
    </row>
    <row r="1089" spans="1:12" x14ac:dyDescent="0.25">
      <c r="A1089" t="str">
        <f t="shared" si="64"/>
        <v>2005-ST-PRO-72-546-2105</v>
      </c>
      <c r="B1089" t="str">
        <f t="shared" si="65"/>
        <v>2005</v>
      </c>
      <c r="C1089" s="18" t="s">
        <v>811</v>
      </c>
      <c r="D1089" t="s">
        <v>1786</v>
      </c>
      <c r="E1089" t="s">
        <v>1805</v>
      </c>
      <c r="F1089">
        <v>72</v>
      </c>
      <c r="G1089">
        <f t="shared" si="66"/>
        <v>54</v>
      </c>
      <c r="H1089">
        <f t="shared" si="67"/>
        <v>210</v>
      </c>
      <c r="I1089">
        <v>546</v>
      </c>
      <c r="J1089">
        <v>2105</v>
      </c>
      <c r="K1089" s="18" t="s">
        <v>804</v>
      </c>
      <c r="L1089" s="21">
        <v>5.8</v>
      </c>
    </row>
    <row r="1090" spans="1:12" x14ac:dyDescent="0.25">
      <c r="A1090" t="str">
        <f t="shared" ref="A1090:A1153" si="68">_xlfn.CONCAT(B1090,"-",LEFT(D1090,2),"-",LEFT(E1090,3),"-",F1090,"-",TRUNC(I1090),"-",TRUNC(J1090))</f>
        <v>2006-ST-SON-84-564-2450</v>
      </c>
      <c r="B1090" t="str">
        <f t="shared" ref="B1090:B1153" si="69">LEFT(C1090,4)</f>
        <v>2006</v>
      </c>
      <c r="C1090" s="18" t="s">
        <v>813</v>
      </c>
      <c r="D1090" t="s">
        <v>1786</v>
      </c>
      <c r="E1090" t="s">
        <v>1798</v>
      </c>
      <c r="F1090">
        <v>84</v>
      </c>
      <c r="G1090">
        <f t="shared" si="66"/>
        <v>56</v>
      </c>
      <c r="H1090">
        <f t="shared" si="67"/>
        <v>245</v>
      </c>
      <c r="I1090">
        <v>564</v>
      </c>
      <c r="J1090">
        <v>2450</v>
      </c>
      <c r="K1090" s="18" t="s">
        <v>896</v>
      </c>
      <c r="L1090" s="21">
        <v>5.5</v>
      </c>
    </row>
    <row r="1091" spans="1:12" x14ac:dyDescent="0.25">
      <c r="A1091" t="str">
        <f t="shared" si="68"/>
        <v>2006-ST-SON-96-588-2450</v>
      </c>
      <c r="B1091" t="str">
        <f t="shared" si="69"/>
        <v>2006</v>
      </c>
      <c r="C1091" s="18" t="s">
        <v>813</v>
      </c>
      <c r="D1091" t="s">
        <v>1786</v>
      </c>
      <c r="E1091" t="s">
        <v>1800</v>
      </c>
      <c r="F1091">
        <v>96</v>
      </c>
      <c r="G1091">
        <f t="shared" ref="G1091:G1154" si="70">TRUNC(I1091/10)</f>
        <v>58</v>
      </c>
      <c r="H1091">
        <f t="shared" ref="H1091:H1154" si="71">TRUNC(J1091/10)</f>
        <v>245</v>
      </c>
      <c r="I1091">
        <v>588</v>
      </c>
      <c r="J1091">
        <v>2450</v>
      </c>
      <c r="K1091" s="18" t="s">
        <v>896</v>
      </c>
      <c r="L1091" s="21">
        <v>6.1</v>
      </c>
    </row>
    <row r="1092" spans="1:12" x14ac:dyDescent="0.25">
      <c r="A1092" t="str">
        <f t="shared" si="68"/>
        <v>2006-ST-PRO-48-485-2117</v>
      </c>
      <c r="B1092" t="str">
        <f t="shared" si="69"/>
        <v>2006</v>
      </c>
      <c r="C1092" s="18" t="s">
        <v>813</v>
      </c>
      <c r="D1092" t="s">
        <v>1786</v>
      </c>
      <c r="E1092" t="s">
        <v>1806</v>
      </c>
      <c r="F1092">
        <v>48</v>
      </c>
      <c r="G1092">
        <f t="shared" si="70"/>
        <v>48</v>
      </c>
      <c r="H1092">
        <f t="shared" si="71"/>
        <v>211</v>
      </c>
      <c r="I1092">
        <v>485</v>
      </c>
      <c r="J1092">
        <v>2117</v>
      </c>
      <c r="K1092" s="18" t="s">
        <v>896</v>
      </c>
      <c r="L1092" s="21" t="s">
        <v>153</v>
      </c>
    </row>
    <row r="1093" spans="1:12" x14ac:dyDescent="0.25">
      <c r="A1093" t="str">
        <f t="shared" si="68"/>
        <v>2006-ST-ISO-100-635-2329</v>
      </c>
      <c r="B1093" t="str">
        <f t="shared" si="69"/>
        <v>2006</v>
      </c>
      <c r="C1093" s="18" t="s">
        <v>813</v>
      </c>
      <c r="D1093" t="s">
        <v>1786</v>
      </c>
      <c r="E1093" t="s">
        <v>1807</v>
      </c>
      <c r="F1093">
        <v>100</v>
      </c>
      <c r="G1093">
        <f t="shared" si="70"/>
        <v>63</v>
      </c>
      <c r="H1093">
        <f t="shared" si="71"/>
        <v>232</v>
      </c>
      <c r="I1093">
        <v>635</v>
      </c>
      <c r="J1093">
        <v>2329</v>
      </c>
      <c r="K1093" s="18" t="s">
        <v>896</v>
      </c>
      <c r="L1093" s="21">
        <v>6.3</v>
      </c>
    </row>
    <row r="1094" spans="1:12" x14ac:dyDescent="0.25">
      <c r="A1094" t="str">
        <f t="shared" si="68"/>
        <v>2006-ST-ISO-105-679-2330</v>
      </c>
      <c r="B1094" t="str">
        <f t="shared" si="69"/>
        <v>2006</v>
      </c>
      <c r="C1094" s="18" t="s">
        <v>813</v>
      </c>
      <c r="D1094" t="s">
        <v>1786</v>
      </c>
      <c r="E1094" t="s">
        <v>1808</v>
      </c>
      <c r="F1094">
        <v>105</v>
      </c>
      <c r="G1094">
        <f t="shared" si="70"/>
        <v>67</v>
      </c>
      <c r="H1094">
        <f t="shared" si="71"/>
        <v>233</v>
      </c>
      <c r="I1094">
        <v>679</v>
      </c>
      <c r="J1094">
        <v>2330</v>
      </c>
      <c r="K1094" s="18" t="s">
        <v>896</v>
      </c>
      <c r="L1094" s="21">
        <v>6.5</v>
      </c>
    </row>
    <row r="1095" spans="1:12" x14ac:dyDescent="0.25">
      <c r="A1095" t="str">
        <f t="shared" si="68"/>
        <v>2006-ST-ISO-120-746-2305</v>
      </c>
      <c r="B1095" t="str">
        <f t="shared" si="69"/>
        <v>2006</v>
      </c>
      <c r="C1095" s="18" t="s">
        <v>813</v>
      </c>
      <c r="D1095" t="s">
        <v>1786</v>
      </c>
      <c r="E1095" t="s">
        <v>1809</v>
      </c>
      <c r="F1095">
        <v>120</v>
      </c>
      <c r="G1095">
        <f t="shared" si="70"/>
        <v>74</v>
      </c>
      <c r="H1095">
        <f t="shared" si="71"/>
        <v>230</v>
      </c>
      <c r="I1095">
        <v>746</v>
      </c>
      <c r="J1095">
        <v>2305</v>
      </c>
      <c r="K1095" s="18" t="s">
        <v>896</v>
      </c>
      <c r="L1095" s="21">
        <v>7</v>
      </c>
    </row>
    <row r="1096" spans="1:12" x14ac:dyDescent="0.25">
      <c r="A1096" t="str">
        <f t="shared" si="68"/>
        <v>2006-ST-ISO-135-806-2280</v>
      </c>
      <c r="B1096" t="str">
        <f t="shared" si="69"/>
        <v>2006</v>
      </c>
      <c r="C1096" s="18" t="s">
        <v>813</v>
      </c>
      <c r="D1096" t="s">
        <v>1786</v>
      </c>
      <c r="E1096" t="s">
        <v>1810</v>
      </c>
      <c r="F1096">
        <v>135</v>
      </c>
      <c r="G1096">
        <f t="shared" si="70"/>
        <v>80</v>
      </c>
      <c r="H1096">
        <f t="shared" si="71"/>
        <v>228</v>
      </c>
      <c r="I1096">
        <v>806</v>
      </c>
      <c r="J1096">
        <v>2280</v>
      </c>
      <c r="K1096" s="18" t="s">
        <v>896</v>
      </c>
      <c r="L1096" s="21">
        <v>7.3</v>
      </c>
    </row>
    <row r="1097" spans="1:12" x14ac:dyDescent="0.25">
      <c r="A1097" t="str">
        <f t="shared" si="68"/>
        <v>2007-ST-ISO-54-466-2198</v>
      </c>
      <c r="B1097" t="str">
        <f t="shared" si="69"/>
        <v>2007</v>
      </c>
      <c r="C1097" s="18" t="s">
        <v>820</v>
      </c>
      <c r="D1097" t="s">
        <v>1786</v>
      </c>
      <c r="E1097" t="s">
        <v>1811</v>
      </c>
      <c r="F1097">
        <v>54</v>
      </c>
      <c r="G1097">
        <f t="shared" si="70"/>
        <v>46</v>
      </c>
      <c r="H1097">
        <f t="shared" si="71"/>
        <v>219</v>
      </c>
      <c r="I1097">
        <v>466</v>
      </c>
      <c r="J1097">
        <v>2198</v>
      </c>
      <c r="K1097" s="18" t="s">
        <v>814</v>
      </c>
      <c r="L1097" s="21">
        <v>4.4000000000000004</v>
      </c>
    </row>
    <row r="1098" spans="1:12" x14ac:dyDescent="0.25">
      <c r="A1098" t="str">
        <f t="shared" si="68"/>
        <v>2007-ST-ISO-87-564-2423</v>
      </c>
      <c r="B1098" t="str">
        <f t="shared" si="69"/>
        <v>2007</v>
      </c>
      <c r="C1098" s="18" t="s">
        <v>820</v>
      </c>
      <c r="D1098" t="s">
        <v>1786</v>
      </c>
      <c r="E1098" t="s">
        <v>1812</v>
      </c>
      <c r="F1098">
        <v>87</v>
      </c>
      <c r="G1098">
        <f t="shared" si="70"/>
        <v>56</v>
      </c>
      <c r="H1098">
        <f t="shared" si="71"/>
        <v>242</v>
      </c>
      <c r="I1098">
        <v>564</v>
      </c>
      <c r="J1098">
        <v>2423</v>
      </c>
      <c r="K1098" s="18" t="s">
        <v>814</v>
      </c>
      <c r="L1098" s="21">
        <v>5.6</v>
      </c>
    </row>
    <row r="1099" spans="1:12" x14ac:dyDescent="0.25">
      <c r="A1099" t="str">
        <f t="shared" si="68"/>
        <v>2007-ST-ISO-93-589-2410</v>
      </c>
      <c r="B1099" t="str">
        <f t="shared" si="69"/>
        <v>2007</v>
      </c>
      <c r="C1099" s="18" t="s">
        <v>820</v>
      </c>
      <c r="D1099" t="s">
        <v>1786</v>
      </c>
      <c r="E1099" t="s">
        <v>1813</v>
      </c>
      <c r="F1099">
        <v>93</v>
      </c>
      <c r="G1099">
        <f t="shared" si="70"/>
        <v>58</v>
      </c>
      <c r="H1099">
        <f t="shared" si="71"/>
        <v>241</v>
      </c>
      <c r="I1099">
        <v>589</v>
      </c>
      <c r="J1099">
        <v>2410</v>
      </c>
      <c r="K1099" s="18" t="s">
        <v>814</v>
      </c>
      <c r="L1099" s="21">
        <v>6.1</v>
      </c>
    </row>
    <row r="1100" spans="1:12" x14ac:dyDescent="0.25">
      <c r="A1100" t="str">
        <f t="shared" si="68"/>
        <v>2007-ST-ISO-96-635-2312</v>
      </c>
      <c r="B1100" t="str">
        <f t="shared" si="69"/>
        <v>2007</v>
      </c>
      <c r="C1100" s="18" t="s">
        <v>820</v>
      </c>
      <c r="D1100" t="s">
        <v>1786</v>
      </c>
      <c r="E1100" t="s">
        <v>1814</v>
      </c>
      <c r="F1100">
        <v>96</v>
      </c>
      <c r="G1100">
        <f t="shared" si="70"/>
        <v>63</v>
      </c>
      <c r="H1100">
        <f t="shared" si="71"/>
        <v>231</v>
      </c>
      <c r="I1100">
        <v>635</v>
      </c>
      <c r="J1100">
        <v>2312</v>
      </c>
      <c r="K1100" s="18" t="s">
        <v>814</v>
      </c>
      <c r="L1100" s="21">
        <v>6.2</v>
      </c>
    </row>
    <row r="1101" spans="1:12" x14ac:dyDescent="0.25">
      <c r="A1101" t="str">
        <f t="shared" si="68"/>
        <v>2007-ST-ISO-108-680-2315</v>
      </c>
      <c r="B1101" t="str">
        <f t="shared" si="69"/>
        <v>2007</v>
      </c>
      <c r="C1101" s="18" t="s">
        <v>820</v>
      </c>
      <c r="D1101" t="s">
        <v>1786</v>
      </c>
      <c r="E1101" t="s">
        <v>1815</v>
      </c>
      <c r="F1101">
        <v>108</v>
      </c>
      <c r="G1101">
        <f t="shared" si="70"/>
        <v>68</v>
      </c>
      <c r="H1101">
        <f t="shared" si="71"/>
        <v>231</v>
      </c>
      <c r="I1101">
        <v>680</v>
      </c>
      <c r="J1101">
        <v>2315</v>
      </c>
      <c r="K1101" s="18" t="s">
        <v>814</v>
      </c>
      <c r="L1101" s="21">
        <v>6.5</v>
      </c>
    </row>
    <row r="1102" spans="1:12" x14ac:dyDescent="0.25">
      <c r="A1102" t="str">
        <f t="shared" si="68"/>
        <v>2007-ST-ISO-120-748-2295</v>
      </c>
      <c r="B1102" t="str">
        <f t="shared" si="69"/>
        <v>2007</v>
      </c>
      <c r="C1102" s="18" t="s">
        <v>820</v>
      </c>
      <c r="D1102" t="s">
        <v>1786</v>
      </c>
      <c r="E1102" t="s">
        <v>1816</v>
      </c>
      <c r="F1102">
        <v>120</v>
      </c>
      <c r="G1102">
        <f t="shared" si="70"/>
        <v>74</v>
      </c>
      <c r="H1102">
        <f t="shared" si="71"/>
        <v>229</v>
      </c>
      <c r="I1102">
        <v>748</v>
      </c>
      <c r="J1102">
        <v>2295</v>
      </c>
      <c r="K1102" s="18" t="s">
        <v>814</v>
      </c>
      <c r="L1102" s="21">
        <v>6.8</v>
      </c>
    </row>
    <row r="1103" spans="1:12" x14ac:dyDescent="0.25">
      <c r="A1103" t="str">
        <f t="shared" si="68"/>
        <v>2007-ST-ISO-129-800-2211</v>
      </c>
      <c r="B1103" t="str">
        <f t="shared" si="69"/>
        <v>2007</v>
      </c>
      <c r="C1103" s="18" t="s">
        <v>820</v>
      </c>
      <c r="D1103" t="s">
        <v>1786</v>
      </c>
      <c r="E1103" t="s">
        <v>1817</v>
      </c>
      <c r="F1103">
        <v>129</v>
      </c>
      <c r="G1103">
        <f t="shared" si="70"/>
        <v>80</v>
      </c>
      <c r="H1103">
        <f t="shared" si="71"/>
        <v>221</v>
      </c>
      <c r="I1103">
        <v>800</v>
      </c>
      <c r="J1103">
        <v>2211</v>
      </c>
      <c r="K1103" s="18" t="s">
        <v>814</v>
      </c>
      <c r="L1103" s="21">
        <v>7.3</v>
      </c>
    </row>
    <row r="1104" spans="1:12" x14ac:dyDescent="0.25">
      <c r="A1104" t="str">
        <f t="shared" si="68"/>
        <v>2007-ST-S-T-138-720-2415</v>
      </c>
      <c r="B1104" t="str">
        <f t="shared" si="69"/>
        <v>2007</v>
      </c>
      <c r="C1104" s="18" t="s">
        <v>820</v>
      </c>
      <c r="D1104" t="s">
        <v>1786</v>
      </c>
      <c r="E1104" t="s">
        <v>1818</v>
      </c>
      <c r="F1104">
        <v>138</v>
      </c>
      <c r="G1104">
        <f t="shared" si="70"/>
        <v>72</v>
      </c>
      <c r="H1104">
        <f t="shared" si="71"/>
        <v>241</v>
      </c>
      <c r="I1104">
        <v>720</v>
      </c>
      <c r="J1104">
        <v>2415</v>
      </c>
      <c r="K1104" s="18" t="s">
        <v>814</v>
      </c>
      <c r="L1104" s="21">
        <v>7.4</v>
      </c>
    </row>
    <row r="1105" spans="1:12" x14ac:dyDescent="0.25">
      <c r="A1105" t="str">
        <f t="shared" si="68"/>
        <v>2007-ST-S-T-123-674-2372</v>
      </c>
      <c r="B1105" t="str">
        <f t="shared" si="69"/>
        <v>2007</v>
      </c>
      <c r="C1105" s="18" t="s">
        <v>820</v>
      </c>
      <c r="D1105" t="s">
        <v>1786</v>
      </c>
      <c r="E1105" t="s">
        <v>1819</v>
      </c>
      <c r="F1105">
        <v>123</v>
      </c>
      <c r="G1105">
        <f t="shared" si="70"/>
        <v>67</v>
      </c>
      <c r="H1105">
        <f t="shared" si="71"/>
        <v>237</v>
      </c>
      <c r="I1105">
        <v>674</v>
      </c>
      <c r="J1105">
        <v>2372</v>
      </c>
      <c r="K1105" s="18" t="s">
        <v>814</v>
      </c>
      <c r="L1105" s="21">
        <v>7.05</v>
      </c>
    </row>
    <row r="1106" spans="1:12" x14ac:dyDescent="0.25">
      <c r="A1106" t="str">
        <f t="shared" si="68"/>
        <v>2007-ST-S-T-117-640-2374</v>
      </c>
      <c r="B1106" t="str">
        <f t="shared" si="69"/>
        <v>2007</v>
      </c>
      <c r="C1106" s="18" t="s">
        <v>820</v>
      </c>
      <c r="D1106" t="s">
        <v>1786</v>
      </c>
      <c r="E1106" t="s">
        <v>1820</v>
      </c>
      <c r="F1106">
        <v>117</v>
      </c>
      <c r="G1106">
        <f t="shared" si="70"/>
        <v>64</v>
      </c>
      <c r="H1106">
        <f t="shared" si="71"/>
        <v>237</v>
      </c>
      <c r="I1106">
        <v>640</v>
      </c>
      <c r="J1106">
        <v>2374</v>
      </c>
      <c r="K1106" s="18" t="s">
        <v>814</v>
      </c>
      <c r="L1106" s="21">
        <v>6.7</v>
      </c>
    </row>
    <row r="1107" spans="1:12" x14ac:dyDescent="0.25">
      <c r="A1107" t="str">
        <f t="shared" si="68"/>
        <v>2007-ST-S-T-105-605-2374</v>
      </c>
      <c r="B1107" t="str">
        <f t="shared" si="69"/>
        <v>2007</v>
      </c>
      <c r="C1107" s="18" t="s">
        <v>820</v>
      </c>
      <c r="D1107" t="s">
        <v>1786</v>
      </c>
      <c r="E1107" t="s">
        <v>1821</v>
      </c>
      <c r="F1107">
        <v>105</v>
      </c>
      <c r="G1107">
        <f t="shared" si="70"/>
        <v>60</v>
      </c>
      <c r="H1107">
        <f t="shared" si="71"/>
        <v>237</v>
      </c>
      <c r="I1107">
        <v>605</v>
      </c>
      <c r="J1107">
        <v>2374</v>
      </c>
      <c r="K1107" s="18" t="s">
        <v>814</v>
      </c>
      <c r="L1107" s="21">
        <v>6.4</v>
      </c>
    </row>
    <row r="1108" spans="1:12" x14ac:dyDescent="0.25">
      <c r="A1108" t="str">
        <f t="shared" si="68"/>
        <v>2007-ST-S-T-99-596-2379</v>
      </c>
      <c r="B1108" t="str">
        <f t="shared" si="69"/>
        <v>2007</v>
      </c>
      <c r="C1108" s="18" t="s">
        <v>820</v>
      </c>
      <c r="D1108" t="s">
        <v>1786</v>
      </c>
      <c r="E1108" t="s">
        <v>1822</v>
      </c>
      <c r="F1108">
        <v>99</v>
      </c>
      <c r="G1108">
        <f t="shared" si="70"/>
        <v>59</v>
      </c>
      <c r="H1108">
        <f t="shared" si="71"/>
        <v>237</v>
      </c>
      <c r="I1108">
        <v>596</v>
      </c>
      <c r="J1108">
        <v>2379</v>
      </c>
      <c r="K1108" s="18" t="s">
        <v>814</v>
      </c>
      <c r="L1108" s="21">
        <v>6.2</v>
      </c>
    </row>
    <row r="1109" spans="1:12" x14ac:dyDescent="0.25">
      <c r="A1109" t="str">
        <f t="shared" si="68"/>
        <v>2008-ST-ISO-82-545-2410</v>
      </c>
      <c r="B1109" t="str">
        <f t="shared" si="69"/>
        <v>2008</v>
      </c>
      <c r="C1109" s="18" t="s">
        <v>825</v>
      </c>
      <c r="D1109" t="s">
        <v>1786</v>
      </c>
      <c r="E1109" t="s">
        <v>1823</v>
      </c>
      <c r="F1109">
        <v>82</v>
      </c>
      <c r="G1109">
        <f t="shared" si="70"/>
        <v>54</v>
      </c>
      <c r="H1109">
        <f t="shared" si="71"/>
        <v>241</v>
      </c>
      <c r="I1109">
        <v>545</v>
      </c>
      <c r="J1109">
        <v>2410</v>
      </c>
      <c r="K1109" s="18" t="s">
        <v>821</v>
      </c>
      <c r="L1109" s="21">
        <v>5.2</v>
      </c>
    </row>
    <row r="1110" spans="1:12" x14ac:dyDescent="0.25">
      <c r="A1110" t="str">
        <f t="shared" si="68"/>
        <v>2008-ST-ISO-86-564-2419</v>
      </c>
      <c r="B1110" t="str">
        <f t="shared" si="69"/>
        <v>2008</v>
      </c>
      <c r="C1110" s="18" t="s">
        <v>825</v>
      </c>
      <c r="D1110" t="s">
        <v>1786</v>
      </c>
      <c r="E1110" t="s">
        <v>1824</v>
      </c>
      <c r="F1110">
        <v>86</v>
      </c>
      <c r="G1110">
        <f t="shared" si="70"/>
        <v>56</v>
      </c>
      <c r="H1110">
        <f t="shared" si="71"/>
        <v>241</v>
      </c>
      <c r="I1110">
        <v>564</v>
      </c>
      <c r="J1110">
        <v>2419</v>
      </c>
      <c r="K1110" s="18" t="s">
        <v>821</v>
      </c>
      <c r="L1110" s="21">
        <v>5.6</v>
      </c>
    </row>
    <row r="1111" spans="1:12" x14ac:dyDescent="0.25">
      <c r="A1111" t="str">
        <f t="shared" si="68"/>
        <v>2008-ST-ISO-96-588-2425</v>
      </c>
      <c r="B1111" t="str">
        <f t="shared" si="69"/>
        <v>2008</v>
      </c>
      <c r="C1111" s="18" t="s">
        <v>825</v>
      </c>
      <c r="D1111" t="s">
        <v>1786</v>
      </c>
      <c r="E1111" t="s">
        <v>1825</v>
      </c>
      <c r="F1111">
        <v>96</v>
      </c>
      <c r="G1111">
        <f t="shared" si="70"/>
        <v>58</v>
      </c>
      <c r="H1111">
        <f t="shared" si="71"/>
        <v>242</v>
      </c>
      <c r="I1111">
        <v>588</v>
      </c>
      <c r="J1111">
        <v>2425</v>
      </c>
      <c r="K1111" s="18" t="s">
        <v>821</v>
      </c>
      <c r="L1111" s="21">
        <v>6.1</v>
      </c>
    </row>
    <row r="1112" spans="1:12" x14ac:dyDescent="0.25">
      <c r="A1112" t="str">
        <f t="shared" si="68"/>
        <v>2008-ST-ISO-96-637-2325</v>
      </c>
      <c r="B1112" t="str">
        <f t="shared" si="69"/>
        <v>2008</v>
      </c>
      <c r="C1112" s="18" t="s">
        <v>825</v>
      </c>
      <c r="D1112" t="s">
        <v>1786</v>
      </c>
      <c r="E1112" t="s">
        <v>1814</v>
      </c>
      <c r="F1112">
        <v>96</v>
      </c>
      <c r="G1112">
        <f t="shared" si="70"/>
        <v>63</v>
      </c>
      <c r="H1112">
        <f t="shared" si="71"/>
        <v>232</v>
      </c>
      <c r="I1112">
        <v>637</v>
      </c>
      <c r="J1112">
        <v>2325</v>
      </c>
      <c r="K1112" s="18" t="s">
        <v>821</v>
      </c>
      <c r="L1112" s="21">
        <v>6.2</v>
      </c>
    </row>
    <row r="1113" spans="1:12" x14ac:dyDescent="0.25">
      <c r="A1113" t="str">
        <f t="shared" si="68"/>
        <v>2008-ST-ISO-108-682-2329</v>
      </c>
      <c r="B1113" t="str">
        <f t="shared" si="69"/>
        <v>2008</v>
      </c>
      <c r="C1113" s="18" t="s">
        <v>825</v>
      </c>
      <c r="D1113" t="s">
        <v>1786</v>
      </c>
      <c r="E1113" t="s">
        <v>1815</v>
      </c>
      <c r="F1113">
        <v>108</v>
      </c>
      <c r="G1113">
        <f t="shared" si="70"/>
        <v>68</v>
      </c>
      <c r="H1113">
        <f t="shared" si="71"/>
        <v>232</v>
      </c>
      <c r="I1113">
        <v>682</v>
      </c>
      <c r="J1113">
        <v>2329</v>
      </c>
      <c r="K1113" s="18" t="s">
        <v>821</v>
      </c>
      <c r="L1113" s="21">
        <v>6.5</v>
      </c>
    </row>
    <row r="1114" spans="1:12" x14ac:dyDescent="0.25">
      <c r="A1114" t="str">
        <f t="shared" si="68"/>
        <v>2008-ST-ISO-114-751-2296</v>
      </c>
      <c r="B1114" t="str">
        <f t="shared" si="69"/>
        <v>2008</v>
      </c>
      <c r="C1114" s="18" t="s">
        <v>825</v>
      </c>
      <c r="D1114" t="s">
        <v>1786</v>
      </c>
      <c r="E1114" t="s">
        <v>1816</v>
      </c>
      <c r="F1114">
        <v>114</v>
      </c>
      <c r="G1114">
        <f t="shared" si="70"/>
        <v>75</v>
      </c>
      <c r="H1114">
        <f t="shared" si="71"/>
        <v>229</v>
      </c>
      <c r="I1114">
        <v>751</v>
      </c>
      <c r="J1114">
        <v>2296</v>
      </c>
      <c r="K1114" s="18" t="s">
        <v>821</v>
      </c>
      <c r="L1114" s="21">
        <v>6.7</v>
      </c>
    </row>
    <row r="1115" spans="1:12" x14ac:dyDescent="0.25">
      <c r="A1115" t="str">
        <f t="shared" si="68"/>
        <v>2008-ST-ISO-126-849-2211</v>
      </c>
      <c r="B1115" t="str">
        <f t="shared" si="69"/>
        <v>2008</v>
      </c>
      <c r="C1115" s="18" t="s">
        <v>825</v>
      </c>
      <c r="D1115" t="s">
        <v>1786</v>
      </c>
      <c r="E1115" t="s">
        <v>1817</v>
      </c>
      <c r="F1115">
        <v>126</v>
      </c>
      <c r="G1115">
        <f t="shared" si="70"/>
        <v>84</v>
      </c>
      <c r="H1115">
        <f t="shared" si="71"/>
        <v>221</v>
      </c>
      <c r="I1115">
        <v>849</v>
      </c>
      <c r="J1115">
        <v>2211</v>
      </c>
      <c r="K1115" s="18" t="s">
        <v>821</v>
      </c>
      <c r="L1115" s="21">
        <v>7.3</v>
      </c>
    </row>
    <row r="1116" spans="1:12" x14ac:dyDescent="0.25">
      <c r="A1116" t="str">
        <f t="shared" si="68"/>
        <v>2008-ST-ISO-138-850-2230</v>
      </c>
      <c r="B1116" t="str">
        <f t="shared" si="69"/>
        <v>2008</v>
      </c>
      <c r="C1116" s="18" t="s">
        <v>825</v>
      </c>
      <c r="D1116" t="s">
        <v>1786</v>
      </c>
      <c r="E1116" t="s">
        <v>1826</v>
      </c>
      <c r="F1116">
        <v>138</v>
      </c>
      <c r="G1116">
        <f t="shared" si="70"/>
        <v>85</v>
      </c>
      <c r="H1116">
        <f t="shared" si="71"/>
        <v>223</v>
      </c>
      <c r="I1116">
        <v>850</v>
      </c>
      <c r="J1116">
        <v>2230</v>
      </c>
      <c r="K1116" s="18" t="s">
        <v>821</v>
      </c>
      <c r="L1116" s="21">
        <v>7.7</v>
      </c>
    </row>
    <row r="1117" spans="1:12" x14ac:dyDescent="0.25">
      <c r="A1117" t="str">
        <f t="shared" si="68"/>
        <v>2009-ST-ISO-84-547-2442</v>
      </c>
      <c r="B1117" t="str">
        <f t="shared" si="69"/>
        <v>2009</v>
      </c>
      <c r="C1117" s="18" t="s">
        <v>884</v>
      </c>
      <c r="D1117" t="s">
        <v>1786</v>
      </c>
      <c r="E1117" t="s">
        <v>1823</v>
      </c>
      <c r="F1117">
        <v>84</v>
      </c>
      <c r="G1117">
        <f t="shared" si="70"/>
        <v>54</v>
      </c>
      <c r="H1117">
        <f t="shared" si="71"/>
        <v>244</v>
      </c>
      <c r="I1117">
        <v>547</v>
      </c>
      <c r="J1117">
        <v>2442</v>
      </c>
      <c r="K1117" s="18" t="s">
        <v>826</v>
      </c>
      <c r="L1117" s="21">
        <v>5.55</v>
      </c>
    </row>
    <row r="1118" spans="1:12" x14ac:dyDescent="0.25">
      <c r="A1118" t="str">
        <f t="shared" si="68"/>
        <v>2009-ST-ISO-86-562-2414</v>
      </c>
      <c r="B1118" t="str">
        <f t="shared" si="69"/>
        <v>2009</v>
      </c>
      <c r="C1118" s="18" t="s">
        <v>884</v>
      </c>
      <c r="D1118" t="s">
        <v>1786</v>
      </c>
      <c r="E1118" t="s">
        <v>1824</v>
      </c>
      <c r="F1118">
        <v>86</v>
      </c>
      <c r="G1118">
        <f t="shared" si="70"/>
        <v>56</v>
      </c>
      <c r="H1118">
        <f t="shared" si="71"/>
        <v>241</v>
      </c>
      <c r="I1118">
        <v>562</v>
      </c>
      <c r="J1118">
        <v>2414</v>
      </c>
      <c r="K1118" s="18" t="s">
        <v>826</v>
      </c>
      <c r="L1118" s="21">
        <v>5.65</v>
      </c>
    </row>
    <row r="1119" spans="1:12" x14ac:dyDescent="0.25">
      <c r="A1119" t="str">
        <f t="shared" si="68"/>
        <v>2009-ST-ISO-92-585-2422</v>
      </c>
      <c r="B1119" t="str">
        <f t="shared" si="69"/>
        <v>2009</v>
      </c>
      <c r="C1119" s="18" t="s">
        <v>884</v>
      </c>
      <c r="D1119" t="s">
        <v>1786</v>
      </c>
      <c r="E1119" t="s">
        <v>1813</v>
      </c>
      <c r="F1119">
        <v>92</v>
      </c>
      <c r="G1119">
        <f t="shared" si="70"/>
        <v>58</v>
      </c>
      <c r="H1119">
        <f t="shared" si="71"/>
        <v>242</v>
      </c>
      <c r="I1119">
        <v>585</v>
      </c>
      <c r="J1119">
        <v>2422</v>
      </c>
      <c r="K1119" s="18" t="s">
        <v>826</v>
      </c>
      <c r="L1119" s="21">
        <v>5.9</v>
      </c>
    </row>
    <row r="1120" spans="1:12" x14ac:dyDescent="0.25">
      <c r="A1120" t="str">
        <f t="shared" si="68"/>
        <v>2009-ST-ISO-97-636-2362</v>
      </c>
      <c r="B1120" t="str">
        <f t="shared" si="69"/>
        <v>2009</v>
      </c>
      <c r="C1120" s="18" t="s">
        <v>884</v>
      </c>
      <c r="D1120" t="s">
        <v>1786</v>
      </c>
      <c r="E1120" t="s">
        <v>1814</v>
      </c>
      <c r="F1120">
        <v>97</v>
      </c>
      <c r="G1120">
        <f t="shared" si="70"/>
        <v>63</v>
      </c>
      <c r="H1120">
        <f t="shared" si="71"/>
        <v>236</v>
      </c>
      <c r="I1120">
        <v>636</v>
      </c>
      <c r="J1120">
        <v>2362</v>
      </c>
      <c r="K1120" s="18" t="s">
        <v>826</v>
      </c>
      <c r="L1120" s="21">
        <v>5.9</v>
      </c>
    </row>
    <row r="1121" spans="1:12" x14ac:dyDescent="0.25">
      <c r="A1121" t="str">
        <f t="shared" si="68"/>
        <v>2009-ST-ISO-110-683-2328</v>
      </c>
      <c r="B1121" t="str">
        <f t="shared" si="69"/>
        <v>2009</v>
      </c>
      <c r="C1121" s="18" t="s">
        <v>884</v>
      </c>
      <c r="D1121" t="s">
        <v>1786</v>
      </c>
      <c r="E1121" t="s">
        <v>1815</v>
      </c>
      <c r="F1121">
        <v>110</v>
      </c>
      <c r="G1121">
        <f t="shared" si="70"/>
        <v>68</v>
      </c>
      <c r="H1121">
        <f t="shared" si="71"/>
        <v>232</v>
      </c>
      <c r="I1121">
        <v>683</v>
      </c>
      <c r="J1121">
        <v>2328</v>
      </c>
      <c r="K1121" s="18" t="s">
        <v>826</v>
      </c>
      <c r="L1121" s="21">
        <v>6.3</v>
      </c>
    </row>
    <row r="1122" spans="1:12" x14ac:dyDescent="0.25">
      <c r="A1122" t="str">
        <f t="shared" si="68"/>
        <v>2009-ST-ISO-113-750-2320</v>
      </c>
      <c r="B1122" t="str">
        <f t="shared" si="69"/>
        <v>2009</v>
      </c>
      <c r="C1122" s="18" t="s">
        <v>884</v>
      </c>
      <c r="D1122" t="s">
        <v>1786</v>
      </c>
      <c r="E1122" t="s">
        <v>1816</v>
      </c>
      <c r="F1122">
        <v>113</v>
      </c>
      <c r="G1122">
        <f t="shared" si="70"/>
        <v>75</v>
      </c>
      <c r="H1122">
        <f t="shared" si="71"/>
        <v>232</v>
      </c>
      <c r="I1122">
        <v>750</v>
      </c>
      <c r="J1122">
        <v>2320</v>
      </c>
      <c r="K1122" s="18" t="s">
        <v>826</v>
      </c>
      <c r="L1122" s="21">
        <v>6.7</v>
      </c>
    </row>
    <row r="1123" spans="1:12" x14ac:dyDescent="0.25">
      <c r="A1123" t="str">
        <f t="shared" si="68"/>
        <v>2009-ST-ISO-127-850-2234</v>
      </c>
      <c r="B1123" t="str">
        <f t="shared" si="69"/>
        <v>2009</v>
      </c>
      <c r="C1123" s="18" t="s">
        <v>884</v>
      </c>
      <c r="D1123" t="s">
        <v>1786</v>
      </c>
      <c r="E1123" t="s">
        <v>1817</v>
      </c>
      <c r="F1123">
        <v>127</v>
      </c>
      <c r="G1123">
        <f t="shared" si="70"/>
        <v>85</v>
      </c>
      <c r="H1123">
        <f t="shared" si="71"/>
        <v>223</v>
      </c>
      <c r="I1123">
        <v>850</v>
      </c>
      <c r="J1123">
        <v>2234</v>
      </c>
      <c r="K1123" s="18" t="s">
        <v>826</v>
      </c>
      <c r="L1123" s="21">
        <v>7.4</v>
      </c>
    </row>
    <row r="1124" spans="1:12" x14ac:dyDescent="0.25">
      <c r="A1124" t="str">
        <f t="shared" si="68"/>
        <v>2009-ST-ISO-137-850-2270</v>
      </c>
      <c r="B1124" t="str">
        <f t="shared" si="69"/>
        <v>2009</v>
      </c>
      <c r="C1124" s="18" t="s">
        <v>884</v>
      </c>
      <c r="D1124" t="s">
        <v>1786</v>
      </c>
      <c r="E1124" t="s">
        <v>1826</v>
      </c>
      <c r="F1124">
        <v>137</v>
      </c>
      <c r="G1124">
        <f t="shared" si="70"/>
        <v>85</v>
      </c>
      <c r="H1124">
        <f t="shared" si="71"/>
        <v>227</v>
      </c>
      <c r="I1124">
        <v>850</v>
      </c>
      <c r="J1124">
        <v>2270</v>
      </c>
      <c r="K1124" s="18" t="s">
        <v>826</v>
      </c>
      <c r="L1124" s="21">
        <v>7.9</v>
      </c>
    </row>
    <row r="1125" spans="1:12" x14ac:dyDescent="0.25">
      <c r="A1125" t="str">
        <f t="shared" si="68"/>
        <v>2009-ST-ISO-53-440-2290</v>
      </c>
      <c r="B1125" t="str">
        <f t="shared" si="69"/>
        <v>2009</v>
      </c>
      <c r="C1125" s="18" t="s">
        <v>884</v>
      </c>
      <c r="D1125" t="s">
        <v>1786</v>
      </c>
      <c r="E1125" t="s">
        <v>1827</v>
      </c>
      <c r="F1125">
        <v>53</v>
      </c>
      <c r="G1125">
        <f t="shared" si="70"/>
        <v>44</v>
      </c>
      <c r="H1125">
        <f t="shared" si="71"/>
        <v>229</v>
      </c>
      <c r="I1125">
        <v>440</v>
      </c>
      <c r="J1125">
        <v>2290</v>
      </c>
      <c r="K1125" s="18" t="s">
        <v>826</v>
      </c>
      <c r="L1125" s="21">
        <v>4.2</v>
      </c>
    </row>
    <row r="1126" spans="1:12" x14ac:dyDescent="0.25">
      <c r="A1126" t="str">
        <f t="shared" si="68"/>
        <v>2009-ST-ISO-64-490-2310</v>
      </c>
      <c r="B1126" t="str">
        <f t="shared" si="69"/>
        <v>2009</v>
      </c>
      <c r="C1126" s="18" t="s">
        <v>884</v>
      </c>
      <c r="D1126" t="s">
        <v>1786</v>
      </c>
      <c r="E1126" t="s">
        <v>1828</v>
      </c>
      <c r="F1126">
        <v>64</v>
      </c>
      <c r="G1126">
        <f t="shared" si="70"/>
        <v>49</v>
      </c>
      <c r="H1126">
        <f t="shared" si="71"/>
        <v>231</v>
      </c>
      <c r="I1126">
        <v>490</v>
      </c>
      <c r="J1126">
        <v>2310</v>
      </c>
      <c r="K1126" s="18" t="s">
        <v>826</v>
      </c>
      <c r="L1126" s="21">
        <v>4.5999999999999996</v>
      </c>
    </row>
    <row r="1127" spans="1:12" x14ac:dyDescent="0.25">
      <c r="A1127" t="str">
        <f t="shared" si="68"/>
        <v>2009-ST-ISO-74-530-2302</v>
      </c>
      <c r="B1127" t="str">
        <f t="shared" si="69"/>
        <v>2009</v>
      </c>
      <c r="C1127" s="18" t="s">
        <v>884</v>
      </c>
      <c r="D1127" t="s">
        <v>1786</v>
      </c>
      <c r="E1127" t="s">
        <v>1829</v>
      </c>
      <c r="F1127">
        <v>74</v>
      </c>
      <c r="G1127">
        <f t="shared" si="70"/>
        <v>53</v>
      </c>
      <c r="H1127">
        <f t="shared" si="71"/>
        <v>230</v>
      </c>
      <c r="I1127">
        <v>530</v>
      </c>
      <c r="J1127">
        <v>2302</v>
      </c>
      <c r="K1127" s="18" t="s">
        <v>826</v>
      </c>
      <c r="L1127" s="21">
        <v>5</v>
      </c>
    </row>
    <row r="1128" spans="1:12" x14ac:dyDescent="0.25">
      <c r="A1128" t="str">
        <f t="shared" si="68"/>
        <v>2010-ST-ISO-86-562-2453</v>
      </c>
      <c r="B1128" t="str">
        <f t="shared" si="69"/>
        <v>2010</v>
      </c>
      <c r="C1128" s="18" t="s">
        <v>840</v>
      </c>
      <c r="D1128" t="s">
        <v>1786</v>
      </c>
      <c r="E1128" t="s">
        <v>1824</v>
      </c>
      <c r="F1128">
        <v>86</v>
      </c>
      <c r="G1128">
        <f t="shared" si="70"/>
        <v>56</v>
      </c>
      <c r="H1128">
        <f t="shared" si="71"/>
        <v>245</v>
      </c>
      <c r="I1128">
        <v>562</v>
      </c>
      <c r="J1128">
        <v>2453</v>
      </c>
      <c r="K1128" s="18" t="s">
        <v>841</v>
      </c>
      <c r="L1128" s="21">
        <v>5.65</v>
      </c>
    </row>
    <row r="1129" spans="1:12" x14ac:dyDescent="0.25">
      <c r="A1129" t="str">
        <f t="shared" si="68"/>
        <v>2010-ST-ISO-81-564-2457</v>
      </c>
      <c r="B1129" t="str">
        <f t="shared" si="69"/>
        <v>2010</v>
      </c>
      <c r="C1129" s="18" t="s">
        <v>840</v>
      </c>
      <c r="D1129" t="s">
        <v>1786</v>
      </c>
      <c r="E1129" t="s">
        <v>1830</v>
      </c>
      <c r="F1129">
        <v>81</v>
      </c>
      <c r="G1129">
        <f t="shared" si="70"/>
        <v>56</v>
      </c>
      <c r="H1129">
        <f t="shared" si="71"/>
        <v>245</v>
      </c>
      <c r="I1129">
        <v>564</v>
      </c>
      <c r="J1129">
        <v>2457</v>
      </c>
      <c r="K1129" s="18" t="s">
        <v>841</v>
      </c>
      <c r="L1129" s="21">
        <v>5.45</v>
      </c>
    </row>
    <row r="1130" spans="1:12" x14ac:dyDescent="0.25">
      <c r="A1130" t="str">
        <f t="shared" si="68"/>
        <v>2010-ST-ISO-91-548-2388</v>
      </c>
      <c r="B1130" t="str">
        <f t="shared" si="69"/>
        <v>2010</v>
      </c>
      <c r="C1130" s="18" t="s">
        <v>840</v>
      </c>
      <c r="D1130" t="s">
        <v>1786</v>
      </c>
      <c r="E1130" t="s">
        <v>1813</v>
      </c>
      <c r="F1130">
        <v>91</v>
      </c>
      <c r="G1130">
        <f t="shared" si="70"/>
        <v>54</v>
      </c>
      <c r="H1130">
        <f t="shared" si="71"/>
        <v>238</v>
      </c>
      <c r="I1130">
        <v>548</v>
      </c>
      <c r="J1130">
        <v>2388</v>
      </c>
      <c r="K1130" s="18" t="s">
        <v>841</v>
      </c>
      <c r="L1130" s="21">
        <v>5.76</v>
      </c>
    </row>
    <row r="1131" spans="1:12" x14ac:dyDescent="0.25">
      <c r="A1131" t="str">
        <f t="shared" si="68"/>
        <v>2010-ST-ISO-100-636-2367</v>
      </c>
      <c r="B1131" t="str">
        <f t="shared" si="69"/>
        <v>2010</v>
      </c>
      <c r="C1131" s="18" t="s">
        <v>840</v>
      </c>
      <c r="D1131" t="s">
        <v>1786</v>
      </c>
      <c r="E1131" t="s">
        <v>1814</v>
      </c>
      <c r="F1131">
        <v>100</v>
      </c>
      <c r="G1131">
        <f t="shared" si="70"/>
        <v>63</v>
      </c>
      <c r="H1131">
        <f t="shared" si="71"/>
        <v>236</v>
      </c>
      <c r="I1131">
        <v>636</v>
      </c>
      <c r="J1131">
        <v>2367</v>
      </c>
      <c r="K1131" s="18" t="s">
        <v>841</v>
      </c>
      <c r="L1131" s="21">
        <v>5.77</v>
      </c>
    </row>
    <row r="1132" spans="1:12" x14ac:dyDescent="0.25">
      <c r="A1132" t="str">
        <f t="shared" si="68"/>
        <v>2010-ST-ISO-111-685-2382</v>
      </c>
      <c r="B1132" t="str">
        <f t="shared" si="69"/>
        <v>2010</v>
      </c>
      <c r="C1132" s="18" t="s">
        <v>840</v>
      </c>
      <c r="D1132" t="s">
        <v>1786</v>
      </c>
      <c r="E1132" t="s">
        <v>1815</v>
      </c>
      <c r="F1132">
        <v>111</v>
      </c>
      <c r="G1132">
        <f t="shared" si="70"/>
        <v>68</v>
      </c>
      <c r="H1132">
        <f t="shared" si="71"/>
        <v>238</v>
      </c>
      <c r="I1132">
        <v>685</v>
      </c>
      <c r="J1132">
        <v>2382</v>
      </c>
      <c r="K1132" s="18" t="s">
        <v>841</v>
      </c>
      <c r="L1132" s="21">
        <v>6.03</v>
      </c>
    </row>
    <row r="1133" spans="1:12" x14ac:dyDescent="0.25">
      <c r="A1133" t="str">
        <f t="shared" si="68"/>
        <v>2010-ST-ISO-118-2317-2342</v>
      </c>
      <c r="B1133" t="str">
        <f t="shared" si="69"/>
        <v>2010</v>
      </c>
      <c r="C1133" s="18" t="s">
        <v>840</v>
      </c>
      <c r="D1133" t="s">
        <v>1786</v>
      </c>
      <c r="E1133" t="s">
        <v>1831</v>
      </c>
      <c r="F1133">
        <v>118</v>
      </c>
      <c r="G1133">
        <f t="shared" si="70"/>
        <v>231</v>
      </c>
      <c r="H1133">
        <f t="shared" si="71"/>
        <v>234</v>
      </c>
      <c r="I1133">
        <v>2317</v>
      </c>
      <c r="J1133">
        <v>2342</v>
      </c>
      <c r="K1133" s="18" t="s">
        <v>841</v>
      </c>
      <c r="L1133" s="21">
        <v>6.77</v>
      </c>
    </row>
    <row r="1134" spans="1:12" x14ac:dyDescent="0.25">
      <c r="A1134" t="str">
        <f t="shared" si="68"/>
        <v>2010-ST-ISO-129-851-2272</v>
      </c>
      <c r="B1134" t="str">
        <f t="shared" si="69"/>
        <v>2010</v>
      </c>
      <c r="C1134" s="18" t="s">
        <v>840</v>
      </c>
      <c r="D1134" t="s">
        <v>1786</v>
      </c>
      <c r="E1134" t="s">
        <v>1832</v>
      </c>
      <c r="F1134">
        <v>129</v>
      </c>
      <c r="G1134">
        <f t="shared" si="70"/>
        <v>85</v>
      </c>
      <c r="H1134">
        <f t="shared" si="71"/>
        <v>227</v>
      </c>
      <c r="I1134">
        <v>851</v>
      </c>
      <c r="J1134">
        <v>2272</v>
      </c>
      <c r="K1134" s="18" t="s">
        <v>841</v>
      </c>
      <c r="L1134" s="21">
        <v>6.65</v>
      </c>
    </row>
    <row r="1135" spans="1:12" x14ac:dyDescent="0.25">
      <c r="A1135" t="str">
        <f t="shared" si="68"/>
        <v>2010-ST-ISO-137-850-2293</v>
      </c>
      <c r="B1135" t="str">
        <f t="shared" si="69"/>
        <v>2010</v>
      </c>
      <c r="C1135" s="18" t="s">
        <v>840</v>
      </c>
      <c r="D1135" t="s">
        <v>1786</v>
      </c>
      <c r="E1135" t="s">
        <v>1826</v>
      </c>
      <c r="F1135">
        <v>137</v>
      </c>
      <c r="G1135">
        <f t="shared" si="70"/>
        <v>85</v>
      </c>
      <c r="H1135">
        <f t="shared" si="71"/>
        <v>229</v>
      </c>
      <c r="I1135">
        <v>850</v>
      </c>
      <c r="J1135">
        <v>2293</v>
      </c>
      <c r="K1135" s="18" t="s">
        <v>841</v>
      </c>
      <c r="L1135" s="21">
        <v>7.41</v>
      </c>
    </row>
    <row r="1136" spans="1:12" x14ac:dyDescent="0.25">
      <c r="A1136" t="str">
        <f t="shared" si="68"/>
        <v>2010-ST-ISO-84-580-2300</v>
      </c>
      <c r="B1136" t="str">
        <f t="shared" si="69"/>
        <v>2010</v>
      </c>
      <c r="C1136" s="18" t="s">
        <v>840</v>
      </c>
      <c r="D1136" t="s">
        <v>1786</v>
      </c>
      <c r="E1136" t="s">
        <v>1833</v>
      </c>
      <c r="F1136">
        <v>84</v>
      </c>
      <c r="G1136">
        <f t="shared" si="70"/>
        <v>58</v>
      </c>
      <c r="H1136">
        <f t="shared" si="71"/>
        <v>230</v>
      </c>
      <c r="I1136">
        <v>580</v>
      </c>
      <c r="J1136">
        <v>2300</v>
      </c>
      <c r="K1136" s="18" t="s">
        <v>841</v>
      </c>
      <c r="L1136" s="21">
        <v>5.86</v>
      </c>
    </row>
    <row r="1137" spans="1:12" x14ac:dyDescent="0.25">
      <c r="A1137" t="str">
        <f t="shared" si="68"/>
        <v>2011-ST-I-S-82-564-2456</v>
      </c>
      <c r="B1137" t="str">
        <f t="shared" si="69"/>
        <v>2011</v>
      </c>
      <c r="C1137" s="18" t="s">
        <v>846</v>
      </c>
      <c r="D1137" t="s">
        <v>1786</v>
      </c>
      <c r="E1137" t="s">
        <v>1834</v>
      </c>
      <c r="F1137">
        <v>82</v>
      </c>
      <c r="G1137">
        <f t="shared" si="70"/>
        <v>56</v>
      </c>
      <c r="H1137">
        <f t="shared" si="71"/>
        <v>245</v>
      </c>
      <c r="I1137">
        <v>564</v>
      </c>
      <c r="J1137">
        <v>2456</v>
      </c>
      <c r="K1137" s="18" t="s">
        <v>844</v>
      </c>
      <c r="L1137" s="21">
        <v>5.57</v>
      </c>
    </row>
    <row r="1138" spans="1:12" x14ac:dyDescent="0.25">
      <c r="A1138" t="str">
        <f t="shared" si="68"/>
        <v>2011-ST-I-S-86-855-2455</v>
      </c>
      <c r="B1138" t="str">
        <f t="shared" si="69"/>
        <v>2011</v>
      </c>
      <c r="C1138" s="18" t="s">
        <v>846</v>
      </c>
      <c r="D1138" t="s">
        <v>1786</v>
      </c>
      <c r="E1138" t="s">
        <v>1835</v>
      </c>
      <c r="F1138">
        <v>86</v>
      </c>
      <c r="G1138">
        <f t="shared" si="70"/>
        <v>85</v>
      </c>
      <c r="H1138">
        <f t="shared" si="71"/>
        <v>245</v>
      </c>
      <c r="I1138">
        <v>855</v>
      </c>
      <c r="J1138">
        <v>2455</v>
      </c>
      <c r="K1138" s="18" t="s">
        <v>844</v>
      </c>
      <c r="L1138" s="21">
        <v>5.61</v>
      </c>
    </row>
    <row r="1139" spans="1:12" x14ac:dyDescent="0.25">
      <c r="A1139" t="str">
        <f t="shared" si="68"/>
        <v>2011-ST-I-S-91-599-2436</v>
      </c>
      <c r="B1139" t="str">
        <f t="shared" si="69"/>
        <v>2011</v>
      </c>
      <c r="C1139" s="18" t="s">
        <v>846</v>
      </c>
      <c r="D1139" t="s">
        <v>1786</v>
      </c>
      <c r="E1139" t="s">
        <v>1836</v>
      </c>
      <c r="F1139">
        <v>91</v>
      </c>
      <c r="G1139">
        <f t="shared" si="70"/>
        <v>59</v>
      </c>
      <c r="H1139">
        <f t="shared" si="71"/>
        <v>243</v>
      </c>
      <c r="I1139">
        <v>599</v>
      </c>
      <c r="J1139">
        <v>2436</v>
      </c>
      <c r="K1139" s="18" t="s">
        <v>844</v>
      </c>
      <c r="L1139" s="21">
        <v>5.35</v>
      </c>
    </row>
    <row r="1140" spans="1:12" x14ac:dyDescent="0.25">
      <c r="A1140" t="str">
        <f t="shared" si="68"/>
        <v>2011-ST-I-S-94-638-2367</v>
      </c>
      <c r="B1140" t="str">
        <f t="shared" si="69"/>
        <v>2011</v>
      </c>
      <c r="C1140" s="18" t="s">
        <v>846</v>
      </c>
      <c r="D1140" t="s">
        <v>1786</v>
      </c>
      <c r="E1140" t="s">
        <v>1837</v>
      </c>
      <c r="F1140">
        <v>94</v>
      </c>
      <c r="G1140">
        <f t="shared" si="70"/>
        <v>63</v>
      </c>
      <c r="H1140">
        <f t="shared" si="71"/>
        <v>236</v>
      </c>
      <c r="I1140">
        <v>638</v>
      </c>
      <c r="J1140">
        <v>2367</v>
      </c>
      <c r="K1140" s="18" t="s">
        <v>844</v>
      </c>
      <c r="L1140" s="21">
        <v>5.47</v>
      </c>
    </row>
    <row r="1141" spans="1:12" x14ac:dyDescent="0.25">
      <c r="A1141" t="str">
        <f t="shared" si="68"/>
        <v>2011-ST-I-S-108-686-2377</v>
      </c>
      <c r="B1141" t="str">
        <f t="shared" si="69"/>
        <v>2011</v>
      </c>
      <c r="C1141" s="18" t="s">
        <v>846</v>
      </c>
      <c r="D1141" t="s">
        <v>1786</v>
      </c>
      <c r="E1141" t="s">
        <v>1838</v>
      </c>
      <c r="F1141">
        <v>108</v>
      </c>
      <c r="G1141">
        <f t="shared" si="70"/>
        <v>68</v>
      </c>
      <c r="H1141">
        <f t="shared" si="71"/>
        <v>237</v>
      </c>
      <c r="I1141">
        <v>686</v>
      </c>
      <c r="J1141">
        <v>2377</v>
      </c>
      <c r="K1141" s="18" t="s">
        <v>844</v>
      </c>
      <c r="L1141" s="21">
        <v>5.88</v>
      </c>
    </row>
    <row r="1142" spans="1:12" x14ac:dyDescent="0.25">
      <c r="A1142" t="str">
        <f t="shared" si="68"/>
        <v>2011-ST-I-S-118-751-2346</v>
      </c>
      <c r="B1142" t="str">
        <f t="shared" si="69"/>
        <v>2011</v>
      </c>
      <c r="C1142" s="18" t="s">
        <v>846</v>
      </c>
      <c r="D1142" t="s">
        <v>1786</v>
      </c>
      <c r="E1142" t="s">
        <v>1839</v>
      </c>
      <c r="F1142">
        <v>118</v>
      </c>
      <c r="G1142">
        <f t="shared" si="70"/>
        <v>75</v>
      </c>
      <c r="H1142">
        <f t="shared" si="71"/>
        <v>234</v>
      </c>
      <c r="I1142">
        <v>751</v>
      </c>
      <c r="J1142">
        <v>2346</v>
      </c>
      <c r="K1142" s="18" t="s">
        <v>844</v>
      </c>
      <c r="L1142" s="21">
        <v>6.14</v>
      </c>
    </row>
    <row r="1143" spans="1:12" x14ac:dyDescent="0.25">
      <c r="A1143" t="str">
        <f t="shared" si="68"/>
        <v>2011-ST-I-S-118-803-2304</v>
      </c>
      <c r="B1143" t="str">
        <f t="shared" si="69"/>
        <v>2011</v>
      </c>
      <c r="C1143" s="18" t="s">
        <v>846</v>
      </c>
      <c r="D1143" t="s">
        <v>1786</v>
      </c>
      <c r="E1143" t="s">
        <v>1840</v>
      </c>
      <c r="F1143">
        <v>118</v>
      </c>
      <c r="G1143">
        <f t="shared" si="70"/>
        <v>80</v>
      </c>
      <c r="H1143">
        <f t="shared" si="71"/>
        <v>230</v>
      </c>
      <c r="I1143">
        <v>803</v>
      </c>
      <c r="J1143">
        <v>2304</v>
      </c>
      <c r="K1143" s="18" t="s">
        <v>844</v>
      </c>
      <c r="L1143" s="21">
        <v>6.13</v>
      </c>
    </row>
    <row r="1144" spans="1:12" x14ac:dyDescent="0.25">
      <c r="A1144" t="str">
        <f t="shared" si="68"/>
        <v>2011-ST-I-S-128-849-2302</v>
      </c>
      <c r="B1144" t="str">
        <f t="shared" si="69"/>
        <v>2011</v>
      </c>
      <c r="C1144" s="18" t="s">
        <v>846</v>
      </c>
      <c r="D1144" t="s">
        <v>1786</v>
      </c>
      <c r="E1144" t="s">
        <v>1841</v>
      </c>
      <c r="F1144">
        <v>128</v>
      </c>
      <c r="G1144">
        <f t="shared" si="70"/>
        <v>84</v>
      </c>
      <c r="H1144">
        <f t="shared" si="71"/>
        <v>230</v>
      </c>
      <c r="I1144">
        <v>849</v>
      </c>
      <c r="J1144">
        <v>2302</v>
      </c>
      <c r="K1144" s="18" t="s">
        <v>847</v>
      </c>
      <c r="L1144" s="21">
        <v>6.49</v>
      </c>
    </row>
    <row r="1145" spans="1:12" x14ac:dyDescent="0.25">
      <c r="A1145" t="str">
        <f t="shared" si="68"/>
        <v>2011-ST-I-S-138-849-2337</v>
      </c>
      <c r="B1145" t="str">
        <f t="shared" si="69"/>
        <v>2011</v>
      </c>
      <c r="C1145" s="18" t="s">
        <v>846</v>
      </c>
      <c r="D1145" t="s">
        <v>1786</v>
      </c>
      <c r="E1145" t="s">
        <v>1842</v>
      </c>
      <c r="F1145">
        <v>138</v>
      </c>
      <c r="G1145">
        <f t="shared" si="70"/>
        <v>84</v>
      </c>
      <c r="H1145">
        <f t="shared" si="71"/>
        <v>233</v>
      </c>
      <c r="I1145">
        <v>849</v>
      </c>
      <c r="J1145">
        <v>2337</v>
      </c>
      <c r="K1145" s="18" t="s">
        <v>844</v>
      </c>
      <c r="L1145" s="21">
        <v>6.7</v>
      </c>
    </row>
    <row r="1146" spans="1:12" x14ac:dyDescent="0.25">
      <c r="A1146" t="str">
        <f t="shared" si="68"/>
        <v>2011-ST-I-S-57-437-2300</v>
      </c>
      <c r="B1146" t="str">
        <f t="shared" si="69"/>
        <v>2011</v>
      </c>
      <c r="C1146" s="18" t="s">
        <v>846</v>
      </c>
      <c r="D1146" t="s">
        <v>1786</v>
      </c>
      <c r="E1146" t="s">
        <v>1843</v>
      </c>
      <c r="F1146">
        <v>57</v>
      </c>
      <c r="G1146">
        <f t="shared" si="70"/>
        <v>43</v>
      </c>
      <c r="H1146">
        <f t="shared" si="71"/>
        <v>230</v>
      </c>
      <c r="I1146">
        <v>437</v>
      </c>
      <c r="J1146">
        <v>2300</v>
      </c>
      <c r="K1146" s="18" t="s">
        <v>844</v>
      </c>
      <c r="L1146" s="21">
        <v>4.2</v>
      </c>
    </row>
    <row r="1147" spans="1:12" x14ac:dyDescent="0.25">
      <c r="A1147" t="str">
        <f t="shared" si="68"/>
        <v>2011-ST-I-S-64-493-2302</v>
      </c>
      <c r="B1147" t="str">
        <f t="shared" si="69"/>
        <v>2011</v>
      </c>
      <c r="C1147" s="18" t="s">
        <v>846</v>
      </c>
      <c r="D1147" t="s">
        <v>1786</v>
      </c>
      <c r="E1147" t="s">
        <v>1844</v>
      </c>
      <c r="F1147">
        <v>64</v>
      </c>
      <c r="G1147">
        <f t="shared" si="70"/>
        <v>49</v>
      </c>
      <c r="H1147">
        <f t="shared" si="71"/>
        <v>230</v>
      </c>
      <c r="I1147">
        <v>493</v>
      </c>
      <c r="J1147">
        <v>2302</v>
      </c>
      <c r="K1147" s="18" t="s">
        <v>844</v>
      </c>
      <c r="L1147" s="21">
        <v>4.3499999999999996</v>
      </c>
    </row>
    <row r="1148" spans="1:12" x14ac:dyDescent="0.25">
      <c r="A1148" t="str">
        <f t="shared" si="68"/>
        <v>2011-ST-I-S-72-546-2298</v>
      </c>
      <c r="B1148" t="str">
        <f t="shared" si="69"/>
        <v>2011</v>
      </c>
      <c r="C1148" s="18" t="s">
        <v>846</v>
      </c>
      <c r="D1148" t="s">
        <v>1786</v>
      </c>
      <c r="E1148" t="s">
        <v>1845</v>
      </c>
      <c r="F1148">
        <v>72</v>
      </c>
      <c r="G1148">
        <f t="shared" si="70"/>
        <v>54</v>
      </c>
      <c r="H1148">
        <f t="shared" si="71"/>
        <v>229</v>
      </c>
      <c r="I1148">
        <v>546</v>
      </c>
      <c r="J1148">
        <v>2298</v>
      </c>
      <c r="K1148" s="18" t="s">
        <v>844</v>
      </c>
      <c r="L1148" s="21">
        <v>4.68</v>
      </c>
    </row>
    <row r="1149" spans="1:12" x14ac:dyDescent="0.25">
      <c r="A1149" t="str">
        <f t="shared" si="68"/>
        <v>2011-ST-I-S-84-580-2305</v>
      </c>
      <c r="B1149" t="str">
        <f t="shared" si="69"/>
        <v>2011</v>
      </c>
      <c r="C1149" s="18" t="s">
        <v>846</v>
      </c>
      <c r="D1149" t="s">
        <v>1786</v>
      </c>
      <c r="E1149" t="s">
        <v>1846</v>
      </c>
      <c r="F1149">
        <v>84</v>
      </c>
      <c r="G1149">
        <f t="shared" si="70"/>
        <v>58</v>
      </c>
      <c r="H1149">
        <f t="shared" si="71"/>
        <v>230</v>
      </c>
      <c r="I1149">
        <v>580</v>
      </c>
      <c r="J1149">
        <v>2305</v>
      </c>
      <c r="K1149" s="18" t="s">
        <v>844</v>
      </c>
      <c r="L1149" s="21">
        <v>5</v>
      </c>
    </row>
    <row r="1150" spans="1:12" x14ac:dyDescent="0.25">
      <c r="A1150" t="str">
        <f t="shared" si="68"/>
        <v>2012-ST-I-S-94-598-2411</v>
      </c>
      <c r="B1150" t="str">
        <f t="shared" si="69"/>
        <v>2012</v>
      </c>
      <c r="C1150" s="18" t="s">
        <v>928</v>
      </c>
      <c r="D1150" t="s">
        <v>1786</v>
      </c>
      <c r="E1150" t="s">
        <v>1847</v>
      </c>
      <c r="F1150">
        <v>94</v>
      </c>
      <c r="G1150">
        <f t="shared" si="70"/>
        <v>59</v>
      </c>
      <c r="H1150">
        <f t="shared" si="71"/>
        <v>241</v>
      </c>
      <c r="I1150">
        <v>598</v>
      </c>
      <c r="J1150">
        <v>2411</v>
      </c>
      <c r="K1150" s="18" t="s">
        <v>847</v>
      </c>
      <c r="L1150" s="21">
        <v>5.63</v>
      </c>
    </row>
    <row r="1151" spans="1:12" x14ac:dyDescent="0.25">
      <c r="A1151" t="str">
        <f t="shared" si="68"/>
        <v>2012-ST-I-S-95-638-2344</v>
      </c>
      <c r="B1151" t="str">
        <f t="shared" si="69"/>
        <v>2012</v>
      </c>
      <c r="C1151" s="18" t="s">
        <v>928</v>
      </c>
      <c r="D1151" t="s">
        <v>1786</v>
      </c>
      <c r="E1151" t="s">
        <v>1848</v>
      </c>
      <c r="F1151">
        <v>95</v>
      </c>
      <c r="G1151">
        <f t="shared" si="70"/>
        <v>63</v>
      </c>
      <c r="H1151">
        <f t="shared" si="71"/>
        <v>234</v>
      </c>
      <c r="I1151">
        <v>638</v>
      </c>
      <c r="J1151">
        <v>2344</v>
      </c>
      <c r="K1151" s="18" t="s">
        <v>847</v>
      </c>
      <c r="L1151" s="21">
        <v>5.78</v>
      </c>
    </row>
    <row r="1152" spans="1:12" x14ac:dyDescent="0.25">
      <c r="A1152" t="str">
        <f t="shared" si="68"/>
        <v>2012-ST-I-S-106-686-2351</v>
      </c>
      <c r="B1152" t="str">
        <f t="shared" si="69"/>
        <v>2012</v>
      </c>
      <c r="C1152" s="18" t="s">
        <v>928</v>
      </c>
      <c r="D1152" t="s">
        <v>1786</v>
      </c>
      <c r="E1152" t="s">
        <v>1849</v>
      </c>
      <c r="F1152">
        <v>106</v>
      </c>
      <c r="G1152">
        <f t="shared" si="70"/>
        <v>68</v>
      </c>
      <c r="H1152">
        <f t="shared" si="71"/>
        <v>235</v>
      </c>
      <c r="I1152">
        <v>686</v>
      </c>
      <c r="J1152">
        <v>2351</v>
      </c>
      <c r="K1152" s="18" t="s">
        <v>847</v>
      </c>
      <c r="L1152" s="21">
        <v>6.05</v>
      </c>
    </row>
    <row r="1153" spans="1:12" x14ac:dyDescent="0.25">
      <c r="A1153" t="str">
        <f t="shared" si="68"/>
        <v>2012-ST-I-S-118-750-2356</v>
      </c>
      <c r="B1153" t="str">
        <f t="shared" si="69"/>
        <v>2012</v>
      </c>
      <c r="C1153" s="18" t="s">
        <v>928</v>
      </c>
      <c r="D1153" t="s">
        <v>1786</v>
      </c>
      <c r="E1153" t="s">
        <v>1850</v>
      </c>
      <c r="F1153">
        <v>118</v>
      </c>
      <c r="G1153">
        <f t="shared" si="70"/>
        <v>75</v>
      </c>
      <c r="H1153">
        <f t="shared" si="71"/>
        <v>235</v>
      </c>
      <c r="I1153">
        <v>750</v>
      </c>
      <c r="J1153">
        <v>2356</v>
      </c>
      <c r="K1153" s="18" t="s">
        <v>847</v>
      </c>
      <c r="L1153" s="21">
        <v>6.37</v>
      </c>
    </row>
    <row r="1154" spans="1:12" x14ac:dyDescent="0.25">
      <c r="A1154" t="str">
        <f t="shared" ref="A1154:A1217" si="72">_xlfn.CONCAT(B1154,"-",LEFT(D1154,2),"-",LEFT(E1154,3),"-",F1154,"-",TRUNC(I1154),"-",TRUNC(J1154))</f>
        <v>2012-ST-I-S-120-803-2280</v>
      </c>
      <c r="B1154" t="str">
        <f t="shared" ref="B1154:B1217" si="73">LEFT(C1154,4)</f>
        <v>2012</v>
      </c>
      <c r="C1154" s="18" t="s">
        <v>928</v>
      </c>
      <c r="D1154" t="s">
        <v>1786</v>
      </c>
      <c r="E1154" t="s">
        <v>1851</v>
      </c>
      <c r="F1154">
        <v>120</v>
      </c>
      <c r="G1154">
        <f t="shared" si="70"/>
        <v>80</v>
      </c>
      <c r="H1154">
        <f t="shared" si="71"/>
        <v>228</v>
      </c>
      <c r="I1154">
        <v>803</v>
      </c>
      <c r="J1154">
        <v>2280</v>
      </c>
      <c r="K1154" s="18" t="s">
        <v>847</v>
      </c>
      <c r="L1154" s="21">
        <v>6.41</v>
      </c>
    </row>
    <row r="1155" spans="1:12" x14ac:dyDescent="0.25">
      <c r="A1155" t="str">
        <f t="shared" si="72"/>
        <v>2012-ST-I-S-128-849-227</v>
      </c>
      <c r="B1155" t="str">
        <f t="shared" si="73"/>
        <v>2012</v>
      </c>
      <c r="C1155" s="18" t="s">
        <v>928</v>
      </c>
      <c r="D1155" t="s">
        <v>1786</v>
      </c>
      <c r="E1155" t="s">
        <v>1852</v>
      </c>
      <c r="F1155">
        <v>128</v>
      </c>
      <c r="G1155">
        <f t="shared" ref="G1155:G1218" si="74">TRUNC(I1155/10)</f>
        <v>84</v>
      </c>
      <c r="H1155">
        <f t="shared" ref="H1155:H1218" si="75">TRUNC(J1155/10)</f>
        <v>22</v>
      </c>
      <c r="I1155">
        <v>849</v>
      </c>
      <c r="J1155">
        <v>227.8</v>
      </c>
      <c r="K1155" s="18" t="s">
        <v>847</v>
      </c>
      <c r="L1155" s="21">
        <v>7.59</v>
      </c>
    </row>
    <row r="1156" spans="1:12" x14ac:dyDescent="0.25">
      <c r="A1156" t="str">
        <f t="shared" si="72"/>
        <v>2012-ST-I-S-138-849-2313</v>
      </c>
      <c r="B1156" t="str">
        <f t="shared" si="73"/>
        <v>2012</v>
      </c>
      <c r="C1156" s="18" t="s">
        <v>928</v>
      </c>
      <c r="D1156" t="s">
        <v>1786</v>
      </c>
      <c r="E1156" t="s">
        <v>1853</v>
      </c>
      <c r="F1156">
        <v>138</v>
      </c>
      <c r="G1156">
        <f t="shared" si="74"/>
        <v>84</v>
      </c>
      <c r="H1156">
        <f t="shared" si="75"/>
        <v>231</v>
      </c>
      <c r="I1156">
        <v>849</v>
      </c>
      <c r="J1156">
        <v>2313</v>
      </c>
      <c r="K1156" s="18" t="s">
        <v>847</v>
      </c>
      <c r="L1156" s="21">
        <v>7.87</v>
      </c>
    </row>
    <row r="1157" spans="1:12" x14ac:dyDescent="0.25">
      <c r="A1157" t="str">
        <f t="shared" si="72"/>
        <v>2013-ST-I-S-93-597-2428</v>
      </c>
      <c r="B1157" t="str">
        <f t="shared" si="73"/>
        <v>2013</v>
      </c>
      <c r="C1157" s="18" t="s">
        <v>852</v>
      </c>
      <c r="D1157" t="s">
        <v>1786</v>
      </c>
      <c r="E1157" t="s">
        <v>1854</v>
      </c>
      <c r="F1157">
        <v>93</v>
      </c>
      <c r="G1157">
        <f t="shared" si="74"/>
        <v>59</v>
      </c>
      <c r="H1157">
        <f t="shared" si="75"/>
        <v>242</v>
      </c>
      <c r="I1157">
        <v>597</v>
      </c>
      <c r="J1157">
        <v>2428</v>
      </c>
      <c r="K1157" s="18" t="s">
        <v>929</v>
      </c>
      <c r="L1157" s="21">
        <v>5.59</v>
      </c>
    </row>
    <row r="1158" spans="1:12" x14ac:dyDescent="0.25">
      <c r="A1158" t="str">
        <f t="shared" si="72"/>
        <v>2013-ST-I-S-96-636-2346</v>
      </c>
      <c r="B1158" t="str">
        <f t="shared" si="73"/>
        <v>2013</v>
      </c>
      <c r="C1158" s="18" t="s">
        <v>852</v>
      </c>
      <c r="D1158" t="s">
        <v>1786</v>
      </c>
      <c r="E1158" t="s">
        <v>1855</v>
      </c>
      <c r="F1158">
        <v>96</v>
      </c>
      <c r="G1158">
        <f t="shared" si="74"/>
        <v>63</v>
      </c>
      <c r="H1158">
        <f t="shared" si="75"/>
        <v>234</v>
      </c>
      <c r="I1158">
        <v>636</v>
      </c>
      <c r="J1158">
        <v>2346</v>
      </c>
      <c r="K1158" s="18" t="s">
        <v>929</v>
      </c>
      <c r="L1158" s="21">
        <v>5.63</v>
      </c>
    </row>
    <row r="1159" spans="1:12" x14ac:dyDescent="0.25">
      <c r="A1159" t="str">
        <f t="shared" si="72"/>
        <v>2013-ST-I-S-105-683-2352</v>
      </c>
      <c r="B1159" t="str">
        <f t="shared" si="73"/>
        <v>2013</v>
      </c>
      <c r="C1159" s="18" t="s">
        <v>852</v>
      </c>
      <c r="D1159" t="s">
        <v>1786</v>
      </c>
      <c r="E1159" t="s">
        <v>1856</v>
      </c>
      <c r="F1159">
        <v>105</v>
      </c>
      <c r="G1159">
        <f t="shared" si="74"/>
        <v>68</v>
      </c>
      <c r="H1159">
        <f t="shared" si="75"/>
        <v>235</v>
      </c>
      <c r="I1159">
        <v>683</v>
      </c>
      <c r="J1159">
        <v>2352</v>
      </c>
      <c r="K1159" s="18" t="s">
        <v>929</v>
      </c>
      <c r="L1159" s="21">
        <v>6.01</v>
      </c>
    </row>
    <row r="1160" spans="1:12" x14ac:dyDescent="0.25">
      <c r="A1160" t="str">
        <f t="shared" si="72"/>
        <v>2013-ST-I-S-110-754-2269</v>
      </c>
      <c r="B1160" t="str">
        <f t="shared" si="73"/>
        <v>2013</v>
      </c>
      <c r="C1160" s="18" t="s">
        <v>852</v>
      </c>
      <c r="D1160" t="s">
        <v>1786</v>
      </c>
      <c r="E1160" t="s">
        <v>1857</v>
      </c>
      <c r="F1160">
        <v>110</v>
      </c>
      <c r="G1160">
        <f t="shared" si="74"/>
        <v>75</v>
      </c>
      <c r="H1160">
        <f t="shared" si="75"/>
        <v>226</v>
      </c>
      <c r="I1160">
        <v>754</v>
      </c>
      <c r="J1160">
        <v>2269</v>
      </c>
      <c r="K1160" s="18" t="s">
        <v>929</v>
      </c>
      <c r="L1160" s="21">
        <v>6.3</v>
      </c>
    </row>
    <row r="1161" spans="1:12" x14ac:dyDescent="0.25">
      <c r="A1161" t="str">
        <f t="shared" si="72"/>
        <v>2013-ST-I-S-121-805-2283</v>
      </c>
      <c r="B1161" t="str">
        <f t="shared" si="73"/>
        <v>2013</v>
      </c>
      <c r="C1161" s="18" t="s">
        <v>852</v>
      </c>
      <c r="D1161" t="s">
        <v>1786</v>
      </c>
      <c r="E1161" t="s">
        <v>1858</v>
      </c>
      <c r="F1161">
        <v>121</v>
      </c>
      <c r="G1161">
        <f t="shared" si="74"/>
        <v>80</v>
      </c>
      <c r="H1161">
        <f t="shared" si="75"/>
        <v>228</v>
      </c>
      <c r="I1161">
        <v>805</v>
      </c>
      <c r="J1161">
        <v>2283</v>
      </c>
      <c r="K1161" s="18" t="s">
        <v>929</v>
      </c>
      <c r="L1161" s="21">
        <v>6.59</v>
      </c>
    </row>
    <row r="1162" spans="1:12" x14ac:dyDescent="0.25">
      <c r="A1162" t="str">
        <f t="shared" si="72"/>
        <v>2013-ST-I-S-129-850-2278</v>
      </c>
      <c r="B1162" t="str">
        <f t="shared" si="73"/>
        <v>2013</v>
      </c>
      <c r="C1162" s="18" t="s">
        <v>852</v>
      </c>
      <c r="D1162" t="s">
        <v>1786</v>
      </c>
      <c r="E1162" t="s">
        <v>1859</v>
      </c>
      <c r="F1162">
        <v>129</v>
      </c>
      <c r="G1162">
        <f t="shared" si="74"/>
        <v>85</v>
      </c>
      <c r="H1162">
        <f t="shared" si="75"/>
        <v>227</v>
      </c>
      <c r="I1162">
        <v>850</v>
      </c>
      <c r="J1162">
        <v>2278</v>
      </c>
      <c r="K1162" s="18" t="s">
        <v>929</v>
      </c>
      <c r="L1162" s="21">
        <v>7.05</v>
      </c>
    </row>
    <row r="1163" spans="1:12" x14ac:dyDescent="0.25">
      <c r="A1163" t="str">
        <f t="shared" si="72"/>
        <v>2013-ST-I-S-82-567-2456</v>
      </c>
      <c r="B1163" t="str">
        <f t="shared" si="73"/>
        <v>2013</v>
      </c>
      <c r="C1163" s="18" t="s">
        <v>852</v>
      </c>
      <c r="D1163" t="s">
        <v>1786</v>
      </c>
      <c r="E1163" t="s">
        <v>1860</v>
      </c>
      <c r="F1163">
        <v>82</v>
      </c>
      <c r="G1163">
        <f t="shared" si="74"/>
        <v>56</v>
      </c>
      <c r="H1163">
        <f t="shared" si="75"/>
        <v>245</v>
      </c>
      <c r="I1163">
        <v>567</v>
      </c>
      <c r="J1163">
        <v>2456</v>
      </c>
      <c r="K1163" s="18" t="s">
        <v>929</v>
      </c>
      <c r="L1163" s="21">
        <v>5.3</v>
      </c>
    </row>
    <row r="1164" spans="1:12" x14ac:dyDescent="0.25">
      <c r="A1164" t="str">
        <f t="shared" si="72"/>
        <v>2013-ST-I-S-87-565-2430</v>
      </c>
      <c r="B1164" t="str">
        <f t="shared" si="73"/>
        <v>2013</v>
      </c>
      <c r="C1164" s="18" t="s">
        <v>852</v>
      </c>
      <c r="D1164" t="s">
        <v>1786</v>
      </c>
      <c r="E1164" t="s">
        <v>1861</v>
      </c>
      <c r="F1164">
        <v>87</v>
      </c>
      <c r="G1164">
        <f t="shared" si="74"/>
        <v>56</v>
      </c>
      <c r="H1164">
        <f t="shared" si="75"/>
        <v>243</v>
      </c>
      <c r="I1164">
        <v>565</v>
      </c>
      <c r="J1164">
        <v>2430</v>
      </c>
      <c r="K1164" s="18" t="s">
        <v>929</v>
      </c>
      <c r="L1164" s="21">
        <v>5.4</v>
      </c>
    </row>
    <row r="1165" spans="1:12" x14ac:dyDescent="0.25">
      <c r="A1165" t="str">
        <f t="shared" si="72"/>
        <v>2013-ST-I-S-136-850-2311</v>
      </c>
      <c r="B1165" t="str">
        <f t="shared" si="73"/>
        <v>2013</v>
      </c>
      <c r="C1165" s="18" t="s">
        <v>852</v>
      </c>
      <c r="D1165" t="s">
        <v>1786</v>
      </c>
      <c r="E1165" t="s">
        <v>1862</v>
      </c>
      <c r="F1165">
        <v>136</v>
      </c>
      <c r="G1165">
        <f t="shared" si="74"/>
        <v>85</v>
      </c>
      <c r="H1165">
        <f t="shared" si="75"/>
        <v>231</v>
      </c>
      <c r="I1165">
        <v>850</v>
      </c>
      <c r="J1165">
        <v>2311</v>
      </c>
      <c r="K1165" s="18" t="s">
        <v>929</v>
      </c>
      <c r="L1165" s="21">
        <v>7</v>
      </c>
    </row>
    <row r="1166" spans="1:12" x14ac:dyDescent="0.25">
      <c r="A1166" t="str">
        <f t="shared" si="72"/>
        <v>2014-ST-I-S-82-582-2359</v>
      </c>
      <c r="B1166" t="str">
        <f t="shared" si="73"/>
        <v>2014</v>
      </c>
      <c r="C1166" s="18" t="s">
        <v>733</v>
      </c>
      <c r="D1166" t="s">
        <v>1786</v>
      </c>
      <c r="E1166" t="s">
        <v>1860</v>
      </c>
      <c r="F1166">
        <v>82</v>
      </c>
      <c r="G1166">
        <f t="shared" si="74"/>
        <v>58</v>
      </c>
      <c r="H1166">
        <f t="shared" si="75"/>
        <v>235</v>
      </c>
      <c r="I1166">
        <v>582</v>
      </c>
      <c r="J1166">
        <v>2359</v>
      </c>
      <c r="K1166" s="18" t="s">
        <v>853</v>
      </c>
      <c r="L1166" s="21">
        <v>5.2</v>
      </c>
    </row>
    <row r="1167" spans="1:12" x14ac:dyDescent="0.25">
      <c r="A1167" t="str">
        <f t="shared" si="72"/>
        <v>2014-ST-I-S-82-582-2359</v>
      </c>
      <c r="B1167" t="str">
        <f t="shared" si="73"/>
        <v>2014</v>
      </c>
      <c r="C1167" s="18" t="s">
        <v>733</v>
      </c>
      <c r="D1167" t="s">
        <v>1786</v>
      </c>
      <c r="E1167" t="s">
        <v>1863</v>
      </c>
      <c r="F1167">
        <v>82</v>
      </c>
      <c r="G1167">
        <f t="shared" si="74"/>
        <v>58</v>
      </c>
      <c r="H1167">
        <f t="shared" si="75"/>
        <v>235</v>
      </c>
      <c r="I1167">
        <v>582</v>
      </c>
      <c r="J1167">
        <v>2359</v>
      </c>
      <c r="K1167" s="18" t="s">
        <v>853</v>
      </c>
      <c r="L1167" s="21">
        <v>6</v>
      </c>
    </row>
    <row r="1168" spans="1:12" x14ac:dyDescent="0.25">
      <c r="A1168" t="str">
        <f t="shared" si="72"/>
        <v>2014-ST-I-S-87-588-2361</v>
      </c>
      <c r="B1168" t="str">
        <f t="shared" si="73"/>
        <v>2014</v>
      </c>
      <c r="C1168" s="18" t="s">
        <v>733</v>
      </c>
      <c r="D1168" t="s">
        <v>1786</v>
      </c>
      <c r="E1168" t="s">
        <v>1861</v>
      </c>
      <c r="F1168">
        <v>87</v>
      </c>
      <c r="G1168">
        <f t="shared" si="74"/>
        <v>58</v>
      </c>
      <c r="H1168">
        <f t="shared" si="75"/>
        <v>236</v>
      </c>
      <c r="I1168">
        <v>588</v>
      </c>
      <c r="J1168">
        <v>2361</v>
      </c>
      <c r="K1168" s="18" t="s">
        <v>853</v>
      </c>
      <c r="L1168" s="21">
        <v>5.4</v>
      </c>
    </row>
    <row r="1169" spans="1:12" x14ac:dyDescent="0.25">
      <c r="A1169" t="str">
        <f t="shared" si="72"/>
        <v>2014-ST-I-S-87-588-2361</v>
      </c>
      <c r="B1169" t="str">
        <f t="shared" si="73"/>
        <v>2014</v>
      </c>
      <c r="C1169" s="18" t="s">
        <v>733</v>
      </c>
      <c r="D1169" t="s">
        <v>1786</v>
      </c>
      <c r="E1169" t="s">
        <v>1864</v>
      </c>
      <c r="F1169">
        <v>87</v>
      </c>
      <c r="G1169">
        <f t="shared" si="74"/>
        <v>58</v>
      </c>
      <c r="H1169">
        <f t="shared" si="75"/>
        <v>236</v>
      </c>
      <c r="I1169">
        <v>588</v>
      </c>
      <c r="J1169">
        <v>2361</v>
      </c>
      <c r="K1169" s="18" t="s">
        <v>853</v>
      </c>
      <c r="L1169" s="21">
        <v>6</v>
      </c>
    </row>
    <row r="1170" spans="1:12" x14ac:dyDescent="0.25">
      <c r="A1170" t="str">
        <f t="shared" si="72"/>
        <v>2014-ST-I-S-93-629-2398</v>
      </c>
      <c r="B1170" t="str">
        <f t="shared" si="73"/>
        <v>2014</v>
      </c>
      <c r="C1170" s="18" t="s">
        <v>733</v>
      </c>
      <c r="D1170" t="s">
        <v>1786</v>
      </c>
      <c r="E1170" t="s">
        <v>1854</v>
      </c>
      <c r="F1170">
        <v>93</v>
      </c>
      <c r="G1170">
        <f t="shared" si="74"/>
        <v>62</v>
      </c>
      <c r="H1170">
        <f t="shared" si="75"/>
        <v>239</v>
      </c>
      <c r="I1170">
        <v>629</v>
      </c>
      <c r="J1170">
        <v>2398</v>
      </c>
      <c r="K1170" s="18" t="s">
        <v>853</v>
      </c>
      <c r="L1170" s="21">
        <v>5.5</v>
      </c>
    </row>
    <row r="1171" spans="1:12" x14ac:dyDescent="0.25">
      <c r="A1171" t="str">
        <f t="shared" si="72"/>
        <v>2014-ST-I-S-93-629-2398</v>
      </c>
      <c r="B1171" t="str">
        <f t="shared" si="73"/>
        <v>2014</v>
      </c>
      <c r="C1171" s="18" t="s">
        <v>733</v>
      </c>
      <c r="D1171" t="s">
        <v>1786</v>
      </c>
      <c r="E1171" t="s">
        <v>1865</v>
      </c>
      <c r="F1171">
        <v>93</v>
      </c>
      <c r="G1171">
        <f t="shared" si="74"/>
        <v>62</v>
      </c>
      <c r="H1171">
        <f t="shared" si="75"/>
        <v>239</v>
      </c>
      <c r="I1171">
        <v>629</v>
      </c>
      <c r="J1171">
        <v>2398</v>
      </c>
      <c r="K1171" s="18" t="s">
        <v>853</v>
      </c>
      <c r="L1171" s="21">
        <v>6.2</v>
      </c>
    </row>
    <row r="1172" spans="1:12" x14ac:dyDescent="0.25">
      <c r="A1172" t="str">
        <f t="shared" si="72"/>
        <v>2014-ST-I-S-95-656-2298</v>
      </c>
      <c r="B1172" t="str">
        <f t="shared" si="73"/>
        <v>2014</v>
      </c>
      <c r="C1172" s="18" t="s">
        <v>733</v>
      </c>
      <c r="D1172" t="s">
        <v>1786</v>
      </c>
      <c r="E1172" t="s">
        <v>1855</v>
      </c>
      <c r="F1172">
        <v>95</v>
      </c>
      <c r="G1172">
        <f t="shared" si="74"/>
        <v>65</v>
      </c>
      <c r="H1172">
        <f t="shared" si="75"/>
        <v>229</v>
      </c>
      <c r="I1172">
        <v>656</v>
      </c>
      <c r="J1172">
        <v>2298</v>
      </c>
      <c r="K1172" s="18" t="s">
        <v>853</v>
      </c>
      <c r="L1172" s="21">
        <v>5.7</v>
      </c>
    </row>
    <row r="1173" spans="1:12" x14ac:dyDescent="0.25">
      <c r="A1173" t="str">
        <f t="shared" si="72"/>
        <v>2014-ST-I-S-95-656-2298</v>
      </c>
      <c r="B1173" t="str">
        <f t="shared" si="73"/>
        <v>2014</v>
      </c>
      <c r="C1173" s="18" t="s">
        <v>733</v>
      </c>
      <c r="D1173" t="s">
        <v>1786</v>
      </c>
      <c r="E1173" t="s">
        <v>1866</v>
      </c>
      <c r="F1173">
        <v>95</v>
      </c>
      <c r="G1173">
        <f t="shared" si="74"/>
        <v>65</v>
      </c>
      <c r="H1173">
        <f t="shared" si="75"/>
        <v>229</v>
      </c>
      <c r="I1173">
        <v>656</v>
      </c>
      <c r="J1173">
        <v>2298</v>
      </c>
      <c r="K1173" s="18" t="s">
        <v>853</v>
      </c>
      <c r="L1173" s="21">
        <v>6.6</v>
      </c>
    </row>
    <row r="1174" spans="1:12" x14ac:dyDescent="0.25">
      <c r="A1174" t="str">
        <f t="shared" si="72"/>
        <v>2014-ST-I-S-105-696-2292</v>
      </c>
      <c r="B1174" t="str">
        <f t="shared" si="73"/>
        <v>2014</v>
      </c>
      <c r="C1174" s="18" t="s">
        <v>733</v>
      </c>
      <c r="D1174" t="s">
        <v>1786</v>
      </c>
      <c r="E1174" t="s">
        <v>1856</v>
      </c>
      <c r="F1174">
        <v>105</v>
      </c>
      <c r="G1174">
        <f t="shared" si="74"/>
        <v>69</v>
      </c>
      <c r="H1174">
        <f t="shared" si="75"/>
        <v>229</v>
      </c>
      <c r="I1174">
        <v>696</v>
      </c>
      <c r="J1174">
        <v>2292</v>
      </c>
      <c r="K1174" s="18" t="s">
        <v>853</v>
      </c>
      <c r="L1174" s="21">
        <v>6</v>
      </c>
    </row>
    <row r="1175" spans="1:12" x14ac:dyDescent="0.25">
      <c r="A1175" t="str">
        <f t="shared" si="72"/>
        <v>2014-ST-I-S-105-696-2292</v>
      </c>
      <c r="B1175" t="str">
        <f t="shared" si="73"/>
        <v>2014</v>
      </c>
      <c r="C1175" s="18" t="s">
        <v>733</v>
      </c>
      <c r="D1175" t="s">
        <v>1786</v>
      </c>
      <c r="E1175" t="s">
        <v>1867</v>
      </c>
      <c r="F1175">
        <v>105</v>
      </c>
      <c r="G1175">
        <f t="shared" si="74"/>
        <v>69</v>
      </c>
      <c r="H1175">
        <f t="shared" si="75"/>
        <v>229</v>
      </c>
      <c r="I1175">
        <v>696</v>
      </c>
      <c r="J1175">
        <v>2292</v>
      </c>
      <c r="K1175" s="18" t="s">
        <v>853</v>
      </c>
      <c r="L1175" s="21">
        <v>6.8</v>
      </c>
    </row>
    <row r="1176" spans="1:12" x14ac:dyDescent="0.25">
      <c r="A1176" t="str">
        <f t="shared" si="72"/>
        <v>2014-ST-I-S-112-734-2289</v>
      </c>
      <c r="B1176" t="str">
        <f t="shared" si="73"/>
        <v>2014</v>
      </c>
      <c r="C1176" s="18" t="s">
        <v>733</v>
      </c>
      <c r="D1176" t="s">
        <v>1786</v>
      </c>
      <c r="E1176" t="s">
        <v>1857</v>
      </c>
      <c r="F1176">
        <v>112</v>
      </c>
      <c r="G1176">
        <f t="shared" si="74"/>
        <v>73</v>
      </c>
      <c r="H1176">
        <f t="shared" si="75"/>
        <v>228</v>
      </c>
      <c r="I1176">
        <v>734</v>
      </c>
      <c r="J1176">
        <v>2289</v>
      </c>
      <c r="K1176" s="18" t="s">
        <v>853</v>
      </c>
      <c r="L1176" s="21">
        <v>6.3</v>
      </c>
    </row>
    <row r="1177" spans="1:12" x14ac:dyDescent="0.25">
      <c r="A1177" t="str">
        <f t="shared" si="72"/>
        <v>2014-ST-I-S-112-754-2289</v>
      </c>
      <c r="B1177" t="str">
        <f t="shared" si="73"/>
        <v>2014</v>
      </c>
      <c r="C1177" s="18" t="s">
        <v>733</v>
      </c>
      <c r="D1177" t="s">
        <v>1786</v>
      </c>
      <c r="E1177" t="s">
        <v>1868</v>
      </c>
      <c r="F1177">
        <v>112</v>
      </c>
      <c r="G1177">
        <f t="shared" si="74"/>
        <v>75</v>
      </c>
      <c r="H1177">
        <f t="shared" si="75"/>
        <v>228</v>
      </c>
      <c r="I1177">
        <v>754</v>
      </c>
      <c r="J1177">
        <v>2289</v>
      </c>
      <c r="K1177" s="18" t="s">
        <v>853</v>
      </c>
      <c r="L1177" s="21">
        <v>7.2</v>
      </c>
    </row>
    <row r="1178" spans="1:12" x14ac:dyDescent="0.25">
      <c r="A1178" t="str">
        <f t="shared" si="72"/>
        <v>2014-ST-I-S-121-803-2266</v>
      </c>
      <c r="B1178" t="str">
        <f t="shared" si="73"/>
        <v>2014</v>
      </c>
      <c r="C1178" s="18" t="s">
        <v>733</v>
      </c>
      <c r="D1178" t="s">
        <v>1786</v>
      </c>
      <c r="E1178" t="s">
        <v>1858</v>
      </c>
      <c r="F1178">
        <v>121</v>
      </c>
      <c r="G1178">
        <f t="shared" si="74"/>
        <v>80</v>
      </c>
      <c r="H1178">
        <f t="shared" si="75"/>
        <v>226</v>
      </c>
      <c r="I1178">
        <v>803</v>
      </c>
      <c r="J1178">
        <v>2266</v>
      </c>
      <c r="K1178" s="18" t="s">
        <v>853</v>
      </c>
      <c r="L1178" s="21">
        <v>6.6</v>
      </c>
    </row>
    <row r="1179" spans="1:12" x14ac:dyDescent="0.25">
      <c r="A1179" t="str">
        <f t="shared" si="72"/>
        <v>2014-ST-I-S-121-803-2266</v>
      </c>
      <c r="B1179" t="str">
        <f t="shared" si="73"/>
        <v>2014</v>
      </c>
      <c r="C1179" s="18" t="s">
        <v>733</v>
      </c>
      <c r="D1179" t="s">
        <v>1786</v>
      </c>
      <c r="E1179" t="s">
        <v>1869</v>
      </c>
      <c r="F1179">
        <v>121</v>
      </c>
      <c r="G1179">
        <f t="shared" si="74"/>
        <v>80</v>
      </c>
      <c r="H1179">
        <f t="shared" si="75"/>
        <v>226</v>
      </c>
      <c r="I1179">
        <v>803</v>
      </c>
      <c r="J1179">
        <v>2266</v>
      </c>
      <c r="K1179" s="18" t="s">
        <v>853</v>
      </c>
      <c r="L1179" s="21">
        <v>7.4</v>
      </c>
    </row>
    <row r="1180" spans="1:12" x14ac:dyDescent="0.25">
      <c r="A1180" t="str">
        <f t="shared" si="72"/>
        <v>2014-ST-I-S-131-849-2265</v>
      </c>
      <c r="B1180" t="str">
        <f t="shared" si="73"/>
        <v>2014</v>
      </c>
      <c r="C1180" s="18" t="s">
        <v>733</v>
      </c>
      <c r="D1180" t="s">
        <v>1786</v>
      </c>
      <c r="E1180" t="s">
        <v>1870</v>
      </c>
      <c r="F1180">
        <v>131</v>
      </c>
      <c r="G1180">
        <f t="shared" si="74"/>
        <v>84</v>
      </c>
      <c r="H1180">
        <f t="shared" si="75"/>
        <v>226</v>
      </c>
      <c r="I1180">
        <v>849</v>
      </c>
      <c r="J1180">
        <v>2265</v>
      </c>
      <c r="K1180" s="18" t="s">
        <v>853</v>
      </c>
      <c r="L1180" s="21">
        <v>6.9</v>
      </c>
    </row>
    <row r="1181" spans="1:12" x14ac:dyDescent="0.25">
      <c r="A1181" t="str">
        <f t="shared" si="72"/>
        <v>2014-ST-I-S-131-849-2265</v>
      </c>
      <c r="B1181" t="str">
        <f t="shared" si="73"/>
        <v>2014</v>
      </c>
      <c r="C1181" s="18" t="s">
        <v>733</v>
      </c>
      <c r="D1181" t="s">
        <v>1786</v>
      </c>
      <c r="E1181" t="s">
        <v>1871</v>
      </c>
      <c r="F1181">
        <v>131</v>
      </c>
      <c r="G1181">
        <f t="shared" si="74"/>
        <v>84</v>
      </c>
      <c r="H1181">
        <f t="shared" si="75"/>
        <v>226</v>
      </c>
      <c r="I1181">
        <v>849</v>
      </c>
      <c r="J1181">
        <v>2265</v>
      </c>
      <c r="K1181" s="18" t="s">
        <v>853</v>
      </c>
      <c r="L1181" s="21">
        <v>7.7</v>
      </c>
    </row>
    <row r="1182" spans="1:12" x14ac:dyDescent="0.25">
      <c r="A1182" t="str">
        <f t="shared" si="72"/>
        <v>2015-ST-I-S-82-583-2301</v>
      </c>
      <c r="B1182" t="str">
        <f t="shared" si="73"/>
        <v>2015</v>
      </c>
      <c r="C1182" s="18" t="s">
        <v>741</v>
      </c>
      <c r="D1182" t="s">
        <v>1786</v>
      </c>
      <c r="E1182" t="s">
        <v>1863</v>
      </c>
      <c r="F1182">
        <v>82</v>
      </c>
      <c r="G1182">
        <f t="shared" si="74"/>
        <v>58</v>
      </c>
      <c r="H1182">
        <f t="shared" si="75"/>
        <v>230</v>
      </c>
      <c r="I1182">
        <v>583</v>
      </c>
      <c r="J1182">
        <v>2301</v>
      </c>
      <c r="K1182" s="18" t="s">
        <v>733</v>
      </c>
      <c r="L1182" s="21">
        <v>5.9</v>
      </c>
    </row>
    <row r="1183" spans="1:12" x14ac:dyDescent="0.25">
      <c r="A1183" t="str">
        <f t="shared" si="72"/>
        <v>2015-ST-I-S-82-583-2301</v>
      </c>
      <c r="B1183" t="str">
        <f t="shared" si="73"/>
        <v>2015</v>
      </c>
      <c r="C1183" s="18" t="s">
        <v>741</v>
      </c>
      <c r="D1183" t="s">
        <v>1786</v>
      </c>
      <c r="E1183" t="s">
        <v>1860</v>
      </c>
      <c r="F1183">
        <v>82</v>
      </c>
      <c r="G1183">
        <f t="shared" si="74"/>
        <v>58</v>
      </c>
      <c r="H1183">
        <f t="shared" si="75"/>
        <v>230</v>
      </c>
      <c r="I1183">
        <v>583</v>
      </c>
      <c r="J1183">
        <v>2301</v>
      </c>
      <c r="K1183" s="18" t="s">
        <v>733</v>
      </c>
      <c r="L1183" s="21">
        <v>5.34</v>
      </c>
    </row>
    <row r="1184" spans="1:12" x14ac:dyDescent="0.25">
      <c r="A1184" t="str">
        <f t="shared" si="72"/>
        <v>2015-ST-I-S-86-599-2327</v>
      </c>
      <c r="B1184" t="str">
        <f t="shared" si="73"/>
        <v>2015</v>
      </c>
      <c r="C1184" s="18" t="s">
        <v>741</v>
      </c>
      <c r="D1184" t="s">
        <v>1786</v>
      </c>
      <c r="E1184" t="s">
        <v>1864</v>
      </c>
      <c r="F1184">
        <v>86</v>
      </c>
      <c r="G1184">
        <f t="shared" si="74"/>
        <v>59</v>
      </c>
      <c r="H1184">
        <f t="shared" si="75"/>
        <v>232</v>
      </c>
      <c r="I1184">
        <v>599</v>
      </c>
      <c r="J1184">
        <v>2327</v>
      </c>
      <c r="K1184" s="18" t="s">
        <v>733</v>
      </c>
      <c r="L1184" s="21">
        <v>6.1</v>
      </c>
    </row>
    <row r="1185" spans="1:12" x14ac:dyDescent="0.25">
      <c r="A1185" t="str">
        <f t="shared" si="72"/>
        <v>2015-ST-I-S-86-599-2327</v>
      </c>
      <c r="B1185" t="str">
        <f t="shared" si="73"/>
        <v>2015</v>
      </c>
      <c r="C1185" s="18" t="s">
        <v>741</v>
      </c>
      <c r="D1185" t="s">
        <v>1786</v>
      </c>
      <c r="E1185" t="s">
        <v>1861</v>
      </c>
      <c r="F1185">
        <v>86</v>
      </c>
      <c r="G1185">
        <f t="shared" si="74"/>
        <v>59</v>
      </c>
      <c r="H1185">
        <f t="shared" si="75"/>
        <v>232</v>
      </c>
      <c r="I1185">
        <v>599</v>
      </c>
      <c r="J1185">
        <v>2327</v>
      </c>
      <c r="K1185" s="18" t="s">
        <v>733</v>
      </c>
      <c r="L1185" s="21">
        <v>5.47</v>
      </c>
    </row>
    <row r="1186" spans="1:12" x14ac:dyDescent="0.25">
      <c r="A1186" t="str">
        <f t="shared" si="72"/>
        <v>2015-ST-I-S-90-629-2299</v>
      </c>
      <c r="B1186" t="str">
        <f t="shared" si="73"/>
        <v>2015</v>
      </c>
      <c r="C1186" s="18" t="s">
        <v>741</v>
      </c>
      <c r="D1186" t="s">
        <v>1786</v>
      </c>
      <c r="E1186" t="s">
        <v>1865</v>
      </c>
      <c r="F1186">
        <v>90</v>
      </c>
      <c r="G1186">
        <f t="shared" si="74"/>
        <v>62</v>
      </c>
      <c r="H1186">
        <f t="shared" si="75"/>
        <v>229</v>
      </c>
      <c r="I1186">
        <v>629</v>
      </c>
      <c r="J1186">
        <v>2299</v>
      </c>
      <c r="K1186" s="18" t="s">
        <v>733</v>
      </c>
      <c r="L1186" s="21">
        <v>6.3</v>
      </c>
    </row>
    <row r="1187" spans="1:12" x14ac:dyDescent="0.25">
      <c r="A1187" t="str">
        <f t="shared" si="72"/>
        <v>2015-ST-I-S-90-629-2299</v>
      </c>
      <c r="B1187" t="str">
        <f t="shared" si="73"/>
        <v>2015</v>
      </c>
      <c r="C1187" s="18" t="s">
        <v>741</v>
      </c>
      <c r="D1187" t="s">
        <v>1786</v>
      </c>
      <c r="E1187" t="s">
        <v>1854</v>
      </c>
      <c r="F1187">
        <v>90</v>
      </c>
      <c r="G1187">
        <f t="shared" si="74"/>
        <v>62</v>
      </c>
      <c r="H1187">
        <f t="shared" si="75"/>
        <v>229</v>
      </c>
      <c r="I1187">
        <v>629</v>
      </c>
      <c r="J1187">
        <v>2299</v>
      </c>
      <c r="K1187" s="18" t="s">
        <v>733</v>
      </c>
      <c r="L1187" s="21">
        <v>5.57</v>
      </c>
    </row>
    <row r="1188" spans="1:12" x14ac:dyDescent="0.25">
      <c r="A1188" t="str">
        <f t="shared" si="72"/>
        <v>2015-ST-I-S-94-655-2295</v>
      </c>
      <c r="B1188" t="str">
        <f t="shared" si="73"/>
        <v>2015</v>
      </c>
      <c r="C1188" s="18" t="s">
        <v>741</v>
      </c>
      <c r="D1188" t="s">
        <v>1786</v>
      </c>
      <c r="E1188" t="s">
        <v>1866</v>
      </c>
      <c r="F1188">
        <v>94</v>
      </c>
      <c r="G1188">
        <f t="shared" si="74"/>
        <v>65</v>
      </c>
      <c r="H1188">
        <f t="shared" si="75"/>
        <v>229</v>
      </c>
      <c r="I1188">
        <v>655</v>
      </c>
      <c r="J1188">
        <v>2295</v>
      </c>
      <c r="K1188" s="18" t="s">
        <v>733</v>
      </c>
      <c r="L1188" s="21">
        <v>6.6</v>
      </c>
    </row>
    <row r="1189" spans="1:12" x14ac:dyDescent="0.25">
      <c r="A1189" t="str">
        <f t="shared" si="72"/>
        <v>2015-ST-I-S-94-655-2295</v>
      </c>
      <c r="B1189" t="str">
        <f t="shared" si="73"/>
        <v>2015</v>
      </c>
      <c r="C1189" s="18" t="s">
        <v>741</v>
      </c>
      <c r="D1189" t="s">
        <v>1786</v>
      </c>
      <c r="E1189" t="s">
        <v>1855</v>
      </c>
      <c r="F1189">
        <v>94</v>
      </c>
      <c r="G1189">
        <f t="shared" si="74"/>
        <v>65</v>
      </c>
      <c r="H1189">
        <f t="shared" si="75"/>
        <v>229</v>
      </c>
      <c r="I1189">
        <v>655</v>
      </c>
      <c r="J1189">
        <v>2295</v>
      </c>
      <c r="K1189" s="18" t="s">
        <v>733</v>
      </c>
      <c r="L1189" s="21">
        <v>5.75</v>
      </c>
    </row>
    <row r="1190" spans="1:12" x14ac:dyDescent="0.25">
      <c r="A1190" t="str">
        <f t="shared" si="72"/>
        <v>2015-ST-I-S-106-706-2298</v>
      </c>
      <c r="B1190" t="str">
        <f t="shared" si="73"/>
        <v>2015</v>
      </c>
      <c r="C1190" s="18" t="s">
        <v>741</v>
      </c>
      <c r="D1190" t="s">
        <v>1786</v>
      </c>
      <c r="E1190" t="s">
        <v>1867</v>
      </c>
      <c r="F1190">
        <v>106</v>
      </c>
      <c r="G1190">
        <f t="shared" si="74"/>
        <v>70</v>
      </c>
      <c r="H1190">
        <f t="shared" si="75"/>
        <v>229</v>
      </c>
      <c r="I1190">
        <v>706</v>
      </c>
      <c r="J1190">
        <v>2298</v>
      </c>
      <c r="K1190" s="18" t="s">
        <v>733</v>
      </c>
      <c r="L1190" s="21">
        <v>6.89</v>
      </c>
    </row>
    <row r="1191" spans="1:12" x14ac:dyDescent="0.25">
      <c r="A1191" t="str">
        <f t="shared" si="72"/>
        <v>2015-ST-I-S-106-706-2298</v>
      </c>
      <c r="B1191" t="str">
        <f t="shared" si="73"/>
        <v>2015</v>
      </c>
      <c r="C1191" s="18" t="s">
        <v>741</v>
      </c>
      <c r="D1191" t="s">
        <v>1786</v>
      </c>
      <c r="E1191" t="s">
        <v>1856</v>
      </c>
      <c r="F1191">
        <v>106</v>
      </c>
      <c r="G1191">
        <f t="shared" si="74"/>
        <v>70</v>
      </c>
      <c r="H1191">
        <f t="shared" si="75"/>
        <v>229</v>
      </c>
      <c r="I1191">
        <v>706</v>
      </c>
      <c r="J1191">
        <v>2298</v>
      </c>
      <c r="K1191" s="18" t="s">
        <v>733</v>
      </c>
      <c r="L1191" s="21">
        <v>6.19</v>
      </c>
    </row>
    <row r="1192" spans="1:12" x14ac:dyDescent="0.25">
      <c r="A1192" t="str">
        <f t="shared" si="72"/>
        <v>2015-ST-I-S-111-753-2289</v>
      </c>
      <c r="B1192" t="str">
        <f t="shared" si="73"/>
        <v>2015</v>
      </c>
      <c r="C1192" s="18" t="s">
        <v>741</v>
      </c>
      <c r="D1192" t="s">
        <v>1786</v>
      </c>
      <c r="E1192" t="s">
        <v>1868</v>
      </c>
      <c r="F1192">
        <v>111</v>
      </c>
      <c r="G1192">
        <f t="shared" si="74"/>
        <v>75</v>
      </c>
      <c r="H1192">
        <f t="shared" si="75"/>
        <v>228</v>
      </c>
      <c r="I1192">
        <v>753</v>
      </c>
      <c r="J1192">
        <v>2289</v>
      </c>
      <c r="K1192" s="18" t="s">
        <v>733</v>
      </c>
      <c r="L1192" s="21">
        <v>7.2</v>
      </c>
    </row>
    <row r="1193" spans="1:12" x14ac:dyDescent="0.25">
      <c r="A1193" t="str">
        <f t="shared" si="72"/>
        <v>2015-ST-I-S-111-753-2289</v>
      </c>
      <c r="B1193" t="str">
        <f t="shared" si="73"/>
        <v>2015</v>
      </c>
      <c r="C1193" s="18" t="s">
        <v>741</v>
      </c>
      <c r="D1193" t="s">
        <v>1786</v>
      </c>
      <c r="E1193" t="s">
        <v>1857</v>
      </c>
      <c r="F1193">
        <v>111</v>
      </c>
      <c r="G1193">
        <f t="shared" si="74"/>
        <v>75</v>
      </c>
      <c r="H1193">
        <f t="shared" si="75"/>
        <v>228</v>
      </c>
      <c r="I1193">
        <v>753</v>
      </c>
      <c r="J1193">
        <v>2289</v>
      </c>
      <c r="K1193" s="18" t="s">
        <v>733</v>
      </c>
      <c r="L1193" s="21">
        <v>6.48</v>
      </c>
    </row>
    <row r="1194" spans="1:12" x14ac:dyDescent="0.25">
      <c r="A1194" t="str">
        <f t="shared" si="72"/>
        <v>2015-ST-I-S-122-803-2268</v>
      </c>
      <c r="B1194" t="str">
        <f t="shared" si="73"/>
        <v>2015</v>
      </c>
      <c r="C1194" s="18" t="s">
        <v>741</v>
      </c>
      <c r="D1194" t="s">
        <v>1786</v>
      </c>
      <c r="E1194" t="s">
        <v>1872</v>
      </c>
      <c r="F1194">
        <v>122</v>
      </c>
      <c r="G1194">
        <f t="shared" si="74"/>
        <v>80</v>
      </c>
      <c r="H1194">
        <f t="shared" si="75"/>
        <v>226</v>
      </c>
      <c r="I1194">
        <v>803</v>
      </c>
      <c r="J1194">
        <v>2268</v>
      </c>
      <c r="K1194" s="18" t="s">
        <v>733</v>
      </c>
      <c r="L1194" s="21">
        <v>7.4</v>
      </c>
    </row>
    <row r="1195" spans="1:12" x14ac:dyDescent="0.25">
      <c r="A1195" t="str">
        <f t="shared" si="72"/>
        <v>2015-ST-I-S-122-803-2268</v>
      </c>
      <c r="B1195" t="str">
        <f t="shared" si="73"/>
        <v>2015</v>
      </c>
      <c r="C1195" s="18" t="s">
        <v>741</v>
      </c>
      <c r="D1195" t="s">
        <v>1786</v>
      </c>
      <c r="E1195" t="s">
        <v>1873</v>
      </c>
      <c r="F1195">
        <v>122</v>
      </c>
      <c r="G1195">
        <f t="shared" si="74"/>
        <v>80</v>
      </c>
      <c r="H1195">
        <f t="shared" si="75"/>
        <v>226</v>
      </c>
      <c r="I1195">
        <v>803</v>
      </c>
      <c r="J1195">
        <v>2268</v>
      </c>
      <c r="K1195" s="18" t="s">
        <v>733</v>
      </c>
      <c r="L1195" s="21">
        <v>6.92</v>
      </c>
    </row>
    <row r="1196" spans="1:12" x14ac:dyDescent="0.25">
      <c r="A1196" t="str">
        <f t="shared" si="72"/>
        <v>2015-ST-I-S-130-850-2267</v>
      </c>
      <c r="B1196" t="str">
        <f t="shared" si="73"/>
        <v>2015</v>
      </c>
      <c r="C1196" s="18" t="s">
        <v>741</v>
      </c>
      <c r="D1196" t="s">
        <v>1786</v>
      </c>
      <c r="E1196" t="s">
        <v>1871</v>
      </c>
      <c r="F1196">
        <v>130</v>
      </c>
      <c r="G1196">
        <f t="shared" si="74"/>
        <v>85</v>
      </c>
      <c r="H1196">
        <f t="shared" si="75"/>
        <v>226</v>
      </c>
      <c r="I1196">
        <v>850</v>
      </c>
      <c r="J1196">
        <v>2267</v>
      </c>
      <c r="K1196" s="18" t="s">
        <v>733</v>
      </c>
      <c r="L1196" s="21">
        <v>7.7</v>
      </c>
    </row>
    <row r="1197" spans="1:12" x14ac:dyDescent="0.25">
      <c r="A1197" t="str">
        <f t="shared" si="72"/>
        <v>2015-ST-I-S-130-850-2267</v>
      </c>
      <c r="B1197" t="str">
        <f t="shared" si="73"/>
        <v>2015</v>
      </c>
      <c r="C1197" s="18" t="s">
        <v>741</v>
      </c>
      <c r="D1197" t="s">
        <v>1786</v>
      </c>
      <c r="E1197" t="s">
        <v>1870</v>
      </c>
      <c r="F1197">
        <v>130</v>
      </c>
      <c r="G1197">
        <f t="shared" si="74"/>
        <v>85</v>
      </c>
      <c r="H1197">
        <f t="shared" si="75"/>
        <v>226</v>
      </c>
      <c r="I1197">
        <v>850</v>
      </c>
      <c r="J1197">
        <v>2267</v>
      </c>
      <c r="K1197" s="18" t="s">
        <v>733</v>
      </c>
      <c r="L1197" s="21">
        <v>7.14</v>
      </c>
    </row>
    <row r="1198" spans="1:12" x14ac:dyDescent="0.25">
      <c r="A1198" t="str">
        <f t="shared" si="72"/>
        <v>2015-ST-Sla-111-753-2289</v>
      </c>
      <c r="B1198" t="str">
        <f t="shared" si="73"/>
        <v>2015</v>
      </c>
      <c r="C1198" s="18" t="s">
        <v>741</v>
      </c>
      <c r="D1198" t="s">
        <v>1786</v>
      </c>
      <c r="E1198" t="s">
        <v>1874</v>
      </c>
      <c r="F1198">
        <v>111</v>
      </c>
      <c r="G1198">
        <f t="shared" si="74"/>
        <v>75</v>
      </c>
      <c r="H1198">
        <f t="shared" si="75"/>
        <v>228</v>
      </c>
      <c r="I1198">
        <v>753</v>
      </c>
      <c r="J1198">
        <v>2289</v>
      </c>
      <c r="K1198" s="18" t="s">
        <v>733</v>
      </c>
      <c r="L1198" s="21">
        <v>6.89</v>
      </c>
    </row>
    <row r="1199" spans="1:12" x14ac:dyDescent="0.25">
      <c r="A1199" t="str">
        <f t="shared" si="72"/>
        <v>2016-ST-ISO-82-583-2316</v>
      </c>
      <c r="B1199" t="str">
        <f t="shared" si="73"/>
        <v>2016</v>
      </c>
      <c r="C1199" s="18" t="s">
        <v>747</v>
      </c>
      <c r="D1199" t="s">
        <v>1786</v>
      </c>
      <c r="E1199" t="s">
        <v>1875</v>
      </c>
      <c r="F1199">
        <v>82</v>
      </c>
      <c r="G1199">
        <f t="shared" si="74"/>
        <v>58</v>
      </c>
      <c r="H1199">
        <f t="shared" si="75"/>
        <v>231</v>
      </c>
      <c r="I1199">
        <v>583</v>
      </c>
      <c r="J1199">
        <v>2316</v>
      </c>
      <c r="K1199" s="18" t="s">
        <v>1120</v>
      </c>
      <c r="L1199" s="21">
        <v>5.3</v>
      </c>
    </row>
    <row r="1200" spans="1:12" x14ac:dyDescent="0.25">
      <c r="A1200" t="str">
        <f t="shared" si="72"/>
        <v>2016-ST-ISO-86-599-2342</v>
      </c>
      <c r="B1200" t="str">
        <f t="shared" si="73"/>
        <v>2016</v>
      </c>
      <c r="C1200" s="18" t="s">
        <v>747</v>
      </c>
      <c r="D1200" t="s">
        <v>1786</v>
      </c>
      <c r="E1200" t="s">
        <v>1812</v>
      </c>
      <c r="F1200">
        <v>86</v>
      </c>
      <c r="G1200">
        <f t="shared" si="74"/>
        <v>59</v>
      </c>
      <c r="H1200">
        <f t="shared" si="75"/>
        <v>234</v>
      </c>
      <c r="I1200">
        <v>599</v>
      </c>
      <c r="J1200">
        <v>2342</v>
      </c>
      <c r="K1200" s="18" t="s">
        <v>1120</v>
      </c>
      <c r="L1200" s="21">
        <v>5.5</v>
      </c>
    </row>
    <row r="1201" spans="1:12" x14ac:dyDescent="0.25">
      <c r="A1201" t="str">
        <f t="shared" si="72"/>
        <v>2016-ST-ISO-90-629-2314</v>
      </c>
      <c r="B1201" t="str">
        <f t="shared" si="73"/>
        <v>2016</v>
      </c>
      <c r="C1201" s="18" t="s">
        <v>747</v>
      </c>
      <c r="D1201" t="s">
        <v>1786</v>
      </c>
      <c r="E1201" t="s">
        <v>1876</v>
      </c>
      <c r="F1201">
        <v>90</v>
      </c>
      <c r="G1201">
        <f t="shared" si="74"/>
        <v>62</v>
      </c>
      <c r="H1201">
        <f t="shared" si="75"/>
        <v>231</v>
      </c>
      <c r="I1201">
        <v>629</v>
      </c>
      <c r="J1201">
        <v>2314</v>
      </c>
      <c r="K1201" s="18" t="s">
        <v>1120</v>
      </c>
      <c r="L1201" s="21">
        <v>5.6</v>
      </c>
    </row>
    <row r="1202" spans="1:12" x14ac:dyDescent="0.25">
      <c r="A1202" t="str">
        <f t="shared" si="72"/>
        <v>2016-ST-ISO-99-670-2310</v>
      </c>
      <c r="B1202" t="str">
        <f t="shared" si="73"/>
        <v>2016</v>
      </c>
      <c r="C1202" s="18" t="s">
        <v>747</v>
      </c>
      <c r="D1202" t="s">
        <v>1786</v>
      </c>
      <c r="E1202" t="s">
        <v>1877</v>
      </c>
      <c r="F1202">
        <v>99</v>
      </c>
      <c r="G1202">
        <f t="shared" si="74"/>
        <v>67</v>
      </c>
      <c r="H1202">
        <f t="shared" si="75"/>
        <v>231</v>
      </c>
      <c r="I1202">
        <v>670</v>
      </c>
      <c r="J1202">
        <v>2310</v>
      </c>
      <c r="K1202" s="18" t="s">
        <v>1120</v>
      </c>
      <c r="L1202" s="21">
        <v>5.9</v>
      </c>
    </row>
    <row r="1203" spans="1:12" x14ac:dyDescent="0.25">
      <c r="A1203" t="str">
        <f t="shared" si="72"/>
        <v>2016-ST-ISO-108-709-2311</v>
      </c>
      <c r="B1203" t="str">
        <f t="shared" si="73"/>
        <v>2016</v>
      </c>
      <c r="C1203" s="18" t="s">
        <v>747</v>
      </c>
      <c r="D1203" t="s">
        <v>1786</v>
      </c>
      <c r="E1203" t="s">
        <v>1878</v>
      </c>
      <c r="F1203">
        <v>108</v>
      </c>
      <c r="G1203">
        <f t="shared" si="74"/>
        <v>70</v>
      </c>
      <c r="H1203">
        <f t="shared" si="75"/>
        <v>231</v>
      </c>
      <c r="I1203">
        <v>709</v>
      </c>
      <c r="J1203">
        <v>2311</v>
      </c>
      <c r="K1203" s="18" t="s">
        <v>1120</v>
      </c>
      <c r="L1203" s="21">
        <v>6.2</v>
      </c>
    </row>
    <row r="1204" spans="1:12" x14ac:dyDescent="0.25">
      <c r="A1204" t="str">
        <f t="shared" si="72"/>
        <v>2016-ST-ISO-117-767-2308</v>
      </c>
      <c r="B1204" t="str">
        <f t="shared" si="73"/>
        <v>2016</v>
      </c>
      <c r="C1204" s="18" t="s">
        <v>747</v>
      </c>
      <c r="D1204" t="s">
        <v>1786</v>
      </c>
      <c r="E1204" t="s">
        <v>1879</v>
      </c>
      <c r="F1204">
        <v>117</v>
      </c>
      <c r="G1204">
        <f t="shared" si="74"/>
        <v>76</v>
      </c>
      <c r="H1204">
        <f t="shared" si="75"/>
        <v>230</v>
      </c>
      <c r="I1204">
        <v>767</v>
      </c>
      <c r="J1204">
        <v>2308</v>
      </c>
      <c r="K1204" s="18" t="s">
        <v>1120</v>
      </c>
      <c r="L1204" s="21">
        <v>6.6</v>
      </c>
    </row>
    <row r="1205" spans="1:12" x14ac:dyDescent="0.25">
      <c r="A1205" t="str">
        <f t="shared" si="72"/>
        <v>2016-ST-ISO-128-820-2266</v>
      </c>
      <c r="B1205" t="str">
        <f t="shared" si="73"/>
        <v>2016</v>
      </c>
      <c r="C1205" s="18" t="s">
        <v>747</v>
      </c>
      <c r="D1205" t="s">
        <v>1786</v>
      </c>
      <c r="E1205" t="s">
        <v>1880</v>
      </c>
      <c r="F1205">
        <v>128</v>
      </c>
      <c r="G1205">
        <f t="shared" si="74"/>
        <v>82</v>
      </c>
      <c r="H1205">
        <f t="shared" si="75"/>
        <v>226</v>
      </c>
      <c r="I1205">
        <v>820</v>
      </c>
      <c r="J1205">
        <v>2266</v>
      </c>
      <c r="K1205" s="18" t="s">
        <v>1120</v>
      </c>
      <c r="L1205" s="21">
        <v>6.9</v>
      </c>
    </row>
    <row r="1206" spans="1:12" x14ac:dyDescent="0.25">
      <c r="A1206" t="str">
        <f t="shared" si="72"/>
        <v>2016-ST-ISO-134-849-2284</v>
      </c>
      <c r="B1206" t="str">
        <f t="shared" si="73"/>
        <v>2016</v>
      </c>
      <c r="C1206" s="18" t="s">
        <v>747</v>
      </c>
      <c r="D1206" t="s">
        <v>1786</v>
      </c>
      <c r="E1206" t="s">
        <v>1881</v>
      </c>
      <c r="F1206">
        <v>134</v>
      </c>
      <c r="G1206">
        <f t="shared" si="74"/>
        <v>84</v>
      </c>
      <c r="H1206">
        <f t="shared" si="75"/>
        <v>228</v>
      </c>
      <c r="I1206">
        <v>849</v>
      </c>
      <c r="J1206">
        <v>2284</v>
      </c>
      <c r="K1206" s="18" t="s">
        <v>1120</v>
      </c>
      <c r="L1206" s="21">
        <v>7.2</v>
      </c>
    </row>
    <row r="1207" spans="1:12" x14ac:dyDescent="0.25">
      <c r="A1207" t="str">
        <f t="shared" si="72"/>
        <v>2017-ST-ISO-69-502-2315</v>
      </c>
      <c r="B1207" t="str">
        <f t="shared" si="73"/>
        <v>2017</v>
      </c>
      <c r="C1207" s="18" t="s">
        <v>753</v>
      </c>
      <c r="D1207" t="s">
        <v>1786</v>
      </c>
      <c r="E1207" t="s">
        <v>1882</v>
      </c>
      <c r="F1207">
        <v>69</v>
      </c>
      <c r="G1207">
        <f t="shared" si="74"/>
        <v>50</v>
      </c>
      <c r="H1207">
        <f t="shared" si="75"/>
        <v>231</v>
      </c>
      <c r="I1207">
        <v>502</v>
      </c>
      <c r="J1207">
        <v>2315</v>
      </c>
      <c r="K1207" s="18" t="s">
        <v>1883</v>
      </c>
      <c r="L1207" s="21">
        <v>4.5999999999999996</v>
      </c>
    </row>
    <row r="1208" spans="1:12" x14ac:dyDescent="0.25">
      <c r="A1208" t="str">
        <f t="shared" si="72"/>
        <v>2017-ST-ISO-77-552-2316</v>
      </c>
      <c r="B1208" t="str">
        <f t="shared" si="73"/>
        <v>2017</v>
      </c>
      <c r="C1208" s="18" t="s">
        <v>753</v>
      </c>
      <c r="D1208" t="s">
        <v>1786</v>
      </c>
      <c r="E1208" t="s">
        <v>1884</v>
      </c>
      <c r="F1208">
        <v>77</v>
      </c>
      <c r="G1208">
        <f t="shared" si="74"/>
        <v>55</v>
      </c>
      <c r="H1208">
        <f t="shared" si="75"/>
        <v>231</v>
      </c>
      <c r="I1208">
        <v>552</v>
      </c>
      <c r="J1208">
        <v>2316</v>
      </c>
      <c r="K1208" s="18" t="s">
        <v>1883</v>
      </c>
      <c r="L1208" s="21">
        <v>4.8</v>
      </c>
    </row>
    <row r="1209" spans="1:12" x14ac:dyDescent="0.25">
      <c r="A1209" t="str">
        <f t="shared" si="72"/>
        <v>2017-ST-ISO-82-589-2310</v>
      </c>
      <c r="B1209" t="str">
        <f t="shared" si="73"/>
        <v>2017</v>
      </c>
      <c r="C1209" s="18" t="s">
        <v>753</v>
      </c>
      <c r="D1209" t="s">
        <v>1786</v>
      </c>
      <c r="E1209" t="s">
        <v>1875</v>
      </c>
      <c r="F1209">
        <v>82</v>
      </c>
      <c r="G1209">
        <f t="shared" si="74"/>
        <v>58</v>
      </c>
      <c r="H1209">
        <f t="shared" si="75"/>
        <v>231</v>
      </c>
      <c r="I1209">
        <v>589</v>
      </c>
      <c r="J1209">
        <v>2310</v>
      </c>
      <c r="K1209" s="18" t="s">
        <v>1883</v>
      </c>
      <c r="L1209" s="21">
        <v>5</v>
      </c>
    </row>
    <row r="1210" spans="1:12" x14ac:dyDescent="0.25">
      <c r="A1210" t="str">
        <f t="shared" si="72"/>
        <v>2017-ST-ISO-84-600-2316</v>
      </c>
      <c r="B1210" t="str">
        <f t="shared" si="73"/>
        <v>2017</v>
      </c>
      <c r="C1210" s="18" t="s">
        <v>753</v>
      </c>
      <c r="D1210" t="s">
        <v>1786</v>
      </c>
      <c r="E1210" t="s">
        <v>1812</v>
      </c>
      <c r="F1210">
        <v>84</v>
      </c>
      <c r="G1210">
        <f t="shared" si="74"/>
        <v>60</v>
      </c>
      <c r="H1210">
        <f t="shared" si="75"/>
        <v>231</v>
      </c>
      <c r="I1210">
        <v>600</v>
      </c>
      <c r="J1210">
        <v>2316</v>
      </c>
      <c r="K1210" s="18" t="s">
        <v>1883</v>
      </c>
      <c r="L1210" s="21">
        <v>5.25</v>
      </c>
    </row>
    <row r="1211" spans="1:12" x14ac:dyDescent="0.25">
      <c r="A1211" t="str">
        <f t="shared" si="72"/>
        <v>2017-ST-ISO-90-620-2315</v>
      </c>
      <c r="B1211" t="str">
        <f t="shared" si="73"/>
        <v>2017</v>
      </c>
      <c r="C1211" s="18" t="s">
        <v>753</v>
      </c>
      <c r="D1211" t="s">
        <v>1786</v>
      </c>
      <c r="E1211" t="s">
        <v>1876</v>
      </c>
      <c r="F1211">
        <v>90</v>
      </c>
      <c r="G1211">
        <f t="shared" si="74"/>
        <v>62</v>
      </c>
      <c r="H1211">
        <f t="shared" si="75"/>
        <v>231</v>
      </c>
      <c r="I1211">
        <v>620</v>
      </c>
      <c r="J1211">
        <v>2315</v>
      </c>
      <c r="K1211" s="18" t="s">
        <v>1883</v>
      </c>
      <c r="L1211" s="21">
        <v>5.42</v>
      </c>
    </row>
    <row r="1212" spans="1:12" x14ac:dyDescent="0.25">
      <c r="A1212" t="str">
        <f t="shared" si="72"/>
        <v>2017-ST-ISO-105-672-2307</v>
      </c>
      <c r="B1212" t="str">
        <f t="shared" si="73"/>
        <v>2017</v>
      </c>
      <c r="C1212" s="18" t="s">
        <v>753</v>
      </c>
      <c r="D1212" t="s">
        <v>1786</v>
      </c>
      <c r="E1212" t="s">
        <v>1877</v>
      </c>
      <c r="F1212">
        <v>105</v>
      </c>
      <c r="G1212">
        <f t="shared" si="74"/>
        <v>67</v>
      </c>
      <c r="H1212">
        <f t="shared" si="75"/>
        <v>230</v>
      </c>
      <c r="I1212">
        <v>672</v>
      </c>
      <c r="J1212">
        <v>2307</v>
      </c>
      <c r="K1212" s="18" t="s">
        <v>1883</v>
      </c>
      <c r="L1212" s="21">
        <v>5.85</v>
      </c>
    </row>
    <row r="1213" spans="1:12" x14ac:dyDescent="0.25">
      <c r="A1213" t="str">
        <f t="shared" si="72"/>
        <v>2017-ST-ISO-107-708-2312</v>
      </c>
      <c r="B1213" t="str">
        <f t="shared" si="73"/>
        <v>2017</v>
      </c>
      <c r="C1213" s="18" t="s">
        <v>753</v>
      </c>
      <c r="D1213" t="s">
        <v>1786</v>
      </c>
      <c r="E1213" t="s">
        <v>1878</v>
      </c>
      <c r="F1213">
        <v>107</v>
      </c>
      <c r="G1213">
        <f t="shared" si="74"/>
        <v>70</v>
      </c>
      <c r="H1213">
        <f t="shared" si="75"/>
        <v>231</v>
      </c>
      <c r="I1213">
        <v>708</v>
      </c>
      <c r="J1213">
        <v>2312</v>
      </c>
      <c r="K1213" s="18" t="s">
        <v>1883</v>
      </c>
      <c r="L1213" s="21">
        <v>6.04</v>
      </c>
    </row>
    <row r="1214" spans="1:12" x14ac:dyDescent="0.25">
      <c r="A1214" t="str">
        <f t="shared" si="72"/>
        <v>2017-ST-ISO-117-767-2308</v>
      </c>
      <c r="B1214" t="str">
        <f t="shared" si="73"/>
        <v>2017</v>
      </c>
      <c r="C1214" s="18" t="s">
        <v>753</v>
      </c>
      <c r="D1214" t="s">
        <v>1786</v>
      </c>
      <c r="E1214" t="s">
        <v>1885</v>
      </c>
      <c r="F1214">
        <v>117</v>
      </c>
      <c r="G1214">
        <f t="shared" si="74"/>
        <v>76</v>
      </c>
      <c r="H1214">
        <f t="shared" si="75"/>
        <v>230</v>
      </c>
      <c r="I1214">
        <v>767</v>
      </c>
      <c r="J1214">
        <v>2308</v>
      </c>
      <c r="K1214" s="18" t="s">
        <v>1883</v>
      </c>
      <c r="L1214" s="21">
        <v>6.36</v>
      </c>
    </row>
    <row r="1215" spans="1:12" x14ac:dyDescent="0.25">
      <c r="A1215" t="str">
        <f t="shared" si="72"/>
        <v>2017-ST-ISO-134-820-2306</v>
      </c>
      <c r="B1215" t="str">
        <f t="shared" si="73"/>
        <v>2017</v>
      </c>
      <c r="C1215" s="18" t="s">
        <v>753</v>
      </c>
      <c r="D1215" t="s">
        <v>1786</v>
      </c>
      <c r="E1215" t="s">
        <v>1886</v>
      </c>
      <c r="F1215">
        <v>134</v>
      </c>
      <c r="G1215">
        <f t="shared" si="74"/>
        <v>82</v>
      </c>
      <c r="H1215">
        <f t="shared" si="75"/>
        <v>230</v>
      </c>
      <c r="I1215">
        <v>820</v>
      </c>
      <c r="J1215">
        <v>2306</v>
      </c>
      <c r="K1215" s="18" t="s">
        <v>1883</v>
      </c>
      <c r="L1215" s="21">
        <v>6.9</v>
      </c>
    </row>
    <row r="1216" spans="1:12" x14ac:dyDescent="0.25">
      <c r="A1216" t="str">
        <f t="shared" si="72"/>
        <v>2017-ST-ISO-142-850-2309</v>
      </c>
      <c r="B1216" t="str">
        <f t="shared" si="73"/>
        <v>2017</v>
      </c>
      <c r="C1216" s="18" t="s">
        <v>753</v>
      </c>
      <c r="D1216" t="s">
        <v>1786</v>
      </c>
      <c r="E1216" t="s">
        <v>1887</v>
      </c>
      <c r="F1216">
        <v>142</v>
      </c>
      <c r="G1216">
        <f t="shared" si="74"/>
        <v>85</v>
      </c>
      <c r="H1216">
        <f t="shared" si="75"/>
        <v>230</v>
      </c>
      <c r="I1216">
        <v>850</v>
      </c>
      <c r="J1216">
        <v>2309</v>
      </c>
      <c r="K1216" s="18" t="s">
        <v>1883</v>
      </c>
      <c r="L1216" s="21">
        <v>7.15</v>
      </c>
    </row>
    <row r="1217" spans="1:12" x14ac:dyDescent="0.25">
      <c r="A1217" t="str">
        <f t="shared" si="72"/>
        <v>2018-ST-ISO-82-589-2310</v>
      </c>
      <c r="B1217" t="str">
        <f t="shared" si="73"/>
        <v>2018</v>
      </c>
      <c r="C1217" s="18" t="s">
        <v>760</v>
      </c>
      <c r="D1217" t="s">
        <v>1786</v>
      </c>
      <c r="E1217" t="s">
        <v>1875</v>
      </c>
      <c r="F1217">
        <v>82</v>
      </c>
      <c r="G1217">
        <f t="shared" si="74"/>
        <v>58</v>
      </c>
      <c r="H1217">
        <f t="shared" si="75"/>
        <v>231</v>
      </c>
      <c r="I1217">
        <v>589</v>
      </c>
      <c r="J1217">
        <v>2310</v>
      </c>
      <c r="K1217" s="18" t="s">
        <v>1888</v>
      </c>
      <c r="L1217" s="21">
        <v>5.0999999999999996</v>
      </c>
    </row>
    <row r="1218" spans="1:12" x14ac:dyDescent="0.25">
      <c r="A1218" t="str">
        <f t="shared" ref="A1218:A1281" si="76">_xlfn.CONCAT(B1218,"-",LEFT(D1218,2),"-",LEFT(E1218,3),"-",F1218,"-",TRUNC(I1218),"-",TRUNC(J1218))</f>
        <v>2018-ST-ISO-84-600-2316</v>
      </c>
      <c r="B1218" t="str">
        <f t="shared" ref="B1218:B1281" si="77">LEFT(C1218,4)</f>
        <v>2018</v>
      </c>
      <c r="C1218" s="18" t="s">
        <v>760</v>
      </c>
      <c r="D1218" t="s">
        <v>1786</v>
      </c>
      <c r="E1218" t="s">
        <v>1812</v>
      </c>
      <c r="F1218">
        <v>84</v>
      </c>
      <c r="G1218">
        <f t="shared" si="74"/>
        <v>60</v>
      </c>
      <c r="H1218">
        <f t="shared" si="75"/>
        <v>231</v>
      </c>
      <c r="I1218">
        <v>600</v>
      </c>
      <c r="J1218">
        <v>2316</v>
      </c>
      <c r="K1218" s="18" t="s">
        <v>1888</v>
      </c>
      <c r="L1218" s="21">
        <v>5.3</v>
      </c>
    </row>
    <row r="1219" spans="1:12" x14ac:dyDescent="0.25">
      <c r="A1219" t="str">
        <f t="shared" si="76"/>
        <v>2018-ST-ISO-91-623-2320</v>
      </c>
      <c r="B1219" t="str">
        <f t="shared" si="77"/>
        <v>2018</v>
      </c>
      <c r="C1219" s="18" t="s">
        <v>760</v>
      </c>
      <c r="D1219" t="s">
        <v>1786</v>
      </c>
      <c r="E1219" t="s">
        <v>1876</v>
      </c>
      <c r="F1219">
        <v>91</v>
      </c>
      <c r="G1219">
        <f t="shared" ref="G1219:G1282" si="78">TRUNC(I1219/10)</f>
        <v>62</v>
      </c>
      <c r="H1219">
        <f t="shared" ref="H1219:H1282" si="79">TRUNC(J1219/10)</f>
        <v>232</v>
      </c>
      <c r="I1219">
        <v>623</v>
      </c>
      <c r="J1219">
        <v>2320</v>
      </c>
      <c r="K1219" s="18" t="s">
        <v>1888</v>
      </c>
      <c r="L1219" s="21">
        <v>5.5</v>
      </c>
    </row>
    <row r="1220" spans="1:12" x14ac:dyDescent="0.25">
      <c r="A1220" t="str">
        <f t="shared" si="76"/>
        <v>2018-ST-ISO-104-674-2310</v>
      </c>
      <c r="B1220" t="str">
        <f t="shared" si="77"/>
        <v>2018</v>
      </c>
      <c r="C1220" s="18" t="s">
        <v>760</v>
      </c>
      <c r="D1220" t="s">
        <v>1786</v>
      </c>
      <c r="E1220" t="s">
        <v>1877</v>
      </c>
      <c r="F1220">
        <v>104</v>
      </c>
      <c r="G1220">
        <f t="shared" si="78"/>
        <v>67</v>
      </c>
      <c r="H1220">
        <f t="shared" si="79"/>
        <v>231</v>
      </c>
      <c r="I1220">
        <v>674</v>
      </c>
      <c r="J1220">
        <v>2310</v>
      </c>
      <c r="K1220" s="18" t="s">
        <v>1888</v>
      </c>
      <c r="L1220" s="21">
        <v>5.95</v>
      </c>
    </row>
    <row r="1221" spans="1:12" x14ac:dyDescent="0.25">
      <c r="A1221" t="str">
        <f t="shared" si="76"/>
        <v>2018-ST-ISO-111-719-2311</v>
      </c>
      <c r="B1221" t="str">
        <f t="shared" si="77"/>
        <v>2018</v>
      </c>
      <c r="C1221" s="18" t="s">
        <v>760</v>
      </c>
      <c r="D1221" t="s">
        <v>1786</v>
      </c>
      <c r="E1221" t="s">
        <v>1878</v>
      </c>
      <c r="F1221">
        <v>111</v>
      </c>
      <c r="G1221">
        <f t="shared" si="78"/>
        <v>71</v>
      </c>
      <c r="H1221">
        <f t="shared" si="79"/>
        <v>231</v>
      </c>
      <c r="I1221">
        <v>719</v>
      </c>
      <c r="J1221">
        <v>2311</v>
      </c>
      <c r="K1221" s="18" t="s">
        <v>1888</v>
      </c>
      <c r="L1221" s="21">
        <v>6.15</v>
      </c>
    </row>
    <row r="1222" spans="1:12" x14ac:dyDescent="0.25">
      <c r="A1222" t="str">
        <f t="shared" si="76"/>
        <v>2018-ST-ISO-131-772-2281</v>
      </c>
      <c r="B1222" t="str">
        <f t="shared" si="77"/>
        <v>2018</v>
      </c>
      <c r="C1222" s="18" t="s">
        <v>760</v>
      </c>
      <c r="D1222" t="s">
        <v>1786</v>
      </c>
      <c r="E1222" t="s">
        <v>1885</v>
      </c>
      <c r="F1222">
        <v>131</v>
      </c>
      <c r="G1222">
        <f t="shared" si="78"/>
        <v>77</v>
      </c>
      <c r="H1222">
        <f t="shared" si="79"/>
        <v>228</v>
      </c>
      <c r="I1222">
        <v>772</v>
      </c>
      <c r="J1222">
        <v>2281</v>
      </c>
      <c r="K1222" s="18" t="s">
        <v>1888</v>
      </c>
      <c r="L1222" s="21">
        <v>6.95</v>
      </c>
    </row>
    <row r="1223" spans="1:12" x14ac:dyDescent="0.25">
      <c r="A1223" t="str">
        <f t="shared" si="76"/>
        <v>2018-ST-ISO-136-828-2292</v>
      </c>
      <c r="B1223" t="str">
        <f t="shared" si="77"/>
        <v>2018</v>
      </c>
      <c r="C1223" s="18" t="s">
        <v>760</v>
      </c>
      <c r="D1223" t="s">
        <v>1786</v>
      </c>
      <c r="E1223" t="s">
        <v>1886</v>
      </c>
      <c r="F1223">
        <v>136</v>
      </c>
      <c r="G1223">
        <f t="shared" si="78"/>
        <v>82</v>
      </c>
      <c r="H1223">
        <f t="shared" si="79"/>
        <v>229</v>
      </c>
      <c r="I1223">
        <v>828</v>
      </c>
      <c r="J1223">
        <v>2292</v>
      </c>
      <c r="K1223" s="18" t="s">
        <v>1888</v>
      </c>
      <c r="L1223" s="21">
        <v>7.15</v>
      </c>
    </row>
    <row r="1224" spans="1:12" x14ac:dyDescent="0.25">
      <c r="A1224" t="str">
        <f t="shared" si="76"/>
        <v>2018-ST-ISO-139-848-2280</v>
      </c>
      <c r="B1224" t="str">
        <f t="shared" si="77"/>
        <v>2018</v>
      </c>
      <c r="C1224" s="18" t="s">
        <v>760</v>
      </c>
      <c r="D1224" t="s">
        <v>1786</v>
      </c>
      <c r="E1224" t="s">
        <v>1887</v>
      </c>
      <c r="F1224">
        <v>139</v>
      </c>
      <c r="G1224">
        <f t="shared" si="78"/>
        <v>84</v>
      </c>
      <c r="H1224">
        <f t="shared" si="79"/>
        <v>228</v>
      </c>
      <c r="I1224">
        <v>848</v>
      </c>
      <c r="J1224">
        <v>2280</v>
      </c>
      <c r="K1224" s="18" t="s">
        <v>1888</v>
      </c>
      <c r="L1224" s="21">
        <v>7.4</v>
      </c>
    </row>
    <row r="1225" spans="1:12" x14ac:dyDescent="0.25">
      <c r="A1225" t="str">
        <f t="shared" si="76"/>
        <v>2018-ST-ISO-160-910-2281</v>
      </c>
      <c r="B1225" t="str">
        <f t="shared" si="77"/>
        <v>2018</v>
      </c>
      <c r="C1225" s="18" t="s">
        <v>760</v>
      </c>
      <c r="D1225" t="s">
        <v>1786</v>
      </c>
      <c r="E1225" t="s">
        <v>1889</v>
      </c>
      <c r="F1225">
        <v>160</v>
      </c>
      <c r="G1225">
        <f t="shared" si="78"/>
        <v>91</v>
      </c>
      <c r="H1225">
        <f t="shared" si="79"/>
        <v>228</v>
      </c>
      <c r="I1225">
        <v>910</v>
      </c>
      <c r="J1225">
        <v>2281</v>
      </c>
      <c r="K1225" s="18" t="s">
        <v>1888</v>
      </c>
      <c r="L1225" s="21">
        <v>7.6</v>
      </c>
    </row>
    <row r="1226" spans="1:12" x14ac:dyDescent="0.25">
      <c r="A1226" t="str">
        <f t="shared" si="76"/>
        <v>2019-ST-ISO-53-439-2250</v>
      </c>
      <c r="B1226" t="str">
        <f t="shared" si="77"/>
        <v>2019</v>
      </c>
      <c r="C1226" s="18" t="s">
        <v>763</v>
      </c>
      <c r="D1226" t="s">
        <v>1786</v>
      </c>
      <c r="E1226" t="s">
        <v>1890</v>
      </c>
      <c r="F1226">
        <v>53</v>
      </c>
      <c r="G1226">
        <f t="shared" si="78"/>
        <v>43</v>
      </c>
      <c r="H1226">
        <f t="shared" si="79"/>
        <v>225</v>
      </c>
      <c r="I1226">
        <v>439</v>
      </c>
      <c r="J1226">
        <v>2250</v>
      </c>
      <c r="K1226" s="18" t="s">
        <v>1891</v>
      </c>
      <c r="L1226" s="21">
        <v>4.38</v>
      </c>
    </row>
    <row r="1227" spans="1:12" x14ac:dyDescent="0.25">
      <c r="A1227" t="str">
        <f t="shared" si="76"/>
        <v>2019-ST-ISO-77-552-2316</v>
      </c>
      <c r="B1227" t="str">
        <f t="shared" si="77"/>
        <v>2019</v>
      </c>
      <c r="C1227" s="18" t="s">
        <v>763</v>
      </c>
      <c r="D1227" t="s">
        <v>1786</v>
      </c>
      <c r="E1227" t="s">
        <v>1892</v>
      </c>
      <c r="F1227">
        <v>77</v>
      </c>
      <c r="G1227">
        <f t="shared" si="78"/>
        <v>55</v>
      </c>
      <c r="H1227">
        <f t="shared" si="79"/>
        <v>231</v>
      </c>
      <c r="I1227">
        <v>552</v>
      </c>
      <c r="J1227">
        <v>2316</v>
      </c>
      <c r="K1227" s="18" t="s">
        <v>1891</v>
      </c>
      <c r="L1227" s="21">
        <v>4.75</v>
      </c>
    </row>
    <row r="1228" spans="1:12" x14ac:dyDescent="0.25">
      <c r="A1228" t="str">
        <f t="shared" si="76"/>
        <v>2019-ST-ISO-82-589-2310</v>
      </c>
      <c r="B1228" t="str">
        <f t="shared" si="77"/>
        <v>2019</v>
      </c>
      <c r="C1228" s="18" t="s">
        <v>763</v>
      </c>
      <c r="D1228" t="s">
        <v>1786</v>
      </c>
      <c r="E1228" t="s">
        <v>1893</v>
      </c>
      <c r="F1228">
        <v>82</v>
      </c>
      <c r="G1228">
        <f t="shared" si="78"/>
        <v>58</v>
      </c>
      <c r="H1228">
        <f t="shared" si="79"/>
        <v>231</v>
      </c>
      <c r="I1228">
        <v>589</v>
      </c>
      <c r="J1228">
        <v>2310</v>
      </c>
      <c r="K1228" s="18" t="s">
        <v>1891</v>
      </c>
      <c r="L1228" s="21">
        <v>5.2</v>
      </c>
    </row>
    <row r="1229" spans="1:12" x14ac:dyDescent="0.25">
      <c r="A1229" t="str">
        <f t="shared" si="76"/>
        <v>2019-ST-ISO-84-600-2316</v>
      </c>
      <c r="B1229" t="str">
        <f t="shared" si="77"/>
        <v>2019</v>
      </c>
      <c r="C1229" s="18" t="s">
        <v>763</v>
      </c>
      <c r="D1229" t="s">
        <v>1786</v>
      </c>
      <c r="E1229" t="s">
        <v>1894</v>
      </c>
      <c r="F1229">
        <v>84</v>
      </c>
      <c r="G1229">
        <f t="shared" si="78"/>
        <v>60</v>
      </c>
      <c r="H1229">
        <f t="shared" si="79"/>
        <v>231</v>
      </c>
      <c r="I1229">
        <v>600</v>
      </c>
      <c r="J1229">
        <v>2316</v>
      </c>
      <c r="K1229" s="18" t="s">
        <v>1891</v>
      </c>
      <c r="L1229" s="21">
        <v>5.5</v>
      </c>
    </row>
    <row r="1230" spans="1:12" x14ac:dyDescent="0.25">
      <c r="A1230" t="str">
        <f t="shared" si="76"/>
        <v>2019-ST-ISO-95-628-2282</v>
      </c>
      <c r="B1230" t="str">
        <f t="shared" si="77"/>
        <v>2019</v>
      </c>
      <c r="C1230" s="18" t="s">
        <v>763</v>
      </c>
      <c r="D1230" t="s">
        <v>1786</v>
      </c>
      <c r="E1230" t="s">
        <v>1895</v>
      </c>
      <c r="F1230">
        <v>95</v>
      </c>
      <c r="G1230">
        <f t="shared" si="78"/>
        <v>62</v>
      </c>
      <c r="H1230">
        <f t="shared" si="79"/>
        <v>228</v>
      </c>
      <c r="I1230">
        <v>628</v>
      </c>
      <c r="J1230">
        <v>2282</v>
      </c>
      <c r="K1230" s="18" t="s">
        <v>1891</v>
      </c>
      <c r="L1230" s="21">
        <v>5.7</v>
      </c>
    </row>
    <row r="1231" spans="1:12" x14ac:dyDescent="0.25">
      <c r="A1231" t="str">
        <f t="shared" si="76"/>
        <v>2019-ST-ISO-113-670-2285</v>
      </c>
      <c r="B1231" t="str">
        <f t="shared" si="77"/>
        <v>2019</v>
      </c>
      <c r="C1231" s="18" t="s">
        <v>763</v>
      </c>
      <c r="D1231" t="s">
        <v>1786</v>
      </c>
      <c r="E1231" t="s">
        <v>1896</v>
      </c>
      <c r="F1231">
        <v>113</v>
      </c>
      <c r="G1231">
        <f t="shared" si="78"/>
        <v>67</v>
      </c>
      <c r="H1231">
        <f t="shared" si="79"/>
        <v>228</v>
      </c>
      <c r="I1231">
        <v>670</v>
      </c>
      <c r="J1231">
        <v>2285</v>
      </c>
      <c r="K1231" s="18" t="s">
        <v>1891</v>
      </c>
      <c r="L1231" s="21">
        <v>6.1</v>
      </c>
    </row>
    <row r="1232" spans="1:12" x14ac:dyDescent="0.25">
      <c r="A1232" t="str">
        <f t="shared" si="76"/>
        <v>2019-ST-ISO-118-720-2282</v>
      </c>
      <c r="B1232" t="str">
        <f t="shared" si="77"/>
        <v>2019</v>
      </c>
      <c r="C1232" s="18" t="s">
        <v>763</v>
      </c>
      <c r="D1232" t="s">
        <v>1786</v>
      </c>
      <c r="E1232" t="s">
        <v>1897</v>
      </c>
      <c r="F1232">
        <v>118</v>
      </c>
      <c r="G1232">
        <f t="shared" si="78"/>
        <v>72</v>
      </c>
      <c r="H1232">
        <f t="shared" si="79"/>
        <v>228</v>
      </c>
      <c r="I1232">
        <v>720</v>
      </c>
      <c r="J1232">
        <v>2282</v>
      </c>
      <c r="K1232" s="18" t="s">
        <v>1891</v>
      </c>
      <c r="L1232" s="21">
        <v>6.4</v>
      </c>
    </row>
    <row r="1233" spans="1:12" x14ac:dyDescent="0.25">
      <c r="A1233" t="str">
        <f t="shared" si="76"/>
        <v>2019-ST-ISO-130-772-2281</v>
      </c>
      <c r="B1233" t="str">
        <f t="shared" si="77"/>
        <v>2019</v>
      </c>
      <c r="C1233" s="18" t="s">
        <v>763</v>
      </c>
      <c r="D1233" t="s">
        <v>1786</v>
      </c>
      <c r="E1233" t="s">
        <v>1898</v>
      </c>
      <c r="F1233">
        <v>130</v>
      </c>
      <c r="G1233">
        <f t="shared" si="78"/>
        <v>77</v>
      </c>
      <c r="H1233">
        <f t="shared" si="79"/>
        <v>228</v>
      </c>
      <c r="I1233">
        <v>772</v>
      </c>
      <c r="J1233">
        <v>2281</v>
      </c>
      <c r="K1233" s="18" t="s">
        <v>1891</v>
      </c>
      <c r="L1233" s="21">
        <v>7</v>
      </c>
    </row>
    <row r="1234" spans="1:12" x14ac:dyDescent="0.25">
      <c r="A1234" t="str">
        <f t="shared" si="76"/>
        <v>2019-ST-ISO-136-828-2292</v>
      </c>
      <c r="B1234" t="str">
        <f t="shared" si="77"/>
        <v>2019</v>
      </c>
      <c r="C1234" s="18" t="s">
        <v>763</v>
      </c>
      <c r="D1234" t="s">
        <v>1786</v>
      </c>
      <c r="E1234" t="s">
        <v>1899</v>
      </c>
      <c r="F1234">
        <v>136</v>
      </c>
      <c r="G1234">
        <f t="shared" si="78"/>
        <v>82</v>
      </c>
      <c r="H1234">
        <f t="shared" si="79"/>
        <v>229</v>
      </c>
      <c r="I1234">
        <v>828</v>
      </c>
      <c r="J1234">
        <v>2292</v>
      </c>
      <c r="K1234" s="18" t="s">
        <v>1891</v>
      </c>
      <c r="L1234" s="21">
        <v>7.38</v>
      </c>
    </row>
    <row r="1235" spans="1:12" x14ac:dyDescent="0.25">
      <c r="A1235" t="str">
        <f t="shared" si="76"/>
        <v>2019-ST-ISO-139-850-2282</v>
      </c>
      <c r="B1235" t="str">
        <f t="shared" si="77"/>
        <v>2019</v>
      </c>
      <c r="C1235" s="18" t="s">
        <v>763</v>
      </c>
      <c r="D1235" t="s">
        <v>1786</v>
      </c>
      <c r="E1235" t="s">
        <v>1900</v>
      </c>
      <c r="F1235">
        <v>139</v>
      </c>
      <c r="G1235">
        <f t="shared" si="78"/>
        <v>85</v>
      </c>
      <c r="H1235">
        <f t="shared" si="79"/>
        <v>228</v>
      </c>
      <c r="I1235">
        <v>850</v>
      </c>
      <c r="J1235">
        <v>2282</v>
      </c>
      <c r="K1235" s="18" t="s">
        <v>1891</v>
      </c>
      <c r="L1235" s="21">
        <v>7.48</v>
      </c>
    </row>
    <row r="1236" spans="1:12" x14ac:dyDescent="0.25">
      <c r="A1236" t="str">
        <f t="shared" si="76"/>
        <v>2019-ST-ISO-160-910-2281</v>
      </c>
      <c r="B1236" t="str">
        <f t="shared" si="77"/>
        <v>2019</v>
      </c>
      <c r="C1236" s="18" t="s">
        <v>763</v>
      </c>
      <c r="D1236" t="s">
        <v>1786</v>
      </c>
      <c r="E1236" t="s">
        <v>1901</v>
      </c>
      <c r="F1236">
        <v>160</v>
      </c>
      <c r="G1236">
        <f t="shared" si="78"/>
        <v>91</v>
      </c>
      <c r="H1236">
        <f t="shared" si="79"/>
        <v>228</v>
      </c>
      <c r="I1236">
        <v>910</v>
      </c>
      <c r="J1236">
        <v>2281</v>
      </c>
      <c r="K1236" s="18" t="s">
        <v>1891</v>
      </c>
      <c r="L1236" s="21">
        <v>8.1</v>
      </c>
    </row>
    <row r="1237" spans="1:12" x14ac:dyDescent="0.25">
      <c r="A1237" t="str">
        <f t="shared" si="76"/>
        <v>2019-ST-FOI-194-910-2286</v>
      </c>
      <c r="B1237" t="str">
        <f t="shared" si="77"/>
        <v>2019</v>
      </c>
      <c r="C1237" s="18" t="s">
        <v>763</v>
      </c>
      <c r="D1237" t="s">
        <v>1786</v>
      </c>
      <c r="E1237" t="s">
        <v>1902</v>
      </c>
      <c r="F1237">
        <v>194</v>
      </c>
      <c r="G1237">
        <f t="shared" si="78"/>
        <v>91</v>
      </c>
      <c r="H1237">
        <f t="shared" si="79"/>
        <v>228</v>
      </c>
      <c r="I1237">
        <v>910</v>
      </c>
      <c r="J1237">
        <v>2286</v>
      </c>
      <c r="K1237" s="18" t="s">
        <v>1891</v>
      </c>
      <c r="L1237" s="21">
        <v>9.65</v>
      </c>
    </row>
    <row r="1238" spans="1:12" x14ac:dyDescent="0.25">
      <c r="A1238" t="str">
        <f t="shared" si="76"/>
        <v>2020-ST-ISO-86-602-2252</v>
      </c>
      <c r="B1238" t="str">
        <f t="shared" si="77"/>
        <v>2020</v>
      </c>
      <c r="C1238" s="18" t="s">
        <v>861</v>
      </c>
      <c r="D1238" t="s">
        <v>1786</v>
      </c>
      <c r="E1238" t="s">
        <v>1894</v>
      </c>
      <c r="F1238">
        <v>86</v>
      </c>
      <c r="G1238">
        <f t="shared" si="78"/>
        <v>60</v>
      </c>
      <c r="H1238">
        <f t="shared" si="79"/>
        <v>225</v>
      </c>
      <c r="I1238">
        <v>602</v>
      </c>
      <c r="J1238">
        <v>2252</v>
      </c>
      <c r="K1238" s="18" t="s">
        <v>1903</v>
      </c>
      <c r="L1238" s="21">
        <v>5.5</v>
      </c>
    </row>
    <row r="1239" spans="1:12" x14ac:dyDescent="0.25">
      <c r="A1239" t="str">
        <f t="shared" si="76"/>
        <v>2020-ST-ISO-96-631-2253</v>
      </c>
      <c r="B1239" t="str">
        <f t="shared" si="77"/>
        <v>2020</v>
      </c>
      <c r="C1239" s="18" t="s">
        <v>861</v>
      </c>
      <c r="D1239" t="s">
        <v>1786</v>
      </c>
      <c r="E1239" t="s">
        <v>1895</v>
      </c>
      <c r="F1239">
        <v>96</v>
      </c>
      <c r="G1239">
        <f t="shared" si="78"/>
        <v>63</v>
      </c>
      <c r="H1239">
        <f t="shared" si="79"/>
        <v>225</v>
      </c>
      <c r="I1239">
        <v>631</v>
      </c>
      <c r="J1239">
        <v>2253</v>
      </c>
      <c r="K1239" s="18" t="s">
        <v>1903</v>
      </c>
      <c r="L1239" s="21">
        <v>5.84</v>
      </c>
    </row>
    <row r="1240" spans="1:12" x14ac:dyDescent="0.25">
      <c r="A1240" t="str">
        <f t="shared" si="76"/>
        <v>2020-ST-ISO-113-670-2285</v>
      </c>
      <c r="B1240" t="str">
        <f t="shared" si="77"/>
        <v>2020</v>
      </c>
      <c r="C1240" s="18" t="s">
        <v>861</v>
      </c>
      <c r="D1240" t="s">
        <v>1786</v>
      </c>
      <c r="E1240" t="s">
        <v>1896</v>
      </c>
      <c r="F1240">
        <v>113</v>
      </c>
      <c r="G1240">
        <f t="shared" si="78"/>
        <v>67</v>
      </c>
      <c r="H1240">
        <f t="shared" si="79"/>
        <v>228</v>
      </c>
      <c r="I1240">
        <v>670</v>
      </c>
      <c r="J1240">
        <v>2285</v>
      </c>
      <c r="K1240" s="18" t="s">
        <v>1903</v>
      </c>
      <c r="L1240" s="21">
        <v>6.29</v>
      </c>
    </row>
    <row r="1241" spans="1:12" x14ac:dyDescent="0.25">
      <c r="A1241" t="str">
        <f t="shared" si="76"/>
        <v>2020-ST-ISO-123-723-2283</v>
      </c>
      <c r="B1241" t="str">
        <f t="shared" si="77"/>
        <v>2020</v>
      </c>
      <c r="C1241" s="18" t="s">
        <v>861</v>
      </c>
      <c r="D1241" t="s">
        <v>1786</v>
      </c>
      <c r="E1241" t="s">
        <v>1897</v>
      </c>
      <c r="F1241">
        <v>123</v>
      </c>
      <c r="G1241">
        <f t="shared" si="78"/>
        <v>72</v>
      </c>
      <c r="H1241">
        <f t="shared" si="79"/>
        <v>228</v>
      </c>
      <c r="I1241">
        <v>723</v>
      </c>
      <c r="J1241">
        <v>2283</v>
      </c>
      <c r="K1241" s="18" t="s">
        <v>1903</v>
      </c>
      <c r="L1241" s="21">
        <v>6.7</v>
      </c>
    </row>
    <row r="1242" spans="1:12" x14ac:dyDescent="0.25">
      <c r="A1242" t="str">
        <f t="shared" si="76"/>
        <v>2020-ST-ISO-126-770-2283</v>
      </c>
      <c r="B1242" t="str">
        <f t="shared" si="77"/>
        <v>2020</v>
      </c>
      <c r="C1242" s="18" t="s">
        <v>861</v>
      </c>
      <c r="D1242" t="s">
        <v>1786</v>
      </c>
      <c r="E1242" t="s">
        <v>1898</v>
      </c>
      <c r="F1242">
        <v>126</v>
      </c>
      <c r="G1242">
        <f t="shared" si="78"/>
        <v>77</v>
      </c>
      <c r="H1242">
        <f t="shared" si="79"/>
        <v>228</v>
      </c>
      <c r="I1242">
        <v>770</v>
      </c>
      <c r="J1242">
        <v>2283</v>
      </c>
      <c r="K1242" s="18" t="s">
        <v>1903</v>
      </c>
      <c r="L1242" s="21">
        <v>7.1</v>
      </c>
    </row>
    <row r="1243" spans="1:12" x14ac:dyDescent="0.25">
      <c r="A1243" t="str">
        <f t="shared" si="76"/>
        <v>2020-ST-ISO-138-832-2281</v>
      </c>
      <c r="B1243" t="str">
        <f t="shared" si="77"/>
        <v>2020</v>
      </c>
      <c r="C1243" s="18" t="s">
        <v>861</v>
      </c>
      <c r="D1243" t="s">
        <v>1786</v>
      </c>
      <c r="E1243" t="s">
        <v>1899</v>
      </c>
      <c r="F1243">
        <v>138</v>
      </c>
      <c r="G1243">
        <f t="shared" si="78"/>
        <v>83</v>
      </c>
      <c r="H1243">
        <f t="shared" si="79"/>
        <v>228</v>
      </c>
      <c r="I1243">
        <v>832</v>
      </c>
      <c r="J1243">
        <v>2281</v>
      </c>
      <c r="K1243" s="18" t="s">
        <v>1903</v>
      </c>
      <c r="L1243" s="21">
        <v>7.52</v>
      </c>
    </row>
    <row r="1244" spans="1:12" x14ac:dyDescent="0.25">
      <c r="A1244" t="str">
        <f t="shared" si="76"/>
        <v>2020-ST-ISO-139-850-2279</v>
      </c>
      <c r="B1244" t="str">
        <f t="shared" si="77"/>
        <v>2020</v>
      </c>
      <c r="C1244" s="18" t="s">
        <v>861</v>
      </c>
      <c r="D1244" t="s">
        <v>1786</v>
      </c>
      <c r="E1244" t="s">
        <v>1900</v>
      </c>
      <c r="F1244">
        <v>139</v>
      </c>
      <c r="G1244">
        <f t="shared" si="78"/>
        <v>85</v>
      </c>
      <c r="H1244">
        <f t="shared" si="79"/>
        <v>227</v>
      </c>
      <c r="I1244">
        <v>850</v>
      </c>
      <c r="J1244">
        <v>2279</v>
      </c>
      <c r="K1244" s="18" t="s">
        <v>1903</v>
      </c>
      <c r="L1244" s="21">
        <v>7.68</v>
      </c>
    </row>
    <row r="1245" spans="1:12" x14ac:dyDescent="0.25">
      <c r="A1245" t="str">
        <f t="shared" si="76"/>
        <v>2021-ST-ISO-86-602-2252</v>
      </c>
      <c r="B1245" t="str">
        <f t="shared" si="77"/>
        <v>2021</v>
      </c>
      <c r="C1245" s="18" t="s">
        <v>1152</v>
      </c>
      <c r="D1245" t="s">
        <v>1786</v>
      </c>
      <c r="E1245" t="s">
        <v>1894</v>
      </c>
      <c r="F1245">
        <v>86</v>
      </c>
      <c r="G1245">
        <f t="shared" si="78"/>
        <v>60</v>
      </c>
      <c r="H1245">
        <f t="shared" si="79"/>
        <v>225</v>
      </c>
      <c r="I1245">
        <v>602</v>
      </c>
      <c r="J1245">
        <v>2252</v>
      </c>
      <c r="K1245" s="18" t="s">
        <v>1153</v>
      </c>
      <c r="L1245" s="21">
        <v>5.5</v>
      </c>
    </row>
    <row r="1246" spans="1:12" x14ac:dyDescent="0.25">
      <c r="A1246" t="str">
        <f t="shared" si="76"/>
        <v>2021-ST-ISO-94-630-2255</v>
      </c>
      <c r="B1246" t="str">
        <f t="shared" si="77"/>
        <v>2021</v>
      </c>
      <c r="C1246" s="18" t="s">
        <v>1152</v>
      </c>
      <c r="D1246" t="s">
        <v>1786</v>
      </c>
      <c r="E1246" t="s">
        <v>1895</v>
      </c>
      <c r="F1246">
        <v>94</v>
      </c>
      <c r="G1246">
        <f t="shared" si="78"/>
        <v>63</v>
      </c>
      <c r="H1246">
        <f t="shared" si="79"/>
        <v>225</v>
      </c>
      <c r="I1246">
        <v>630</v>
      </c>
      <c r="J1246">
        <v>2255</v>
      </c>
      <c r="K1246" s="18" t="s">
        <v>1153</v>
      </c>
      <c r="L1246" s="21">
        <v>5.7</v>
      </c>
    </row>
    <row r="1247" spans="1:12" x14ac:dyDescent="0.25">
      <c r="A1247" t="str">
        <f t="shared" si="76"/>
        <v>2021-ST-ISO-113-670-2285</v>
      </c>
      <c r="B1247" t="str">
        <f t="shared" si="77"/>
        <v>2021</v>
      </c>
      <c r="C1247" s="18" t="s">
        <v>1152</v>
      </c>
      <c r="D1247" t="s">
        <v>1786</v>
      </c>
      <c r="E1247" t="s">
        <v>1896</v>
      </c>
      <c r="F1247">
        <v>113</v>
      </c>
      <c r="G1247">
        <f t="shared" si="78"/>
        <v>67</v>
      </c>
      <c r="H1247">
        <f t="shared" si="79"/>
        <v>228</v>
      </c>
      <c r="I1247">
        <v>670</v>
      </c>
      <c r="J1247">
        <v>2285</v>
      </c>
      <c r="K1247" s="18" t="s">
        <v>1153</v>
      </c>
      <c r="L1247" s="21">
        <v>6.1</v>
      </c>
    </row>
    <row r="1248" spans="1:12" x14ac:dyDescent="0.25">
      <c r="A1248" t="str">
        <f t="shared" si="76"/>
        <v>2021-ST-ISO-122-725-2282</v>
      </c>
      <c r="B1248" t="str">
        <f t="shared" si="77"/>
        <v>2021</v>
      </c>
      <c r="C1248" s="18" t="s">
        <v>1152</v>
      </c>
      <c r="D1248" t="s">
        <v>1786</v>
      </c>
      <c r="E1248" t="s">
        <v>1897</v>
      </c>
      <c r="F1248">
        <v>122</v>
      </c>
      <c r="G1248">
        <f t="shared" si="78"/>
        <v>72</v>
      </c>
      <c r="H1248">
        <f t="shared" si="79"/>
        <v>228</v>
      </c>
      <c r="I1248">
        <v>725</v>
      </c>
      <c r="J1248">
        <v>2282</v>
      </c>
      <c r="K1248" s="18" t="s">
        <v>1153</v>
      </c>
      <c r="L1248" s="21">
        <v>6.6</v>
      </c>
    </row>
    <row r="1249" spans="1:12" x14ac:dyDescent="0.25">
      <c r="A1249" t="str">
        <f t="shared" si="76"/>
        <v>2021-ST-ISO-127-777-2285</v>
      </c>
      <c r="B1249" t="str">
        <f t="shared" si="77"/>
        <v>2021</v>
      </c>
      <c r="C1249" s="18" t="s">
        <v>1152</v>
      </c>
      <c r="D1249" t="s">
        <v>1786</v>
      </c>
      <c r="E1249" t="s">
        <v>1898</v>
      </c>
      <c r="F1249">
        <v>127</v>
      </c>
      <c r="G1249">
        <f t="shared" si="78"/>
        <v>77</v>
      </c>
      <c r="H1249">
        <f t="shared" si="79"/>
        <v>228</v>
      </c>
      <c r="I1249">
        <v>777</v>
      </c>
      <c r="J1249">
        <v>2285</v>
      </c>
      <c r="K1249" s="18" t="s">
        <v>1153</v>
      </c>
      <c r="L1249" s="21">
        <v>6.8</v>
      </c>
    </row>
    <row r="1250" spans="1:12" x14ac:dyDescent="0.25">
      <c r="A1250" t="str">
        <f t="shared" si="76"/>
        <v>2021-ST-ISO-134-831-2285</v>
      </c>
      <c r="B1250" t="str">
        <f t="shared" si="77"/>
        <v>2021</v>
      </c>
      <c r="C1250" s="18" t="s">
        <v>1152</v>
      </c>
      <c r="D1250" t="s">
        <v>1786</v>
      </c>
      <c r="E1250" t="s">
        <v>1899</v>
      </c>
      <c r="F1250">
        <v>134</v>
      </c>
      <c r="G1250">
        <f t="shared" si="78"/>
        <v>83</v>
      </c>
      <c r="H1250">
        <f t="shared" si="79"/>
        <v>228</v>
      </c>
      <c r="I1250">
        <v>831</v>
      </c>
      <c r="J1250">
        <v>2285</v>
      </c>
      <c r="K1250" s="18" t="s">
        <v>1153</v>
      </c>
      <c r="L1250" s="21">
        <v>7.3</v>
      </c>
    </row>
    <row r="1251" spans="1:12" x14ac:dyDescent="0.25">
      <c r="A1251" t="str">
        <f t="shared" si="76"/>
        <v>2021-ST-ISO-139-850-2279</v>
      </c>
      <c r="B1251" t="str">
        <f t="shared" si="77"/>
        <v>2021</v>
      </c>
      <c r="C1251" s="18" t="s">
        <v>1152</v>
      </c>
      <c r="D1251" t="s">
        <v>1786</v>
      </c>
      <c r="E1251" t="s">
        <v>1900</v>
      </c>
      <c r="F1251">
        <v>139</v>
      </c>
      <c r="G1251">
        <f t="shared" si="78"/>
        <v>85</v>
      </c>
      <c r="H1251">
        <f t="shared" si="79"/>
        <v>227</v>
      </c>
      <c r="I1251">
        <v>850</v>
      </c>
      <c r="J1251">
        <v>2279</v>
      </c>
      <c r="K1251" s="18" t="s">
        <v>1153</v>
      </c>
      <c r="L1251" s="21">
        <v>7.5</v>
      </c>
    </row>
    <row r="1252" spans="1:12" x14ac:dyDescent="0.25">
      <c r="A1252" t="str">
        <f t="shared" si="76"/>
        <v>2021-ST-FOI-145-715-2200</v>
      </c>
      <c r="B1252" t="str">
        <f t="shared" si="77"/>
        <v>2021</v>
      </c>
      <c r="C1252" s="18" t="s">
        <v>1152</v>
      </c>
      <c r="D1252" t="s">
        <v>1786</v>
      </c>
      <c r="E1252" t="s">
        <v>1904</v>
      </c>
      <c r="F1252">
        <v>145</v>
      </c>
      <c r="G1252">
        <f t="shared" si="78"/>
        <v>71</v>
      </c>
      <c r="H1252">
        <f t="shared" si="79"/>
        <v>220</v>
      </c>
      <c r="I1252">
        <v>715</v>
      </c>
      <c r="J1252">
        <v>2200</v>
      </c>
      <c r="K1252" s="18" t="s">
        <v>1153</v>
      </c>
      <c r="L1252" s="21">
        <v>8.1</v>
      </c>
    </row>
    <row r="1253" spans="1:12" x14ac:dyDescent="0.25">
      <c r="A1253" t="str">
        <f t="shared" si="76"/>
        <v>2021-ST-FOI-167-806-2180</v>
      </c>
      <c r="B1253" t="str">
        <f t="shared" si="77"/>
        <v>2021</v>
      </c>
      <c r="C1253" s="18" t="s">
        <v>1152</v>
      </c>
      <c r="D1253" t="s">
        <v>1786</v>
      </c>
      <c r="E1253" t="s">
        <v>1905</v>
      </c>
      <c r="F1253">
        <v>167</v>
      </c>
      <c r="G1253">
        <f t="shared" si="78"/>
        <v>80</v>
      </c>
      <c r="H1253">
        <f t="shared" si="79"/>
        <v>218</v>
      </c>
      <c r="I1253">
        <v>806</v>
      </c>
      <c r="J1253">
        <v>2180</v>
      </c>
      <c r="K1253" s="18" t="s">
        <v>1153</v>
      </c>
      <c r="L1253" s="21">
        <v>8.6999999999999993</v>
      </c>
    </row>
    <row r="1254" spans="1:12" x14ac:dyDescent="0.25">
      <c r="A1254" t="str">
        <f t="shared" si="76"/>
        <v>2021-ST-FOI-145-715-2200</v>
      </c>
      <c r="B1254" t="str">
        <f t="shared" si="77"/>
        <v>2021</v>
      </c>
      <c r="C1254" s="18" t="s">
        <v>1152</v>
      </c>
      <c r="D1254" t="s">
        <v>1786</v>
      </c>
      <c r="E1254" t="s">
        <v>1906</v>
      </c>
      <c r="F1254">
        <v>145</v>
      </c>
      <c r="G1254">
        <f t="shared" si="78"/>
        <v>71</v>
      </c>
      <c r="H1254">
        <f t="shared" si="79"/>
        <v>220</v>
      </c>
      <c r="I1254">
        <v>715</v>
      </c>
      <c r="J1254">
        <v>2200</v>
      </c>
      <c r="K1254" s="18" t="s">
        <v>1153</v>
      </c>
      <c r="L1254" s="21">
        <v>8.1</v>
      </c>
    </row>
    <row r="1255" spans="1:12" x14ac:dyDescent="0.25">
      <c r="A1255" t="str">
        <f t="shared" si="76"/>
        <v>2022-ST-iSo-86-602-2252</v>
      </c>
      <c r="B1255" t="str">
        <f t="shared" si="77"/>
        <v>2022</v>
      </c>
      <c r="C1255" s="18" t="s">
        <v>866</v>
      </c>
      <c r="D1255" t="s">
        <v>1786</v>
      </c>
      <c r="E1255" t="s">
        <v>1907</v>
      </c>
      <c r="F1255">
        <v>86</v>
      </c>
      <c r="G1255">
        <f t="shared" si="78"/>
        <v>60</v>
      </c>
      <c r="H1255">
        <f t="shared" si="79"/>
        <v>225</v>
      </c>
      <c r="I1255">
        <v>602</v>
      </c>
      <c r="J1255">
        <v>2252</v>
      </c>
      <c r="K1255" s="18" t="s">
        <v>1156</v>
      </c>
      <c r="L1255" s="21">
        <v>5.5</v>
      </c>
    </row>
    <row r="1256" spans="1:12" x14ac:dyDescent="0.25">
      <c r="A1256" t="str">
        <f t="shared" si="76"/>
        <v>2022-ST-iSo-94-630-2250</v>
      </c>
      <c r="B1256" t="str">
        <f t="shared" si="77"/>
        <v>2022</v>
      </c>
      <c r="C1256" s="18" t="s">
        <v>866</v>
      </c>
      <c r="D1256" t="s">
        <v>1786</v>
      </c>
      <c r="E1256" t="s">
        <v>1908</v>
      </c>
      <c r="F1256">
        <v>94</v>
      </c>
      <c r="G1256">
        <f t="shared" si="78"/>
        <v>63</v>
      </c>
      <c r="H1256">
        <f t="shared" si="79"/>
        <v>225</v>
      </c>
      <c r="I1256">
        <v>630</v>
      </c>
      <c r="J1256">
        <v>2250</v>
      </c>
      <c r="K1256" s="18" t="s">
        <v>1156</v>
      </c>
      <c r="L1256" s="21">
        <v>5.7</v>
      </c>
    </row>
    <row r="1257" spans="1:12" x14ac:dyDescent="0.25">
      <c r="A1257" t="str">
        <f t="shared" si="76"/>
        <v>2022-ST-iSo-113-672-2286</v>
      </c>
      <c r="B1257" t="str">
        <f t="shared" si="77"/>
        <v>2022</v>
      </c>
      <c r="C1257" s="18" t="s">
        <v>866</v>
      </c>
      <c r="D1257" t="s">
        <v>1786</v>
      </c>
      <c r="E1257" t="s">
        <v>1909</v>
      </c>
      <c r="F1257">
        <v>113</v>
      </c>
      <c r="G1257">
        <f t="shared" si="78"/>
        <v>67</v>
      </c>
      <c r="H1257">
        <f t="shared" si="79"/>
        <v>228</v>
      </c>
      <c r="I1257">
        <v>672</v>
      </c>
      <c r="J1257">
        <v>2286</v>
      </c>
      <c r="K1257" s="18" t="s">
        <v>1156</v>
      </c>
      <c r="L1257" s="21">
        <v>6</v>
      </c>
    </row>
    <row r="1258" spans="1:12" x14ac:dyDescent="0.25">
      <c r="A1258" t="str">
        <f t="shared" si="76"/>
        <v>2022-ST-iSo-124-727-2283</v>
      </c>
      <c r="B1258" t="str">
        <f t="shared" si="77"/>
        <v>2022</v>
      </c>
      <c r="C1258" s="18" t="s">
        <v>866</v>
      </c>
      <c r="D1258" t="s">
        <v>1786</v>
      </c>
      <c r="E1258" t="s">
        <v>1910</v>
      </c>
      <c r="F1258">
        <v>124</v>
      </c>
      <c r="G1258">
        <f t="shared" si="78"/>
        <v>72</v>
      </c>
      <c r="H1258">
        <f t="shared" si="79"/>
        <v>228</v>
      </c>
      <c r="I1258">
        <v>727</v>
      </c>
      <c r="J1258">
        <v>2283</v>
      </c>
      <c r="K1258" s="18" t="s">
        <v>1156</v>
      </c>
      <c r="L1258" s="21">
        <v>6.4</v>
      </c>
    </row>
    <row r="1259" spans="1:12" x14ac:dyDescent="0.25">
      <c r="A1259" t="str">
        <f t="shared" si="76"/>
        <v>2022-ST-iSo-127-777-2285</v>
      </c>
      <c r="B1259" t="str">
        <f t="shared" si="77"/>
        <v>2022</v>
      </c>
      <c r="C1259" s="18" t="s">
        <v>866</v>
      </c>
      <c r="D1259" t="s">
        <v>1786</v>
      </c>
      <c r="E1259" t="s">
        <v>1911</v>
      </c>
      <c r="F1259">
        <v>127</v>
      </c>
      <c r="G1259">
        <f t="shared" si="78"/>
        <v>77</v>
      </c>
      <c r="H1259">
        <f t="shared" si="79"/>
        <v>228</v>
      </c>
      <c r="I1259">
        <v>777</v>
      </c>
      <c r="J1259">
        <v>2285</v>
      </c>
      <c r="K1259" s="18" t="s">
        <v>1156</v>
      </c>
      <c r="L1259" s="21">
        <v>6.6</v>
      </c>
    </row>
    <row r="1260" spans="1:12" x14ac:dyDescent="0.25">
      <c r="A1260" t="str">
        <f t="shared" si="76"/>
        <v>2022-ST-iSo-134-831-2285</v>
      </c>
      <c r="B1260" t="str">
        <f t="shared" si="77"/>
        <v>2022</v>
      </c>
      <c r="C1260" s="18" t="s">
        <v>866</v>
      </c>
      <c r="D1260" t="s">
        <v>1786</v>
      </c>
      <c r="E1260" t="s">
        <v>1912</v>
      </c>
      <c r="F1260">
        <v>134</v>
      </c>
      <c r="G1260">
        <f t="shared" si="78"/>
        <v>83</v>
      </c>
      <c r="H1260">
        <f t="shared" si="79"/>
        <v>228</v>
      </c>
      <c r="I1260">
        <v>831</v>
      </c>
      <c r="J1260">
        <v>2285</v>
      </c>
      <c r="K1260" s="18" t="s">
        <v>1156</v>
      </c>
      <c r="L1260" s="21">
        <v>6.8</v>
      </c>
    </row>
    <row r="1261" spans="1:12" x14ac:dyDescent="0.25">
      <c r="A1261" t="str">
        <f t="shared" si="76"/>
        <v>2022-ST-iSo-140-850-2282</v>
      </c>
      <c r="B1261" t="str">
        <f t="shared" si="77"/>
        <v>2022</v>
      </c>
      <c r="C1261" s="18" t="s">
        <v>866</v>
      </c>
      <c r="D1261" t="s">
        <v>1786</v>
      </c>
      <c r="E1261" t="s">
        <v>1913</v>
      </c>
      <c r="F1261">
        <v>140</v>
      </c>
      <c r="G1261">
        <f t="shared" si="78"/>
        <v>85</v>
      </c>
      <c r="H1261">
        <f t="shared" si="79"/>
        <v>228</v>
      </c>
      <c r="I1261">
        <v>850</v>
      </c>
      <c r="J1261">
        <v>2282</v>
      </c>
      <c r="K1261" s="18" t="s">
        <v>1156</v>
      </c>
      <c r="L1261" s="21">
        <v>7.2</v>
      </c>
    </row>
    <row r="1262" spans="1:12" x14ac:dyDescent="0.25">
      <c r="A1262" t="str">
        <f t="shared" si="76"/>
        <v>2022-ST-Foi-163-814-2094</v>
      </c>
      <c r="B1262" t="str">
        <f t="shared" si="77"/>
        <v>2022</v>
      </c>
      <c r="C1262" s="18" t="s">
        <v>866</v>
      </c>
      <c r="D1262" t="s">
        <v>1786</v>
      </c>
      <c r="E1262" t="s">
        <v>1914</v>
      </c>
      <c r="F1262">
        <v>163</v>
      </c>
      <c r="G1262">
        <f t="shared" si="78"/>
        <v>81</v>
      </c>
      <c r="H1262">
        <f t="shared" si="79"/>
        <v>209</v>
      </c>
      <c r="I1262">
        <v>814</v>
      </c>
      <c r="J1262">
        <v>2094</v>
      </c>
      <c r="K1262" s="18" t="s">
        <v>1915</v>
      </c>
      <c r="L1262" s="21">
        <v>8.6</v>
      </c>
    </row>
    <row r="1263" spans="1:12" x14ac:dyDescent="0.25">
      <c r="A1263" t="str">
        <f t="shared" si="76"/>
        <v>2022-ST-Foi-191-910-2104</v>
      </c>
      <c r="B1263" t="str">
        <f t="shared" si="77"/>
        <v>2022</v>
      </c>
      <c r="C1263" s="18" t="s">
        <v>866</v>
      </c>
      <c r="D1263" t="s">
        <v>1786</v>
      </c>
      <c r="E1263" t="s">
        <v>1916</v>
      </c>
      <c r="F1263">
        <v>191</v>
      </c>
      <c r="G1263">
        <f t="shared" si="78"/>
        <v>91</v>
      </c>
      <c r="H1263">
        <f t="shared" si="79"/>
        <v>210</v>
      </c>
      <c r="I1263">
        <v>910</v>
      </c>
      <c r="J1263">
        <v>2104</v>
      </c>
      <c r="K1263" s="18" t="s">
        <v>1915</v>
      </c>
      <c r="L1263" s="21">
        <v>9.8000000000000007</v>
      </c>
    </row>
    <row r="1264" spans="1:12" x14ac:dyDescent="0.25">
      <c r="A1264" t="str">
        <f t="shared" si="76"/>
        <v>2023-ST-X-1-161-779-2097</v>
      </c>
      <c r="B1264" t="str">
        <f t="shared" si="77"/>
        <v>2023</v>
      </c>
      <c r="C1264" s="18" t="s">
        <v>776</v>
      </c>
      <c r="D1264" t="s">
        <v>1786</v>
      </c>
      <c r="E1264" t="s">
        <v>1917</v>
      </c>
      <c r="F1264">
        <v>161</v>
      </c>
      <c r="G1264">
        <f t="shared" si="78"/>
        <v>77</v>
      </c>
      <c r="H1264">
        <f t="shared" si="79"/>
        <v>209</v>
      </c>
      <c r="I1264">
        <v>779</v>
      </c>
      <c r="J1264">
        <v>2097</v>
      </c>
      <c r="K1264" s="18" t="s">
        <v>1915</v>
      </c>
      <c r="L1264" s="21">
        <v>8.6999999999999993</v>
      </c>
    </row>
    <row r="1265" spans="1:12" x14ac:dyDescent="0.25">
      <c r="A1265" t="str">
        <f t="shared" si="76"/>
        <v>2023-ST-X-1-176-846-2101</v>
      </c>
      <c r="B1265" t="str">
        <f t="shared" si="77"/>
        <v>2023</v>
      </c>
      <c r="C1265" s="18" t="s">
        <v>776</v>
      </c>
      <c r="D1265" t="s">
        <v>1786</v>
      </c>
      <c r="E1265" t="s">
        <v>1918</v>
      </c>
      <c r="F1265">
        <v>176</v>
      </c>
      <c r="G1265">
        <f t="shared" si="78"/>
        <v>84</v>
      </c>
      <c r="H1265">
        <f t="shared" si="79"/>
        <v>210</v>
      </c>
      <c r="I1265">
        <v>846</v>
      </c>
      <c r="J1265">
        <v>2101</v>
      </c>
      <c r="K1265" s="18" t="s">
        <v>1915</v>
      </c>
      <c r="L1265" s="21">
        <v>9.1</v>
      </c>
    </row>
    <row r="1266" spans="1:12" x14ac:dyDescent="0.25">
      <c r="A1266" t="str">
        <f t="shared" si="76"/>
        <v>2023-ST-X-1-189-910-2095</v>
      </c>
      <c r="B1266" t="str">
        <f t="shared" si="77"/>
        <v>2023</v>
      </c>
      <c r="C1266" s="18" t="s">
        <v>776</v>
      </c>
      <c r="D1266" t="s">
        <v>1786</v>
      </c>
      <c r="E1266" t="s">
        <v>1919</v>
      </c>
      <c r="F1266">
        <v>189</v>
      </c>
      <c r="G1266">
        <f t="shared" si="78"/>
        <v>91</v>
      </c>
      <c r="H1266">
        <f t="shared" si="79"/>
        <v>209</v>
      </c>
      <c r="I1266">
        <v>910</v>
      </c>
      <c r="J1266">
        <v>2095</v>
      </c>
      <c r="K1266" s="18" t="s">
        <v>1915</v>
      </c>
      <c r="L1266" s="21">
        <v>9.5</v>
      </c>
    </row>
    <row r="1267" spans="1:12" x14ac:dyDescent="0.25">
      <c r="A1267" t="str">
        <f t="shared" si="76"/>
        <v>2023-ST-iSo-87-602-2253</v>
      </c>
      <c r="B1267" t="str">
        <f t="shared" si="77"/>
        <v>2023</v>
      </c>
      <c r="C1267" s="18" t="s">
        <v>776</v>
      </c>
      <c r="D1267" t="s">
        <v>1786</v>
      </c>
      <c r="E1267" t="s">
        <v>1907</v>
      </c>
      <c r="F1267">
        <v>87</v>
      </c>
      <c r="G1267">
        <f t="shared" si="78"/>
        <v>60</v>
      </c>
      <c r="H1267">
        <f t="shared" si="79"/>
        <v>225</v>
      </c>
      <c r="I1267">
        <v>602</v>
      </c>
      <c r="J1267">
        <v>2253</v>
      </c>
      <c r="K1267" s="18" t="s">
        <v>1920</v>
      </c>
      <c r="L1267" s="21">
        <v>5.5</v>
      </c>
    </row>
    <row r="1268" spans="1:12" x14ac:dyDescent="0.25">
      <c r="A1268" t="str">
        <f t="shared" si="76"/>
        <v>2023-ST-iSo-94-630-2255</v>
      </c>
      <c r="B1268" t="str">
        <f t="shared" si="77"/>
        <v>2023</v>
      </c>
      <c r="C1268" s="18" t="s">
        <v>776</v>
      </c>
      <c r="D1268" t="s">
        <v>1786</v>
      </c>
      <c r="E1268" t="s">
        <v>1908</v>
      </c>
      <c r="F1268">
        <v>94</v>
      </c>
      <c r="G1268">
        <f t="shared" si="78"/>
        <v>63</v>
      </c>
      <c r="H1268">
        <f t="shared" si="79"/>
        <v>225</v>
      </c>
      <c r="I1268">
        <v>630</v>
      </c>
      <c r="J1268">
        <v>2255</v>
      </c>
      <c r="K1268" s="18" t="s">
        <v>1920</v>
      </c>
      <c r="L1268" s="21">
        <v>5.7</v>
      </c>
    </row>
    <row r="1269" spans="1:12" x14ac:dyDescent="0.25">
      <c r="A1269" t="str">
        <f t="shared" si="76"/>
        <v>2023-ST-iSo-113-672-2286</v>
      </c>
      <c r="B1269" t="str">
        <f t="shared" si="77"/>
        <v>2023</v>
      </c>
      <c r="C1269" s="18" t="s">
        <v>776</v>
      </c>
      <c r="D1269" t="s">
        <v>1786</v>
      </c>
      <c r="E1269" t="s">
        <v>1909</v>
      </c>
      <c r="F1269">
        <v>113</v>
      </c>
      <c r="G1269">
        <f t="shared" si="78"/>
        <v>67</v>
      </c>
      <c r="H1269">
        <f t="shared" si="79"/>
        <v>228</v>
      </c>
      <c r="I1269">
        <v>672</v>
      </c>
      <c r="J1269">
        <v>2286</v>
      </c>
      <c r="K1269" s="18" t="s">
        <v>1920</v>
      </c>
      <c r="L1269" s="21">
        <v>6.1</v>
      </c>
    </row>
    <row r="1270" spans="1:12" x14ac:dyDescent="0.25">
      <c r="A1270" t="str">
        <f t="shared" si="76"/>
        <v>2023-ST-iSo-124-727-2283</v>
      </c>
      <c r="B1270" t="str">
        <f t="shared" si="77"/>
        <v>2023</v>
      </c>
      <c r="C1270" s="18" t="s">
        <v>776</v>
      </c>
      <c r="D1270" t="s">
        <v>1786</v>
      </c>
      <c r="E1270" t="s">
        <v>1910</v>
      </c>
      <c r="F1270">
        <v>124</v>
      </c>
      <c r="G1270">
        <f t="shared" si="78"/>
        <v>72</v>
      </c>
      <c r="H1270">
        <f t="shared" si="79"/>
        <v>228</v>
      </c>
      <c r="I1270">
        <v>727</v>
      </c>
      <c r="J1270">
        <v>2283</v>
      </c>
      <c r="K1270" s="18" t="s">
        <v>1920</v>
      </c>
      <c r="L1270" s="21">
        <v>6.5</v>
      </c>
    </row>
    <row r="1271" spans="1:12" x14ac:dyDescent="0.25">
      <c r="A1271" t="str">
        <f t="shared" si="76"/>
        <v>2023-ST-iSo-129-776-2283</v>
      </c>
      <c r="B1271" t="str">
        <f t="shared" si="77"/>
        <v>2023</v>
      </c>
      <c r="C1271" s="18" t="s">
        <v>776</v>
      </c>
      <c r="D1271" t="s">
        <v>1786</v>
      </c>
      <c r="E1271" t="s">
        <v>1911</v>
      </c>
      <c r="F1271">
        <v>129</v>
      </c>
      <c r="G1271">
        <f t="shared" si="78"/>
        <v>77</v>
      </c>
      <c r="H1271">
        <f t="shared" si="79"/>
        <v>228</v>
      </c>
      <c r="I1271">
        <v>776</v>
      </c>
      <c r="J1271">
        <v>2283</v>
      </c>
      <c r="K1271" s="18" t="s">
        <v>1920</v>
      </c>
      <c r="L1271" s="21">
        <v>6.6</v>
      </c>
    </row>
    <row r="1272" spans="1:12" x14ac:dyDescent="0.25">
      <c r="A1272" t="str">
        <f t="shared" si="76"/>
        <v>2023-ST-iSo-134-830-2284</v>
      </c>
      <c r="B1272" t="str">
        <f t="shared" si="77"/>
        <v>2023</v>
      </c>
      <c r="C1272" s="18" t="s">
        <v>776</v>
      </c>
      <c r="D1272" t="s">
        <v>1786</v>
      </c>
      <c r="E1272" t="s">
        <v>1912</v>
      </c>
      <c r="F1272">
        <v>134</v>
      </c>
      <c r="G1272">
        <f t="shared" si="78"/>
        <v>83</v>
      </c>
      <c r="H1272">
        <f t="shared" si="79"/>
        <v>228</v>
      </c>
      <c r="I1272">
        <v>830</v>
      </c>
      <c r="J1272">
        <v>2284</v>
      </c>
      <c r="K1272" s="18" t="s">
        <v>1920</v>
      </c>
      <c r="L1272" s="21">
        <v>6.9</v>
      </c>
    </row>
    <row r="1273" spans="1:12" x14ac:dyDescent="0.25">
      <c r="A1273" t="str">
        <f t="shared" si="76"/>
        <v>2023-ST-iSo-140-850-2282</v>
      </c>
      <c r="B1273" t="str">
        <f t="shared" si="77"/>
        <v>2023</v>
      </c>
      <c r="C1273" s="18" t="s">
        <v>776</v>
      </c>
      <c r="D1273" t="s">
        <v>1786</v>
      </c>
      <c r="E1273" t="s">
        <v>1913</v>
      </c>
      <c r="F1273">
        <v>140</v>
      </c>
      <c r="G1273">
        <f t="shared" si="78"/>
        <v>85</v>
      </c>
      <c r="H1273">
        <f t="shared" si="79"/>
        <v>228</v>
      </c>
      <c r="I1273">
        <v>850</v>
      </c>
      <c r="J1273">
        <v>2282</v>
      </c>
      <c r="K1273" s="18" t="s">
        <v>1920</v>
      </c>
      <c r="L1273" s="21">
        <v>7.2</v>
      </c>
    </row>
    <row r="1274" spans="1:12" x14ac:dyDescent="0.25">
      <c r="A1274" t="str">
        <f t="shared" si="76"/>
        <v>2024-ST-X-1-156-747-2232</v>
      </c>
      <c r="B1274" t="str">
        <f t="shared" si="77"/>
        <v>2024</v>
      </c>
      <c r="C1274" s="18" t="s">
        <v>871</v>
      </c>
      <c r="D1274" t="s">
        <v>1786</v>
      </c>
      <c r="E1274" t="s">
        <v>1921</v>
      </c>
      <c r="F1274">
        <v>156</v>
      </c>
      <c r="G1274">
        <f t="shared" si="78"/>
        <v>74</v>
      </c>
      <c r="H1274">
        <f t="shared" si="79"/>
        <v>223</v>
      </c>
      <c r="I1274">
        <v>747</v>
      </c>
      <c r="J1274">
        <v>2232</v>
      </c>
      <c r="K1274" s="18" t="s">
        <v>1920</v>
      </c>
      <c r="L1274" s="21">
        <v>8.1999999999999993</v>
      </c>
    </row>
    <row r="1275" spans="1:12" x14ac:dyDescent="0.25">
      <c r="A1275" t="str">
        <f t="shared" si="76"/>
        <v>2024-ST-X-1-166-787-2251</v>
      </c>
      <c r="B1275" t="str">
        <f t="shared" si="77"/>
        <v>2024</v>
      </c>
      <c r="C1275" s="18" t="s">
        <v>871</v>
      </c>
      <c r="D1275" t="s">
        <v>1786</v>
      </c>
      <c r="E1275" t="s">
        <v>1922</v>
      </c>
      <c r="F1275">
        <v>166</v>
      </c>
      <c r="G1275">
        <f t="shared" si="78"/>
        <v>78</v>
      </c>
      <c r="H1275">
        <f t="shared" si="79"/>
        <v>225</v>
      </c>
      <c r="I1275">
        <v>787</v>
      </c>
      <c r="J1275">
        <v>2251</v>
      </c>
      <c r="K1275" s="18" t="s">
        <v>1920</v>
      </c>
      <c r="L1275" s="21">
        <v>8.8000000000000007</v>
      </c>
    </row>
    <row r="1276" spans="1:12" x14ac:dyDescent="0.25">
      <c r="A1276" t="str">
        <f t="shared" si="76"/>
        <v>2024-ST-X-1-182-851-2252</v>
      </c>
      <c r="B1276" t="str">
        <f t="shared" si="77"/>
        <v>2024</v>
      </c>
      <c r="C1276" s="18" t="s">
        <v>871</v>
      </c>
      <c r="D1276" t="s">
        <v>1786</v>
      </c>
      <c r="E1276" t="s">
        <v>1918</v>
      </c>
      <c r="F1276">
        <v>182</v>
      </c>
      <c r="G1276">
        <f t="shared" si="78"/>
        <v>85</v>
      </c>
      <c r="H1276">
        <f t="shared" si="79"/>
        <v>225</v>
      </c>
      <c r="I1276">
        <v>851</v>
      </c>
      <c r="J1276">
        <v>2252</v>
      </c>
      <c r="K1276" s="18" t="s">
        <v>1920</v>
      </c>
      <c r="L1276" s="21">
        <v>9.3000000000000007</v>
      </c>
    </row>
    <row r="1277" spans="1:12" x14ac:dyDescent="0.25">
      <c r="A1277" t="str">
        <f t="shared" si="76"/>
        <v>2024-ST-X-1-188-888-2250</v>
      </c>
      <c r="B1277" t="str">
        <f t="shared" si="77"/>
        <v>2024</v>
      </c>
      <c r="C1277" s="18" t="s">
        <v>871</v>
      </c>
      <c r="D1277" t="s">
        <v>1786</v>
      </c>
      <c r="E1277" t="s">
        <v>1923</v>
      </c>
      <c r="F1277">
        <v>188</v>
      </c>
      <c r="G1277">
        <f t="shared" si="78"/>
        <v>88</v>
      </c>
      <c r="H1277">
        <f t="shared" si="79"/>
        <v>225</v>
      </c>
      <c r="I1277">
        <v>888</v>
      </c>
      <c r="J1277">
        <v>2250</v>
      </c>
      <c r="K1277" s="18" t="s">
        <v>1920</v>
      </c>
      <c r="L1277" s="21">
        <v>9.6999999999999993</v>
      </c>
    </row>
    <row r="1278" spans="1:12" x14ac:dyDescent="0.25">
      <c r="A1278" t="str">
        <f t="shared" si="76"/>
        <v>2020-ST-iQF-153-848-2152</v>
      </c>
      <c r="B1278" t="str">
        <f t="shared" si="77"/>
        <v>2020</v>
      </c>
      <c r="C1278" s="18" t="s">
        <v>861</v>
      </c>
      <c r="D1278" t="s">
        <v>1786</v>
      </c>
      <c r="E1278" t="s">
        <v>1924</v>
      </c>
      <c r="F1278">
        <v>153</v>
      </c>
      <c r="G1278">
        <f t="shared" si="78"/>
        <v>84</v>
      </c>
      <c r="H1278">
        <f t="shared" si="79"/>
        <v>215</v>
      </c>
      <c r="I1278">
        <v>848</v>
      </c>
      <c r="J1278">
        <v>2152</v>
      </c>
      <c r="K1278" s="18" t="s">
        <v>1925</v>
      </c>
      <c r="L1278" s="21">
        <v>11.6</v>
      </c>
    </row>
    <row r="1279" spans="1:12" x14ac:dyDescent="0.25">
      <c r="A1279" t="str">
        <f t="shared" si="76"/>
        <v>2020-ST-iQF-196-944-2199</v>
      </c>
      <c r="B1279" t="str">
        <f t="shared" si="77"/>
        <v>2020</v>
      </c>
      <c r="C1279" s="18" t="s">
        <v>861</v>
      </c>
      <c r="D1279" t="s">
        <v>1786</v>
      </c>
      <c r="E1279" t="s">
        <v>1579</v>
      </c>
      <c r="F1279">
        <v>196</v>
      </c>
      <c r="G1279">
        <f t="shared" si="78"/>
        <v>94</v>
      </c>
      <c r="H1279">
        <f t="shared" si="79"/>
        <v>219</v>
      </c>
      <c r="I1279">
        <v>944</v>
      </c>
      <c r="J1279">
        <v>2199</v>
      </c>
      <c r="K1279" s="18" t="s">
        <v>1926</v>
      </c>
      <c r="L1279" s="21">
        <v>10.9</v>
      </c>
    </row>
    <row r="1280" spans="1:12" x14ac:dyDescent="0.25">
      <c r="A1280" t="str">
        <f t="shared" si="76"/>
        <v>2024-ST-iSo-87-602-2253</v>
      </c>
      <c r="B1280" t="str">
        <f t="shared" si="77"/>
        <v>2024</v>
      </c>
      <c r="C1280" s="18" t="s">
        <v>871</v>
      </c>
      <c r="D1280" t="s">
        <v>1786</v>
      </c>
      <c r="E1280" t="s">
        <v>1907</v>
      </c>
      <c r="F1280">
        <v>87</v>
      </c>
      <c r="G1280">
        <f t="shared" si="78"/>
        <v>60</v>
      </c>
      <c r="H1280">
        <f t="shared" si="79"/>
        <v>225</v>
      </c>
      <c r="I1280">
        <v>602</v>
      </c>
      <c r="J1280">
        <v>2253</v>
      </c>
      <c r="K1280" s="18" t="s">
        <v>1927</v>
      </c>
      <c r="L1280" s="21">
        <v>5.6</v>
      </c>
    </row>
    <row r="1281" spans="1:12" x14ac:dyDescent="0.25">
      <c r="A1281" t="str">
        <f t="shared" si="76"/>
        <v>2024-ST-iSo-98-632-2267</v>
      </c>
      <c r="B1281" t="str">
        <f t="shared" si="77"/>
        <v>2024</v>
      </c>
      <c r="C1281" s="18" t="s">
        <v>871</v>
      </c>
      <c r="D1281" t="s">
        <v>1786</v>
      </c>
      <c r="E1281" t="s">
        <v>1908</v>
      </c>
      <c r="F1281">
        <v>98</v>
      </c>
      <c r="G1281">
        <f t="shared" si="78"/>
        <v>63</v>
      </c>
      <c r="H1281">
        <f t="shared" si="79"/>
        <v>226</v>
      </c>
      <c r="I1281">
        <v>632</v>
      </c>
      <c r="J1281">
        <v>2267</v>
      </c>
      <c r="K1281" s="18" t="s">
        <v>1927</v>
      </c>
      <c r="L1281" s="21">
        <v>6</v>
      </c>
    </row>
    <row r="1282" spans="1:12" x14ac:dyDescent="0.25">
      <c r="A1282" t="str">
        <f t="shared" ref="A1282:A1345" si="80">_xlfn.CONCAT(B1282,"-",LEFT(D1282,2),"-",LEFT(E1282,3),"-",F1282,"-",TRUNC(I1282),"-",TRUNC(J1282))</f>
        <v>2024-ST-iSo-110-670-2287</v>
      </c>
      <c r="B1282" t="str">
        <f t="shared" ref="B1282:B1345" si="81">LEFT(C1282,4)</f>
        <v>2024</v>
      </c>
      <c r="C1282" s="18" t="s">
        <v>871</v>
      </c>
      <c r="D1282" t="s">
        <v>1786</v>
      </c>
      <c r="E1282" t="s">
        <v>1909</v>
      </c>
      <c r="F1282">
        <v>110</v>
      </c>
      <c r="G1282">
        <f t="shared" si="78"/>
        <v>67</v>
      </c>
      <c r="H1282">
        <f t="shared" si="79"/>
        <v>228</v>
      </c>
      <c r="I1282">
        <v>670</v>
      </c>
      <c r="J1282">
        <v>2287</v>
      </c>
      <c r="K1282" s="18" t="s">
        <v>1927</v>
      </c>
      <c r="L1282" s="21">
        <v>6.2</v>
      </c>
    </row>
    <row r="1283" spans="1:12" x14ac:dyDescent="0.25">
      <c r="A1283" t="str">
        <f t="shared" si="80"/>
        <v>2024-ST-iSo-123-727-2285</v>
      </c>
      <c r="B1283" t="str">
        <f t="shared" si="81"/>
        <v>2024</v>
      </c>
      <c r="C1283" s="18" t="s">
        <v>871</v>
      </c>
      <c r="D1283" t="s">
        <v>1786</v>
      </c>
      <c r="E1283" t="s">
        <v>1910</v>
      </c>
      <c r="F1283">
        <v>123</v>
      </c>
      <c r="G1283">
        <f t="shared" ref="G1283:G1346" si="82">TRUNC(I1283/10)</f>
        <v>72</v>
      </c>
      <c r="H1283">
        <f t="shared" ref="H1283:H1346" si="83">TRUNC(J1283/10)</f>
        <v>228</v>
      </c>
      <c r="I1283">
        <v>727</v>
      </c>
      <c r="J1283">
        <v>2285</v>
      </c>
      <c r="K1283" s="18" t="s">
        <v>1927</v>
      </c>
      <c r="L1283" s="21">
        <v>6.5</v>
      </c>
    </row>
    <row r="1284" spans="1:12" x14ac:dyDescent="0.25">
      <c r="A1284" t="str">
        <f t="shared" si="80"/>
        <v>2024-ST-iSo-129-776-2283</v>
      </c>
      <c r="B1284" t="str">
        <f t="shared" si="81"/>
        <v>2024</v>
      </c>
      <c r="C1284" s="18" t="s">
        <v>871</v>
      </c>
      <c r="D1284" t="s">
        <v>1786</v>
      </c>
      <c r="E1284" t="s">
        <v>1911</v>
      </c>
      <c r="F1284">
        <v>129</v>
      </c>
      <c r="G1284">
        <f t="shared" si="82"/>
        <v>77</v>
      </c>
      <c r="H1284">
        <f t="shared" si="83"/>
        <v>228</v>
      </c>
      <c r="I1284">
        <v>776</v>
      </c>
      <c r="J1284">
        <v>2283</v>
      </c>
      <c r="K1284" s="18" t="s">
        <v>1927</v>
      </c>
      <c r="L1284" s="21">
        <v>6.8</v>
      </c>
    </row>
    <row r="1285" spans="1:12" x14ac:dyDescent="0.25">
      <c r="A1285" t="str">
        <f t="shared" si="80"/>
        <v>2024-ST-iSo-140-850-2282</v>
      </c>
      <c r="B1285" t="str">
        <f t="shared" si="81"/>
        <v>2024</v>
      </c>
      <c r="C1285" s="18" t="s">
        <v>871</v>
      </c>
      <c r="D1285" t="s">
        <v>1786</v>
      </c>
      <c r="E1285" t="s">
        <v>1913</v>
      </c>
      <c r="F1285">
        <v>140</v>
      </c>
      <c r="G1285">
        <f t="shared" si="82"/>
        <v>85</v>
      </c>
      <c r="H1285">
        <f t="shared" si="83"/>
        <v>228</v>
      </c>
      <c r="I1285">
        <v>850</v>
      </c>
      <c r="J1285">
        <v>2282</v>
      </c>
      <c r="K1285" s="18" t="s">
        <v>1927</v>
      </c>
      <c r="L1285" s="21">
        <v>7.2</v>
      </c>
    </row>
    <row r="1286" spans="1:12" x14ac:dyDescent="0.25">
      <c r="A1286" t="str">
        <f t="shared" si="80"/>
        <v>2025-ST-iSo-97.5-632-2267</v>
      </c>
      <c r="B1286" t="str">
        <f t="shared" si="81"/>
        <v>2025</v>
      </c>
      <c r="C1286" s="18" t="s">
        <v>874</v>
      </c>
      <c r="D1286" t="s">
        <v>1786</v>
      </c>
      <c r="E1286" t="s">
        <v>1908</v>
      </c>
      <c r="F1286">
        <v>97.5</v>
      </c>
      <c r="G1286">
        <f t="shared" si="82"/>
        <v>63</v>
      </c>
      <c r="H1286">
        <f t="shared" si="83"/>
        <v>226</v>
      </c>
      <c r="I1286">
        <v>632</v>
      </c>
      <c r="J1286">
        <v>2267</v>
      </c>
      <c r="K1286" s="18" t="s">
        <v>1928</v>
      </c>
      <c r="L1286" s="21">
        <v>6</v>
      </c>
    </row>
    <row r="1287" spans="1:12" x14ac:dyDescent="0.25">
      <c r="A1287" t="str">
        <f t="shared" si="80"/>
        <v>2025-ST-iSo-110.2-670-2287</v>
      </c>
      <c r="B1287" t="str">
        <f t="shared" si="81"/>
        <v>2025</v>
      </c>
      <c r="C1287" s="18" t="s">
        <v>874</v>
      </c>
      <c r="D1287" t="s">
        <v>1786</v>
      </c>
      <c r="E1287" t="s">
        <v>1909</v>
      </c>
      <c r="F1287">
        <v>110.2</v>
      </c>
      <c r="G1287">
        <f t="shared" si="82"/>
        <v>67</v>
      </c>
      <c r="H1287">
        <f t="shared" si="83"/>
        <v>228</v>
      </c>
      <c r="I1287">
        <v>670</v>
      </c>
      <c r="J1287">
        <v>2287</v>
      </c>
      <c r="K1287" s="18" t="s">
        <v>1928</v>
      </c>
      <c r="L1287" s="21">
        <v>6.2</v>
      </c>
    </row>
    <row r="1288" spans="1:12" x14ac:dyDescent="0.25">
      <c r="A1288" t="str">
        <f t="shared" si="80"/>
        <v>2025-ST-iSo-122.8-727-2285</v>
      </c>
      <c r="B1288" t="str">
        <f t="shared" si="81"/>
        <v>2025</v>
      </c>
      <c r="C1288" s="18" t="s">
        <v>874</v>
      </c>
      <c r="D1288" t="s">
        <v>1786</v>
      </c>
      <c r="E1288" t="s">
        <v>1910</v>
      </c>
      <c r="F1288">
        <v>122.8</v>
      </c>
      <c r="G1288">
        <f t="shared" si="82"/>
        <v>72</v>
      </c>
      <c r="H1288">
        <f t="shared" si="83"/>
        <v>228</v>
      </c>
      <c r="I1288">
        <v>727</v>
      </c>
      <c r="J1288">
        <v>2285</v>
      </c>
      <c r="K1288" s="18" t="s">
        <v>1928</v>
      </c>
      <c r="L1288" s="21">
        <v>6.5</v>
      </c>
    </row>
    <row r="1289" spans="1:12" x14ac:dyDescent="0.25">
      <c r="A1289" t="str">
        <f t="shared" si="80"/>
        <v>2025-ST-iSo-129-767-2288</v>
      </c>
      <c r="B1289" t="str">
        <f t="shared" si="81"/>
        <v>2025</v>
      </c>
      <c r="C1289" s="18" t="s">
        <v>874</v>
      </c>
      <c r="D1289" t="s">
        <v>1786</v>
      </c>
      <c r="E1289" t="s">
        <v>1911</v>
      </c>
      <c r="F1289">
        <v>129</v>
      </c>
      <c r="G1289">
        <f t="shared" si="82"/>
        <v>76</v>
      </c>
      <c r="H1289">
        <f t="shared" si="83"/>
        <v>228</v>
      </c>
      <c r="I1289">
        <v>767</v>
      </c>
      <c r="J1289">
        <v>2288</v>
      </c>
      <c r="K1289" s="18" t="s">
        <v>1928</v>
      </c>
      <c r="L1289" s="21">
        <v>6.9</v>
      </c>
    </row>
    <row r="1290" spans="1:12" x14ac:dyDescent="0.25">
      <c r="A1290" t="str">
        <f t="shared" si="80"/>
        <v>2025-ST-iSo-146.6-850-2288</v>
      </c>
      <c r="B1290" t="str">
        <f t="shared" si="81"/>
        <v>2025</v>
      </c>
      <c r="C1290" s="18" t="s">
        <v>874</v>
      </c>
      <c r="D1290" t="s">
        <v>1786</v>
      </c>
      <c r="E1290" t="s">
        <v>1913</v>
      </c>
      <c r="F1290">
        <v>146.6</v>
      </c>
      <c r="G1290">
        <f t="shared" si="82"/>
        <v>85</v>
      </c>
      <c r="H1290">
        <f t="shared" si="83"/>
        <v>228</v>
      </c>
      <c r="I1290">
        <v>850</v>
      </c>
      <c r="J1290">
        <v>2288</v>
      </c>
      <c r="K1290" s="18" t="s">
        <v>1928</v>
      </c>
      <c r="L1290" s="21">
        <v>7.4</v>
      </c>
    </row>
    <row r="1291" spans="1:12" x14ac:dyDescent="0.25">
      <c r="A1291" t="str">
        <f t="shared" si="80"/>
        <v>2025-ST-x-1-169-850-2253</v>
      </c>
      <c r="B1291" t="str">
        <f t="shared" si="81"/>
        <v>2025</v>
      </c>
      <c r="C1291" s="18" t="s">
        <v>874</v>
      </c>
      <c r="D1291" t="s">
        <v>1786</v>
      </c>
      <c r="E1291" t="s">
        <v>1929</v>
      </c>
      <c r="F1291">
        <v>169</v>
      </c>
      <c r="G1291">
        <f t="shared" si="82"/>
        <v>85</v>
      </c>
      <c r="H1291">
        <f t="shared" si="83"/>
        <v>225</v>
      </c>
      <c r="I1291">
        <v>850</v>
      </c>
      <c r="J1291">
        <v>2253</v>
      </c>
      <c r="K1291" s="18" t="s">
        <v>1928</v>
      </c>
      <c r="L1291" s="21">
        <v>9.0299999999999994</v>
      </c>
    </row>
    <row r="1292" spans="1:12" x14ac:dyDescent="0.25">
      <c r="A1292" t="str">
        <f t="shared" si="80"/>
        <v>2025-ST-x-1-177.3-888-2253</v>
      </c>
      <c r="B1292" t="str">
        <f t="shared" si="81"/>
        <v>2025</v>
      </c>
      <c r="C1292" s="18" t="s">
        <v>874</v>
      </c>
      <c r="D1292" t="s">
        <v>1786</v>
      </c>
      <c r="E1292" t="s">
        <v>1930</v>
      </c>
      <c r="F1292">
        <v>177.3</v>
      </c>
      <c r="G1292">
        <f t="shared" si="82"/>
        <v>88</v>
      </c>
      <c r="H1292">
        <f t="shared" si="83"/>
        <v>225</v>
      </c>
      <c r="I1292">
        <v>888</v>
      </c>
      <c r="J1292">
        <v>2253</v>
      </c>
      <c r="K1292" s="18" t="s">
        <v>1928</v>
      </c>
      <c r="L1292" s="21">
        <v>9.6</v>
      </c>
    </row>
    <row r="1293" spans="1:12" x14ac:dyDescent="0.25">
      <c r="A1293" t="str">
        <f t="shared" si="80"/>
        <v>2025-ST-x-1-150-747-2258</v>
      </c>
      <c r="B1293" t="str">
        <f t="shared" si="81"/>
        <v>2025</v>
      </c>
      <c r="C1293" s="18" t="s">
        <v>874</v>
      </c>
      <c r="D1293" t="s">
        <v>1786</v>
      </c>
      <c r="E1293" t="s">
        <v>1931</v>
      </c>
      <c r="F1293">
        <v>150</v>
      </c>
      <c r="G1293">
        <f t="shared" si="82"/>
        <v>74</v>
      </c>
      <c r="H1293">
        <f t="shared" si="83"/>
        <v>225</v>
      </c>
      <c r="I1293">
        <v>747</v>
      </c>
      <c r="J1293">
        <v>2258</v>
      </c>
      <c r="K1293" s="18" t="s">
        <v>1932</v>
      </c>
      <c r="L1293" s="21">
        <v>8.3000000000000007</v>
      </c>
    </row>
    <row r="1294" spans="1:12" x14ac:dyDescent="0.25">
      <c r="A1294" t="str">
        <f t="shared" si="80"/>
        <v>2025-ST-x-1-160.8-787-2259</v>
      </c>
      <c r="B1294" t="str">
        <f t="shared" si="81"/>
        <v>2025</v>
      </c>
      <c r="C1294" s="18" t="s">
        <v>874</v>
      </c>
      <c r="D1294" t="s">
        <v>1786</v>
      </c>
      <c r="E1294" t="s">
        <v>1933</v>
      </c>
      <c r="F1294">
        <v>160.80000000000001</v>
      </c>
      <c r="G1294">
        <f t="shared" si="82"/>
        <v>78</v>
      </c>
      <c r="H1294">
        <f t="shared" si="83"/>
        <v>225</v>
      </c>
      <c r="I1294">
        <v>787</v>
      </c>
      <c r="J1294">
        <v>2259</v>
      </c>
      <c r="K1294" s="18" t="s">
        <v>1932</v>
      </c>
      <c r="L1294" s="21">
        <v>8.8000000000000007</v>
      </c>
    </row>
    <row r="1295" spans="1:12" x14ac:dyDescent="0.25">
      <c r="A1295" t="str">
        <f t="shared" si="80"/>
        <v>2025-ST-iSo-86.5-600-2251</v>
      </c>
      <c r="B1295" t="str">
        <f t="shared" si="81"/>
        <v>2025</v>
      </c>
      <c r="C1295" s="18" t="s">
        <v>874</v>
      </c>
      <c r="D1295" t="s">
        <v>1786</v>
      </c>
      <c r="E1295" t="s">
        <v>1907</v>
      </c>
      <c r="F1295">
        <v>86.5</v>
      </c>
      <c r="G1295">
        <f t="shared" si="82"/>
        <v>60</v>
      </c>
      <c r="H1295">
        <f t="shared" si="83"/>
        <v>225</v>
      </c>
      <c r="I1295">
        <v>600</v>
      </c>
      <c r="J1295">
        <v>2251</v>
      </c>
      <c r="K1295" s="18" t="s">
        <v>1928</v>
      </c>
      <c r="L1295" s="21">
        <v>5.7</v>
      </c>
    </row>
    <row r="1296" spans="1:12" x14ac:dyDescent="0.25">
      <c r="A1296" t="str">
        <f t="shared" si="80"/>
        <v>2026-ST-X-1-152.4-783-2210</v>
      </c>
      <c r="B1296" t="str">
        <f t="shared" si="81"/>
        <v>2026</v>
      </c>
      <c r="C1296" s="18" t="s">
        <v>878</v>
      </c>
      <c r="D1296" t="s">
        <v>1786</v>
      </c>
      <c r="E1296" t="s">
        <v>1922</v>
      </c>
      <c r="F1296">
        <v>152.4</v>
      </c>
      <c r="G1296">
        <f t="shared" si="82"/>
        <v>78</v>
      </c>
      <c r="H1296">
        <f t="shared" si="83"/>
        <v>221</v>
      </c>
      <c r="I1296">
        <v>783</v>
      </c>
      <c r="J1296">
        <v>2210</v>
      </c>
      <c r="K1296" s="18" t="s">
        <v>1416</v>
      </c>
      <c r="L1296" s="21">
        <v>8.6</v>
      </c>
    </row>
    <row r="1297" spans="1:12" x14ac:dyDescent="0.25">
      <c r="A1297" t="str">
        <f t="shared" si="80"/>
        <v>2026-ST-X-1-165.5-850-2253</v>
      </c>
      <c r="B1297" t="str">
        <f t="shared" si="81"/>
        <v>2026</v>
      </c>
      <c r="C1297" s="18" t="s">
        <v>878</v>
      </c>
      <c r="D1297" t="s">
        <v>1786</v>
      </c>
      <c r="E1297" t="s">
        <v>1918</v>
      </c>
      <c r="F1297">
        <v>165.5</v>
      </c>
      <c r="G1297">
        <f t="shared" si="82"/>
        <v>85</v>
      </c>
      <c r="H1297">
        <f t="shared" si="83"/>
        <v>225</v>
      </c>
      <c r="I1297">
        <v>850</v>
      </c>
      <c r="J1297">
        <v>2253</v>
      </c>
      <c r="K1297" s="18" t="s">
        <v>1416</v>
      </c>
      <c r="L1297" s="21">
        <v>9</v>
      </c>
    </row>
    <row r="1298" spans="1:12" x14ac:dyDescent="0.25">
      <c r="A1298" t="str">
        <f t="shared" si="80"/>
        <v>2026-ST-iSo-90.5-600-2251</v>
      </c>
      <c r="B1298" t="str">
        <f t="shared" si="81"/>
        <v>2026</v>
      </c>
      <c r="C1298" s="18" t="s">
        <v>878</v>
      </c>
      <c r="D1298" t="s">
        <v>1786</v>
      </c>
      <c r="E1298" t="s">
        <v>1907</v>
      </c>
      <c r="F1298">
        <v>90.5</v>
      </c>
      <c r="G1298">
        <f t="shared" si="82"/>
        <v>60</v>
      </c>
      <c r="H1298">
        <f t="shared" si="83"/>
        <v>225</v>
      </c>
      <c r="I1298">
        <v>600</v>
      </c>
      <c r="J1298">
        <v>2251</v>
      </c>
      <c r="K1298" s="18" t="s">
        <v>1416</v>
      </c>
      <c r="L1298" s="21">
        <v>5.7</v>
      </c>
    </row>
    <row r="1299" spans="1:12" x14ac:dyDescent="0.25">
      <c r="A1299" t="str">
        <f t="shared" si="80"/>
        <v>2026-ST-iSo-97.8-632-2267</v>
      </c>
      <c r="B1299" t="str">
        <f t="shared" si="81"/>
        <v>2026</v>
      </c>
      <c r="C1299" s="18" t="s">
        <v>878</v>
      </c>
      <c r="D1299" t="s">
        <v>1786</v>
      </c>
      <c r="E1299" t="s">
        <v>1908</v>
      </c>
      <c r="F1299">
        <v>97.8</v>
      </c>
      <c r="G1299">
        <f t="shared" si="82"/>
        <v>63</v>
      </c>
      <c r="H1299">
        <f t="shared" si="83"/>
        <v>226</v>
      </c>
      <c r="I1299">
        <v>632</v>
      </c>
      <c r="J1299">
        <v>2267</v>
      </c>
      <c r="K1299" s="18" t="s">
        <v>1416</v>
      </c>
      <c r="L1299" s="21">
        <v>6.05</v>
      </c>
    </row>
    <row r="1300" spans="1:12" x14ac:dyDescent="0.25">
      <c r="A1300" t="str">
        <f t="shared" si="80"/>
        <v>2026-ST-iSo-110.8-670-2287</v>
      </c>
      <c r="B1300" t="str">
        <f t="shared" si="81"/>
        <v>2026</v>
      </c>
      <c r="C1300" s="18" t="s">
        <v>878</v>
      </c>
      <c r="D1300" t="s">
        <v>1786</v>
      </c>
      <c r="E1300" t="s">
        <v>1909</v>
      </c>
      <c r="F1300">
        <v>110.8</v>
      </c>
      <c r="G1300">
        <f t="shared" si="82"/>
        <v>67</v>
      </c>
      <c r="H1300">
        <f t="shared" si="83"/>
        <v>228</v>
      </c>
      <c r="I1300">
        <v>670</v>
      </c>
      <c r="J1300">
        <v>2287</v>
      </c>
      <c r="K1300" s="18" t="s">
        <v>1416</v>
      </c>
      <c r="L1300" s="21">
        <v>6.34</v>
      </c>
    </row>
    <row r="1301" spans="1:12" x14ac:dyDescent="0.25">
      <c r="A1301" t="str">
        <f t="shared" si="80"/>
        <v>2026-ST-iSo-122.8-727-2285</v>
      </c>
      <c r="B1301" t="str">
        <f t="shared" si="81"/>
        <v>2026</v>
      </c>
      <c r="C1301" s="18" t="s">
        <v>878</v>
      </c>
      <c r="D1301" t="s">
        <v>1786</v>
      </c>
      <c r="E1301" t="s">
        <v>1910</v>
      </c>
      <c r="F1301">
        <v>122.8</v>
      </c>
      <c r="G1301">
        <f t="shared" si="82"/>
        <v>72</v>
      </c>
      <c r="H1301">
        <f t="shared" si="83"/>
        <v>228</v>
      </c>
      <c r="I1301">
        <v>727</v>
      </c>
      <c r="J1301">
        <v>2285</v>
      </c>
      <c r="K1301" s="18" t="s">
        <v>1416</v>
      </c>
      <c r="L1301" s="21">
        <v>6.66</v>
      </c>
    </row>
    <row r="1302" spans="1:12" x14ac:dyDescent="0.25">
      <c r="A1302" t="str">
        <f t="shared" si="80"/>
        <v>2026-ST-iSo-129-767-2288</v>
      </c>
      <c r="B1302" t="str">
        <f t="shared" si="81"/>
        <v>2026</v>
      </c>
      <c r="C1302" s="18" t="s">
        <v>878</v>
      </c>
      <c r="D1302" t="s">
        <v>1786</v>
      </c>
      <c r="E1302" t="s">
        <v>1911</v>
      </c>
      <c r="F1302">
        <v>129</v>
      </c>
      <c r="G1302">
        <f t="shared" si="82"/>
        <v>76</v>
      </c>
      <c r="H1302">
        <f t="shared" si="83"/>
        <v>228</v>
      </c>
      <c r="I1302">
        <v>767</v>
      </c>
      <c r="J1302">
        <v>2288</v>
      </c>
      <c r="K1302" s="18" t="s">
        <v>1416</v>
      </c>
      <c r="L1302" s="21">
        <v>6.81</v>
      </c>
    </row>
    <row r="1303" spans="1:12" x14ac:dyDescent="0.25">
      <c r="A1303" t="str">
        <f t="shared" si="80"/>
        <v>2026-ST-iSo-146.6-850-2288</v>
      </c>
      <c r="B1303" t="str">
        <f t="shared" si="81"/>
        <v>2026</v>
      </c>
      <c r="C1303" s="18" t="s">
        <v>878</v>
      </c>
      <c r="D1303" t="s">
        <v>1786</v>
      </c>
      <c r="E1303" t="s">
        <v>1913</v>
      </c>
      <c r="F1303">
        <v>146.6</v>
      </c>
      <c r="G1303">
        <f t="shared" si="82"/>
        <v>85</v>
      </c>
      <c r="H1303">
        <f t="shared" si="83"/>
        <v>228</v>
      </c>
      <c r="I1303">
        <v>850</v>
      </c>
      <c r="J1303">
        <v>2288</v>
      </c>
      <c r="K1303" s="18" t="s">
        <v>1416</v>
      </c>
      <c r="L1303" s="21">
        <v>7.65</v>
      </c>
    </row>
    <row r="1304" spans="1:12" x14ac:dyDescent="0.25">
      <c r="A1304" t="str">
        <f t="shared" si="80"/>
        <v>2005-T1-SR -60-500-2387</v>
      </c>
      <c r="B1304" t="str">
        <f t="shared" si="81"/>
        <v>2005</v>
      </c>
      <c r="C1304" s="18" t="s">
        <v>811</v>
      </c>
      <c r="D1304" t="s">
        <v>2001</v>
      </c>
      <c r="E1304" t="s">
        <v>2002</v>
      </c>
      <c r="F1304">
        <v>60</v>
      </c>
      <c r="G1304">
        <f t="shared" si="82"/>
        <v>50</v>
      </c>
      <c r="H1304">
        <f t="shared" si="83"/>
        <v>238</v>
      </c>
      <c r="I1304">
        <v>500</v>
      </c>
      <c r="J1304">
        <v>2387</v>
      </c>
      <c r="K1304" s="18" t="s">
        <v>896</v>
      </c>
      <c r="L1304" s="21" t="s">
        <v>1941</v>
      </c>
    </row>
    <row r="1305" spans="1:12" x14ac:dyDescent="0.25">
      <c r="A1305" t="str">
        <f t="shared" si="80"/>
        <v>2005-T1-RS -90-598-2446</v>
      </c>
      <c r="B1305" t="str">
        <f t="shared" si="81"/>
        <v>2005</v>
      </c>
      <c r="C1305" s="18" t="s">
        <v>811</v>
      </c>
      <c r="D1305" t="s">
        <v>2001</v>
      </c>
      <c r="E1305" t="s">
        <v>2003</v>
      </c>
      <c r="F1305">
        <v>90</v>
      </c>
      <c r="G1305">
        <f t="shared" si="82"/>
        <v>59</v>
      </c>
      <c r="H1305">
        <f t="shared" si="83"/>
        <v>244</v>
      </c>
      <c r="I1305">
        <v>598</v>
      </c>
      <c r="J1305">
        <v>2446</v>
      </c>
      <c r="K1305" s="18" t="s">
        <v>896</v>
      </c>
      <c r="L1305" s="21" t="s">
        <v>1941</v>
      </c>
    </row>
    <row r="1306" spans="1:12" x14ac:dyDescent="0.25">
      <c r="A1306" t="str">
        <f t="shared" si="80"/>
        <v>2005-T1-RS -110-661-2478</v>
      </c>
      <c r="B1306" t="str">
        <f t="shared" si="81"/>
        <v>2005</v>
      </c>
      <c r="C1306" s="18" t="s">
        <v>811</v>
      </c>
      <c r="D1306" t="s">
        <v>2001</v>
      </c>
      <c r="E1306" t="s">
        <v>2004</v>
      </c>
      <c r="F1306">
        <v>110</v>
      </c>
      <c r="G1306">
        <f t="shared" si="82"/>
        <v>66</v>
      </c>
      <c r="H1306">
        <f t="shared" si="83"/>
        <v>247</v>
      </c>
      <c r="I1306">
        <v>661</v>
      </c>
      <c r="J1306">
        <v>2478</v>
      </c>
      <c r="K1306" s="18" t="s">
        <v>896</v>
      </c>
      <c r="L1306" s="21" t="s">
        <v>1941</v>
      </c>
    </row>
    <row r="1307" spans="1:12" x14ac:dyDescent="0.25">
      <c r="A1307" t="str">
        <f t="shared" si="80"/>
        <v>2005-T1-RS -130-742-2472</v>
      </c>
      <c r="B1307" t="str">
        <f t="shared" si="81"/>
        <v>2005</v>
      </c>
      <c r="C1307" s="18" t="s">
        <v>811</v>
      </c>
      <c r="D1307" t="s">
        <v>2001</v>
      </c>
      <c r="E1307" t="s">
        <v>2005</v>
      </c>
      <c r="F1307">
        <v>130</v>
      </c>
      <c r="G1307">
        <f t="shared" si="82"/>
        <v>74</v>
      </c>
      <c r="H1307">
        <f t="shared" si="83"/>
        <v>247</v>
      </c>
      <c r="I1307">
        <v>742</v>
      </c>
      <c r="J1307">
        <v>2472</v>
      </c>
      <c r="K1307" s="18" t="s">
        <v>896</v>
      </c>
      <c r="L1307" s="21" t="s">
        <v>1941</v>
      </c>
    </row>
    <row r="1308" spans="1:12" x14ac:dyDescent="0.25">
      <c r="A1308" t="str">
        <f t="shared" si="80"/>
        <v>2006-T1-RS -85-541-2364</v>
      </c>
      <c r="B1308" t="str">
        <f t="shared" si="81"/>
        <v>2006</v>
      </c>
      <c r="C1308" s="18" t="s">
        <v>813</v>
      </c>
      <c r="D1308" t="s">
        <v>2001</v>
      </c>
      <c r="E1308" t="s">
        <v>2006</v>
      </c>
      <c r="F1308">
        <v>85</v>
      </c>
      <c r="G1308">
        <f t="shared" si="82"/>
        <v>54</v>
      </c>
      <c r="H1308">
        <f t="shared" si="83"/>
        <v>236</v>
      </c>
      <c r="I1308">
        <v>541</v>
      </c>
      <c r="J1308">
        <v>2364</v>
      </c>
      <c r="K1308" s="18" t="s">
        <v>814</v>
      </c>
      <c r="L1308" s="21">
        <v>5.4</v>
      </c>
    </row>
    <row r="1309" spans="1:12" x14ac:dyDescent="0.25">
      <c r="A1309" t="str">
        <f t="shared" si="80"/>
        <v>2006-T1-RS -118-596-2389</v>
      </c>
      <c r="B1309" t="str">
        <f t="shared" si="81"/>
        <v>2006</v>
      </c>
      <c r="C1309" s="18" t="s">
        <v>813</v>
      </c>
      <c r="D1309" t="s">
        <v>2001</v>
      </c>
      <c r="E1309" t="s">
        <v>2007</v>
      </c>
      <c r="F1309">
        <v>118</v>
      </c>
      <c r="G1309">
        <f t="shared" si="82"/>
        <v>59</v>
      </c>
      <c r="H1309">
        <f t="shared" si="83"/>
        <v>238</v>
      </c>
      <c r="I1309">
        <v>596</v>
      </c>
      <c r="J1309">
        <v>2389</v>
      </c>
      <c r="K1309" s="18" t="s">
        <v>814</v>
      </c>
      <c r="L1309" s="21">
        <v>5.7</v>
      </c>
    </row>
    <row r="1310" spans="1:12" x14ac:dyDescent="0.25">
      <c r="A1310" t="str">
        <f t="shared" si="80"/>
        <v>2006-T1-RS -115-660-2384</v>
      </c>
      <c r="B1310" t="str">
        <f t="shared" si="81"/>
        <v>2006</v>
      </c>
      <c r="C1310" s="18" t="s">
        <v>813</v>
      </c>
      <c r="D1310" t="s">
        <v>2001</v>
      </c>
      <c r="E1310" t="s">
        <v>2008</v>
      </c>
      <c r="F1310">
        <v>115</v>
      </c>
      <c r="G1310">
        <f t="shared" si="82"/>
        <v>66</v>
      </c>
      <c r="H1310">
        <f t="shared" si="83"/>
        <v>238</v>
      </c>
      <c r="I1310">
        <v>660</v>
      </c>
      <c r="J1310">
        <v>2384</v>
      </c>
      <c r="K1310" s="18" t="s">
        <v>814</v>
      </c>
      <c r="L1310" s="21">
        <v>6.1</v>
      </c>
    </row>
    <row r="1311" spans="1:12" x14ac:dyDescent="0.25">
      <c r="A1311" t="str">
        <f t="shared" si="80"/>
        <v>2006-T1-RS -125-737-2383</v>
      </c>
      <c r="B1311" t="str">
        <f t="shared" si="81"/>
        <v>2006</v>
      </c>
      <c r="C1311" s="18" t="s">
        <v>813</v>
      </c>
      <c r="D1311" t="s">
        <v>2001</v>
      </c>
      <c r="E1311" t="s">
        <v>2009</v>
      </c>
      <c r="F1311">
        <v>125</v>
      </c>
      <c r="G1311">
        <f t="shared" si="82"/>
        <v>73</v>
      </c>
      <c r="H1311">
        <f t="shared" si="83"/>
        <v>238</v>
      </c>
      <c r="I1311">
        <v>737</v>
      </c>
      <c r="J1311">
        <v>2383</v>
      </c>
      <c r="K1311" s="18" t="s">
        <v>814</v>
      </c>
      <c r="L1311" s="21">
        <v>6.5</v>
      </c>
    </row>
    <row r="1312" spans="1:12" x14ac:dyDescent="0.25">
      <c r="A1312" t="str">
        <f t="shared" si="80"/>
        <v>2006-T1-RS -140-794-2378</v>
      </c>
      <c r="B1312" t="str">
        <f t="shared" si="81"/>
        <v>2006</v>
      </c>
      <c r="C1312" s="18" t="s">
        <v>813</v>
      </c>
      <c r="D1312" t="s">
        <v>2001</v>
      </c>
      <c r="E1312" t="s">
        <v>2010</v>
      </c>
      <c r="F1312">
        <v>140</v>
      </c>
      <c r="G1312">
        <f t="shared" si="82"/>
        <v>79</v>
      </c>
      <c r="H1312">
        <f t="shared" si="83"/>
        <v>237</v>
      </c>
      <c r="I1312">
        <v>794</v>
      </c>
      <c r="J1312">
        <v>2378</v>
      </c>
      <c r="K1312" s="18" t="s">
        <v>814</v>
      </c>
      <c r="L1312" s="21">
        <v>6.8</v>
      </c>
    </row>
    <row r="1313" spans="1:12" x14ac:dyDescent="0.25">
      <c r="A1313" t="str">
        <f t="shared" si="80"/>
        <v>2010-T1-RS5-83-545-2410</v>
      </c>
      <c r="B1313" t="str">
        <f t="shared" si="81"/>
        <v>2010</v>
      </c>
      <c r="C1313" s="18" t="s">
        <v>840</v>
      </c>
      <c r="D1313" t="s">
        <v>2001</v>
      </c>
      <c r="E1313" t="s">
        <v>2011</v>
      </c>
      <c r="F1313">
        <v>83</v>
      </c>
      <c r="G1313">
        <f t="shared" si="82"/>
        <v>54</v>
      </c>
      <c r="H1313">
        <f t="shared" si="83"/>
        <v>241</v>
      </c>
      <c r="I1313">
        <v>545</v>
      </c>
      <c r="J1313">
        <v>2410</v>
      </c>
      <c r="K1313" s="18" t="s">
        <v>844</v>
      </c>
      <c r="L1313" s="21">
        <v>5.4</v>
      </c>
    </row>
    <row r="1314" spans="1:12" x14ac:dyDescent="0.25">
      <c r="A1314" t="str">
        <f t="shared" si="80"/>
        <v>2010-T1-RS5-93-593-2410</v>
      </c>
      <c r="B1314" t="str">
        <f t="shared" si="81"/>
        <v>2010</v>
      </c>
      <c r="C1314" s="18" t="s">
        <v>840</v>
      </c>
      <c r="D1314" t="s">
        <v>2001</v>
      </c>
      <c r="E1314" t="s">
        <v>2012</v>
      </c>
      <c r="F1314">
        <v>93</v>
      </c>
      <c r="G1314">
        <f t="shared" si="82"/>
        <v>59</v>
      </c>
      <c r="H1314">
        <f t="shared" si="83"/>
        <v>241</v>
      </c>
      <c r="I1314">
        <v>593</v>
      </c>
      <c r="J1314">
        <v>2410</v>
      </c>
      <c r="K1314" s="18" t="s">
        <v>844</v>
      </c>
      <c r="L1314" s="21">
        <v>5.8</v>
      </c>
    </row>
    <row r="1315" spans="1:12" x14ac:dyDescent="0.25">
      <c r="A1315" t="str">
        <f t="shared" si="80"/>
        <v>2010-T1-RS6-111-674-2390</v>
      </c>
      <c r="B1315" t="str">
        <f t="shared" si="81"/>
        <v>2010</v>
      </c>
      <c r="C1315" s="18" t="s">
        <v>840</v>
      </c>
      <c r="D1315" t="s">
        <v>2001</v>
      </c>
      <c r="E1315" t="s">
        <v>2013</v>
      </c>
      <c r="F1315">
        <v>111</v>
      </c>
      <c r="G1315">
        <f t="shared" si="82"/>
        <v>67</v>
      </c>
      <c r="H1315">
        <f t="shared" si="83"/>
        <v>239</v>
      </c>
      <c r="I1315">
        <v>674</v>
      </c>
      <c r="J1315">
        <v>2390</v>
      </c>
      <c r="K1315" s="18" t="s">
        <v>844</v>
      </c>
      <c r="L1315" s="21">
        <v>6.8</v>
      </c>
    </row>
    <row r="1316" spans="1:12" x14ac:dyDescent="0.25">
      <c r="A1316" t="str">
        <f t="shared" si="80"/>
        <v>2010-T1-SR7-123-757-2385</v>
      </c>
      <c r="B1316" t="str">
        <f t="shared" si="81"/>
        <v>2010</v>
      </c>
      <c r="C1316" s="18" t="s">
        <v>840</v>
      </c>
      <c r="D1316" t="s">
        <v>2001</v>
      </c>
      <c r="E1316" t="s">
        <v>2014</v>
      </c>
      <c r="F1316">
        <v>123</v>
      </c>
      <c r="G1316">
        <f t="shared" si="82"/>
        <v>75</v>
      </c>
      <c r="H1316">
        <f t="shared" si="83"/>
        <v>238</v>
      </c>
      <c r="I1316">
        <v>757</v>
      </c>
      <c r="J1316">
        <v>2385</v>
      </c>
      <c r="K1316" s="18" t="s">
        <v>844</v>
      </c>
      <c r="L1316" s="21">
        <v>6.8</v>
      </c>
    </row>
    <row r="1317" spans="1:12" x14ac:dyDescent="0.25">
      <c r="A1317" t="str">
        <f t="shared" si="80"/>
        <v>2010-T1-SR8-133.5-845-2385</v>
      </c>
      <c r="B1317" t="str">
        <f t="shared" si="81"/>
        <v>2010</v>
      </c>
      <c r="C1317" s="18" t="s">
        <v>840</v>
      </c>
      <c r="D1317" t="s">
        <v>2001</v>
      </c>
      <c r="E1317" t="s">
        <v>2015</v>
      </c>
      <c r="F1317">
        <v>133.5</v>
      </c>
      <c r="G1317">
        <f t="shared" si="82"/>
        <v>84</v>
      </c>
      <c r="H1317">
        <f t="shared" si="83"/>
        <v>238</v>
      </c>
      <c r="I1317">
        <v>845</v>
      </c>
      <c r="J1317">
        <v>2385</v>
      </c>
      <c r="K1317" s="18" t="s">
        <v>844</v>
      </c>
      <c r="L1317" s="21">
        <v>7.4</v>
      </c>
    </row>
    <row r="1318" spans="1:12" x14ac:dyDescent="0.25">
      <c r="A1318" t="str">
        <f t="shared" si="80"/>
        <v>2005-TA-MAN-63-491-2237</v>
      </c>
      <c r="B1318" t="str">
        <f t="shared" si="81"/>
        <v>2005</v>
      </c>
      <c r="C1318" s="18" t="s">
        <v>811</v>
      </c>
      <c r="D1318" t="s">
        <v>1934</v>
      </c>
      <c r="E1318" t="s">
        <v>1935</v>
      </c>
      <c r="F1318">
        <v>63</v>
      </c>
      <c r="G1318">
        <f t="shared" si="82"/>
        <v>49</v>
      </c>
      <c r="H1318">
        <f t="shared" si="83"/>
        <v>223</v>
      </c>
      <c r="I1318">
        <v>491</v>
      </c>
      <c r="J1318">
        <v>2237</v>
      </c>
      <c r="K1318" s="18" t="s">
        <v>814</v>
      </c>
      <c r="L1318" s="21">
        <v>4.5</v>
      </c>
    </row>
    <row r="1319" spans="1:12" x14ac:dyDescent="0.25">
      <c r="A1319" t="str">
        <f t="shared" si="80"/>
        <v>2005-TA-MAN-85-592-2248</v>
      </c>
      <c r="B1319" t="str">
        <f t="shared" si="81"/>
        <v>2005</v>
      </c>
      <c r="C1319" s="18" t="s">
        <v>811</v>
      </c>
      <c r="D1319" t="s">
        <v>1934</v>
      </c>
      <c r="E1319" t="s">
        <v>1936</v>
      </c>
      <c r="F1319">
        <v>85</v>
      </c>
      <c r="G1319">
        <f t="shared" si="82"/>
        <v>59</v>
      </c>
      <c r="H1319">
        <f t="shared" si="83"/>
        <v>224</v>
      </c>
      <c r="I1319">
        <v>592</v>
      </c>
      <c r="J1319">
        <v>2248</v>
      </c>
      <c r="K1319" s="18" t="s">
        <v>814</v>
      </c>
      <c r="L1319" s="21">
        <v>5.3</v>
      </c>
    </row>
    <row r="1320" spans="1:12" x14ac:dyDescent="0.25">
      <c r="A1320" t="str">
        <f t="shared" si="80"/>
        <v>2005-TA-MAN-100-680-2255</v>
      </c>
      <c r="B1320" t="str">
        <f t="shared" si="81"/>
        <v>2005</v>
      </c>
      <c r="C1320" s="18" t="s">
        <v>811</v>
      </c>
      <c r="D1320" t="s">
        <v>1934</v>
      </c>
      <c r="E1320" t="s">
        <v>1937</v>
      </c>
      <c r="F1320">
        <v>100</v>
      </c>
      <c r="G1320">
        <f t="shared" si="82"/>
        <v>68</v>
      </c>
      <c r="H1320">
        <f t="shared" si="83"/>
        <v>225</v>
      </c>
      <c r="I1320">
        <v>680</v>
      </c>
      <c r="J1320">
        <v>2255</v>
      </c>
      <c r="K1320" s="18" t="s">
        <v>814</v>
      </c>
      <c r="L1320" s="21">
        <v>5.7</v>
      </c>
    </row>
    <row r="1321" spans="1:12" x14ac:dyDescent="0.25">
      <c r="A1321" t="str">
        <f t="shared" si="80"/>
        <v>2005-TA-MAN-115-750-2275</v>
      </c>
      <c r="B1321" t="str">
        <f t="shared" si="81"/>
        <v>2005</v>
      </c>
      <c r="C1321" s="18" t="s">
        <v>811</v>
      </c>
      <c r="D1321" t="s">
        <v>1934</v>
      </c>
      <c r="E1321" t="s">
        <v>1938</v>
      </c>
      <c r="F1321">
        <v>115</v>
      </c>
      <c r="G1321">
        <f t="shared" si="82"/>
        <v>75</v>
      </c>
      <c r="H1321">
        <f t="shared" si="83"/>
        <v>227</v>
      </c>
      <c r="I1321">
        <v>750</v>
      </c>
      <c r="J1321">
        <v>2275</v>
      </c>
      <c r="K1321" s="18" t="s">
        <v>814</v>
      </c>
      <c r="L1321" s="21">
        <v>6.2</v>
      </c>
    </row>
    <row r="1322" spans="1:12" x14ac:dyDescent="0.25">
      <c r="A1322" t="str">
        <f t="shared" si="80"/>
        <v>2007-TA-MAN-63-491-2237</v>
      </c>
      <c r="B1322" t="str">
        <f t="shared" si="81"/>
        <v>2007</v>
      </c>
      <c r="C1322" s="18" t="s">
        <v>820</v>
      </c>
      <c r="D1322" t="s">
        <v>1934</v>
      </c>
      <c r="E1322" t="s">
        <v>1935</v>
      </c>
      <c r="F1322">
        <v>63</v>
      </c>
      <c r="G1322">
        <f t="shared" si="82"/>
        <v>49</v>
      </c>
      <c r="H1322">
        <f t="shared" si="83"/>
        <v>223</v>
      </c>
      <c r="I1322">
        <v>491</v>
      </c>
      <c r="J1322">
        <v>2237</v>
      </c>
      <c r="K1322" s="18" t="s">
        <v>814</v>
      </c>
      <c r="L1322" s="21">
        <v>4.5</v>
      </c>
    </row>
    <row r="1323" spans="1:12" x14ac:dyDescent="0.25">
      <c r="A1323" t="str">
        <f t="shared" si="80"/>
        <v>2007-TA-MAN-78-592-2280</v>
      </c>
      <c r="B1323" t="str">
        <f t="shared" si="81"/>
        <v>2007</v>
      </c>
      <c r="C1323" s="18" t="s">
        <v>820</v>
      </c>
      <c r="D1323" t="s">
        <v>1934</v>
      </c>
      <c r="E1323" t="s">
        <v>1936</v>
      </c>
      <c r="F1323">
        <v>78</v>
      </c>
      <c r="G1323">
        <f t="shared" si="82"/>
        <v>59</v>
      </c>
      <c r="H1323">
        <f t="shared" si="83"/>
        <v>228</v>
      </c>
      <c r="I1323">
        <v>592</v>
      </c>
      <c r="J1323">
        <v>2280</v>
      </c>
      <c r="K1323" s="18" t="s">
        <v>814</v>
      </c>
      <c r="L1323" s="21">
        <v>4.9000000000000004</v>
      </c>
    </row>
    <row r="1324" spans="1:12" x14ac:dyDescent="0.25">
      <c r="A1324" t="str">
        <f t="shared" si="80"/>
        <v>2007-TA-MAN-93-670-2280</v>
      </c>
      <c r="B1324" t="str">
        <f t="shared" si="81"/>
        <v>2007</v>
      </c>
      <c r="C1324" s="18" t="s">
        <v>820</v>
      </c>
      <c r="D1324" t="s">
        <v>1934</v>
      </c>
      <c r="E1324" t="s">
        <v>1939</v>
      </c>
      <c r="F1324">
        <v>93</v>
      </c>
      <c r="G1324">
        <f t="shared" si="82"/>
        <v>67</v>
      </c>
      <c r="H1324">
        <f t="shared" si="83"/>
        <v>228</v>
      </c>
      <c r="I1324">
        <v>670</v>
      </c>
      <c r="J1324">
        <v>2280</v>
      </c>
      <c r="K1324" s="18" t="s">
        <v>814</v>
      </c>
      <c r="L1324" s="21">
        <v>5.6</v>
      </c>
    </row>
    <row r="1325" spans="1:12" x14ac:dyDescent="0.25">
      <c r="A1325" t="str">
        <f t="shared" si="80"/>
        <v>2007-TA-MAN-110-741-2320</v>
      </c>
      <c r="B1325" t="str">
        <f t="shared" si="81"/>
        <v>2007</v>
      </c>
      <c r="C1325" s="18" t="s">
        <v>820</v>
      </c>
      <c r="D1325" t="s">
        <v>1934</v>
      </c>
      <c r="E1325" t="s">
        <v>1940</v>
      </c>
      <c r="F1325">
        <v>110</v>
      </c>
      <c r="G1325">
        <f t="shared" si="82"/>
        <v>74</v>
      </c>
      <c r="H1325">
        <f t="shared" si="83"/>
        <v>232</v>
      </c>
      <c r="I1325">
        <v>741</v>
      </c>
      <c r="J1325">
        <v>2320</v>
      </c>
      <c r="K1325" s="18" t="s">
        <v>814</v>
      </c>
      <c r="L1325" s="21" t="s">
        <v>1941</v>
      </c>
    </row>
    <row r="1326" spans="1:12" x14ac:dyDescent="0.25">
      <c r="A1326" t="str">
        <f t="shared" si="80"/>
        <v>2007-TA-MAN-123-800-2340</v>
      </c>
      <c r="B1326" t="str">
        <f t="shared" si="81"/>
        <v>2007</v>
      </c>
      <c r="C1326" s="18" t="s">
        <v>820</v>
      </c>
      <c r="D1326" t="s">
        <v>1934</v>
      </c>
      <c r="E1326" t="s">
        <v>1942</v>
      </c>
      <c r="F1326">
        <v>123</v>
      </c>
      <c r="G1326">
        <f t="shared" si="82"/>
        <v>80</v>
      </c>
      <c r="H1326">
        <f t="shared" si="83"/>
        <v>234</v>
      </c>
      <c r="I1326">
        <v>800</v>
      </c>
      <c r="J1326">
        <v>2340</v>
      </c>
      <c r="K1326" s="18" t="s">
        <v>814</v>
      </c>
      <c r="L1326" s="21" t="s">
        <v>1941</v>
      </c>
    </row>
    <row r="1327" spans="1:12" x14ac:dyDescent="0.25">
      <c r="A1327" t="str">
        <f t="shared" si="80"/>
        <v>2008-TA-MAN-78-539-2372</v>
      </c>
      <c r="B1327" t="str">
        <f t="shared" si="81"/>
        <v>2008</v>
      </c>
      <c r="C1327" s="18" t="s">
        <v>825</v>
      </c>
      <c r="D1327" t="s">
        <v>1934</v>
      </c>
      <c r="E1327" t="s">
        <v>1943</v>
      </c>
      <c r="F1327">
        <v>78</v>
      </c>
      <c r="G1327">
        <f t="shared" si="82"/>
        <v>53</v>
      </c>
      <c r="H1327">
        <f t="shared" si="83"/>
        <v>237</v>
      </c>
      <c r="I1327">
        <v>539</v>
      </c>
      <c r="J1327">
        <v>2372</v>
      </c>
      <c r="K1327" s="18" t="s">
        <v>821</v>
      </c>
      <c r="L1327" s="21">
        <v>5.9</v>
      </c>
    </row>
    <row r="1328" spans="1:12" x14ac:dyDescent="0.25">
      <c r="A1328" t="str">
        <f t="shared" si="80"/>
        <v>2008-TA-MAN-82-589-2330</v>
      </c>
      <c r="B1328" t="str">
        <f t="shared" si="81"/>
        <v>2008</v>
      </c>
      <c r="C1328" s="18" t="s">
        <v>825</v>
      </c>
      <c r="D1328" t="s">
        <v>1934</v>
      </c>
      <c r="E1328" t="s">
        <v>1936</v>
      </c>
      <c r="F1328">
        <v>82</v>
      </c>
      <c r="G1328">
        <f t="shared" si="82"/>
        <v>58</v>
      </c>
      <c r="H1328">
        <f t="shared" si="83"/>
        <v>233</v>
      </c>
      <c r="I1328">
        <v>589</v>
      </c>
      <c r="J1328">
        <v>2330</v>
      </c>
      <c r="K1328" s="18" t="s">
        <v>821</v>
      </c>
      <c r="L1328" s="21">
        <v>6.08</v>
      </c>
    </row>
    <row r="1329" spans="1:12" x14ac:dyDescent="0.25">
      <c r="A1329" t="str">
        <f t="shared" si="80"/>
        <v>2009-TA-MAN-63-491-2237</v>
      </c>
      <c r="B1329" t="str">
        <f t="shared" si="81"/>
        <v>2009</v>
      </c>
      <c r="C1329" s="18" t="s">
        <v>884</v>
      </c>
      <c r="D1329" t="s">
        <v>1934</v>
      </c>
      <c r="E1329" t="s">
        <v>1935</v>
      </c>
      <c r="F1329">
        <v>63</v>
      </c>
      <c r="G1329">
        <f t="shared" si="82"/>
        <v>49</v>
      </c>
      <c r="H1329">
        <f t="shared" si="83"/>
        <v>223</v>
      </c>
      <c r="I1329">
        <v>491</v>
      </c>
      <c r="J1329">
        <v>2237</v>
      </c>
      <c r="K1329" s="18" t="s">
        <v>826</v>
      </c>
      <c r="L1329" s="21">
        <v>5</v>
      </c>
    </row>
    <row r="1330" spans="1:12" x14ac:dyDescent="0.25">
      <c r="A1330" t="str">
        <f t="shared" si="80"/>
        <v>2009-TA-MAN-74-542-2362</v>
      </c>
      <c r="B1330" t="str">
        <f t="shared" si="81"/>
        <v>2009</v>
      </c>
      <c r="C1330" s="18" t="s">
        <v>884</v>
      </c>
      <c r="D1330" t="s">
        <v>1934</v>
      </c>
      <c r="E1330" t="s">
        <v>1943</v>
      </c>
      <c r="F1330">
        <v>74</v>
      </c>
      <c r="G1330">
        <f t="shared" si="82"/>
        <v>54</v>
      </c>
      <c r="H1330">
        <f t="shared" si="83"/>
        <v>236</v>
      </c>
      <c r="I1330">
        <v>542</v>
      </c>
      <c r="J1330">
        <v>2362</v>
      </c>
      <c r="K1330" s="18" t="s">
        <v>826</v>
      </c>
      <c r="L1330" s="21">
        <v>5.6</v>
      </c>
    </row>
    <row r="1331" spans="1:12" x14ac:dyDescent="0.25">
      <c r="A1331" t="str">
        <f t="shared" si="80"/>
        <v>2009-TA-MAN-86-592-2324</v>
      </c>
      <c r="B1331" t="str">
        <f t="shared" si="81"/>
        <v>2009</v>
      </c>
      <c r="C1331" s="18" t="s">
        <v>884</v>
      </c>
      <c r="D1331" t="s">
        <v>1934</v>
      </c>
      <c r="E1331" t="s">
        <v>1936</v>
      </c>
      <c r="F1331">
        <v>86</v>
      </c>
      <c r="G1331">
        <f t="shared" si="82"/>
        <v>59</v>
      </c>
      <c r="H1331">
        <f t="shared" si="83"/>
        <v>232</v>
      </c>
      <c r="I1331">
        <v>592</v>
      </c>
      <c r="J1331">
        <v>2324</v>
      </c>
      <c r="K1331" s="18" t="s">
        <v>826</v>
      </c>
      <c r="L1331" s="21">
        <v>5.9</v>
      </c>
    </row>
    <row r="1332" spans="1:12" x14ac:dyDescent="0.25">
      <c r="A1332" t="str">
        <f t="shared" si="80"/>
        <v>2009-TA-MAN-98-635-2324</v>
      </c>
      <c r="B1332" t="str">
        <f t="shared" si="81"/>
        <v>2009</v>
      </c>
      <c r="C1332" s="18" t="s">
        <v>884</v>
      </c>
      <c r="D1332" t="s">
        <v>1934</v>
      </c>
      <c r="E1332" t="s">
        <v>1944</v>
      </c>
      <c r="F1332">
        <v>98</v>
      </c>
      <c r="G1332">
        <f t="shared" si="82"/>
        <v>63</v>
      </c>
      <c r="H1332">
        <f t="shared" si="83"/>
        <v>232</v>
      </c>
      <c r="I1332">
        <v>635</v>
      </c>
      <c r="J1332">
        <v>2324</v>
      </c>
      <c r="K1332" s="18" t="s">
        <v>826</v>
      </c>
      <c r="L1332" s="21">
        <v>6.3</v>
      </c>
    </row>
    <row r="1333" spans="1:12" x14ac:dyDescent="0.25">
      <c r="A1333" t="str">
        <f t="shared" si="80"/>
        <v>2009-TA-MAN-110-691-2322</v>
      </c>
      <c r="B1333" t="str">
        <f t="shared" si="81"/>
        <v>2009</v>
      </c>
      <c r="C1333" s="18" t="s">
        <v>884</v>
      </c>
      <c r="D1333" t="s">
        <v>1934</v>
      </c>
      <c r="E1333" t="s">
        <v>1945</v>
      </c>
      <c r="F1333">
        <v>110</v>
      </c>
      <c r="G1333">
        <f t="shared" si="82"/>
        <v>69</v>
      </c>
      <c r="H1333">
        <f t="shared" si="83"/>
        <v>232</v>
      </c>
      <c r="I1333">
        <v>691</v>
      </c>
      <c r="J1333">
        <v>2322</v>
      </c>
      <c r="K1333" s="18" t="s">
        <v>826</v>
      </c>
      <c r="L1333" s="21">
        <v>6.5</v>
      </c>
    </row>
    <row r="1334" spans="1:12" x14ac:dyDescent="0.25">
      <c r="A1334" t="str">
        <f t="shared" si="80"/>
        <v>2009-TA-MAN-125-791-2315</v>
      </c>
      <c r="B1334" t="str">
        <f t="shared" si="81"/>
        <v>2009</v>
      </c>
      <c r="C1334" s="18" t="s">
        <v>884</v>
      </c>
      <c r="D1334" t="s">
        <v>1934</v>
      </c>
      <c r="E1334" t="s">
        <v>1946</v>
      </c>
      <c r="F1334">
        <v>125</v>
      </c>
      <c r="G1334">
        <f t="shared" si="82"/>
        <v>79</v>
      </c>
      <c r="H1334">
        <f t="shared" si="83"/>
        <v>231</v>
      </c>
      <c r="I1334">
        <v>791</v>
      </c>
      <c r="J1334">
        <v>2315</v>
      </c>
      <c r="K1334" s="18" t="s">
        <v>826</v>
      </c>
      <c r="L1334" s="21">
        <v>6.8</v>
      </c>
    </row>
    <row r="1335" spans="1:12" x14ac:dyDescent="0.25">
      <c r="A1335" t="str">
        <f t="shared" si="80"/>
        <v>2009-TA-MAN-137-847-2315</v>
      </c>
      <c r="B1335" t="str">
        <f t="shared" si="81"/>
        <v>2009</v>
      </c>
      <c r="C1335" s="18" t="s">
        <v>884</v>
      </c>
      <c r="D1335" t="s">
        <v>1934</v>
      </c>
      <c r="E1335" t="s">
        <v>1947</v>
      </c>
      <c r="F1335">
        <v>137</v>
      </c>
      <c r="G1335">
        <f t="shared" si="82"/>
        <v>84</v>
      </c>
      <c r="H1335">
        <f t="shared" si="83"/>
        <v>231</v>
      </c>
      <c r="I1335">
        <v>847</v>
      </c>
      <c r="J1335">
        <v>2315</v>
      </c>
      <c r="K1335" s="18" t="s">
        <v>826</v>
      </c>
      <c r="L1335" s="21">
        <v>7.1</v>
      </c>
    </row>
    <row r="1336" spans="1:12" x14ac:dyDescent="0.25">
      <c r="A1336" t="str">
        <f t="shared" si="80"/>
        <v>2009-TA-MAN-87-691-2325</v>
      </c>
      <c r="B1336" t="str">
        <f t="shared" si="81"/>
        <v>2009</v>
      </c>
      <c r="C1336" s="18" t="s">
        <v>884</v>
      </c>
      <c r="D1336" t="s">
        <v>1934</v>
      </c>
      <c r="E1336" t="s">
        <v>1948</v>
      </c>
      <c r="F1336">
        <v>87</v>
      </c>
      <c r="G1336">
        <f t="shared" si="82"/>
        <v>69</v>
      </c>
      <c r="H1336">
        <f t="shared" si="83"/>
        <v>232</v>
      </c>
      <c r="I1336">
        <v>691</v>
      </c>
      <c r="J1336">
        <v>2325</v>
      </c>
      <c r="K1336" s="18" t="s">
        <v>841</v>
      </c>
      <c r="L1336" s="21">
        <v>5.9</v>
      </c>
    </row>
    <row r="1337" spans="1:12" x14ac:dyDescent="0.25">
      <c r="A1337" t="str">
        <f t="shared" si="80"/>
        <v>2010-TA-MAN-103-657-2325</v>
      </c>
      <c r="B1337" t="str">
        <f t="shared" si="81"/>
        <v>2010</v>
      </c>
      <c r="C1337" s="18" t="s">
        <v>840</v>
      </c>
      <c r="D1337" t="s">
        <v>1934</v>
      </c>
      <c r="E1337" t="s">
        <v>1949</v>
      </c>
      <c r="F1337">
        <v>103</v>
      </c>
      <c r="G1337">
        <f t="shared" si="82"/>
        <v>65</v>
      </c>
      <c r="H1337">
        <f t="shared" si="83"/>
        <v>232</v>
      </c>
      <c r="I1337">
        <v>657</v>
      </c>
      <c r="J1337">
        <v>2325</v>
      </c>
      <c r="K1337" s="18" t="s">
        <v>844</v>
      </c>
      <c r="L1337" s="21">
        <v>6.4</v>
      </c>
    </row>
    <row r="1338" spans="1:12" x14ac:dyDescent="0.25">
      <c r="A1338" t="str">
        <f t="shared" si="80"/>
        <v>2010-TA-MAN-108-691-2320</v>
      </c>
      <c r="B1338" t="str">
        <f t="shared" si="81"/>
        <v>2010</v>
      </c>
      <c r="C1338" s="18" t="s">
        <v>840</v>
      </c>
      <c r="D1338" t="s">
        <v>1934</v>
      </c>
      <c r="E1338" t="s">
        <v>1950</v>
      </c>
      <c r="F1338">
        <v>108</v>
      </c>
      <c r="G1338">
        <f t="shared" si="82"/>
        <v>69</v>
      </c>
      <c r="H1338">
        <f t="shared" si="83"/>
        <v>232</v>
      </c>
      <c r="I1338">
        <v>691</v>
      </c>
      <c r="J1338">
        <v>2320</v>
      </c>
      <c r="K1338" s="18" t="s">
        <v>844</v>
      </c>
      <c r="L1338" s="21">
        <v>6.3</v>
      </c>
    </row>
    <row r="1339" spans="1:12" x14ac:dyDescent="0.25">
      <c r="A1339" t="str">
        <f t="shared" si="80"/>
        <v>2010-TA-MAN-120-751-2322</v>
      </c>
      <c r="B1339" t="str">
        <f t="shared" si="81"/>
        <v>2010</v>
      </c>
      <c r="C1339" s="18" t="s">
        <v>840</v>
      </c>
      <c r="D1339" t="s">
        <v>1934</v>
      </c>
      <c r="E1339" t="s">
        <v>1951</v>
      </c>
      <c r="F1339">
        <v>120</v>
      </c>
      <c r="G1339">
        <f t="shared" si="82"/>
        <v>75</v>
      </c>
      <c r="H1339">
        <f t="shared" si="83"/>
        <v>232</v>
      </c>
      <c r="I1339">
        <v>751</v>
      </c>
      <c r="J1339">
        <v>2322</v>
      </c>
      <c r="K1339" s="18" t="s">
        <v>844</v>
      </c>
      <c r="L1339" s="21">
        <v>6.9</v>
      </c>
    </row>
    <row r="1340" spans="1:12" x14ac:dyDescent="0.25">
      <c r="A1340" t="str">
        <f t="shared" si="80"/>
        <v>2010-TA-MAN-137-847-2315</v>
      </c>
      <c r="B1340" t="str">
        <f t="shared" si="81"/>
        <v>2010</v>
      </c>
      <c r="C1340" s="18" t="s">
        <v>840</v>
      </c>
      <c r="D1340" t="s">
        <v>1934</v>
      </c>
      <c r="E1340" t="s">
        <v>1952</v>
      </c>
      <c r="F1340">
        <v>137</v>
      </c>
      <c r="G1340">
        <f t="shared" si="82"/>
        <v>84</v>
      </c>
      <c r="H1340">
        <f t="shared" si="83"/>
        <v>231</v>
      </c>
      <c r="I1340">
        <v>847</v>
      </c>
      <c r="J1340">
        <v>2315</v>
      </c>
      <c r="K1340" s="18" t="s">
        <v>844</v>
      </c>
      <c r="L1340" s="21">
        <v>7.5</v>
      </c>
    </row>
    <row r="1341" spans="1:12" x14ac:dyDescent="0.25">
      <c r="A1341" t="str">
        <f t="shared" si="80"/>
        <v>2010-TA-MAN-124-791-2315</v>
      </c>
      <c r="B1341" t="str">
        <f t="shared" si="81"/>
        <v>2010</v>
      </c>
      <c r="C1341" s="18" t="s">
        <v>840</v>
      </c>
      <c r="D1341" t="s">
        <v>1934</v>
      </c>
      <c r="E1341" t="s">
        <v>1953</v>
      </c>
      <c r="F1341">
        <v>124</v>
      </c>
      <c r="G1341">
        <f t="shared" si="82"/>
        <v>79</v>
      </c>
      <c r="H1341">
        <f t="shared" si="83"/>
        <v>231</v>
      </c>
      <c r="I1341">
        <v>791</v>
      </c>
      <c r="J1341">
        <v>2315</v>
      </c>
      <c r="K1341" s="18" t="s">
        <v>844</v>
      </c>
      <c r="L1341" s="21">
        <v>7.1</v>
      </c>
    </row>
    <row r="1342" spans="1:12" x14ac:dyDescent="0.25">
      <c r="A1342" t="e">
        <f t="shared" si="80"/>
        <v>#VALUE!</v>
      </c>
      <c r="B1342" t="str">
        <f t="shared" si="81"/>
        <v>2011</v>
      </c>
      <c r="C1342" s="18" t="s">
        <v>846</v>
      </c>
      <c r="D1342" t="s">
        <v>1934</v>
      </c>
      <c r="E1342" t="s">
        <v>1954</v>
      </c>
      <c r="F1342">
        <v>63</v>
      </c>
      <c r="G1342">
        <f t="shared" si="82"/>
        <v>49</v>
      </c>
      <c r="H1342" s="35" t="e">
        <f t="shared" si="83"/>
        <v>#VALUE!</v>
      </c>
      <c r="I1342">
        <v>491</v>
      </c>
      <c r="J1342" t="s">
        <v>153</v>
      </c>
      <c r="K1342" s="18" t="s">
        <v>847</v>
      </c>
      <c r="L1342" s="21">
        <v>4.7</v>
      </c>
    </row>
    <row r="1343" spans="1:12" x14ac:dyDescent="0.25">
      <c r="A1343" t="e">
        <f t="shared" si="80"/>
        <v>#VALUE!</v>
      </c>
      <c r="B1343" t="str">
        <f t="shared" si="81"/>
        <v>2011</v>
      </c>
      <c r="C1343" s="18" t="s">
        <v>846</v>
      </c>
      <c r="D1343" t="s">
        <v>1934</v>
      </c>
      <c r="E1343" t="s">
        <v>1955</v>
      </c>
      <c r="F1343">
        <v>80</v>
      </c>
      <c r="G1343">
        <f t="shared" si="82"/>
        <v>54</v>
      </c>
      <c r="H1343" s="35" t="e">
        <f t="shared" si="83"/>
        <v>#VALUE!</v>
      </c>
      <c r="I1343">
        <v>542</v>
      </c>
      <c r="J1343" t="s">
        <v>153</v>
      </c>
      <c r="K1343" s="18" t="s">
        <v>847</v>
      </c>
      <c r="L1343" s="21">
        <v>5.4</v>
      </c>
    </row>
    <row r="1344" spans="1:12" x14ac:dyDescent="0.25">
      <c r="A1344" t="e">
        <f t="shared" si="80"/>
        <v>#VALUE!</v>
      </c>
      <c r="B1344" t="str">
        <f t="shared" si="81"/>
        <v>2011</v>
      </c>
      <c r="C1344" s="18" t="s">
        <v>846</v>
      </c>
      <c r="D1344" t="s">
        <v>1934</v>
      </c>
      <c r="E1344" t="s">
        <v>1956</v>
      </c>
      <c r="F1344">
        <v>87</v>
      </c>
      <c r="G1344">
        <f t="shared" si="82"/>
        <v>59</v>
      </c>
      <c r="H1344" s="35" t="e">
        <f t="shared" si="83"/>
        <v>#VALUE!</v>
      </c>
      <c r="I1344">
        <v>591</v>
      </c>
      <c r="J1344" t="s">
        <v>153</v>
      </c>
      <c r="K1344" s="18" t="s">
        <v>847</v>
      </c>
      <c r="L1344" s="21">
        <v>5.7</v>
      </c>
    </row>
    <row r="1345" spans="1:12" x14ac:dyDescent="0.25">
      <c r="A1345" t="e">
        <f t="shared" si="80"/>
        <v>#VALUE!</v>
      </c>
      <c r="B1345" t="str">
        <f t="shared" si="81"/>
        <v>2011</v>
      </c>
      <c r="C1345" s="18" t="s">
        <v>846</v>
      </c>
      <c r="D1345" t="s">
        <v>1934</v>
      </c>
      <c r="E1345" t="s">
        <v>1957</v>
      </c>
      <c r="F1345">
        <v>103</v>
      </c>
      <c r="G1345">
        <f t="shared" si="82"/>
        <v>65</v>
      </c>
      <c r="H1345" s="35" t="e">
        <f t="shared" si="83"/>
        <v>#VALUE!</v>
      </c>
      <c r="I1345">
        <v>657</v>
      </c>
      <c r="J1345" t="s">
        <v>153</v>
      </c>
      <c r="K1345" s="18" t="s">
        <v>847</v>
      </c>
      <c r="L1345" s="21">
        <v>6.3</v>
      </c>
    </row>
    <row r="1346" spans="1:12" x14ac:dyDescent="0.25">
      <c r="A1346" t="e">
        <f t="shared" ref="A1346:A1409" si="84">_xlfn.CONCAT(B1346,"-",LEFT(D1346,2),"-",LEFT(E1346,3),"-",F1346,"-",TRUNC(I1346),"-",TRUNC(J1346))</f>
        <v>#VALUE!</v>
      </c>
      <c r="B1346" t="str">
        <f t="shared" ref="B1346:B1409" si="85">LEFT(C1346,4)</f>
        <v>2011</v>
      </c>
      <c r="C1346" s="18" t="s">
        <v>846</v>
      </c>
      <c r="D1346" t="s">
        <v>1934</v>
      </c>
      <c r="E1346" t="s">
        <v>1958</v>
      </c>
      <c r="F1346">
        <v>113</v>
      </c>
      <c r="G1346">
        <f t="shared" si="82"/>
        <v>69</v>
      </c>
      <c r="H1346" s="35" t="e">
        <f t="shared" si="83"/>
        <v>#VALUE!</v>
      </c>
      <c r="I1346">
        <v>691</v>
      </c>
      <c r="J1346" t="s">
        <v>153</v>
      </c>
      <c r="K1346" s="18" t="s">
        <v>847</v>
      </c>
      <c r="L1346" s="21">
        <v>6.4</v>
      </c>
    </row>
    <row r="1347" spans="1:12" x14ac:dyDescent="0.25">
      <c r="A1347" t="e">
        <f t="shared" si="84"/>
        <v>#VALUE!</v>
      </c>
      <c r="B1347" t="str">
        <f t="shared" si="85"/>
        <v>2011</v>
      </c>
      <c r="C1347" s="18" t="s">
        <v>846</v>
      </c>
      <c r="D1347" t="s">
        <v>1934</v>
      </c>
      <c r="E1347" t="s">
        <v>1959</v>
      </c>
      <c r="F1347">
        <v>120</v>
      </c>
      <c r="G1347">
        <f t="shared" ref="G1347:G1410" si="86">TRUNC(I1347/10)</f>
        <v>75</v>
      </c>
      <c r="H1347" s="35" t="e">
        <f t="shared" ref="H1347:H1410" si="87">TRUNC(J1347/10)</f>
        <v>#VALUE!</v>
      </c>
      <c r="I1347">
        <v>751</v>
      </c>
      <c r="J1347" t="s">
        <v>153</v>
      </c>
      <c r="K1347" s="18" t="s">
        <v>847</v>
      </c>
      <c r="L1347" s="21">
        <v>7.2</v>
      </c>
    </row>
    <row r="1348" spans="1:12" x14ac:dyDescent="0.25">
      <c r="A1348" t="e">
        <f t="shared" si="84"/>
        <v>#VALUE!</v>
      </c>
      <c r="B1348" t="str">
        <f t="shared" si="85"/>
        <v>2011</v>
      </c>
      <c r="C1348" s="18" t="s">
        <v>846</v>
      </c>
      <c r="D1348" t="s">
        <v>1934</v>
      </c>
      <c r="E1348" t="s">
        <v>1960</v>
      </c>
      <c r="F1348">
        <v>128</v>
      </c>
      <c r="G1348">
        <f t="shared" si="86"/>
        <v>79</v>
      </c>
      <c r="H1348" s="35" t="e">
        <f t="shared" si="87"/>
        <v>#VALUE!</v>
      </c>
      <c r="I1348">
        <v>793</v>
      </c>
      <c r="J1348" t="s">
        <v>153</v>
      </c>
      <c r="K1348" s="18" t="s">
        <v>847</v>
      </c>
      <c r="L1348" s="21">
        <v>7.3</v>
      </c>
    </row>
    <row r="1349" spans="1:12" x14ac:dyDescent="0.25">
      <c r="A1349" t="e">
        <f t="shared" si="84"/>
        <v>#VALUE!</v>
      </c>
      <c r="B1349" t="str">
        <f t="shared" si="85"/>
        <v>2011</v>
      </c>
      <c r="C1349" s="18" t="s">
        <v>846</v>
      </c>
      <c r="D1349" t="s">
        <v>1934</v>
      </c>
      <c r="E1349" t="s">
        <v>1961</v>
      </c>
      <c r="F1349">
        <v>137</v>
      </c>
      <c r="G1349">
        <f t="shared" si="86"/>
        <v>84</v>
      </c>
      <c r="H1349" s="35" t="e">
        <f t="shared" si="87"/>
        <v>#VALUE!</v>
      </c>
      <c r="I1349">
        <v>847</v>
      </c>
      <c r="J1349" t="s">
        <v>153</v>
      </c>
      <c r="K1349" s="18" t="s">
        <v>847</v>
      </c>
      <c r="L1349" s="21">
        <v>7.9</v>
      </c>
    </row>
    <row r="1350" spans="1:12" x14ac:dyDescent="0.25">
      <c r="A1350" t="e">
        <f t="shared" si="84"/>
        <v>#VALUE!</v>
      </c>
      <c r="B1350" t="str">
        <f t="shared" si="85"/>
        <v>2011</v>
      </c>
      <c r="C1350" s="18" t="s">
        <v>846</v>
      </c>
      <c r="D1350" t="s">
        <v>1934</v>
      </c>
      <c r="E1350" t="s">
        <v>1962</v>
      </c>
      <c r="F1350">
        <v>103</v>
      </c>
      <c r="G1350">
        <f t="shared" si="86"/>
        <v>65</v>
      </c>
      <c r="H1350" s="35" t="e">
        <f t="shared" si="87"/>
        <v>#VALUE!</v>
      </c>
      <c r="I1350">
        <v>657</v>
      </c>
      <c r="J1350" t="s">
        <v>153</v>
      </c>
      <c r="K1350" s="18" t="s">
        <v>847</v>
      </c>
      <c r="L1350" s="21">
        <v>6.2</v>
      </c>
    </row>
    <row r="1351" spans="1:12" x14ac:dyDescent="0.25">
      <c r="A1351" t="e">
        <f t="shared" si="84"/>
        <v>#VALUE!</v>
      </c>
      <c r="B1351" t="str">
        <f t="shared" si="85"/>
        <v>2011</v>
      </c>
      <c r="C1351" s="18" t="s">
        <v>846</v>
      </c>
      <c r="D1351" t="s">
        <v>1934</v>
      </c>
      <c r="E1351" t="s">
        <v>1963</v>
      </c>
      <c r="F1351">
        <v>113</v>
      </c>
      <c r="G1351">
        <f t="shared" si="86"/>
        <v>65</v>
      </c>
      <c r="H1351" s="35" t="e">
        <f t="shared" si="87"/>
        <v>#VALUE!</v>
      </c>
      <c r="I1351">
        <v>657</v>
      </c>
      <c r="J1351" t="s">
        <v>153</v>
      </c>
      <c r="K1351" s="18" t="s">
        <v>847</v>
      </c>
      <c r="L1351" s="21">
        <v>6.3</v>
      </c>
    </row>
    <row r="1352" spans="1:12" x14ac:dyDescent="0.25">
      <c r="A1352" t="e">
        <f t="shared" si="84"/>
        <v>#VALUE!</v>
      </c>
      <c r="B1352" t="str">
        <f t="shared" si="85"/>
        <v>2011</v>
      </c>
      <c r="C1352" s="18" t="s">
        <v>846</v>
      </c>
      <c r="D1352" t="s">
        <v>1934</v>
      </c>
      <c r="E1352" t="s">
        <v>1964</v>
      </c>
      <c r="F1352">
        <v>120</v>
      </c>
      <c r="G1352">
        <f t="shared" si="86"/>
        <v>75</v>
      </c>
      <c r="H1352" s="35" t="e">
        <f t="shared" si="87"/>
        <v>#VALUE!</v>
      </c>
      <c r="I1352">
        <v>751</v>
      </c>
      <c r="J1352" t="s">
        <v>153</v>
      </c>
      <c r="K1352" s="18" t="s">
        <v>847</v>
      </c>
      <c r="L1352" s="21">
        <v>6.9</v>
      </c>
    </row>
    <row r="1353" spans="1:12" x14ac:dyDescent="0.25">
      <c r="A1353" t="e">
        <f t="shared" si="84"/>
        <v>#VALUE!</v>
      </c>
      <c r="B1353" t="str">
        <f t="shared" si="85"/>
        <v>2011</v>
      </c>
      <c r="C1353" s="18" t="s">
        <v>846</v>
      </c>
      <c r="D1353" t="s">
        <v>1934</v>
      </c>
      <c r="E1353" t="s">
        <v>1965</v>
      </c>
      <c r="F1353">
        <v>128</v>
      </c>
      <c r="G1353">
        <f t="shared" si="86"/>
        <v>79</v>
      </c>
      <c r="H1353" s="35" t="e">
        <f t="shared" si="87"/>
        <v>#VALUE!</v>
      </c>
      <c r="I1353">
        <v>793</v>
      </c>
      <c r="J1353" t="s">
        <v>153</v>
      </c>
      <c r="K1353" s="18" t="s">
        <v>847</v>
      </c>
      <c r="L1353" s="21">
        <v>7.1</v>
      </c>
    </row>
    <row r="1354" spans="1:12" x14ac:dyDescent="0.25">
      <c r="A1354" t="e">
        <f t="shared" si="84"/>
        <v>#VALUE!</v>
      </c>
      <c r="B1354" t="str">
        <f t="shared" si="85"/>
        <v>2011</v>
      </c>
      <c r="C1354" s="18" t="s">
        <v>846</v>
      </c>
      <c r="D1354" t="s">
        <v>1934</v>
      </c>
      <c r="E1354" t="s">
        <v>1966</v>
      </c>
      <c r="F1354">
        <v>137</v>
      </c>
      <c r="G1354">
        <f t="shared" si="86"/>
        <v>84</v>
      </c>
      <c r="H1354" t="e">
        <f t="shared" si="87"/>
        <v>#VALUE!</v>
      </c>
      <c r="I1354">
        <v>847</v>
      </c>
      <c r="J1354" t="s">
        <v>153</v>
      </c>
      <c r="K1354" s="18" t="s">
        <v>847</v>
      </c>
      <c r="L1354" s="21">
        <v>7.5</v>
      </c>
    </row>
    <row r="1355" spans="1:12" x14ac:dyDescent="0.25">
      <c r="A1355" t="str">
        <f t="shared" si="84"/>
        <v>2012-TA-Man-113-710-2330</v>
      </c>
      <c r="B1355" t="str">
        <f t="shared" si="85"/>
        <v>2012</v>
      </c>
      <c r="C1355" s="18" t="s">
        <v>928</v>
      </c>
      <c r="D1355" t="s">
        <v>1934</v>
      </c>
      <c r="E1355" t="s">
        <v>1967</v>
      </c>
      <c r="F1355">
        <v>113</v>
      </c>
      <c r="G1355">
        <f t="shared" si="86"/>
        <v>71</v>
      </c>
      <c r="H1355">
        <f t="shared" si="87"/>
        <v>233</v>
      </c>
      <c r="I1355">
        <v>710</v>
      </c>
      <c r="J1355">
        <v>2330</v>
      </c>
      <c r="K1355" s="18" t="s">
        <v>929</v>
      </c>
      <c r="L1355" s="21" t="s">
        <v>153</v>
      </c>
    </row>
    <row r="1356" spans="1:12" x14ac:dyDescent="0.25">
      <c r="A1356" t="str">
        <f t="shared" si="84"/>
        <v>2012-TA-Man-134-848-2300</v>
      </c>
      <c r="B1356" t="str">
        <f t="shared" si="85"/>
        <v>2012</v>
      </c>
      <c r="C1356" s="18" t="s">
        <v>928</v>
      </c>
      <c r="D1356" t="s">
        <v>1934</v>
      </c>
      <c r="E1356" t="s">
        <v>1968</v>
      </c>
      <c r="F1356">
        <v>134</v>
      </c>
      <c r="G1356">
        <f t="shared" si="86"/>
        <v>84</v>
      </c>
      <c r="H1356">
        <f t="shared" si="87"/>
        <v>230</v>
      </c>
      <c r="I1356">
        <v>848</v>
      </c>
      <c r="J1356">
        <v>2300</v>
      </c>
      <c r="K1356" s="18" t="s">
        <v>929</v>
      </c>
      <c r="L1356" s="21" t="s">
        <v>153</v>
      </c>
    </row>
    <row r="1357" spans="1:12" x14ac:dyDescent="0.25">
      <c r="A1357" t="str">
        <f t="shared" si="84"/>
        <v>2012-TA-Man-95-610-2330</v>
      </c>
      <c r="B1357" t="str">
        <f t="shared" si="85"/>
        <v>2012</v>
      </c>
      <c r="C1357" s="18" t="s">
        <v>928</v>
      </c>
      <c r="D1357" t="s">
        <v>1934</v>
      </c>
      <c r="E1357" t="s">
        <v>1969</v>
      </c>
      <c r="F1357">
        <v>95</v>
      </c>
      <c r="G1357">
        <f t="shared" si="86"/>
        <v>61</v>
      </c>
      <c r="H1357">
        <f t="shared" si="87"/>
        <v>233</v>
      </c>
      <c r="I1357">
        <v>610</v>
      </c>
      <c r="J1357">
        <v>2330</v>
      </c>
      <c r="K1357" s="18" t="s">
        <v>929</v>
      </c>
      <c r="L1357" s="21" t="s">
        <v>153</v>
      </c>
    </row>
    <row r="1358" spans="1:12" x14ac:dyDescent="0.25">
      <c r="A1358" t="str">
        <f t="shared" si="84"/>
        <v>2012-TA-Man-63-491-2237</v>
      </c>
      <c r="B1358" t="str">
        <f t="shared" si="85"/>
        <v>2012</v>
      </c>
      <c r="C1358" s="18" t="s">
        <v>928</v>
      </c>
      <c r="D1358" t="s">
        <v>1934</v>
      </c>
      <c r="E1358" t="s">
        <v>1954</v>
      </c>
      <c r="F1358">
        <v>63</v>
      </c>
      <c r="G1358">
        <f t="shared" si="86"/>
        <v>49</v>
      </c>
      <c r="H1358">
        <f t="shared" si="87"/>
        <v>223</v>
      </c>
      <c r="I1358">
        <v>491</v>
      </c>
      <c r="J1358">
        <v>2237</v>
      </c>
      <c r="K1358" s="18" t="s">
        <v>929</v>
      </c>
      <c r="L1358" s="21">
        <v>4.7</v>
      </c>
    </row>
    <row r="1359" spans="1:12" x14ac:dyDescent="0.25">
      <c r="A1359" t="str">
        <f t="shared" si="84"/>
        <v>2012-TA-Man-80-542-2362</v>
      </c>
      <c r="B1359" t="str">
        <f t="shared" si="85"/>
        <v>2012</v>
      </c>
      <c r="C1359" s="18" t="s">
        <v>928</v>
      </c>
      <c r="D1359" t="s">
        <v>1934</v>
      </c>
      <c r="E1359" t="s">
        <v>1955</v>
      </c>
      <c r="F1359">
        <v>80</v>
      </c>
      <c r="G1359">
        <f t="shared" si="86"/>
        <v>54</v>
      </c>
      <c r="H1359">
        <f t="shared" si="87"/>
        <v>236</v>
      </c>
      <c r="I1359">
        <v>542</v>
      </c>
      <c r="J1359">
        <v>2362</v>
      </c>
      <c r="K1359" s="18" t="s">
        <v>929</v>
      </c>
      <c r="L1359" s="21">
        <v>5.4</v>
      </c>
    </row>
    <row r="1360" spans="1:12" x14ac:dyDescent="0.25">
      <c r="A1360" t="str">
        <f t="shared" si="84"/>
        <v>2012-TA-Man-87-591-2325</v>
      </c>
      <c r="B1360" t="str">
        <f t="shared" si="85"/>
        <v>2012</v>
      </c>
      <c r="C1360" s="18" t="s">
        <v>928</v>
      </c>
      <c r="D1360" t="s">
        <v>1934</v>
      </c>
      <c r="E1360" t="s">
        <v>1956</v>
      </c>
      <c r="F1360">
        <v>87</v>
      </c>
      <c r="G1360">
        <f t="shared" si="86"/>
        <v>59</v>
      </c>
      <c r="H1360">
        <f t="shared" si="87"/>
        <v>232</v>
      </c>
      <c r="I1360">
        <v>591</v>
      </c>
      <c r="J1360">
        <v>2325</v>
      </c>
      <c r="K1360" s="18" t="s">
        <v>929</v>
      </c>
      <c r="L1360" s="21">
        <v>5.7</v>
      </c>
    </row>
    <row r="1361" spans="1:12" x14ac:dyDescent="0.25">
      <c r="A1361" t="str">
        <f t="shared" si="84"/>
        <v>2012-TA-Man-103-657-2325</v>
      </c>
      <c r="B1361" t="str">
        <f t="shared" si="85"/>
        <v>2012</v>
      </c>
      <c r="C1361" s="18" t="s">
        <v>928</v>
      </c>
      <c r="D1361" t="s">
        <v>1934</v>
      </c>
      <c r="E1361" t="s">
        <v>1957</v>
      </c>
      <c r="F1361">
        <v>103</v>
      </c>
      <c r="G1361">
        <f t="shared" si="86"/>
        <v>65</v>
      </c>
      <c r="H1361">
        <f t="shared" si="87"/>
        <v>232</v>
      </c>
      <c r="I1361">
        <v>657</v>
      </c>
      <c r="J1361">
        <v>2325</v>
      </c>
      <c r="K1361" s="18" t="s">
        <v>929</v>
      </c>
      <c r="L1361" s="21">
        <v>6.3</v>
      </c>
    </row>
    <row r="1362" spans="1:12" x14ac:dyDescent="0.25">
      <c r="A1362" t="str">
        <f t="shared" si="84"/>
        <v>2012-TA-Man-113-691-2318</v>
      </c>
      <c r="B1362" t="str">
        <f t="shared" si="85"/>
        <v>2012</v>
      </c>
      <c r="C1362" s="18" t="s">
        <v>928</v>
      </c>
      <c r="D1362" t="s">
        <v>1934</v>
      </c>
      <c r="E1362" t="s">
        <v>1958</v>
      </c>
      <c r="F1362">
        <v>113</v>
      </c>
      <c r="G1362">
        <f t="shared" si="86"/>
        <v>69</v>
      </c>
      <c r="H1362">
        <f t="shared" si="87"/>
        <v>231</v>
      </c>
      <c r="I1362">
        <v>691</v>
      </c>
      <c r="J1362">
        <v>2318</v>
      </c>
      <c r="K1362" s="18" t="s">
        <v>929</v>
      </c>
      <c r="L1362" s="21">
        <v>6.4</v>
      </c>
    </row>
    <row r="1363" spans="1:12" x14ac:dyDescent="0.25">
      <c r="A1363" t="str">
        <f t="shared" si="84"/>
        <v>2012-TA-Man-120-751-2322</v>
      </c>
      <c r="B1363" t="str">
        <f t="shared" si="85"/>
        <v>2012</v>
      </c>
      <c r="C1363" s="18" t="s">
        <v>928</v>
      </c>
      <c r="D1363" t="s">
        <v>1934</v>
      </c>
      <c r="E1363" t="s">
        <v>1959</v>
      </c>
      <c r="F1363">
        <v>120</v>
      </c>
      <c r="G1363">
        <f t="shared" si="86"/>
        <v>75</v>
      </c>
      <c r="H1363">
        <f t="shared" si="87"/>
        <v>232</v>
      </c>
      <c r="I1363">
        <v>751</v>
      </c>
      <c r="J1363">
        <v>2322</v>
      </c>
      <c r="K1363" s="18" t="s">
        <v>929</v>
      </c>
      <c r="L1363" s="21">
        <v>7.2</v>
      </c>
    </row>
    <row r="1364" spans="1:12" x14ac:dyDescent="0.25">
      <c r="A1364" t="str">
        <f t="shared" si="84"/>
        <v>2012-TA-Man-128-793-2322</v>
      </c>
      <c r="B1364" t="str">
        <f t="shared" si="85"/>
        <v>2012</v>
      </c>
      <c r="C1364" s="18" t="s">
        <v>928</v>
      </c>
      <c r="D1364" t="s">
        <v>1934</v>
      </c>
      <c r="E1364" t="s">
        <v>1960</v>
      </c>
      <c r="F1364">
        <v>128</v>
      </c>
      <c r="G1364">
        <f t="shared" si="86"/>
        <v>79</v>
      </c>
      <c r="H1364">
        <f t="shared" si="87"/>
        <v>232</v>
      </c>
      <c r="I1364">
        <v>793</v>
      </c>
      <c r="J1364">
        <v>2322</v>
      </c>
      <c r="K1364" s="18" t="s">
        <v>929</v>
      </c>
      <c r="L1364" s="21">
        <v>7.3</v>
      </c>
    </row>
    <row r="1365" spans="1:12" x14ac:dyDescent="0.25">
      <c r="A1365" t="str">
        <f t="shared" si="84"/>
        <v>2012-TA-Man-137-847-2315</v>
      </c>
      <c r="B1365" t="str">
        <f t="shared" si="85"/>
        <v>2012</v>
      </c>
      <c r="C1365" s="18" t="s">
        <v>928</v>
      </c>
      <c r="D1365" t="s">
        <v>1934</v>
      </c>
      <c r="E1365" t="s">
        <v>1961</v>
      </c>
      <c r="F1365">
        <v>137</v>
      </c>
      <c r="G1365">
        <f t="shared" si="86"/>
        <v>84</v>
      </c>
      <c r="H1365">
        <f t="shared" si="87"/>
        <v>231</v>
      </c>
      <c r="I1365">
        <v>847</v>
      </c>
      <c r="J1365">
        <v>2315</v>
      </c>
      <c r="K1365" s="18" t="s">
        <v>929</v>
      </c>
      <c r="L1365" s="21">
        <v>7.9</v>
      </c>
    </row>
    <row r="1366" spans="1:12" x14ac:dyDescent="0.25">
      <c r="A1366" t="str">
        <f t="shared" si="84"/>
        <v>2012-TA-Man-103-657-2325</v>
      </c>
      <c r="B1366" t="str">
        <f t="shared" si="85"/>
        <v>2012</v>
      </c>
      <c r="C1366" s="18" t="s">
        <v>928</v>
      </c>
      <c r="D1366" t="s">
        <v>1934</v>
      </c>
      <c r="E1366" t="s">
        <v>1962</v>
      </c>
      <c r="F1366">
        <v>103</v>
      </c>
      <c r="G1366">
        <f t="shared" si="86"/>
        <v>65</v>
      </c>
      <c r="H1366">
        <f t="shared" si="87"/>
        <v>232</v>
      </c>
      <c r="I1366">
        <v>657</v>
      </c>
      <c r="J1366">
        <v>2325</v>
      </c>
      <c r="K1366" s="18" t="s">
        <v>929</v>
      </c>
      <c r="L1366" s="21">
        <v>6.2</v>
      </c>
    </row>
    <row r="1367" spans="1:12" x14ac:dyDescent="0.25">
      <c r="A1367" t="str">
        <f t="shared" si="84"/>
        <v>2012-TA-Man-113-657-2318</v>
      </c>
      <c r="B1367" t="str">
        <f t="shared" si="85"/>
        <v>2012</v>
      </c>
      <c r="C1367" s="18" t="s">
        <v>928</v>
      </c>
      <c r="D1367" t="s">
        <v>1934</v>
      </c>
      <c r="E1367" t="s">
        <v>1963</v>
      </c>
      <c r="F1367">
        <v>113</v>
      </c>
      <c r="G1367">
        <f t="shared" si="86"/>
        <v>65</v>
      </c>
      <c r="H1367">
        <f t="shared" si="87"/>
        <v>231</v>
      </c>
      <c r="I1367">
        <v>657</v>
      </c>
      <c r="J1367">
        <v>2318</v>
      </c>
      <c r="K1367" s="18" t="s">
        <v>929</v>
      </c>
      <c r="L1367" s="21">
        <v>6.3</v>
      </c>
    </row>
    <row r="1368" spans="1:12" x14ac:dyDescent="0.25">
      <c r="A1368" t="str">
        <f t="shared" si="84"/>
        <v>2012-TA-Man-120-751-2322</v>
      </c>
      <c r="B1368" t="str">
        <f t="shared" si="85"/>
        <v>2012</v>
      </c>
      <c r="C1368" s="18" t="s">
        <v>928</v>
      </c>
      <c r="D1368" t="s">
        <v>1934</v>
      </c>
      <c r="E1368" t="s">
        <v>1964</v>
      </c>
      <c r="F1368">
        <v>120</v>
      </c>
      <c r="G1368">
        <f t="shared" si="86"/>
        <v>75</v>
      </c>
      <c r="H1368">
        <f t="shared" si="87"/>
        <v>232</v>
      </c>
      <c r="I1368">
        <v>751</v>
      </c>
      <c r="J1368">
        <v>2322</v>
      </c>
      <c r="K1368" s="18" t="s">
        <v>929</v>
      </c>
      <c r="L1368" s="21">
        <v>6.9</v>
      </c>
    </row>
    <row r="1369" spans="1:12" x14ac:dyDescent="0.25">
      <c r="A1369" t="str">
        <f t="shared" si="84"/>
        <v>2012-TA-Man-128-793-2322</v>
      </c>
      <c r="B1369" t="str">
        <f t="shared" si="85"/>
        <v>2012</v>
      </c>
      <c r="C1369" s="18" t="s">
        <v>928</v>
      </c>
      <c r="D1369" t="s">
        <v>1934</v>
      </c>
      <c r="E1369" t="s">
        <v>1965</v>
      </c>
      <c r="F1369">
        <v>128</v>
      </c>
      <c r="G1369">
        <f t="shared" si="86"/>
        <v>79</v>
      </c>
      <c r="H1369">
        <f t="shared" si="87"/>
        <v>232</v>
      </c>
      <c r="I1369">
        <v>793</v>
      </c>
      <c r="J1369">
        <v>2322</v>
      </c>
      <c r="K1369" s="18" t="s">
        <v>929</v>
      </c>
      <c r="L1369" s="21">
        <v>7.1</v>
      </c>
    </row>
    <row r="1370" spans="1:12" x14ac:dyDescent="0.25">
      <c r="A1370" t="str">
        <f t="shared" si="84"/>
        <v>2012-TA-Man-137-847-2315</v>
      </c>
      <c r="B1370" t="str">
        <f t="shared" si="85"/>
        <v>2012</v>
      </c>
      <c r="C1370" s="18" t="s">
        <v>928</v>
      </c>
      <c r="D1370" t="s">
        <v>1934</v>
      </c>
      <c r="E1370" t="s">
        <v>1966</v>
      </c>
      <c r="F1370">
        <v>137</v>
      </c>
      <c r="G1370">
        <f t="shared" si="86"/>
        <v>84</v>
      </c>
      <c r="H1370">
        <f t="shared" si="87"/>
        <v>231</v>
      </c>
      <c r="I1370">
        <v>847</v>
      </c>
      <c r="J1370">
        <v>2315</v>
      </c>
      <c r="K1370" s="18" t="s">
        <v>929</v>
      </c>
      <c r="L1370" s="21">
        <v>7.5</v>
      </c>
    </row>
    <row r="1371" spans="1:12" x14ac:dyDescent="0.25">
      <c r="A1371" t="str">
        <f t="shared" si="84"/>
        <v>2012-TA-Man-137-843-2323</v>
      </c>
      <c r="B1371" t="str">
        <f t="shared" si="85"/>
        <v>2012</v>
      </c>
      <c r="C1371" s="18" t="s">
        <v>928</v>
      </c>
      <c r="D1371" t="s">
        <v>1934</v>
      </c>
      <c r="E1371" t="s">
        <v>1970</v>
      </c>
      <c r="F1371">
        <v>137</v>
      </c>
      <c r="G1371">
        <f t="shared" si="86"/>
        <v>84</v>
      </c>
      <c r="H1371">
        <f t="shared" si="87"/>
        <v>232</v>
      </c>
      <c r="I1371">
        <v>843</v>
      </c>
      <c r="J1371">
        <v>2323</v>
      </c>
      <c r="K1371" s="18" t="s">
        <v>929</v>
      </c>
      <c r="L1371" s="21">
        <v>7.5</v>
      </c>
    </row>
    <row r="1372" spans="1:12" x14ac:dyDescent="0.25">
      <c r="A1372" t="str">
        <f t="shared" si="84"/>
        <v>2013-TA-Man-88-590-2378</v>
      </c>
      <c r="B1372" t="str">
        <f t="shared" si="85"/>
        <v>2013</v>
      </c>
      <c r="C1372" s="18" t="s">
        <v>852</v>
      </c>
      <c r="D1372" t="s">
        <v>1934</v>
      </c>
      <c r="E1372" t="s">
        <v>1971</v>
      </c>
      <c r="F1372">
        <v>88</v>
      </c>
      <c r="G1372">
        <f t="shared" si="86"/>
        <v>59</v>
      </c>
      <c r="H1372">
        <f t="shared" si="87"/>
        <v>237</v>
      </c>
      <c r="I1372">
        <v>590</v>
      </c>
      <c r="J1372">
        <v>2378</v>
      </c>
      <c r="K1372" s="18" t="s">
        <v>853</v>
      </c>
      <c r="L1372" s="21">
        <v>5.8</v>
      </c>
    </row>
    <row r="1373" spans="1:12" x14ac:dyDescent="0.25">
      <c r="A1373" t="str">
        <f t="shared" si="84"/>
        <v>2013-TA-Man-98-611-233</v>
      </c>
      <c r="B1373" t="str">
        <f t="shared" si="85"/>
        <v>2013</v>
      </c>
      <c r="C1373" s="18" t="s">
        <v>852</v>
      </c>
      <c r="D1373" t="s">
        <v>1934</v>
      </c>
      <c r="E1373" t="s">
        <v>1972</v>
      </c>
      <c r="F1373">
        <v>98</v>
      </c>
      <c r="G1373">
        <f t="shared" si="86"/>
        <v>61</v>
      </c>
      <c r="H1373">
        <f t="shared" si="87"/>
        <v>23</v>
      </c>
      <c r="I1373">
        <v>611</v>
      </c>
      <c r="J1373">
        <v>233.5</v>
      </c>
      <c r="K1373" s="18" t="s">
        <v>853</v>
      </c>
      <c r="L1373" s="21">
        <v>6</v>
      </c>
    </row>
    <row r="1374" spans="1:12" x14ac:dyDescent="0.25">
      <c r="A1374" t="str">
        <f t="shared" si="84"/>
        <v>2013-TA-Man-106-661-2324</v>
      </c>
      <c r="B1374" t="str">
        <f t="shared" si="85"/>
        <v>2013</v>
      </c>
      <c r="C1374" s="18" t="s">
        <v>852</v>
      </c>
      <c r="D1374" t="s">
        <v>1934</v>
      </c>
      <c r="E1374" t="s">
        <v>1973</v>
      </c>
      <c r="F1374">
        <v>106</v>
      </c>
      <c r="G1374">
        <f t="shared" si="86"/>
        <v>66</v>
      </c>
      <c r="H1374">
        <f t="shared" si="87"/>
        <v>232</v>
      </c>
      <c r="I1374">
        <v>661</v>
      </c>
      <c r="J1374">
        <v>2324</v>
      </c>
      <c r="K1374" s="18" t="s">
        <v>853</v>
      </c>
      <c r="L1374" s="21">
        <v>6.2</v>
      </c>
    </row>
    <row r="1375" spans="1:12" x14ac:dyDescent="0.25">
      <c r="A1375" t="str">
        <f t="shared" si="84"/>
        <v>2013-TA-Man-116-712-2326</v>
      </c>
      <c r="B1375" t="str">
        <f t="shared" si="85"/>
        <v>2013</v>
      </c>
      <c r="C1375" s="18" t="s">
        <v>852</v>
      </c>
      <c r="D1375" t="s">
        <v>1934</v>
      </c>
      <c r="E1375" t="s">
        <v>1967</v>
      </c>
      <c r="F1375">
        <v>116</v>
      </c>
      <c r="G1375">
        <f t="shared" si="86"/>
        <v>71</v>
      </c>
      <c r="H1375">
        <f t="shared" si="87"/>
        <v>232</v>
      </c>
      <c r="I1375">
        <v>712</v>
      </c>
      <c r="J1375">
        <v>2326</v>
      </c>
      <c r="K1375" s="18" t="s">
        <v>853</v>
      </c>
      <c r="L1375" s="21">
        <v>6.6</v>
      </c>
    </row>
    <row r="1376" spans="1:12" x14ac:dyDescent="0.25">
      <c r="A1376" t="str">
        <f t="shared" si="84"/>
        <v>2013-TA-Man-131-820-2321</v>
      </c>
      <c r="B1376" t="str">
        <f t="shared" si="85"/>
        <v>2013</v>
      </c>
      <c r="C1376" s="18" t="s">
        <v>852</v>
      </c>
      <c r="D1376" t="s">
        <v>1934</v>
      </c>
      <c r="E1376" t="s">
        <v>1974</v>
      </c>
      <c r="F1376">
        <v>131</v>
      </c>
      <c r="G1376">
        <f t="shared" si="86"/>
        <v>82</v>
      </c>
      <c r="H1376">
        <f t="shared" si="87"/>
        <v>232</v>
      </c>
      <c r="I1376">
        <v>820</v>
      </c>
      <c r="J1376">
        <v>2321</v>
      </c>
      <c r="K1376" s="18" t="s">
        <v>853</v>
      </c>
      <c r="L1376" s="21">
        <v>7.2</v>
      </c>
    </row>
    <row r="1377" spans="1:12" x14ac:dyDescent="0.25">
      <c r="A1377" t="str">
        <f t="shared" si="84"/>
        <v>2013-TA-Man-131-850-2322</v>
      </c>
      <c r="B1377" t="str">
        <f t="shared" si="85"/>
        <v>2013</v>
      </c>
      <c r="C1377" s="18" t="s">
        <v>852</v>
      </c>
      <c r="D1377" t="s">
        <v>1934</v>
      </c>
      <c r="E1377" t="s">
        <v>1966</v>
      </c>
      <c r="F1377">
        <v>131</v>
      </c>
      <c r="G1377">
        <f t="shared" si="86"/>
        <v>85</v>
      </c>
      <c r="H1377">
        <f t="shared" si="87"/>
        <v>232</v>
      </c>
      <c r="I1377">
        <v>850</v>
      </c>
      <c r="J1377">
        <v>2322</v>
      </c>
      <c r="K1377" s="18" t="s">
        <v>853</v>
      </c>
      <c r="L1377" s="21">
        <v>7.3</v>
      </c>
    </row>
    <row r="1378" spans="1:12" x14ac:dyDescent="0.25">
      <c r="A1378" t="str">
        <f t="shared" si="84"/>
        <v>2014-TA-Man-88-590-2358</v>
      </c>
      <c r="B1378" t="str">
        <f t="shared" si="85"/>
        <v>2014</v>
      </c>
      <c r="C1378" s="18" t="s">
        <v>733</v>
      </c>
      <c r="D1378" t="s">
        <v>1934</v>
      </c>
      <c r="E1378" t="s">
        <v>1971</v>
      </c>
      <c r="F1378">
        <v>88</v>
      </c>
      <c r="G1378">
        <f t="shared" si="86"/>
        <v>59</v>
      </c>
      <c r="H1378">
        <f t="shared" si="87"/>
        <v>235</v>
      </c>
      <c r="I1378">
        <v>590</v>
      </c>
      <c r="J1378">
        <v>2358</v>
      </c>
      <c r="K1378" s="18" t="s">
        <v>733</v>
      </c>
      <c r="L1378" s="21">
        <v>5.8</v>
      </c>
    </row>
    <row r="1379" spans="1:12" x14ac:dyDescent="0.25">
      <c r="A1379" t="str">
        <f t="shared" si="84"/>
        <v>2014-TA-Man-97-612-2376</v>
      </c>
      <c r="B1379" t="str">
        <f t="shared" si="85"/>
        <v>2014</v>
      </c>
      <c r="C1379" s="18" t="s">
        <v>733</v>
      </c>
      <c r="D1379" t="s">
        <v>1934</v>
      </c>
      <c r="E1379" t="s">
        <v>1972</v>
      </c>
      <c r="F1379">
        <v>97</v>
      </c>
      <c r="G1379">
        <f t="shared" si="86"/>
        <v>61</v>
      </c>
      <c r="H1379">
        <f t="shared" si="87"/>
        <v>237</v>
      </c>
      <c r="I1379">
        <v>612</v>
      </c>
      <c r="J1379">
        <v>2376</v>
      </c>
      <c r="K1379" s="18" t="s">
        <v>733</v>
      </c>
      <c r="L1379" s="21">
        <v>6</v>
      </c>
    </row>
    <row r="1380" spans="1:12" x14ac:dyDescent="0.25">
      <c r="A1380" t="str">
        <f t="shared" si="84"/>
        <v>2014-TA-Man-106-661-2304</v>
      </c>
      <c r="B1380" t="str">
        <f t="shared" si="85"/>
        <v>2014</v>
      </c>
      <c r="C1380" s="18" t="s">
        <v>733</v>
      </c>
      <c r="D1380" t="s">
        <v>1934</v>
      </c>
      <c r="E1380" t="s">
        <v>1973</v>
      </c>
      <c r="F1380">
        <v>106</v>
      </c>
      <c r="G1380">
        <f t="shared" si="86"/>
        <v>66</v>
      </c>
      <c r="H1380">
        <f t="shared" si="87"/>
        <v>230</v>
      </c>
      <c r="I1380">
        <v>661</v>
      </c>
      <c r="J1380">
        <v>2304</v>
      </c>
      <c r="K1380" s="18" t="s">
        <v>733</v>
      </c>
      <c r="L1380" s="21">
        <v>6.2</v>
      </c>
    </row>
    <row r="1381" spans="1:12" x14ac:dyDescent="0.25">
      <c r="A1381" t="str">
        <f t="shared" si="84"/>
        <v>2014-TA-Man-118-712-2301</v>
      </c>
      <c r="B1381" t="str">
        <f t="shared" si="85"/>
        <v>2014</v>
      </c>
      <c r="C1381" s="18" t="s">
        <v>733</v>
      </c>
      <c r="D1381" t="s">
        <v>1934</v>
      </c>
      <c r="E1381" t="s">
        <v>1967</v>
      </c>
      <c r="F1381">
        <v>118</v>
      </c>
      <c r="G1381">
        <f t="shared" si="86"/>
        <v>71</v>
      </c>
      <c r="H1381">
        <f t="shared" si="87"/>
        <v>230</v>
      </c>
      <c r="I1381">
        <v>712</v>
      </c>
      <c r="J1381">
        <v>2301</v>
      </c>
      <c r="K1381" s="18" t="s">
        <v>733</v>
      </c>
      <c r="L1381" s="21">
        <v>6.6</v>
      </c>
    </row>
    <row r="1382" spans="1:12" x14ac:dyDescent="0.25">
      <c r="A1382" t="str">
        <f t="shared" si="84"/>
        <v>2014-TA-Man-128-811-2296</v>
      </c>
      <c r="B1382" t="str">
        <f t="shared" si="85"/>
        <v>2014</v>
      </c>
      <c r="C1382" s="18" t="s">
        <v>733</v>
      </c>
      <c r="D1382" t="s">
        <v>1934</v>
      </c>
      <c r="E1382" t="s">
        <v>1974</v>
      </c>
      <c r="F1382">
        <v>128</v>
      </c>
      <c r="G1382">
        <f t="shared" si="86"/>
        <v>81</v>
      </c>
      <c r="H1382">
        <f t="shared" si="87"/>
        <v>229</v>
      </c>
      <c r="I1382">
        <v>811</v>
      </c>
      <c r="J1382">
        <v>2296</v>
      </c>
      <c r="K1382" s="18" t="s">
        <v>733</v>
      </c>
      <c r="L1382" s="21">
        <v>7.2</v>
      </c>
    </row>
    <row r="1383" spans="1:12" x14ac:dyDescent="0.25">
      <c r="A1383" t="str">
        <f t="shared" si="84"/>
        <v>2014-TA-Man-135-851-2295</v>
      </c>
      <c r="B1383" t="str">
        <f t="shared" si="85"/>
        <v>2014</v>
      </c>
      <c r="C1383" s="18" t="s">
        <v>733</v>
      </c>
      <c r="D1383" t="s">
        <v>1934</v>
      </c>
      <c r="E1383" t="s">
        <v>1966</v>
      </c>
      <c r="F1383">
        <v>135</v>
      </c>
      <c r="G1383">
        <f t="shared" si="86"/>
        <v>85</v>
      </c>
      <c r="H1383">
        <f t="shared" si="87"/>
        <v>229</v>
      </c>
      <c r="I1383">
        <v>851</v>
      </c>
      <c r="J1383">
        <v>2295</v>
      </c>
      <c r="K1383" s="18" t="s">
        <v>733</v>
      </c>
      <c r="L1383" s="21">
        <v>7.3</v>
      </c>
    </row>
    <row r="1384" spans="1:12" x14ac:dyDescent="0.25">
      <c r="A1384" t="str">
        <f t="shared" si="84"/>
        <v>2015-TA-Man-88-590-2358</v>
      </c>
      <c r="B1384" t="str">
        <f t="shared" si="85"/>
        <v>2015</v>
      </c>
      <c r="C1384" s="18" t="s">
        <v>741</v>
      </c>
      <c r="D1384" t="s">
        <v>1934</v>
      </c>
      <c r="E1384" t="s">
        <v>1971</v>
      </c>
      <c r="F1384">
        <v>88</v>
      </c>
      <c r="G1384">
        <f t="shared" si="86"/>
        <v>59</v>
      </c>
      <c r="H1384">
        <f t="shared" si="87"/>
        <v>235</v>
      </c>
      <c r="I1384">
        <v>590</v>
      </c>
      <c r="J1384">
        <v>2358</v>
      </c>
      <c r="K1384" s="18" t="s">
        <v>1975</v>
      </c>
      <c r="L1384" s="21">
        <v>5.8</v>
      </c>
    </row>
    <row r="1385" spans="1:12" x14ac:dyDescent="0.25">
      <c r="A1385" t="str">
        <f t="shared" si="84"/>
        <v>2015-TA-Man-97-612-2376</v>
      </c>
      <c r="B1385" t="str">
        <f t="shared" si="85"/>
        <v>2015</v>
      </c>
      <c r="C1385" s="18" t="s">
        <v>741</v>
      </c>
      <c r="D1385" t="s">
        <v>1934</v>
      </c>
      <c r="E1385" t="s">
        <v>1972</v>
      </c>
      <c r="F1385">
        <v>97</v>
      </c>
      <c r="G1385">
        <f t="shared" si="86"/>
        <v>61</v>
      </c>
      <c r="H1385">
        <f t="shared" si="87"/>
        <v>237</v>
      </c>
      <c r="I1385">
        <v>612</v>
      </c>
      <c r="J1385">
        <v>2376</v>
      </c>
      <c r="K1385" s="18" t="s">
        <v>1975</v>
      </c>
      <c r="L1385" s="21">
        <v>6</v>
      </c>
    </row>
    <row r="1386" spans="1:12" x14ac:dyDescent="0.25">
      <c r="A1386" t="str">
        <f t="shared" si="84"/>
        <v>2015-TA-Man-106-661-2304</v>
      </c>
      <c r="B1386" t="str">
        <f t="shared" si="85"/>
        <v>2015</v>
      </c>
      <c r="C1386" s="18" t="s">
        <v>741</v>
      </c>
      <c r="D1386" t="s">
        <v>1934</v>
      </c>
      <c r="E1386" t="s">
        <v>1976</v>
      </c>
      <c r="F1386">
        <v>106</v>
      </c>
      <c r="G1386">
        <f t="shared" si="86"/>
        <v>66</v>
      </c>
      <c r="H1386">
        <f t="shared" si="87"/>
        <v>230</v>
      </c>
      <c r="I1386">
        <v>661</v>
      </c>
      <c r="J1386">
        <v>2304</v>
      </c>
      <c r="K1386" s="18" t="s">
        <v>1975</v>
      </c>
      <c r="L1386" s="21">
        <v>6.2</v>
      </c>
    </row>
    <row r="1387" spans="1:12" x14ac:dyDescent="0.25">
      <c r="A1387" t="str">
        <f t="shared" si="84"/>
        <v>2015-TA-Man-116-712-2301</v>
      </c>
      <c r="B1387" t="str">
        <f t="shared" si="85"/>
        <v>2015</v>
      </c>
      <c r="C1387" s="18" t="s">
        <v>741</v>
      </c>
      <c r="D1387" t="s">
        <v>1934</v>
      </c>
      <c r="E1387" t="s">
        <v>1977</v>
      </c>
      <c r="F1387">
        <v>116</v>
      </c>
      <c r="G1387">
        <f t="shared" si="86"/>
        <v>71</v>
      </c>
      <c r="H1387">
        <f t="shared" si="87"/>
        <v>230</v>
      </c>
      <c r="I1387">
        <v>712</v>
      </c>
      <c r="J1387">
        <v>2301</v>
      </c>
      <c r="K1387" s="18" t="s">
        <v>1975</v>
      </c>
      <c r="L1387" s="21">
        <v>6.6</v>
      </c>
    </row>
    <row r="1388" spans="1:12" x14ac:dyDescent="0.25">
      <c r="A1388" t="str">
        <f t="shared" si="84"/>
        <v>2015-TA-Man-132-811-2296</v>
      </c>
      <c r="B1388" t="str">
        <f t="shared" si="85"/>
        <v>2015</v>
      </c>
      <c r="C1388" s="18" t="s">
        <v>741</v>
      </c>
      <c r="D1388" t="s">
        <v>1934</v>
      </c>
      <c r="E1388" t="s">
        <v>1978</v>
      </c>
      <c r="F1388">
        <v>132</v>
      </c>
      <c r="G1388">
        <f t="shared" si="86"/>
        <v>81</v>
      </c>
      <c r="H1388">
        <f t="shared" si="87"/>
        <v>229</v>
      </c>
      <c r="I1388">
        <v>811</v>
      </c>
      <c r="J1388">
        <v>2296</v>
      </c>
      <c r="K1388" s="18" t="s">
        <v>1975</v>
      </c>
      <c r="L1388" s="21">
        <v>7.2</v>
      </c>
    </row>
    <row r="1389" spans="1:12" x14ac:dyDescent="0.25">
      <c r="A1389" t="str">
        <f t="shared" si="84"/>
        <v>2015-TA-Man-135-851-2295</v>
      </c>
      <c r="B1389" t="str">
        <f t="shared" si="85"/>
        <v>2015</v>
      </c>
      <c r="C1389" s="18" t="s">
        <v>741</v>
      </c>
      <c r="D1389" t="s">
        <v>1934</v>
      </c>
      <c r="E1389" t="s">
        <v>1979</v>
      </c>
      <c r="F1389">
        <v>135</v>
      </c>
      <c r="G1389">
        <f t="shared" si="86"/>
        <v>85</v>
      </c>
      <c r="H1389">
        <f t="shared" si="87"/>
        <v>229</v>
      </c>
      <c r="I1389">
        <v>851</v>
      </c>
      <c r="J1389">
        <v>2295</v>
      </c>
      <c r="K1389" s="18" t="s">
        <v>1975</v>
      </c>
      <c r="L1389" s="21">
        <v>7.3</v>
      </c>
    </row>
    <row r="1390" spans="1:12" x14ac:dyDescent="0.25">
      <c r="A1390" t="str">
        <f t="shared" si="84"/>
        <v>2016-TA-Man-91-594-2326</v>
      </c>
      <c r="B1390" t="str">
        <f t="shared" si="85"/>
        <v>2016</v>
      </c>
      <c r="C1390" s="18" t="s">
        <v>747</v>
      </c>
      <c r="D1390" t="s">
        <v>1934</v>
      </c>
      <c r="E1390" t="s">
        <v>1971</v>
      </c>
      <c r="F1390">
        <v>91</v>
      </c>
      <c r="G1390">
        <f t="shared" si="86"/>
        <v>59</v>
      </c>
      <c r="H1390">
        <f t="shared" si="87"/>
        <v>232</v>
      </c>
      <c r="I1390">
        <v>594</v>
      </c>
      <c r="J1390">
        <v>2326</v>
      </c>
      <c r="K1390" s="18" t="s">
        <v>1980</v>
      </c>
      <c r="L1390" s="21">
        <v>5.8</v>
      </c>
    </row>
    <row r="1391" spans="1:12" x14ac:dyDescent="0.25">
      <c r="A1391" t="str">
        <f t="shared" si="84"/>
        <v>2016-TA-Man-99-619-2325</v>
      </c>
      <c r="B1391" t="str">
        <f t="shared" si="85"/>
        <v>2016</v>
      </c>
      <c r="C1391" s="18" t="s">
        <v>747</v>
      </c>
      <c r="D1391" t="s">
        <v>1934</v>
      </c>
      <c r="E1391" t="s">
        <v>1972</v>
      </c>
      <c r="F1391">
        <v>99</v>
      </c>
      <c r="G1391">
        <f t="shared" si="86"/>
        <v>61</v>
      </c>
      <c r="H1391">
        <f t="shared" si="87"/>
        <v>232</v>
      </c>
      <c r="I1391">
        <v>619</v>
      </c>
      <c r="J1391">
        <v>2325</v>
      </c>
      <c r="K1391" s="18" t="s">
        <v>1980</v>
      </c>
      <c r="L1391" s="21">
        <v>6</v>
      </c>
    </row>
    <row r="1392" spans="1:12" x14ac:dyDescent="0.25">
      <c r="A1392" t="str">
        <f t="shared" si="84"/>
        <v>2016-TA-Man-106-661-2324</v>
      </c>
      <c r="B1392" t="str">
        <f t="shared" si="85"/>
        <v>2016</v>
      </c>
      <c r="C1392" s="18" t="s">
        <v>747</v>
      </c>
      <c r="D1392" t="s">
        <v>1934</v>
      </c>
      <c r="E1392" t="s">
        <v>1973</v>
      </c>
      <c r="F1392">
        <v>106</v>
      </c>
      <c r="G1392">
        <f t="shared" si="86"/>
        <v>66</v>
      </c>
      <c r="H1392">
        <f t="shared" si="87"/>
        <v>232</v>
      </c>
      <c r="I1392">
        <v>661</v>
      </c>
      <c r="J1392">
        <v>2324</v>
      </c>
      <c r="K1392" s="18" t="s">
        <v>1980</v>
      </c>
      <c r="L1392" s="21">
        <v>6.2</v>
      </c>
    </row>
    <row r="1393" spans="1:12" x14ac:dyDescent="0.25">
      <c r="A1393" t="str">
        <f t="shared" si="84"/>
        <v>2016-TA-Man-122-712-2321</v>
      </c>
      <c r="B1393" t="str">
        <f t="shared" si="85"/>
        <v>2016</v>
      </c>
      <c r="C1393" s="18" t="s">
        <v>747</v>
      </c>
      <c r="D1393" t="s">
        <v>1934</v>
      </c>
      <c r="E1393" t="s">
        <v>1967</v>
      </c>
      <c r="F1393">
        <v>122</v>
      </c>
      <c r="G1393">
        <f t="shared" si="86"/>
        <v>71</v>
      </c>
      <c r="H1393">
        <f t="shared" si="87"/>
        <v>232</v>
      </c>
      <c r="I1393">
        <v>712</v>
      </c>
      <c r="J1393">
        <v>2321</v>
      </c>
      <c r="K1393" s="18" t="s">
        <v>1980</v>
      </c>
      <c r="L1393" s="21">
        <v>6.6</v>
      </c>
    </row>
    <row r="1394" spans="1:12" x14ac:dyDescent="0.25">
      <c r="A1394" t="str">
        <f t="shared" si="84"/>
        <v>2016-TA-Man-132-811-2316</v>
      </c>
      <c r="B1394" t="str">
        <f t="shared" si="85"/>
        <v>2016</v>
      </c>
      <c r="C1394" s="18" t="s">
        <v>747</v>
      </c>
      <c r="D1394" t="s">
        <v>1934</v>
      </c>
      <c r="E1394" t="s">
        <v>1974</v>
      </c>
      <c r="F1394">
        <v>132</v>
      </c>
      <c r="G1394">
        <f t="shared" si="86"/>
        <v>81</v>
      </c>
      <c r="H1394">
        <f t="shared" si="87"/>
        <v>231</v>
      </c>
      <c r="I1394">
        <v>811</v>
      </c>
      <c r="J1394">
        <v>2316</v>
      </c>
      <c r="K1394" s="18" t="s">
        <v>1980</v>
      </c>
      <c r="L1394" s="21">
        <v>7.2</v>
      </c>
    </row>
    <row r="1395" spans="1:12" x14ac:dyDescent="0.25">
      <c r="A1395" t="str">
        <f t="shared" si="84"/>
        <v>2016-TA-Man-135-851-2315</v>
      </c>
      <c r="B1395" t="str">
        <f t="shared" si="85"/>
        <v>2016</v>
      </c>
      <c r="C1395" s="18" t="s">
        <v>747</v>
      </c>
      <c r="D1395" t="s">
        <v>1934</v>
      </c>
      <c r="E1395" t="s">
        <v>1966</v>
      </c>
      <c r="F1395">
        <v>135</v>
      </c>
      <c r="G1395">
        <f t="shared" si="86"/>
        <v>85</v>
      </c>
      <c r="H1395">
        <f t="shared" si="87"/>
        <v>231</v>
      </c>
      <c r="I1395">
        <v>851</v>
      </c>
      <c r="J1395">
        <v>2315</v>
      </c>
      <c r="K1395" s="18" t="s">
        <v>1980</v>
      </c>
      <c r="L1395" s="21">
        <v>7.3</v>
      </c>
    </row>
    <row r="1396" spans="1:12" x14ac:dyDescent="0.25">
      <c r="A1396" t="str">
        <f t="shared" si="84"/>
        <v>2017-TA-Man-91-594-2326</v>
      </c>
      <c r="B1396" t="str">
        <f t="shared" si="85"/>
        <v>2017</v>
      </c>
      <c r="C1396" s="18" t="s">
        <v>753</v>
      </c>
      <c r="D1396" t="s">
        <v>1934</v>
      </c>
      <c r="E1396" t="s">
        <v>1971</v>
      </c>
      <c r="F1396">
        <v>91</v>
      </c>
      <c r="G1396">
        <f t="shared" si="86"/>
        <v>59</v>
      </c>
      <c r="H1396">
        <f t="shared" si="87"/>
        <v>232</v>
      </c>
      <c r="I1396">
        <v>594</v>
      </c>
      <c r="J1396">
        <v>2326</v>
      </c>
      <c r="K1396" s="18" t="s">
        <v>1981</v>
      </c>
      <c r="L1396" s="21">
        <v>5.8</v>
      </c>
    </row>
    <row r="1397" spans="1:12" x14ac:dyDescent="0.25">
      <c r="A1397" t="str">
        <f t="shared" si="84"/>
        <v>2017-TA-Man-99-619-2325</v>
      </c>
      <c r="B1397" t="str">
        <f t="shared" si="85"/>
        <v>2017</v>
      </c>
      <c r="C1397" s="18" t="s">
        <v>753</v>
      </c>
      <c r="D1397" t="s">
        <v>1934</v>
      </c>
      <c r="E1397" t="s">
        <v>1972</v>
      </c>
      <c r="F1397">
        <v>99</v>
      </c>
      <c r="G1397">
        <f t="shared" si="86"/>
        <v>61</v>
      </c>
      <c r="H1397">
        <f t="shared" si="87"/>
        <v>232</v>
      </c>
      <c r="I1397">
        <v>619</v>
      </c>
      <c r="J1397">
        <v>2325</v>
      </c>
      <c r="K1397" s="18" t="s">
        <v>1981</v>
      </c>
      <c r="L1397" s="21">
        <v>6</v>
      </c>
    </row>
    <row r="1398" spans="1:12" x14ac:dyDescent="0.25">
      <c r="A1398" t="str">
        <f t="shared" si="84"/>
        <v>2017-TA-Man-106-661-2324</v>
      </c>
      <c r="B1398" t="str">
        <f t="shared" si="85"/>
        <v>2017</v>
      </c>
      <c r="C1398" s="18" t="s">
        <v>753</v>
      </c>
      <c r="D1398" t="s">
        <v>1934</v>
      </c>
      <c r="E1398" t="s">
        <v>1973</v>
      </c>
      <c r="F1398">
        <v>106</v>
      </c>
      <c r="G1398">
        <f t="shared" si="86"/>
        <v>66</v>
      </c>
      <c r="H1398">
        <f t="shared" si="87"/>
        <v>232</v>
      </c>
      <c r="I1398">
        <v>661</v>
      </c>
      <c r="J1398">
        <v>2324</v>
      </c>
      <c r="K1398" s="18" t="s">
        <v>1981</v>
      </c>
      <c r="L1398" s="21">
        <v>6.2</v>
      </c>
    </row>
    <row r="1399" spans="1:12" x14ac:dyDescent="0.25">
      <c r="A1399" t="str">
        <f t="shared" si="84"/>
        <v>2017-TA-Man-118-712-2324</v>
      </c>
      <c r="B1399" t="str">
        <f t="shared" si="85"/>
        <v>2017</v>
      </c>
      <c r="C1399" s="18" t="s">
        <v>753</v>
      </c>
      <c r="D1399" t="s">
        <v>1934</v>
      </c>
      <c r="E1399" t="s">
        <v>1967</v>
      </c>
      <c r="F1399">
        <v>118</v>
      </c>
      <c r="G1399">
        <f t="shared" si="86"/>
        <v>71</v>
      </c>
      <c r="H1399">
        <f t="shared" si="87"/>
        <v>232</v>
      </c>
      <c r="I1399">
        <v>712</v>
      </c>
      <c r="J1399">
        <v>2324</v>
      </c>
      <c r="K1399" s="18" t="s">
        <v>1981</v>
      </c>
      <c r="L1399" s="21">
        <v>6.6</v>
      </c>
    </row>
    <row r="1400" spans="1:12" x14ac:dyDescent="0.25">
      <c r="A1400" t="str">
        <f t="shared" si="84"/>
        <v>2017-TA-Man-132-811-2316</v>
      </c>
      <c r="B1400" t="str">
        <f t="shared" si="85"/>
        <v>2017</v>
      </c>
      <c r="C1400" s="18" t="s">
        <v>753</v>
      </c>
      <c r="D1400" t="s">
        <v>1934</v>
      </c>
      <c r="E1400" t="s">
        <v>1974</v>
      </c>
      <c r="F1400">
        <v>132</v>
      </c>
      <c r="G1400">
        <f t="shared" si="86"/>
        <v>81</v>
      </c>
      <c r="H1400">
        <f t="shared" si="87"/>
        <v>231</v>
      </c>
      <c r="I1400">
        <v>811</v>
      </c>
      <c r="J1400">
        <v>2316</v>
      </c>
      <c r="K1400" s="18" t="s">
        <v>1981</v>
      </c>
      <c r="L1400" s="21">
        <v>7.2</v>
      </c>
    </row>
    <row r="1401" spans="1:12" x14ac:dyDescent="0.25">
      <c r="A1401" t="str">
        <f t="shared" si="84"/>
        <v>2017-TA-Man-133-850-2316</v>
      </c>
      <c r="B1401" t="str">
        <f t="shared" si="85"/>
        <v>2017</v>
      </c>
      <c r="C1401" s="18" t="s">
        <v>753</v>
      </c>
      <c r="D1401" t="s">
        <v>1934</v>
      </c>
      <c r="E1401" t="s">
        <v>1966</v>
      </c>
      <c r="F1401">
        <v>133</v>
      </c>
      <c r="G1401">
        <f t="shared" si="86"/>
        <v>85</v>
      </c>
      <c r="H1401">
        <f t="shared" si="87"/>
        <v>231</v>
      </c>
      <c r="I1401">
        <v>850</v>
      </c>
      <c r="J1401">
        <v>2316</v>
      </c>
      <c r="K1401" s="18" t="s">
        <v>1981</v>
      </c>
      <c r="L1401" s="21">
        <v>7.2</v>
      </c>
    </row>
    <row r="1402" spans="1:12" x14ac:dyDescent="0.25">
      <c r="A1402" t="str">
        <f t="shared" si="84"/>
        <v>2019-TA-Man-97-617-2325</v>
      </c>
      <c r="B1402" t="str">
        <f t="shared" si="85"/>
        <v>2019</v>
      </c>
      <c r="C1402" s="18" t="s">
        <v>763</v>
      </c>
      <c r="D1402" t="s">
        <v>1934</v>
      </c>
      <c r="E1402" t="s">
        <v>1982</v>
      </c>
      <c r="F1402">
        <v>97</v>
      </c>
      <c r="G1402">
        <f t="shared" si="86"/>
        <v>61</v>
      </c>
      <c r="H1402">
        <f t="shared" si="87"/>
        <v>232</v>
      </c>
      <c r="I1402">
        <v>617</v>
      </c>
      <c r="J1402">
        <v>2325</v>
      </c>
      <c r="K1402" s="18" t="s">
        <v>1266</v>
      </c>
      <c r="L1402" s="21">
        <v>6</v>
      </c>
    </row>
    <row r="1403" spans="1:12" x14ac:dyDescent="0.25">
      <c r="A1403" t="str">
        <f t="shared" si="84"/>
        <v>2019-TA-Man-107-661-2320</v>
      </c>
      <c r="B1403" t="str">
        <f t="shared" si="85"/>
        <v>2019</v>
      </c>
      <c r="C1403" s="18" t="s">
        <v>763</v>
      </c>
      <c r="D1403" t="s">
        <v>1934</v>
      </c>
      <c r="E1403" t="s">
        <v>1983</v>
      </c>
      <c r="F1403">
        <v>107</v>
      </c>
      <c r="G1403">
        <f t="shared" si="86"/>
        <v>66</v>
      </c>
      <c r="H1403">
        <f t="shared" si="87"/>
        <v>232</v>
      </c>
      <c r="I1403">
        <v>661</v>
      </c>
      <c r="J1403">
        <v>2320</v>
      </c>
      <c r="K1403" s="18" t="s">
        <v>1266</v>
      </c>
      <c r="L1403" s="21">
        <v>6</v>
      </c>
    </row>
    <row r="1404" spans="1:12" x14ac:dyDescent="0.25">
      <c r="A1404" t="str">
        <f t="shared" si="84"/>
        <v>2019-TA-Man-118-711-2320</v>
      </c>
      <c r="B1404" t="str">
        <f t="shared" si="85"/>
        <v>2019</v>
      </c>
      <c r="C1404" s="18" t="s">
        <v>763</v>
      </c>
      <c r="D1404" t="s">
        <v>1934</v>
      </c>
      <c r="E1404" t="s">
        <v>1984</v>
      </c>
      <c r="F1404">
        <v>118</v>
      </c>
      <c r="G1404">
        <f t="shared" si="86"/>
        <v>71</v>
      </c>
      <c r="H1404">
        <f t="shared" si="87"/>
        <v>232</v>
      </c>
      <c r="I1404">
        <v>711</v>
      </c>
      <c r="J1404">
        <v>2320</v>
      </c>
      <c r="K1404" s="18" t="s">
        <v>1266</v>
      </c>
      <c r="L1404" s="21">
        <v>6.6</v>
      </c>
    </row>
    <row r="1405" spans="1:12" x14ac:dyDescent="0.25">
      <c r="A1405" t="str">
        <f t="shared" si="84"/>
        <v>2019-TA-Man-127-810-2316</v>
      </c>
      <c r="B1405" t="str">
        <f t="shared" si="85"/>
        <v>2019</v>
      </c>
      <c r="C1405" s="18" t="s">
        <v>763</v>
      </c>
      <c r="D1405" t="s">
        <v>1934</v>
      </c>
      <c r="E1405" t="s">
        <v>1985</v>
      </c>
      <c r="F1405">
        <v>127</v>
      </c>
      <c r="G1405">
        <f t="shared" si="86"/>
        <v>81</v>
      </c>
      <c r="H1405">
        <f t="shared" si="87"/>
        <v>231</v>
      </c>
      <c r="I1405">
        <v>810</v>
      </c>
      <c r="J1405">
        <v>2316</v>
      </c>
      <c r="K1405" s="18" t="s">
        <v>1266</v>
      </c>
      <c r="L1405" s="21">
        <v>7.1</v>
      </c>
    </row>
    <row r="1406" spans="1:12" x14ac:dyDescent="0.25">
      <c r="A1406" t="str">
        <f t="shared" si="84"/>
        <v>2019-TA-Man-138-848-2319</v>
      </c>
      <c r="B1406" t="str">
        <f t="shared" si="85"/>
        <v>2019</v>
      </c>
      <c r="C1406" s="18" t="s">
        <v>763</v>
      </c>
      <c r="D1406" t="s">
        <v>1934</v>
      </c>
      <c r="E1406" t="s">
        <v>1986</v>
      </c>
      <c r="F1406">
        <v>138</v>
      </c>
      <c r="G1406">
        <f t="shared" si="86"/>
        <v>84</v>
      </c>
      <c r="H1406">
        <f t="shared" si="87"/>
        <v>231</v>
      </c>
      <c r="I1406">
        <v>848</v>
      </c>
      <c r="J1406">
        <v>2319</v>
      </c>
      <c r="K1406" s="18" t="s">
        <v>1266</v>
      </c>
      <c r="L1406" s="21">
        <v>7.5</v>
      </c>
    </row>
    <row r="1407" spans="1:12" x14ac:dyDescent="0.25">
      <c r="A1407" t="str">
        <f t="shared" si="84"/>
        <v>2019-TA-Air-181-911-2250</v>
      </c>
      <c r="B1407" t="str">
        <f t="shared" si="85"/>
        <v>2019</v>
      </c>
      <c r="C1407" s="18" t="s">
        <v>763</v>
      </c>
      <c r="D1407" t="s">
        <v>1934</v>
      </c>
      <c r="E1407" t="s">
        <v>1987</v>
      </c>
      <c r="F1407">
        <v>181</v>
      </c>
      <c r="G1407">
        <f t="shared" si="86"/>
        <v>91</v>
      </c>
      <c r="H1407">
        <f t="shared" si="87"/>
        <v>225</v>
      </c>
      <c r="I1407">
        <v>911</v>
      </c>
      <c r="J1407">
        <v>2250</v>
      </c>
      <c r="K1407" s="18" t="s">
        <v>1266</v>
      </c>
      <c r="L1407" s="21">
        <v>9</v>
      </c>
    </row>
    <row r="1408" spans="1:12" x14ac:dyDescent="0.25">
      <c r="A1408" t="str">
        <f t="shared" si="84"/>
        <v>2020-TA-MAN-97-617-2325</v>
      </c>
      <c r="B1408" t="str">
        <f t="shared" si="85"/>
        <v>2020</v>
      </c>
      <c r="C1408" s="18" t="s">
        <v>861</v>
      </c>
      <c r="D1408" t="s">
        <v>1934</v>
      </c>
      <c r="E1408" t="s">
        <v>1988</v>
      </c>
      <c r="F1408">
        <v>97</v>
      </c>
      <c r="G1408">
        <f t="shared" si="86"/>
        <v>61</v>
      </c>
      <c r="H1408">
        <f t="shared" si="87"/>
        <v>232</v>
      </c>
      <c r="I1408">
        <v>617</v>
      </c>
      <c r="J1408">
        <v>2325</v>
      </c>
      <c r="K1408" s="18" t="s">
        <v>862</v>
      </c>
      <c r="L1408" s="21">
        <v>6</v>
      </c>
    </row>
    <row r="1409" spans="1:12" x14ac:dyDescent="0.25">
      <c r="A1409" t="str">
        <f t="shared" si="84"/>
        <v>2020-TA-MAN-107-661-2320</v>
      </c>
      <c r="B1409" t="str">
        <f t="shared" si="85"/>
        <v>2020</v>
      </c>
      <c r="C1409" s="18" t="s">
        <v>861</v>
      </c>
      <c r="D1409" t="s">
        <v>1934</v>
      </c>
      <c r="E1409" t="s">
        <v>1989</v>
      </c>
      <c r="F1409">
        <v>107</v>
      </c>
      <c r="G1409">
        <f t="shared" si="86"/>
        <v>66</v>
      </c>
      <c r="H1409">
        <f t="shared" si="87"/>
        <v>232</v>
      </c>
      <c r="I1409">
        <v>661</v>
      </c>
      <c r="J1409">
        <v>2320</v>
      </c>
      <c r="K1409" s="18" t="s">
        <v>862</v>
      </c>
      <c r="L1409" s="21">
        <v>6</v>
      </c>
    </row>
    <row r="1410" spans="1:12" x14ac:dyDescent="0.25">
      <c r="A1410" t="str">
        <f t="shared" ref="A1410:A1473" si="88">_xlfn.CONCAT(B1410,"-",LEFT(D1410,2),"-",LEFT(E1410,3),"-",F1410,"-",TRUNC(I1410),"-",TRUNC(J1410))</f>
        <v>2020-TA-MAN-118-771-2320</v>
      </c>
      <c r="B1410" t="str">
        <f t="shared" ref="B1410:B1473" si="89">LEFT(C1410,4)</f>
        <v>2020</v>
      </c>
      <c r="C1410" s="18" t="s">
        <v>861</v>
      </c>
      <c r="D1410" t="s">
        <v>1934</v>
      </c>
      <c r="E1410" t="s">
        <v>1990</v>
      </c>
      <c r="F1410">
        <v>118</v>
      </c>
      <c r="G1410">
        <f t="shared" si="86"/>
        <v>77</v>
      </c>
      <c r="H1410">
        <f t="shared" si="87"/>
        <v>232</v>
      </c>
      <c r="I1410">
        <v>771</v>
      </c>
      <c r="J1410">
        <v>2320</v>
      </c>
      <c r="K1410" s="18" t="s">
        <v>862</v>
      </c>
      <c r="L1410" s="21">
        <v>6.6</v>
      </c>
    </row>
    <row r="1411" spans="1:12" x14ac:dyDescent="0.25">
      <c r="A1411" t="str">
        <f t="shared" si="88"/>
        <v>2020-TA-MAN-132-772-2320</v>
      </c>
      <c r="B1411" t="str">
        <f t="shared" si="89"/>
        <v>2020</v>
      </c>
      <c r="C1411" s="18" t="s">
        <v>861</v>
      </c>
      <c r="D1411" t="s">
        <v>1934</v>
      </c>
      <c r="E1411" t="s">
        <v>1991</v>
      </c>
      <c r="F1411">
        <v>132</v>
      </c>
      <c r="G1411">
        <f t="shared" ref="G1411:G1466" si="90">TRUNC(I1411/10)</f>
        <v>77</v>
      </c>
      <c r="H1411">
        <f t="shared" ref="H1411:H1466" si="91">TRUNC(J1411/10)</f>
        <v>232</v>
      </c>
      <c r="I1411">
        <v>772</v>
      </c>
      <c r="J1411">
        <v>2320</v>
      </c>
      <c r="K1411" s="18" t="s">
        <v>862</v>
      </c>
      <c r="L1411" s="21">
        <v>7.1</v>
      </c>
    </row>
    <row r="1412" spans="1:12" x14ac:dyDescent="0.25">
      <c r="A1412" t="str">
        <f t="shared" si="88"/>
        <v>2020-TA-MAN-127-810-2316</v>
      </c>
      <c r="B1412" t="str">
        <f t="shared" si="89"/>
        <v>2020</v>
      </c>
      <c r="C1412" s="18" t="s">
        <v>861</v>
      </c>
      <c r="D1412" t="s">
        <v>1934</v>
      </c>
      <c r="E1412" t="s">
        <v>1992</v>
      </c>
      <c r="F1412">
        <v>127</v>
      </c>
      <c r="G1412">
        <f t="shared" si="90"/>
        <v>81</v>
      </c>
      <c r="H1412">
        <f t="shared" si="91"/>
        <v>231</v>
      </c>
      <c r="I1412">
        <v>810</v>
      </c>
      <c r="J1412">
        <v>2316</v>
      </c>
      <c r="K1412" s="18" t="s">
        <v>862</v>
      </c>
      <c r="L1412" s="21">
        <v>7.1</v>
      </c>
    </row>
    <row r="1413" spans="1:12" x14ac:dyDescent="0.25">
      <c r="A1413" t="str">
        <f t="shared" si="88"/>
        <v>2020-TA-MAN-138-848-2319</v>
      </c>
      <c r="B1413" t="str">
        <f t="shared" si="89"/>
        <v>2020</v>
      </c>
      <c r="C1413" s="18" t="s">
        <v>861</v>
      </c>
      <c r="D1413" t="s">
        <v>1934</v>
      </c>
      <c r="E1413" t="s">
        <v>1947</v>
      </c>
      <c r="F1413">
        <v>138</v>
      </c>
      <c r="G1413">
        <f t="shared" si="90"/>
        <v>84</v>
      </c>
      <c r="H1413">
        <f t="shared" si="91"/>
        <v>231</v>
      </c>
      <c r="I1413">
        <v>848</v>
      </c>
      <c r="J1413">
        <v>2319</v>
      </c>
      <c r="K1413" s="18" t="s">
        <v>862</v>
      </c>
      <c r="L1413" s="21">
        <v>7.5</v>
      </c>
    </row>
    <row r="1414" spans="1:12" x14ac:dyDescent="0.25">
      <c r="A1414" t="str">
        <f t="shared" si="88"/>
        <v>2024-TA-MAN-96-610-2330</v>
      </c>
      <c r="B1414" t="str">
        <f t="shared" si="89"/>
        <v>2024</v>
      </c>
      <c r="C1414" s="18" t="s">
        <v>871</v>
      </c>
      <c r="D1414" t="s">
        <v>1934</v>
      </c>
      <c r="E1414" t="s">
        <v>1988</v>
      </c>
      <c r="F1414">
        <v>96</v>
      </c>
      <c r="G1414">
        <f t="shared" si="90"/>
        <v>61</v>
      </c>
      <c r="H1414">
        <f t="shared" si="91"/>
        <v>233</v>
      </c>
      <c r="I1414">
        <v>610</v>
      </c>
      <c r="J1414">
        <v>2330</v>
      </c>
      <c r="K1414" s="18" t="s">
        <v>1993</v>
      </c>
      <c r="L1414" s="21">
        <v>6.1</v>
      </c>
    </row>
    <row r="1415" spans="1:12" x14ac:dyDescent="0.25">
      <c r="A1415" t="str">
        <f t="shared" si="88"/>
        <v>2024-TA-MAN-102-640-2330</v>
      </c>
      <c r="B1415" t="str">
        <f t="shared" si="89"/>
        <v>2024</v>
      </c>
      <c r="C1415" s="18" t="s">
        <v>871</v>
      </c>
      <c r="D1415" t="s">
        <v>1934</v>
      </c>
      <c r="E1415" t="s">
        <v>1989</v>
      </c>
      <c r="F1415">
        <v>102</v>
      </c>
      <c r="G1415">
        <f t="shared" si="90"/>
        <v>64</v>
      </c>
      <c r="H1415">
        <f t="shared" si="91"/>
        <v>233</v>
      </c>
      <c r="I1415">
        <v>640</v>
      </c>
      <c r="J1415">
        <v>2330</v>
      </c>
      <c r="K1415" s="18" t="s">
        <v>1993</v>
      </c>
      <c r="L1415" s="21">
        <v>6</v>
      </c>
    </row>
    <row r="1416" spans="1:12" x14ac:dyDescent="0.25">
      <c r="A1416" t="str">
        <f t="shared" si="88"/>
        <v>2024-TA-MAN-106-660-2330</v>
      </c>
      <c r="B1416" t="str">
        <f t="shared" si="89"/>
        <v>2024</v>
      </c>
      <c r="C1416" s="18" t="s">
        <v>871</v>
      </c>
      <c r="D1416" t="s">
        <v>1934</v>
      </c>
      <c r="E1416" t="s">
        <v>1990</v>
      </c>
      <c r="F1416">
        <v>106</v>
      </c>
      <c r="G1416">
        <f t="shared" si="90"/>
        <v>66</v>
      </c>
      <c r="H1416">
        <f t="shared" si="91"/>
        <v>233</v>
      </c>
      <c r="I1416">
        <v>660</v>
      </c>
      <c r="J1416">
        <v>2330</v>
      </c>
      <c r="K1416" s="18" t="s">
        <v>1993</v>
      </c>
      <c r="L1416" s="21">
        <v>6.2</v>
      </c>
    </row>
    <row r="1417" spans="1:12" x14ac:dyDescent="0.25">
      <c r="A1417" t="str">
        <f t="shared" si="88"/>
        <v>2024-TA-MAN-116-710-2330</v>
      </c>
      <c r="B1417" t="str">
        <f t="shared" si="89"/>
        <v>2024</v>
      </c>
      <c r="C1417" s="18" t="s">
        <v>871</v>
      </c>
      <c r="D1417" t="s">
        <v>1934</v>
      </c>
      <c r="E1417" t="s">
        <v>1991</v>
      </c>
      <c r="F1417">
        <v>116</v>
      </c>
      <c r="G1417">
        <f t="shared" si="90"/>
        <v>71</v>
      </c>
      <c r="H1417">
        <f t="shared" si="91"/>
        <v>233</v>
      </c>
      <c r="I1417">
        <v>710</v>
      </c>
      <c r="J1417">
        <v>2330</v>
      </c>
      <c r="K1417" s="18" t="s">
        <v>1993</v>
      </c>
      <c r="L1417" s="21">
        <v>6.8</v>
      </c>
    </row>
    <row r="1418" spans="1:12" x14ac:dyDescent="0.25">
      <c r="A1418" t="str">
        <f t="shared" si="88"/>
        <v>2024-TA-MAN-132-772-2320</v>
      </c>
      <c r="B1418" t="str">
        <f t="shared" si="89"/>
        <v>2024</v>
      </c>
      <c r="C1418" s="18" t="s">
        <v>871</v>
      </c>
      <c r="D1418" t="s">
        <v>1934</v>
      </c>
      <c r="E1418" t="s">
        <v>1992</v>
      </c>
      <c r="F1418">
        <v>132</v>
      </c>
      <c r="G1418">
        <f t="shared" si="90"/>
        <v>77</v>
      </c>
      <c r="H1418">
        <f t="shared" si="91"/>
        <v>232</v>
      </c>
      <c r="I1418">
        <v>772</v>
      </c>
      <c r="J1418">
        <v>2320</v>
      </c>
      <c r="K1418" s="18" t="s">
        <v>1993</v>
      </c>
      <c r="L1418" s="21">
        <v>7.4</v>
      </c>
    </row>
    <row r="1419" spans="1:12" x14ac:dyDescent="0.25">
      <c r="A1419" t="str">
        <f t="shared" si="88"/>
        <v>2024-TA-MAN-138-848-2319</v>
      </c>
      <c r="B1419" t="str">
        <f t="shared" si="89"/>
        <v>2024</v>
      </c>
      <c r="C1419" s="18" t="s">
        <v>871</v>
      </c>
      <c r="D1419" t="s">
        <v>1934</v>
      </c>
      <c r="E1419" t="s">
        <v>1947</v>
      </c>
      <c r="F1419">
        <v>138</v>
      </c>
      <c r="G1419">
        <f t="shared" si="90"/>
        <v>84</v>
      </c>
      <c r="H1419">
        <f t="shared" si="91"/>
        <v>231</v>
      </c>
      <c r="I1419">
        <v>848</v>
      </c>
      <c r="J1419">
        <v>2319</v>
      </c>
      <c r="K1419" s="18" t="s">
        <v>1993</v>
      </c>
      <c r="L1419" s="21">
        <v>7.8</v>
      </c>
    </row>
    <row r="1420" spans="1:12" x14ac:dyDescent="0.25">
      <c r="A1420" t="str">
        <f t="shared" si="88"/>
        <v>2025-TA-MAN-96-610-2330</v>
      </c>
      <c r="B1420" t="str">
        <f t="shared" si="89"/>
        <v>2025</v>
      </c>
      <c r="C1420" s="18" t="s">
        <v>874</v>
      </c>
      <c r="D1420" t="s">
        <v>1934</v>
      </c>
      <c r="E1420" t="s">
        <v>1988</v>
      </c>
      <c r="F1420">
        <v>96</v>
      </c>
      <c r="G1420">
        <f t="shared" si="90"/>
        <v>61</v>
      </c>
      <c r="H1420">
        <f t="shared" si="91"/>
        <v>233</v>
      </c>
      <c r="I1420">
        <v>610</v>
      </c>
      <c r="J1420">
        <v>2330</v>
      </c>
      <c r="K1420" s="18" t="s">
        <v>1993</v>
      </c>
      <c r="L1420" s="21">
        <v>6.1</v>
      </c>
    </row>
    <row r="1421" spans="1:12" x14ac:dyDescent="0.25">
      <c r="A1421" t="str">
        <f t="shared" si="88"/>
        <v>2025-TA-MAN-102-640-2330</v>
      </c>
      <c r="B1421" t="str">
        <f t="shared" si="89"/>
        <v>2025</v>
      </c>
      <c r="C1421" s="18" t="s">
        <v>874</v>
      </c>
      <c r="D1421" t="s">
        <v>1934</v>
      </c>
      <c r="E1421" t="s">
        <v>1989</v>
      </c>
      <c r="F1421">
        <v>102</v>
      </c>
      <c r="G1421">
        <f t="shared" si="90"/>
        <v>64</v>
      </c>
      <c r="H1421">
        <f t="shared" si="91"/>
        <v>233</v>
      </c>
      <c r="I1421">
        <v>640</v>
      </c>
      <c r="J1421">
        <v>2330</v>
      </c>
      <c r="K1421" s="18" t="s">
        <v>1993</v>
      </c>
      <c r="L1421" s="21">
        <v>6</v>
      </c>
    </row>
    <row r="1422" spans="1:12" x14ac:dyDescent="0.25">
      <c r="A1422" t="str">
        <f t="shared" si="88"/>
        <v>2025-TA-MAN-106-660-2330</v>
      </c>
      <c r="B1422" t="str">
        <f t="shared" si="89"/>
        <v>2025</v>
      </c>
      <c r="C1422" s="18" t="s">
        <v>874</v>
      </c>
      <c r="D1422" t="s">
        <v>1934</v>
      </c>
      <c r="E1422" t="s">
        <v>1990</v>
      </c>
      <c r="F1422">
        <v>106</v>
      </c>
      <c r="G1422">
        <f t="shared" si="90"/>
        <v>66</v>
      </c>
      <c r="H1422">
        <f t="shared" si="91"/>
        <v>233</v>
      </c>
      <c r="I1422">
        <v>660</v>
      </c>
      <c r="J1422">
        <v>2330</v>
      </c>
      <c r="K1422" s="18" t="s">
        <v>1993</v>
      </c>
      <c r="L1422" s="21">
        <v>6.2</v>
      </c>
    </row>
    <row r="1423" spans="1:12" x14ac:dyDescent="0.25">
      <c r="A1423" t="str">
        <f t="shared" si="88"/>
        <v>2025-TA-MAN-116-710-2330</v>
      </c>
      <c r="B1423" t="str">
        <f t="shared" si="89"/>
        <v>2025</v>
      </c>
      <c r="C1423" s="18" t="s">
        <v>874</v>
      </c>
      <c r="D1423" t="s">
        <v>1934</v>
      </c>
      <c r="E1423" t="s">
        <v>1991</v>
      </c>
      <c r="F1423">
        <v>116</v>
      </c>
      <c r="G1423">
        <f t="shared" si="90"/>
        <v>71</v>
      </c>
      <c r="H1423">
        <f t="shared" si="91"/>
        <v>233</v>
      </c>
      <c r="I1423">
        <v>710</v>
      </c>
      <c r="J1423">
        <v>2330</v>
      </c>
      <c r="K1423" s="18" t="s">
        <v>1993</v>
      </c>
      <c r="L1423" s="21">
        <v>6.8</v>
      </c>
    </row>
    <row r="1424" spans="1:12" x14ac:dyDescent="0.25">
      <c r="A1424" t="str">
        <f t="shared" si="88"/>
        <v>2025-TA-MAN-132-772-2320</v>
      </c>
      <c r="B1424" t="str">
        <f t="shared" si="89"/>
        <v>2025</v>
      </c>
      <c r="C1424" s="18" t="s">
        <v>874</v>
      </c>
      <c r="D1424" t="s">
        <v>1934</v>
      </c>
      <c r="E1424" t="s">
        <v>1992</v>
      </c>
      <c r="F1424">
        <v>132</v>
      </c>
      <c r="G1424">
        <f t="shared" si="90"/>
        <v>77</v>
      </c>
      <c r="H1424">
        <f t="shared" si="91"/>
        <v>232</v>
      </c>
      <c r="I1424">
        <v>772</v>
      </c>
      <c r="J1424">
        <v>2320</v>
      </c>
      <c r="K1424" s="18" t="s">
        <v>1993</v>
      </c>
      <c r="L1424" s="21">
        <v>7.4</v>
      </c>
    </row>
    <row r="1425" spans="1:12" x14ac:dyDescent="0.25">
      <c r="A1425" t="str">
        <f t="shared" si="88"/>
        <v>2025-TA-MAN-138-848-2319</v>
      </c>
      <c r="B1425" t="str">
        <f t="shared" si="89"/>
        <v>2025</v>
      </c>
      <c r="C1425" s="18" t="s">
        <v>874</v>
      </c>
      <c r="D1425" t="s">
        <v>1934</v>
      </c>
      <c r="E1425" t="s">
        <v>1947</v>
      </c>
      <c r="F1425">
        <v>138</v>
      </c>
      <c r="G1425">
        <f t="shared" si="90"/>
        <v>84</v>
      </c>
      <c r="H1425">
        <f t="shared" si="91"/>
        <v>231</v>
      </c>
      <c r="I1425">
        <v>848</v>
      </c>
      <c r="J1425">
        <v>2319</v>
      </c>
      <c r="K1425" s="18" t="s">
        <v>1993</v>
      </c>
      <c r="L1425" s="21">
        <v>7.8</v>
      </c>
    </row>
    <row r="1426" spans="1:12" x14ac:dyDescent="0.25">
      <c r="A1426" t="str">
        <f t="shared" si="88"/>
        <v>2024-TA-Air-156-760-2100</v>
      </c>
      <c r="B1426" t="str">
        <f t="shared" si="89"/>
        <v>2024</v>
      </c>
      <c r="C1426" s="18" t="s">
        <v>871</v>
      </c>
      <c r="D1426" t="s">
        <v>1934</v>
      </c>
      <c r="E1426" t="s">
        <v>1994</v>
      </c>
      <c r="F1426">
        <v>156</v>
      </c>
      <c r="G1426">
        <f t="shared" si="90"/>
        <v>76</v>
      </c>
      <c r="H1426">
        <f t="shared" si="91"/>
        <v>210</v>
      </c>
      <c r="I1426">
        <v>760</v>
      </c>
      <c r="J1426">
        <v>2100</v>
      </c>
      <c r="K1426" s="18" t="s">
        <v>1995</v>
      </c>
      <c r="L1426" s="21">
        <v>8.6</v>
      </c>
    </row>
    <row r="1427" spans="1:12" x14ac:dyDescent="0.25">
      <c r="A1427" t="str">
        <f t="shared" si="88"/>
        <v>2024-TA-Air-188-860-2114</v>
      </c>
      <c r="B1427" t="str">
        <f t="shared" si="89"/>
        <v>2024</v>
      </c>
      <c r="C1427" s="18" t="s">
        <v>871</v>
      </c>
      <c r="D1427" t="s">
        <v>1934</v>
      </c>
      <c r="E1427" t="s">
        <v>1996</v>
      </c>
      <c r="F1427">
        <v>188</v>
      </c>
      <c r="G1427">
        <f t="shared" si="90"/>
        <v>86</v>
      </c>
      <c r="H1427">
        <f t="shared" si="91"/>
        <v>211</v>
      </c>
      <c r="I1427">
        <v>860</v>
      </c>
      <c r="J1427">
        <v>2114</v>
      </c>
      <c r="K1427" s="18" t="s">
        <v>1995</v>
      </c>
      <c r="L1427" s="21">
        <v>10.1</v>
      </c>
    </row>
    <row r="1428" spans="1:12" x14ac:dyDescent="0.25">
      <c r="A1428" t="str">
        <f t="shared" si="88"/>
        <v>2025-TA-Man-156-760-2100</v>
      </c>
      <c r="B1428" t="str">
        <f t="shared" si="89"/>
        <v>2025</v>
      </c>
      <c r="C1428" s="18" t="s">
        <v>874</v>
      </c>
      <c r="D1428" t="s">
        <v>1934</v>
      </c>
      <c r="E1428" t="s">
        <v>1997</v>
      </c>
      <c r="F1428">
        <v>156</v>
      </c>
      <c r="G1428">
        <f t="shared" si="90"/>
        <v>76</v>
      </c>
      <c r="H1428">
        <f t="shared" si="91"/>
        <v>210</v>
      </c>
      <c r="I1428">
        <v>760</v>
      </c>
      <c r="J1428">
        <v>2100</v>
      </c>
      <c r="K1428" s="18" t="s">
        <v>1995</v>
      </c>
      <c r="L1428" s="21">
        <v>8.6</v>
      </c>
    </row>
    <row r="1429" spans="1:12" x14ac:dyDescent="0.25">
      <c r="A1429" t="str">
        <f t="shared" si="88"/>
        <v>2025-TA-Man-188-860-2114</v>
      </c>
      <c r="B1429" t="str">
        <f t="shared" si="89"/>
        <v>2025</v>
      </c>
      <c r="C1429" s="18" t="s">
        <v>874</v>
      </c>
      <c r="D1429" t="s">
        <v>1934</v>
      </c>
      <c r="E1429" t="s">
        <v>1998</v>
      </c>
      <c r="F1429">
        <v>188</v>
      </c>
      <c r="G1429">
        <f t="shared" si="90"/>
        <v>86</v>
      </c>
      <c r="H1429">
        <f t="shared" si="91"/>
        <v>211</v>
      </c>
      <c r="I1429">
        <v>860</v>
      </c>
      <c r="J1429">
        <v>2114</v>
      </c>
      <c r="K1429" s="18" t="s">
        <v>1995</v>
      </c>
      <c r="L1429" s="21">
        <v>10.1</v>
      </c>
    </row>
    <row r="1430" spans="1:12" x14ac:dyDescent="0.25">
      <c r="A1430" t="str">
        <f t="shared" si="88"/>
        <v>2019-TA-Tec-130-813-2303</v>
      </c>
      <c r="B1430" t="str">
        <f t="shared" si="89"/>
        <v>2019</v>
      </c>
      <c r="C1430" s="18" t="s">
        <v>763</v>
      </c>
      <c r="D1430" t="s">
        <v>1999</v>
      </c>
      <c r="E1430" t="s">
        <v>2000</v>
      </c>
      <c r="F1430">
        <v>130</v>
      </c>
      <c r="G1430">
        <f t="shared" si="90"/>
        <v>81</v>
      </c>
      <c r="H1430">
        <f t="shared" si="91"/>
        <v>230</v>
      </c>
      <c r="I1430">
        <v>813</v>
      </c>
      <c r="J1430">
        <v>2303</v>
      </c>
      <c r="K1430" s="18" t="s">
        <v>1156</v>
      </c>
      <c r="L1430" s="21">
        <v>9.5</v>
      </c>
    </row>
    <row r="1431" spans="1:12" x14ac:dyDescent="0.25">
      <c r="A1431" t="str">
        <f t="shared" si="88"/>
        <v>2006-TI-HYP-87-591-2405</v>
      </c>
      <c r="B1431" t="str">
        <f t="shared" si="89"/>
        <v>2006</v>
      </c>
      <c r="C1431" s="18" t="s">
        <v>813</v>
      </c>
      <c r="D1431" t="s">
        <v>2016</v>
      </c>
      <c r="E1431" t="s">
        <v>2017</v>
      </c>
      <c r="F1431">
        <v>87</v>
      </c>
      <c r="G1431">
        <f t="shared" si="90"/>
        <v>59</v>
      </c>
      <c r="H1431">
        <f t="shared" si="91"/>
        <v>240</v>
      </c>
      <c r="I1431">
        <v>591</v>
      </c>
      <c r="J1431">
        <v>2405</v>
      </c>
      <c r="K1431" s="18" t="s">
        <v>814</v>
      </c>
      <c r="L1431" s="21">
        <v>6.5</v>
      </c>
    </row>
    <row r="1432" spans="1:12" x14ac:dyDescent="0.25">
      <c r="A1432" t="str">
        <f t="shared" si="88"/>
        <v>2006-TI-HYP-96-669-2400</v>
      </c>
      <c r="B1432" t="str">
        <f t="shared" si="89"/>
        <v>2006</v>
      </c>
      <c r="C1432" s="18" t="s">
        <v>813</v>
      </c>
      <c r="D1432" t="s">
        <v>2016</v>
      </c>
      <c r="E1432" t="s">
        <v>2018</v>
      </c>
      <c r="F1432">
        <v>96</v>
      </c>
      <c r="G1432">
        <f t="shared" si="90"/>
        <v>66</v>
      </c>
      <c r="H1432">
        <f t="shared" si="91"/>
        <v>240</v>
      </c>
      <c r="I1432">
        <v>669</v>
      </c>
      <c r="J1432">
        <v>2400</v>
      </c>
      <c r="K1432" s="18" t="s">
        <v>896</v>
      </c>
      <c r="L1432" s="21">
        <v>7</v>
      </c>
    </row>
    <row r="1433" spans="1:12" x14ac:dyDescent="0.25">
      <c r="A1433" t="str">
        <f t="shared" si="88"/>
        <v>2006-TI-HYP-105-669-2410</v>
      </c>
      <c r="B1433" t="str">
        <f t="shared" si="89"/>
        <v>2006</v>
      </c>
      <c r="C1433" s="18" t="s">
        <v>813</v>
      </c>
      <c r="D1433" t="s">
        <v>2016</v>
      </c>
      <c r="E1433" t="s">
        <v>2019</v>
      </c>
      <c r="F1433">
        <v>105</v>
      </c>
      <c r="G1433">
        <f t="shared" si="90"/>
        <v>66</v>
      </c>
      <c r="H1433">
        <f t="shared" si="91"/>
        <v>241</v>
      </c>
      <c r="I1433">
        <v>669</v>
      </c>
      <c r="J1433">
        <v>2410</v>
      </c>
      <c r="K1433" s="18" t="s">
        <v>896</v>
      </c>
      <c r="L1433" s="21">
        <v>7.4</v>
      </c>
    </row>
    <row r="1434" spans="1:12" x14ac:dyDescent="0.25">
      <c r="A1434" t="str">
        <f t="shared" si="88"/>
        <v>2006-TI-HYP-120-788-2400</v>
      </c>
      <c r="B1434" t="str">
        <f t="shared" si="89"/>
        <v>2006</v>
      </c>
      <c r="C1434" s="18" t="s">
        <v>813</v>
      </c>
      <c r="D1434" t="s">
        <v>2016</v>
      </c>
      <c r="E1434" t="s">
        <v>2020</v>
      </c>
      <c r="F1434">
        <v>120</v>
      </c>
      <c r="G1434">
        <f t="shared" si="90"/>
        <v>78</v>
      </c>
      <c r="H1434">
        <f t="shared" si="91"/>
        <v>240</v>
      </c>
      <c r="I1434">
        <v>788</v>
      </c>
      <c r="J1434">
        <v>2400</v>
      </c>
      <c r="K1434" s="18" t="s">
        <v>896</v>
      </c>
      <c r="L1434" s="21">
        <v>7.8</v>
      </c>
    </row>
    <row r="1435" spans="1:12" x14ac:dyDescent="0.25">
      <c r="A1435" t="str">
        <f t="shared" si="88"/>
        <v>2007-TI-HYP-87-591-2405</v>
      </c>
      <c r="B1435" t="str">
        <f t="shared" si="89"/>
        <v>2007</v>
      </c>
      <c r="C1435" s="18" t="s">
        <v>820</v>
      </c>
      <c r="D1435" t="s">
        <v>2016</v>
      </c>
      <c r="E1435" t="s">
        <v>2017</v>
      </c>
      <c r="F1435">
        <v>87</v>
      </c>
      <c r="G1435">
        <f t="shared" si="90"/>
        <v>59</v>
      </c>
      <c r="H1435">
        <f t="shared" si="91"/>
        <v>240</v>
      </c>
      <c r="I1435">
        <v>591</v>
      </c>
      <c r="J1435">
        <v>2405</v>
      </c>
      <c r="K1435" s="18" t="s">
        <v>821</v>
      </c>
      <c r="L1435" s="21">
        <v>6.5</v>
      </c>
    </row>
    <row r="1436" spans="1:12" x14ac:dyDescent="0.25">
      <c r="A1436" t="str">
        <f t="shared" si="88"/>
        <v>2007-TI-HYP-91-642-2380</v>
      </c>
      <c r="B1436" t="str">
        <f t="shared" si="89"/>
        <v>2007</v>
      </c>
      <c r="C1436" s="18" t="s">
        <v>820</v>
      </c>
      <c r="D1436" t="s">
        <v>2016</v>
      </c>
      <c r="E1436" t="s">
        <v>2018</v>
      </c>
      <c r="F1436">
        <v>91</v>
      </c>
      <c r="G1436">
        <f t="shared" si="90"/>
        <v>64</v>
      </c>
      <c r="H1436">
        <f t="shared" si="91"/>
        <v>238</v>
      </c>
      <c r="I1436">
        <v>642</v>
      </c>
      <c r="J1436">
        <v>2380</v>
      </c>
      <c r="K1436" s="18" t="s">
        <v>821</v>
      </c>
      <c r="L1436" s="21">
        <v>6.85</v>
      </c>
    </row>
    <row r="1437" spans="1:12" x14ac:dyDescent="0.25">
      <c r="A1437" t="str">
        <f t="shared" si="88"/>
        <v>2007-TI-HYP-114-741-2353</v>
      </c>
      <c r="B1437" t="str">
        <f t="shared" si="89"/>
        <v>2007</v>
      </c>
      <c r="C1437" s="18" t="s">
        <v>820</v>
      </c>
      <c r="D1437" t="s">
        <v>2016</v>
      </c>
      <c r="E1437" t="s">
        <v>2019</v>
      </c>
      <c r="F1437">
        <v>114</v>
      </c>
      <c r="G1437">
        <f t="shared" si="90"/>
        <v>74</v>
      </c>
      <c r="H1437">
        <f t="shared" si="91"/>
        <v>235</v>
      </c>
      <c r="I1437">
        <v>741</v>
      </c>
      <c r="J1437">
        <v>2353</v>
      </c>
      <c r="K1437" s="18" t="s">
        <v>821</v>
      </c>
      <c r="L1437" s="21">
        <v>7.4</v>
      </c>
    </row>
    <row r="1438" spans="1:12" x14ac:dyDescent="0.25">
      <c r="A1438" t="str">
        <f t="shared" si="88"/>
        <v>2007-TI-HYP-126-801-2393</v>
      </c>
      <c r="B1438" t="str">
        <f t="shared" si="89"/>
        <v>2007</v>
      </c>
      <c r="C1438" s="18" t="s">
        <v>820</v>
      </c>
      <c r="D1438" t="s">
        <v>2016</v>
      </c>
      <c r="E1438" t="s">
        <v>2020</v>
      </c>
      <c r="F1438">
        <v>126</v>
      </c>
      <c r="G1438">
        <f t="shared" si="90"/>
        <v>80</v>
      </c>
      <c r="H1438">
        <f t="shared" si="91"/>
        <v>239</v>
      </c>
      <c r="I1438">
        <v>801</v>
      </c>
      <c r="J1438">
        <v>2393</v>
      </c>
      <c r="K1438" s="18" t="s">
        <v>821</v>
      </c>
      <c r="L1438" s="21">
        <v>7.8</v>
      </c>
    </row>
    <row r="1439" spans="1:12" x14ac:dyDescent="0.25">
      <c r="A1439" t="str">
        <f t="shared" si="88"/>
        <v>2024-WE-WE -94-590-2299</v>
      </c>
      <c r="B1439" t="str">
        <f t="shared" si="89"/>
        <v>2024</v>
      </c>
      <c r="C1439" s="18" t="s">
        <v>871</v>
      </c>
      <c r="D1439" t="s">
        <v>2021</v>
      </c>
      <c r="E1439" t="s">
        <v>2022</v>
      </c>
      <c r="F1439">
        <v>94</v>
      </c>
      <c r="G1439">
        <f t="shared" si="90"/>
        <v>59</v>
      </c>
      <c r="H1439">
        <f t="shared" si="91"/>
        <v>229</v>
      </c>
      <c r="I1439">
        <v>590</v>
      </c>
      <c r="J1439">
        <v>2299</v>
      </c>
      <c r="K1439" s="18" t="s">
        <v>2023</v>
      </c>
      <c r="L1439" s="21">
        <v>6.3</v>
      </c>
    </row>
    <row r="1440" spans="1:12" x14ac:dyDescent="0.25">
      <c r="A1440" t="str">
        <f t="shared" si="88"/>
        <v>2024-WE-WE -99-630-2299</v>
      </c>
      <c r="B1440" t="str">
        <f t="shared" si="89"/>
        <v>2024</v>
      </c>
      <c r="C1440" s="18" t="s">
        <v>871</v>
      </c>
      <c r="D1440" t="s">
        <v>2021</v>
      </c>
      <c r="E1440" t="s">
        <v>2024</v>
      </c>
      <c r="F1440">
        <v>99</v>
      </c>
      <c r="G1440">
        <f t="shared" si="90"/>
        <v>63</v>
      </c>
      <c r="H1440">
        <f t="shared" si="91"/>
        <v>229</v>
      </c>
      <c r="I1440">
        <v>630</v>
      </c>
      <c r="J1440">
        <v>2299</v>
      </c>
      <c r="K1440" s="18" t="s">
        <v>2023</v>
      </c>
      <c r="L1440" s="21">
        <v>6.4</v>
      </c>
    </row>
    <row r="1441" spans="1:12" x14ac:dyDescent="0.25">
      <c r="A1441" t="str">
        <f t="shared" si="88"/>
        <v>2024-WE-WE -112-695-2290</v>
      </c>
      <c r="B1441" t="str">
        <f t="shared" si="89"/>
        <v>2024</v>
      </c>
      <c r="C1441" s="18" t="s">
        <v>871</v>
      </c>
      <c r="D1441" t="s">
        <v>2021</v>
      </c>
      <c r="E1441" t="s">
        <v>2025</v>
      </c>
      <c r="F1441">
        <v>112</v>
      </c>
      <c r="G1441">
        <f t="shared" si="90"/>
        <v>69</v>
      </c>
      <c r="H1441">
        <f t="shared" si="91"/>
        <v>229</v>
      </c>
      <c r="I1441">
        <v>695</v>
      </c>
      <c r="J1441">
        <v>2290</v>
      </c>
      <c r="K1441" s="18" t="s">
        <v>2023</v>
      </c>
      <c r="L1441" s="21">
        <v>6.8</v>
      </c>
    </row>
    <row r="1442" spans="1:12" x14ac:dyDescent="0.25">
      <c r="A1442" t="str">
        <f t="shared" si="88"/>
        <v>2024-WE-WE -121-736-2290</v>
      </c>
      <c r="B1442" t="str">
        <f t="shared" si="89"/>
        <v>2024</v>
      </c>
      <c r="C1442" s="18" t="s">
        <v>871</v>
      </c>
      <c r="D1442" t="s">
        <v>2021</v>
      </c>
      <c r="E1442" t="s">
        <v>2026</v>
      </c>
      <c r="F1442">
        <v>121</v>
      </c>
      <c r="G1442">
        <f t="shared" si="90"/>
        <v>73</v>
      </c>
      <c r="H1442">
        <f t="shared" si="91"/>
        <v>229</v>
      </c>
      <c r="I1442">
        <v>736</v>
      </c>
      <c r="J1442">
        <v>2290</v>
      </c>
      <c r="K1442" s="18" t="s">
        <v>2023</v>
      </c>
      <c r="L1442" s="21">
        <v>7.2</v>
      </c>
    </row>
    <row r="1443" spans="1:12" x14ac:dyDescent="0.25">
      <c r="A1443" t="str">
        <f t="shared" si="88"/>
        <v>2024-WE-WE -135-840-2290</v>
      </c>
      <c r="B1443" t="str">
        <f t="shared" si="89"/>
        <v>2024</v>
      </c>
      <c r="C1443" s="18" t="s">
        <v>871</v>
      </c>
      <c r="D1443" t="s">
        <v>2021</v>
      </c>
      <c r="E1443" t="s">
        <v>2027</v>
      </c>
      <c r="F1443">
        <v>135</v>
      </c>
      <c r="G1443">
        <f t="shared" si="90"/>
        <v>84</v>
      </c>
      <c r="H1443">
        <f t="shared" si="91"/>
        <v>229</v>
      </c>
      <c r="I1443">
        <v>840</v>
      </c>
      <c r="J1443">
        <v>2290</v>
      </c>
      <c r="K1443" s="18" t="s">
        <v>2023</v>
      </c>
      <c r="L1443" s="21">
        <v>8.4</v>
      </c>
    </row>
    <row r="1444" spans="1:12" x14ac:dyDescent="0.25">
      <c r="A1444" t="str">
        <f t="shared" si="88"/>
        <v>2024-WE-WE -135-785-2110</v>
      </c>
      <c r="B1444" t="str">
        <f t="shared" si="89"/>
        <v>2024</v>
      </c>
      <c r="C1444" s="18" t="s">
        <v>871</v>
      </c>
      <c r="D1444" t="s">
        <v>2021</v>
      </c>
      <c r="E1444" t="s">
        <v>2028</v>
      </c>
      <c r="F1444">
        <v>135</v>
      </c>
      <c r="G1444">
        <f t="shared" si="90"/>
        <v>78</v>
      </c>
      <c r="H1444">
        <f t="shared" si="91"/>
        <v>211</v>
      </c>
      <c r="I1444">
        <v>785</v>
      </c>
      <c r="J1444">
        <v>2110</v>
      </c>
      <c r="K1444" s="18" t="s">
        <v>2023</v>
      </c>
      <c r="L1444" s="21">
        <v>7.6</v>
      </c>
    </row>
    <row r="1445" spans="1:12" x14ac:dyDescent="0.25">
      <c r="A1445" t="str">
        <f t="shared" si="88"/>
        <v>2024-WE-WE -165-850-2110</v>
      </c>
      <c r="B1445" t="str">
        <f t="shared" si="89"/>
        <v>2024</v>
      </c>
      <c r="C1445" s="18" t="s">
        <v>871</v>
      </c>
      <c r="D1445" t="s">
        <v>2021</v>
      </c>
      <c r="E1445" t="s">
        <v>2029</v>
      </c>
      <c r="F1445">
        <v>165</v>
      </c>
      <c r="G1445">
        <f t="shared" si="90"/>
        <v>85</v>
      </c>
      <c r="H1445">
        <f t="shared" si="91"/>
        <v>211</v>
      </c>
      <c r="I1445">
        <v>850</v>
      </c>
      <c r="J1445">
        <v>2110</v>
      </c>
      <c r="K1445" s="18" t="s">
        <v>2023</v>
      </c>
      <c r="L1445" s="21">
        <v>8.9</v>
      </c>
    </row>
    <row r="1446" spans="1:12" x14ac:dyDescent="0.25">
      <c r="A1446" t="str">
        <f t="shared" si="88"/>
        <v>2024-WE-WE -172-880-2110</v>
      </c>
      <c r="B1446" t="str">
        <f t="shared" si="89"/>
        <v>2024</v>
      </c>
      <c r="C1446" s="18" t="s">
        <v>871</v>
      </c>
      <c r="D1446" t="s">
        <v>2021</v>
      </c>
      <c r="E1446" t="s">
        <v>2030</v>
      </c>
      <c r="F1446">
        <v>172</v>
      </c>
      <c r="G1446">
        <f t="shared" si="90"/>
        <v>88</v>
      </c>
      <c r="H1446">
        <f t="shared" si="91"/>
        <v>211</v>
      </c>
      <c r="I1446">
        <v>880</v>
      </c>
      <c r="J1446">
        <v>2110</v>
      </c>
      <c r="K1446" s="18" t="s">
        <v>2023</v>
      </c>
      <c r="L1446" s="21">
        <v>9.1999999999999993</v>
      </c>
    </row>
    <row r="1447" spans="1:12" x14ac:dyDescent="0.25">
      <c r="A1447" t="str">
        <f t="shared" si="88"/>
        <v>2025-WE-WE -99-630-2290</v>
      </c>
      <c r="B1447" t="str">
        <f t="shared" si="89"/>
        <v>2025</v>
      </c>
      <c r="C1447" s="18" t="s">
        <v>874</v>
      </c>
      <c r="D1447" t="s">
        <v>2021</v>
      </c>
      <c r="E1447" t="s">
        <v>2031</v>
      </c>
      <c r="F1447">
        <v>99</v>
      </c>
      <c r="G1447">
        <f t="shared" si="90"/>
        <v>63</v>
      </c>
      <c r="H1447">
        <f t="shared" si="91"/>
        <v>229</v>
      </c>
      <c r="I1447">
        <v>630</v>
      </c>
      <c r="J1447">
        <v>2290</v>
      </c>
      <c r="K1447" s="18" t="s">
        <v>2023</v>
      </c>
      <c r="L1447" s="21">
        <v>6.2</v>
      </c>
    </row>
    <row r="1448" spans="1:12" x14ac:dyDescent="0.25">
      <c r="A1448" t="str">
        <f t="shared" si="88"/>
        <v>2025-WE-WE -94-590-2299</v>
      </c>
      <c r="B1448" t="str">
        <f t="shared" si="89"/>
        <v>2025</v>
      </c>
      <c r="C1448" s="18" t="s">
        <v>874</v>
      </c>
      <c r="D1448" t="s">
        <v>2021</v>
      </c>
      <c r="E1448" t="s">
        <v>2022</v>
      </c>
      <c r="F1448">
        <v>94</v>
      </c>
      <c r="G1448">
        <f t="shared" si="90"/>
        <v>59</v>
      </c>
      <c r="H1448">
        <f t="shared" si="91"/>
        <v>229</v>
      </c>
      <c r="I1448">
        <v>590</v>
      </c>
      <c r="J1448">
        <v>2299</v>
      </c>
      <c r="K1448" s="18" t="s">
        <v>2023</v>
      </c>
      <c r="L1448" s="21">
        <v>6</v>
      </c>
    </row>
    <row r="1449" spans="1:12" x14ac:dyDescent="0.25">
      <c r="A1449" t="str">
        <f t="shared" si="88"/>
        <v>2025-WE-WE -112-695-2299</v>
      </c>
      <c r="B1449" t="str">
        <f t="shared" si="89"/>
        <v>2025</v>
      </c>
      <c r="C1449" s="18" t="s">
        <v>874</v>
      </c>
      <c r="D1449" t="s">
        <v>2021</v>
      </c>
      <c r="E1449" t="s">
        <v>2025</v>
      </c>
      <c r="F1449">
        <v>112</v>
      </c>
      <c r="G1449">
        <f t="shared" si="90"/>
        <v>69</v>
      </c>
      <c r="H1449">
        <f t="shared" si="91"/>
        <v>229</v>
      </c>
      <c r="I1449">
        <v>695</v>
      </c>
      <c r="J1449">
        <v>2299</v>
      </c>
      <c r="K1449" s="18" t="s">
        <v>2023</v>
      </c>
      <c r="L1449" s="21">
        <v>6.8</v>
      </c>
    </row>
    <row r="1450" spans="1:12" x14ac:dyDescent="0.25">
      <c r="A1450" t="str">
        <f t="shared" si="88"/>
        <v>2025-WE-WE -112-694-2299</v>
      </c>
      <c r="B1450" t="str">
        <f t="shared" si="89"/>
        <v>2025</v>
      </c>
      <c r="C1450" s="18" t="s">
        <v>874</v>
      </c>
      <c r="D1450" t="s">
        <v>2021</v>
      </c>
      <c r="E1450" t="s">
        <v>2032</v>
      </c>
      <c r="F1450">
        <v>112</v>
      </c>
      <c r="G1450">
        <f t="shared" si="90"/>
        <v>69</v>
      </c>
      <c r="H1450">
        <f t="shared" si="91"/>
        <v>229</v>
      </c>
      <c r="I1450">
        <v>694</v>
      </c>
      <c r="J1450">
        <v>2299</v>
      </c>
      <c r="K1450" s="18" t="s">
        <v>2023</v>
      </c>
      <c r="L1450" s="21">
        <v>6.8</v>
      </c>
    </row>
    <row r="1451" spans="1:12" x14ac:dyDescent="0.25">
      <c r="A1451" t="str">
        <f t="shared" si="88"/>
        <v>2025-WE-WE -99-630-2300</v>
      </c>
      <c r="B1451" t="str">
        <f t="shared" si="89"/>
        <v>2025</v>
      </c>
      <c r="C1451" s="18" t="s">
        <v>874</v>
      </c>
      <c r="D1451" t="s">
        <v>2021</v>
      </c>
      <c r="E1451" t="s">
        <v>2024</v>
      </c>
      <c r="F1451">
        <v>99</v>
      </c>
      <c r="G1451">
        <f t="shared" si="90"/>
        <v>63</v>
      </c>
      <c r="H1451">
        <f t="shared" si="91"/>
        <v>230</v>
      </c>
      <c r="I1451">
        <v>630</v>
      </c>
      <c r="J1451">
        <v>2300</v>
      </c>
      <c r="K1451" s="18" t="s">
        <v>2023</v>
      </c>
      <c r="L1451" s="21">
        <v>6.3</v>
      </c>
    </row>
    <row r="1452" spans="1:12" x14ac:dyDescent="0.25">
      <c r="A1452" t="str">
        <f t="shared" si="88"/>
        <v>2025-WE-WE -121-736-2290</v>
      </c>
      <c r="B1452" t="str">
        <f t="shared" si="89"/>
        <v>2025</v>
      </c>
      <c r="C1452" s="18" t="s">
        <v>874</v>
      </c>
      <c r="D1452" t="s">
        <v>2021</v>
      </c>
      <c r="E1452" t="s">
        <v>2026</v>
      </c>
      <c r="F1452">
        <v>121</v>
      </c>
      <c r="G1452">
        <f t="shared" si="90"/>
        <v>73</v>
      </c>
      <c r="H1452">
        <f t="shared" si="91"/>
        <v>229</v>
      </c>
      <c r="I1452">
        <v>736</v>
      </c>
      <c r="J1452">
        <v>2290</v>
      </c>
      <c r="K1452" s="18" t="s">
        <v>2023</v>
      </c>
      <c r="L1452" s="21">
        <v>7.2</v>
      </c>
    </row>
    <row r="1453" spans="1:12" x14ac:dyDescent="0.25">
      <c r="A1453" t="str">
        <f t="shared" si="88"/>
        <v>2025-WE-WE -121-735-2290</v>
      </c>
      <c r="B1453" t="str">
        <f t="shared" si="89"/>
        <v>2025</v>
      </c>
      <c r="C1453" s="18" t="s">
        <v>874</v>
      </c>
      <c r="D1453" t="s">
        <v>2021</v>
      </c>
      <c r="E1453" t="s">
        <v>2033</v>
      </c>
      <c r="F1453">
        <v>121</v>
      </c>
      <c r="G1453">
        <f t="shared" si="90"/>
        <v>73</v>
      </c>
      <c r="H1453">
        <f t="shared" si="91"/>
        <v>229</v>
      </c>
      <c r="I1453">
        <v>735</v>
      </c>
      <c r="J1453">
        <v>2290</v>
      </c>
      <c r="K1453" s="18" t="s">
        <v>2023</v>
      </c>
      <c r="L1453" s="21">
        <v>7.2</v>
      </c>
    </row>
    <row r="1454" spans="1:12" x14ac:dyDescent="0.25">
      <c r="A1454" t="str">
        <f t="shared" si="88"/>
        <v>2025-WE-WE -133-781-2289</v>
      </c>
      <c r="B1454" t="str">
        <f t="shared" si="89"/>
        <v>2025</v>
      </c>
      <c r="C1454" s="18" t="s">
        <v>874</v>
      </c>
      <c r="D1454" t="s">
        <v>2021</v>
      </c>
      <c r="E1454" t="s">
        <v>2034</v>
      </c>
      <c r="F1454">
        <v>133</v>
      </c>
      <c r="G1454">
        <f t="shared" si="90"/>
        <v>78</v>
      </c>
      <c r="H1454">
        <f t="shared" si="91"/>
        <v>228</v>
      </c>
      <c r="I1454">
        <v>781</v>
      </c>
      <c r="J1454">
        <v>2289</v>
      </c>
      <c r="K1454" s="18" t="s">
        <v>2023</v>
      </c>
      <c r="L1454" s="21">
        <v>7.6</v>
      </c>
    </row>
    <row r="1455" spans="1:12" x14ac:dyDescent="0.25">
      <c r="A1455" t="str">
        <f t="shared" si="88"/>
        <v>2025-WE-WE -135-840-2290</v>
      </c>
      <c r="B1455" t="str">
        <f t="shared" si="89"/>
        <v>2025</v>
      </c>
      <c r="C1455" s="18" t="s">
        <v>874</v>
      </c>
      <c r="D1455" t="s">
        <v>2021</v>
      </c>
      <c r="E1455" t="s">
        <v>2027</v>
      </c>
      <c r="F1455">
        <v>135</v>
      </c>
      <c r="G1455">
        <f t="shared" si="90"/>
        <v>84</v>
      </c>
      <c r="H1455">
        <f t="shared" si="91"/>
        <v>229</v>
      </c>
      <c r="I1455">
        <v>840</v>
      </c>
      <c r="J1455">
        <v>2290</v>
      </c>
      <c r="K1455" s="18" t="s">
        <v>2023</v>
      </c>
      <c r="L1455" s="21">
        <v>8.1999999999999993</v>
      </c>
    </row>
    <row r="1456" spans="1:12" x14ac:dyDescent="0.25">
      <c r="A1456" t="str">
        <f t="shared" si="88"/>
        <v>2025-WE-WE -165-850-2110</v>
      </c>
      <c r="B1456" t="str">
        <f t="shared" si="89"/>
        <v>2025</v>
      </c>
      <c r="C1456" s="18" t="s">
        <v>874</v>
      </c>
      <c r="D1456" t="s">
        <v>2021</v>
      </c>
      <c r="E1456" t="s">
        <v>2029</v>
      </c>
      <c r="F1456">
        <v>165</v>
      </c>
      <c r="G1456">
        <f t="shared" si="90"/>
        <v>85</v>
      </c>
      <c r="H1456">
        <f t="shared" si="91"/>
        <v>211</v>
      </c>
      <c r="I1456">
        <v>850</v>
      </c>
      <c r="J1456">
        <v>2110</v>
      </c>
      <c r="K1456" s="18" t="s">
        <v>2023</v>
      </c>
      <c r="L1456" s="21">
        <v>8.9</v>
      </c>
    </row>
    <row r="1457" spans="1:12" x14ac:dyDescent="0.25">
      <c r="A1457" t="str">
        <f t="shared" si="88"/>
        <v>2025-WE-WE -160-850-2109</v>
      </c>
      <c r="B1457" t="str">
        <f t="shared" si="89"/>
        <v>2025</v>
      </c>
      <c r="C1457" s="18" t="s">
        <v>874</v>
      </c>
      <c r="D1457" t="s">
        <v>2021</v>
      </c>
      <c r="E1457" t="s">
        <v>2035</v>
      </c>
      <c r="F1457">
        <v>160</v>
      </c>
      <c r="G1457">
        <f t="shared" si="90"/>
        <v>85</v>
      </c>
      <c r="H1457">
        <f t="shared" si="91"/>
        <v>210</v>
      </c>
      <c r="I1457">
        <v>850</v>
      </c>
      <c r="J1457">
        <v>2109</v>
      </c>
      <c r="K1457" s="18" t="s">
        <v>2023</v>
      </c>
      <c r="L1457" s="21">
        <v>9.1</v>
      </c>
    </row>
    <row r="1458" spans="1:12" x14ac:dyDescent="0.25">
      <c r="A1458" t="str">
        <f t="shared" si="88"/>
        <v>2025-WE-WE -172-880-2110</v>
      </c>
      <c r="B1458" t="str">
        <f t="shared" si="89"/>
        <v>2025</v>
      </c>
      <c r="C1458" s="18" t="s">
        <v>874</v>
      </c>
      <c r="D1458" t="s">
        <v>2021</v>
      </c>
      <c r="E1458" t="s">
        <v>2030</v>
      </c>
      <c r="F1458">
        <v>172</v>
      </c>
      <c r="G1458">
        <f t="shared" si="90"/>
        <v>88</v>
      </c>
      <c r="H1458">
        <f t="shared" si="91"/>
        <v>211</v>
      </c>
      <c r="I1458">
        <v>880</v>
      </c>
      <c r="J1458">
        <v>2110</v>
      </c>
      <c r="K1458" s="18" t="s">
        <v>2023</v>
      </c>
      <c r="L1458" s="21">
        <v>9.3000000000000007</v>
      </c>
    </row>
    <row r="1459" spans="1:12" x14ac:dyDescent="0.25">
      <c r="A1459" t="str">
        <f t="shared" si="88"/>
        <v>2025-WE-WE -135-785-2110</v>
      </c>
      <c r="B1459" t="str">
        <f t="shared" si="89"/>
        <v>2025</v>
      </c>
      <c r="C1459" s="18" t="s">
        <v>874</v>
      </c>
      <c r="D1459" t="s">
        <v>2021</v>
      </c>
      <c r="E1459" t="s">
        <v>2028</v>
      </c>
      <c r="F1459">
        <v>135</v>
      </c>
      <c r="G1459">
        <f t="shared" si="90"/>
        <v>78</v>
      </c>
      <c r="H1459">
        <f t="shared" si="91"/>
        <v>211</v>
      </c>
      <c r="I1459">
        <v>785</v>
      </c>
      <c r="J1459">
        <v>2110</v>
      </c>
      <c r="K1459" s="18" t="s">
        <v>2023</v>
      </c>
      <c r="L1459" s="21">
        <v>8.5</v>
      </c>
    </row>
    <row r="1460" spans="1:12" x14ac:dyDescent="0.25">
      <c r="A1460" t="str">
        <f t="shared" si="88"/>
        <v>2026-WE-WE -91-588-2300</v>
      </c>
      <c r="B1460" t="str">
        <f t="shared" si="89"/>
        <v>2026</v>
      </c>
      <c r="C1460" s="18" t="s">
        <v>878</v>
      </c>
      <c r="D1460" t="s">
        <v>2021</v>
      </c>
      <c r="E1460" t="s">
        <v>2036</v>
      </c>
      <c r="F1460">
        <v>91</v>
      </c>
      <c r="G1460">
        <f t="shared" si="90"/>
        <v>58</v>
      </c>
      <c r="H1460">
        <f t="shared" si="91"/>
        <v>230</v>
      </c>
      <c r="I1460">
        <v>588</v>
      </c>
      <c r="J1460">
        <v>2300</v>
      </c>
      <c r="K1460" s="18" t="s">
        <v>1416</v>
      </c>
      <c r="L1460" s="21">
        <v>6.3</v>
      </c>
    </row>
    <row r="1461" spans="1:12" x14ac:dyDescent="0.25">
      <c r="A1461" t="str">
        <f t="shared" si="88"/>
        <v>2026-WE-WE -99-630-2299</v>
      </c>
      <c r="B1461" t="str">
        <f t="shared" si="89"/>
        <v>2026</v>
      </c>
      <c r="C1461" s="18" t="s">
        <v>878</v>
      </c>
      <c r="D1461" t="s">
        <v>2021</v>
      </c>
      <c r="E1461" t="s">
        <v>2037</v>
      </c>
      <c r="F1461">
        <v>99</v>
      </c>
      <c r="G1461">
        <f t="shared" si="90"/>
        <v>63</v>
      </c>
      <c r="H1461">
        <f t="shared" si="91"/>
        <v>229</v>
      </c>
      <c r="I1461">
        <v>630</v>
      </c>
      <c r="J1461">
        <v>2299</v>
      </c>
      <c r="K1461" s="18" t="s">
        <v>1416</v>
      </c>
      <c r="L1461" s="21">
        <v>6.5</v>
      </c>
    </row>
    <row r="1462" spans="1:12" x14ac:dyDescent="0.25">
      <c r="A1462" t="str">
        <f t="shared" si="88"/>
        <v>2026-WE-WE -112-675-2290</v>
      </c>
      <c r="B1462" t="str">
        <f t="shared" si="89"/>
        <v>2026</v>
      </c>
      <c r="C1462" s="18" t="s">
        <v>878</v>
      </c>
      <c r="D1462" t="s">
        <v>2021</v>
      </c>
      <c r="E1462" t="s">
        <v>2038</v>
      </c>
      <c r="F1462">
        <v>112</v>
      </c>
      <c r="G1462">
        <f t="shared" si="90"/>
        <v>67</v>
      </c>
      <c r="H1462">
        <f t="shared" si="91"/>
        <v>229</v>
      </c>
      <c r="I1462">
        <v>675</v>
      </c>
      <c r="J1462">
        <v>2290</v>
      </c>
      <c r="K1462" s="18" t="s">
        <v>1416</v>
      </c>
      <c r="L1462" s="21">
        <v>7</v>
      </c>
    </row>
    <row r="1463" spans="1:12" x14ac:dyDescent="0.25">
      <c r="A1463" t="str">
        <f t="shared" si="88"/>
        <v>2026-WE-WE -120-730-2289</v>
      </c>
      <c r="B1463" t="str">
        <f t="shared" si="89"/>
        <v>2026</v>
      </c>
      <c r="C1463" s="18" t="s">
        <v>878</v>
      </c>
      <c r="D1463" t="s">
        <v>2021</v>
      </c>
      <c r="E1463" t="s">
        <v>2039</v>
      </c>
      <c r="F1463">
        <v>120</v>
      </c>
      <c r="G1463">
        <f t="shared" si="90"/>
        <v>73</v>
      </c>
      <c r="H1463">
        <f t="shared" si="91"/>
        <v>228</v>
      </c>
      <c r="I1463">
        <v>730</v>
      </c>
      <c r="J1463">
        <v>2289</v>
      </c>
      <c r="K1463" s="18" t="s">
        <v>1416</v>
      </c>
      <c r="L1463" s="21">
        <v>7.2</v>
      </c>
    </row>
    <row r="1464" spans="1:12" x14ac:dyDescent="0.25">
      <c r="A1464" t="str">
        <f t="shared" si="88"/>
        <v>2026-WE-WE -135-781-2288</v>
      </c>
      <c r="B1464" t="str">
        <f t="shared" si="89"/>
        <v>2026</v>
      </c>
      <c r="C1464" s="18" t="s">
        <v>878</v>
      </c>
      <c r="D1464" t="s">
        <v>2021</v>
      </c>
      <c r="E1464" t="s">
        <v>2034</v>
      </c>
      <c r="F1464">
        <v>135</v>
      </c>
      <c r="G1464">
        <f t="shared" si="90"/>
        <v>78</v>
      </c>
      <c r="H1464">
        <f t="shared" si="91"/>
        <v>228</v>
      </c>
      <c r="I1464">
        <v>781</v>
      </c>
      <c r="J1464">
        <v>2288</v>
      </c>
      <c r="K1464" s="18" t="s">
        <v>1416</v>
      </c>
      <c r="L1464" s="21">
        <v>7.6</v>
      </c>
    </row>
    <row r="1465" spans="1:12" x14ac:dyDescent="0.25">
      <c r="A1465" t="str">
        <f t="shared" si="88"/>
        <v>2026-WE-WE -141-839-2289</v>
      </c>
      <c r="B1465" t="str">
        <f t="shared" si="89"/>
        <v>2026</v>
      </c>
      <c r="C1465" s="18" t="s">
        <v>878</v>
      </c>
      <c r="D1465" t="s">
        <v>2021</v>
      </c>
      <c r="E1465" t="s">
        <v>2040</v>
      </c>
      <c r="F1465">
        <v>141</v>
      </c>
      <c r="G1465">
        <f t="shared" si="90"/>
        <v>83</v>
      </c>
      <c r="H1465">
        <f t="shared" si="91"/>
        <v>228</v>
      </c>
      <c r="I1465">
        <v>839</v>
      </c>
      <c r="J1465">
        <v>2289</v>
      </c>
      <c r="K1465" s="18" t="s">
        <v>1416</v>
      </c>
      <c r="L1465" s="21">
        <v>8.3000000000000007</v>
      </c>
    </row>
    <row r="1466" spans="1:12" x14ac:dyDescent="0.25">
      <c r="A1466" t="str">
        <f t="shared" si="88"/>
        <v>2026-WE-WE -165-850-2109</v>
      </c>
      <c r="B1466" t="str">
        <f t="shared" si="89"/>
        <v>2026</v>
      </c>
      <c r="C1466" s="18" t="s">
        <v>878</v>
      </c>
      <c r="D1466" t="s">
        <v>2021</v>
      </c>
      <c r="E1466" t="s">
        <v>2029</v>
      </c>
      <c r="F1466">
        <v>165</v>
      </c>
      <c r="G1466">
        <f t="shared" si="90"/>
        <v>85</v>
      </c>
      <c r="H1466">
        <f t="shared" si="91"/>
        <v>210</v>
      </c>
      <c r="I1466">
        <v>850</v>
      </c>
      <c r="J1466">
        <v>2109</v>
      </c>
      <c r="K1466" s="18" t="s">
        <v>1416</v>
      </c>
      <c r="L1466" s="21">
        <v>9.9</v>
      </c>
    </row>
    <row r="1467" spans="1:12" x14ac:dyDescent="0.25">
      <c r="K1467"/>
    </row>
    <row r="1468" spans="1:12" x14ac:dyDescent="0.25">
      <c r="K1468"/>
    </row>
    <row r="1469" spans="1:12" x14ac:dyDescent="0.25">
      <c r="K1469"/>
    </row>
    <row r="1470" spans="1:12" x14ac:dyDescent="0.25">
      <c r="K1470"/>
    </row>
    <row r="1471" spans="1:12" x14ac:dyDescent="0.25">
      <c r="K1471"/>
    </row>
    <row r="1472" spans="1:12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</sheetData>
  <autoFilter ref="A1:J1466" xr:uid="{F327D491-38A9-4555-8897-62693548B5FD}">
    <sortState xmlns:xlrd2="http://schemas.microsoft.com/office/spreadsheetml/2017/richdata2" ref="A2:J1466">
      <sortCondition ref="A1:A1413"/>
    </sortState>
  </autoFilter>
  <pageMargins left="0.7" right="0.7" top="0.75" bottom="0.75" header="0.3" footer="0.3"/>
  <ignoredErrors>
    <ignoredError sqref="C348:C428 C304:C30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Q34"/>
  <sheetViews>
    <sheetView zoomScale="70" zoomScaleNormal="70" workbookViewId="0">
      <selection activeCell="I54" sqref="I54"/>
    </sheetView>
  </sheetViews>
  <sheetFormatPr defaultRowHeight="15" outlineLevelCol="1" x14ac:dyDescent="0.25"/>
  <cols>
    <col min="2" max="2" width="16.42578125" customWidth="1"/>
    <col min="3" max="3" width="26.28515625" bestFit="1" customWidth="1"/>
    <col min="4" max="4" width="12" bestFit="1" customWidth="1"/>
    <col min="5" max="5" width="10.28515625" bestFit="1" customWidth="1"/>
    <col min="6" max="6" width="7.28515625" bestFit="1" customWidth="1"/>
    <col min="7" max="7" width="19" bestFit="1" customWidth="1"/>
    <col min="8" max="8" width="38.28515625" bestFit="1" customWidth="1"/>
    <col min="9" max="9" width="18.42578125" bestFit="1" customWidth="1"/>
    <col min="10" max="10" width="6.28515625" customWidth="1"/>
    <col min="11" max="11" width="33" customWidth="1"/>
    <col min="12" max="14" width="9.140625" customWidth="1" outlineLevel="1"/>
    <col min="15" max="15" width="4.7109375" customWidth="1"/>
    <col min="17" max="17" width="24.140625" style="9" bestFit="1" customWidth="1"/>
  </cols>
  <sheetData>
    <row r="1" spans="1:17" ht="43.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7</v>
      </c>
      <c r="H1" s="1" t="s">
        <v>8</v>
      </c>
      <c r="I1" s="2" t="s">
        <v>456</v>
      </c>
      <c r="K1" s="6" t="s">
        <v>354</v>
      </c>
      <c r="L1" s="6" t="s">
        <v>357</v>
      </c>
      <c r="M1" s="7" t="s">
        <v>356</v>
      </c>
      <c r="N1" s="7" t="s">
        <v>355</v>
      </c>
      <c r="P1" s="7" t="s">
        <v>358</v>
      </c>
      <c r="Q1" s="8" t="s">
        <v>359</v>
      </c>
    </row>
    <row r="2" spans="1:17" x14ac:dyDescent="0.25">
      <c r="A2">
        <v>10455</v>
      </c>
      <c r="B2" t="s">
        <v>1</v>
      </c>
      <c r="C2" t="s">
        <v>12</v>
      </c>
      <c r="D2" t="s">
        <v>13</v>
      </c>
      <c r="E2" t="s">
        <v>14</v>
      </c>
      <c r="F2">
        <v>2018</v>
      </c>
      <c r="G2" t="s">
        <v>11</v>
      </c>
      <c r="H2" t="s">
        <v>15</v>
      </c>
      <c r="I2" s="3"/>
      <c r="K2" s="10" t="str">
        <f>_xlfn.CONCAT(F2,"-",LEFT(B2,2),"-",LEFT(C2,3),"-",L2,"-",M2,"-",N2)</f>
        <v>2018-Fa-Bla-100-62-231</v>
      </c>
      <c r="L2">
        <f>_xlfn.REGEXREPLACE(E2,"[^0-9.]","")+0</f>
        <v>100</v>
      </c>
      <c r="M2" t="str">
        <f>LEFT(D2, FIND(" x", D2)-1)</f>
        <v>62</v>
      </c>
      <c r="N2" t="str">
        <f>MID(D2, FIND("x ", D2)+2, FIND(" cm", D2)-FIND("x ", D2)-2)</f>
        <v>231</v>
      </c>
      <c r="P2" s="11">
        <f>_xlfn.IFNA(_xlfn.XMATCH(K2,'Boards Catalogue'!A:A),-1)</f>
        <v>147</v>
      </c>
      <c r="Q2" s="12" t="str">
        <f>_xlfn.XLOOKUP(K2,'Boards Catalogue'!A:A,'Boards Catalogue'!A:A,,-1)</f>
        <v>2018-Fa-Bla-100-62-231</v>
      </c>
    </row>
    <row r="3" spans="1:17" x14ac:dyDescent="0.25">
      <c r="A3">
        <v>13502</v>
      </c>
      <c r="B3" t="s">
        <v>1</v>
      </c>
      <c r="C3" t="s">
        <v>450</v>
      </c>
      <c r="D3" t="s">
        <v>9</v>
      </c>
      <c r="E3" t="s">
        <v>10</v>
      </c>
      <c r="F3">
        <v>2018</v>
      </c>
      <c r="G3" t="s">
        <v>11</v>
      </c>
      <c r="H3" t="s">
        <v>451</v>
      </c>
      <c r="I3" s="3"/>
      <c r="K3" s="10" t="str">
        <f t="shared" ref="K3:K34" si="0">_xlfn.CONCAT(F3,"-",LEFT(B3,2),"-",LEFT(C3,3),"-",L3,"-",M3,"-",N3)</f>
        <v>2018-Fa-Bla-115-66-232</v>
      </c>
      <c r="L3">
        <f t="shared" ref="L3:L34" si="1">_xlfn.REGEXREPLACE(E3,"[^0-9.]","")+0</f>
        <v>115</v>
      </c>
      <c r="M3" t="str">
        <f t="shared" ref="M3:M34" si="2">LEFT(D3, FIND(" x", D3)-1)</f>
        <v>66</v>
      </c>
      <c r="N3" t="str">
        <f t="shared" ref="N3:N34" si="3">MID(D3, FIND("x ", D3)+2, FIND(" cm", D3)-FIND("x ", D3)-2)</f>
        <v>232</v>
      </c>
      <c r="P3" s="11">
        <f>_xlfn.IFNA(_xlfn.XMATCH(K3,'Boards Catalogue'!A:A),-1)</f>
        <v>149</v>
      </c>
      <c r="Q3" s="12" t="str">
        <f>_xlfn.XLOOKUP(K3,'Boards Catalogue'!A:A,'Boards Catalogue'!A:A,,-1)</f>
        <v>2018-Fa-Bla-115-66-232</v>
      </c>
    </row>
    <row r="4" spans="1:17" x14ac:dyDescent="0.25">
      <c r="A4">
        <v>9740</v>
      </c>
      <c r="B4" t="s">
        <v>1</v>
      </c>
      <c r="C4" t="s">
        <v>16</v>
      </c>
      <c r="D4" t="s">
        <v>9</v>
      </c>
      <c r="E4" t="s">
        <v>10</v>
      </c>
      <c r="F4">
        <v>2018</v>
      </c>
      <c r="G4" t="s">
        <v>11</v>
      </c>
      <c r="H4" t="s">
        <v>17</v>
      </c>
      <c r="I4" s="3"/>
      <c r="K4" s="10" t="str">
        <f t="shared" si="0"/>
        <v>2018-Fa-Bla-115-66-232</v>
      </c>
      <c r="L4">
        <f t="shared" si="1"/>
        <v>115</v>
      </c>
      <c r="M4" t="str">
        <f t="shared" si="2"/>
        <v>66</v>
      </c>
      <c r="N4" t="str">
        <f t="shared" si="3"/>
        <v>232</v>
      </c>
      <c r="P4" s="11">
        <f>_xlfn.IFNA(_xlfn.XMATCH(K4,'Boards Catalogue'!A:A),-1)</f>
        <v>149</v>
      </c>
      <c r="Q4" s="12" t="str">
        <f>_xlfn.XLOOKUP(K4,'Boards Catalogue'!A:A,'Boards Catalogue'!A:A,,-1)</f>
        <v>2018-Fa-Bla-115-66-232</v>
      </c>
    </row>
    <row r="5" spans="1:17" x14ac:dyDescent="0.25">
      <c r="A5">
        <v>10388</v>
      </c>
      <c r="B5" t="s">
        <v>1</v>
      </c>
      <c r="C5" t="s">
        <v>18</v>
      </c>
      <c r="D5" t="s">
        <v>19</v>
      </c>
      <c r="E5" t="s">
        <v>20</v>
      </c>
      <c r="F5">
        <v>2018</v>
      </c>
      <c r="G5" t="s">
        <v>21</v>
      </c>
      <c r="H5" t="s">
        <v>22</v>
      </c>
      <c r="I5" s="3"/>
      <c r="K5" s="10" t="str">
        <f t="shared" si="0"/>
        <v>2018-Fa-Bla-130-70-233</v>
      </c>
      <c r="L5">
        <f t="shared" si="1"/>
        <v>130</v>
      </c>
      <c r="M5" t="str">
        <f t="shared" si="2"/>
        <v>70</v>
      </c>
      <c r="N5" t="str">
        <f t="shared" si="3"/>
        <v>233</v>
      </c>
      <c r="P5" s="11">
        <f>_xlfn.IFNA(_xlfn.XMATCH(K5,'Boards Catalogue'!A:A),-1)</f>
        <v>151</v>
      </c>
      <c r="Q5" s="12" t="str">
        <f>_xlfn.XLOOKUP(K5,'Boards Catalogue'!A:A,'Boards Catalogue'!A:A,,-1)</f>
        <v>2018-Fa-Bla-130-70-233</v>
      </c>
    </row>
    <row r="6" spans="1:17" x14ac:dyDescent="0.25">
      <c r="A6">
        <v>12165</v>
      </c>
      <c r="B6" t="s">
        <v>1</v>
      </c>
      <c r="C6" t="s">
        <v>18</v>
      </c>
      <c r="D6" t="s">
        <v>19</v>
      </c>
      <c r="E6" t="s">
        <v>20</v>
      </c>
      <c r="F6">
        <v>2018</v>
      </c>
      <c r="G6" t="s">
        <v>21</v>
      </c>
      <c r="H6" t="s">
        <v>22</v>
      </c>
      <c r="I6" s="3"/>
      <c r="K6" s="10" t="str">
        <f t="shared" si="0"/>
        <v>2018-Fa-Bla-130-70-233</v>
      </c>
      <c r="L6">
        <f t="shared" si="1"/>
        <v>130</v>
      </c>
      <c r="M6" t="str">
        <f t="shared" si="2"/>
        <v>70</v>
      </c>
      <c r="N6" t="str">
        <f t="shared" si="3"/>
        <v>233</v>
      </c>
      <c r="P6" s="11">
        <f>_xlfn.IFNA(_xlfn.XMATCH(K6,'Boards Catalogue'!A:A),-1)</f>
        <v>151</v>
      </c>
      <c r="Q6" s="12" t="str">
        <f>_xlfn.XLOOKUP(K6,'Boards Catalogue'!A:A,'Boards Catalogue'!A:A,,-1)</f>
        <v>2018-Fa-Bla-130-70-233</v>
      </c>
    </row>
    <row r="7" spans="1:17" x14ac:dyDescent="0.25">
      <c r="A7">
        <v>11191</v>
      </c>
      <c r="B7" t="s">
        <v>1</v>
      </c>
      <c r="C7" t="s">
        <v>23</v>
      </c>
      <c r="D7" t="s">
        <v>24</v>
      </c>
      <c r="E7" t="s">
        <v>25</v>
      </c>
      <c r="F7">
        <v>2018</v>
      </c>
      <c r="G7" t="s">
        <v>11</v>
      </c>
      <c r="H7" t="s">
        <v>26</v>
      </c>
      <c r="I7" s="3"/>
      <c r="K7" s="10" t="str">
        <f t="shared" si="0"/>
        <v>2018-Fa-Bla-145-77-235</v>
      </c>
      <c r="L7">
        <f t="shared" si="1"/>
        <v>145</v>
      </c>
      <c r="M7" t="str">
        <f t="shared" si="2"/>
        <v>77</v>
      </c>
      <c r="N7" t="str">
        <f t="shared" si="3"/>
        <v>235</v>
      </c>
      <c r="P7" s="11">
        <f>_xlfn.IFNA(_xlfn.XMATCH(K7,'Boards Catalogue'!A:A),-1)</f>
        <v>153</v>
      </c>
      <c r="Q7" s="12" t="str">
        <f>_xlfn.XLOOKUP(K7,'Boards Catalogue'!A:A,'Boards Catalogue'!A:A,,-1)</f>
        <v>2018-Fa-Bla-145-77-235</v>
      </c>
    </row>
    <row r="8" spans="1:17" x14ac:dyDescent="0.25">
      <c r="A8">
        <v>10662</v>
      </c>
      <c r="B8" t="s">
        <v>1</v>
      </c>
      <c r="C8" t="s">
        <v>27</v>
      </c>
      <c r="D8" t="s">
        <v>28</v>
      </c>
      <c r="E8" t="s">
        <v>29</v>
      </c>
      <c r="F8">
        <v>2018</v>
      </c>
      <c r="G8" t="s">
        <v>11</v>
      </c>
      <c r="H8" t="s">
        <v>30</v>
      </c>
      <c r="I8" s="3"/>
      <c r="K8" s="10" t="str">
        <f t="shared" si="0"/>
        <v>2018-Fa-Fal-114-71-230</v>
      </c>
      <c r="L8">
        <f t="shared" si="1"/>
        <v>114</v>
      </c>
      <c r="M8" t="str">
        <f t="shared" si="2"/>
        <v>71</v>
      </c>
      <c r="N8" t="str">
        <f t="shared" si="3"/>
        <v>230</v>
      </c>
      <c r="P8" s="11">
        <f>_xlfn.IFNA(_xlfn.XMATCH(K8,'Boards Catalogue'!A:A),-1)</f>
        <v>155</v>
      </c>
      <c r="Q8" s="12" t="str">
        <f>_xlfn.XLOOKUP(K8,'Boards Catalogue'!A:A,'Boards Catalogue'!A:A,,-1)</f>
        <v>2018-Fa-Fal-114-71-230</v>
      </c>
    </row>
    <row r="9" spans="1:17" x14ac:dyDescent="0.25">
      <c r="A9">
        <v>10391</v>
      </c>
      <c r="B9" t="s">
        <v>1</v>
      </c>
      <c r="C9" t="s">
        <v>31</v>
      </c>
      <c r="D9" t="s">
        <v>32</v>
      </c>
      <c r="E9" t="s">
        <v>33</v>
      </c>
      <c r="F9">
        <v>2018</v>
      </c>
      <c r="G9" t="s">
        <v>21</v>
      </c>
      <c r="H9" t="s">
        <v>34</v>
      </c>
      <c r="I9" s="3"/>
      <c r="K9" s="10" t="str">
        <f t="shared" si="0"/>
        <v>2018-Fa-Fal-129-80-230</v>
      </c>
      <c r="L9">
        <f t="shared" si="1"/>
        <v>129</v>
      </c>
      <c r="M9" t="str">
        <f t="shared" si="2"/>
        <v>80</v>
      </c>
      <c r="N9" t="str">
        <f t="shared" si="3"/>
        <v>230</v>
      </c>
      <c r="P9" s="11">
        <f>_xlfn.IFNA(_xlfn.XMATCH(K9,'Boards Catalogue'!A:A),-1)</f>
        <v>157</v>
      </c>
      <c r="Q9" s="12" t="str">
        <f>_xlfn.XLOOKUP(K9,'Boards Catalogue'!A:A,'Boards Catalogue'!A:A,,-1)</f>
        <v>2018-Fa-Fal-129-80-230</v>
      </c>
    </row>
    <row r="10" spans="1:17" x14ac:dyDescent="0.25">
      <c r="A10">
        <v>10650</v>
      </c>
      <c r="B10" t="s">
        <v>1</v>
      </c>
      <c r="C10" t="s">
        <v>35</v>
      </c>
      <c r="D10" t="s">
        <v>36</v>
      </c>
      <c r="E10" t="s">
        <v>37</v>
      </c>
      <c r="F10">
        <v>2018</v>
      </c>
      <c r="G10" t="s">
        <v>38</v>
      </c>
      <c r="H10" t="s">
        <v>39</v>
      </c>
      <c r="I10" s="3"/>
      <c r="K10" s="10" t="str">
        <f t="shared" si="0"/>
        <v>2018-Fa-Fal-89-60-235</v>
      </c>
      <c r="L10">
        <f t="shared" si="1"/>
        <v>89</v>
      </c>
      <c r="M10" t="str">
        <f t="shared" si="2"/>
        <v>60</v>
      </c>
      <c r="N10" t="str">
        <f t="shared" si="3"/>
        <v>235</v>
      </c>
      <c r="P10" s="11">
        <f>_xlfn.IFNA(_xlfn.XMATCH(K10,'Boards Catalogue'!A:A),-1)</f>
        <v>164</v>
      </c>
      <c r="Q10" s="12" t="str">
        <f>_xlfn.XLOOKUP(K10,'Boards Catalogue'!A:A,'Boards Catalogue'!A:A,,-1)</f>
        <v>2018-Fa-Fal-89-60-235</v>
      </c>
    </row>
    <row r="11" spans="1:17" x14ac:dyDescent="0.25">
      <c r="A11">
        <v>10419</v>
      </c>
      <c r="B11" t="s">
        <v>1</v>
      </c>
      <c r="C11" t="s">
        <v>40</v>
      </c>
      <c r="D11" t="s">
        <v>41</v>
      </c>
      <c r="E11" t="s">
        <v>42</v>
      </c>
      <c r="F11">
        <v>2018</v>
      </c>
      <c r="G11" t="s">
        <v>43</v>
      </c>
      <c r="H11" t="s">
        <v>44</v>
      </c>
      <c r="I11" s="3"/>
      <c r="K11" s="10" t="str">
        <f t="shared" si="0"/>
        <v>2018-Fa-Fal-159-90-230</v>
      </c>
      <c r="L11">
        <f t="shared" si="1"/>
        <v>159</v>
      </c>
      <c r="M11" t="str">
        <f t="shared" si="2"/>
        <v>90</v>
      </c>
      <c r="N11" t="str">
        <f t="shared" si="3"/>
        <v>230</v>
      </c>
      <c r="P11" s="11">
        <f>_xlfn.IFNA(_xlfn.XMATCH(K11,'Boards Catalogue'!A:A),-1)</f>
        <v>159</v>
      </c>
      <c r="Q11" s="12" t="str">
        <f>_xlfn.XLOOKUP(K11,'Boards Catalogue'!A:A,'Boards Catalogue'!A:A,,-1)</f>
        <v>2018-Fa-Fal-159-90-230</v>
      </c>
    </row>
    <row r="12" spans="1:17" x14ac:dyDescent="0.25">
      <c r="A12">
        <v>10683</v>
      </c>
      <c r="B12" t="s">
        <v>1</v>
      </c>
      <c r="C12" t="s">
        <v>45</v>
      </c>
      <c r="D12" t="s">
        <v>46</v>
      </c>
      <c r="E12" t="s">
        <v>47</v>
      </c>
      <c r="F12">
        <v>2018</v>
      </c>
      <c r="G12" t="s">
        <v>48</v>
      </c>
      <c r="H12" t="s">
        <v>49</v>
      </c>
      <c r="I12" s="3"/>
      <c r="K12" s="10" t="str">
        <f t="shared" si="0"/>
        <v>2018-Fa-Fal-55-40-228</v>
      </c>
      <c r="L12">
        <f t="shared" si="1"/>
        <v>55</v>
      </c>
      <c r="M12" t="str">
        <f t="shared" si="2"/>
        <v>40</v>
      </c>
      <c r="N12" t="str">
        <f t="shared" si="3"/>
        <v>228</v>
      </c>
      <c r="P12" s="11">
        <f>_xlfn.IFNA(_xlfn.XMATCH(K12,'Boards Catalogue'!A:A),-1)</f>
        <v>-1</v>
      </c>
      <c r="Q12" s="12" t="str">
        <f>_xlfn.XLOOKUP(K12,'Boards Catalogue'!A:A,'Boards Catalogue'!A:A,,-1)</f>
        <v>2018-Fa-Fal-54-44-230</v>
      </c>
    </row>
    <row r="13" spans="1:17" x14ac:dyDescent="0.25">
      <c r="A13">
        <v>10290</v>
      </c>
      <c r="B13" t="s">
        <v>1</v>
      </c>
      <c r="C13" t="s">
        <v>50</v>
      </c>
      <c r="D13" t="s">
        <v>51</v>
      </c>
      <c r="E13" t="s">
        <v>52</v>
      </c>
      <c r="F13">
        <v>2018</v>
      </c>
      <c r="G13" t="s">
        <v>38</v>
      </c>
      <c r="H13" t="s">
        <v>53</v>
      </c>
      <c r="I13" s="3"/>
      <c r="K13" s="10" t="str">
        <f t="shared" si="0"/>
        <v>2018-Fa-Fal-70-525-235</v>
      </c>
      <c r="L13">
        <f t="shared" si="1"/>
        <v>70</v>
      </c>
      <c r="M13" t="str">
        <f t="shared" si="2"/>
        <v>525</v>
      </c>
      <c r="N13" t="str">
        <f t="shared" si="3"/>
        <v>235</v>
      </c>
      <c r="P13" s="11">
        <f>_xlfn.IFNA(_xlfn.XMATCH(K13,'Boards Catalogue'!A:A),-1)</f>
        <v>-1</v>
      </c>
      <c r="Q13" s="12" t="str">
        <f>_xlfn.XLOOKUP(K13,'Boards Catalogue'!A:A,'Boards Catalogue'!A:A,,-1)</f>
        <v>2018-Fa-Fal-70-52-230</v>
      </c>
    </row>
    <row r="14" spans="1:17" x14ac:dyDescent="0.25">
      <c r="A14">
        <v>10147</v>
      </c>
      <c r="B14" t="s">
        <v>1</v>
      </c>
      <c r="C14" t="s">
        <v>54</v>
      </c>
      <c r="D14" t="s">
        <v>55</v>
      </c>
      <c r="E14" t="s">
        <v>52</v>
      </c>
      <c r="F14">
        <v>2018</v>
      </c>
      <c r="G14" t="s">
        <v>48</v>
      </c>
      <c r="H14" t="s">
        <v>56</v>
      </c>
      <c r="I14" s="3"/>
      <c r="K14" s="10" t="str">
        <f t="shared" si="0"/>
        <v>2018-Fa-FAL-70-52-230</v>
      </c>
      <c r="L14">
        <f t="shared" si="1"/>
        <v>70</v>
      </c>
      <c r="M14" t="str">
        <f t="shared" si="2"/>
        <v>52</v>
      </c>
      <c r="N14" t="str">
        <f t="shared" si="3"/>
        <v>230</v>
      </c>
      <c r="P14" s="11">
        <f>_xlfn.IFNA(_xlfn.XMATCH(K14,'Boards Catalogue'!A:A),-1)</f>
        <v>162</v>
      </c>
      <c r="Q14" s="12" t="str">
        <f>_xlfn.XLOOKUP(K14,'Boards Catalogue'!A:A,'Boards Catalogue'!A:A,,-1)</f>
        <v>2018-Fa-Fal-70-52-230</v>
      </c>
    </row>
    <row r="15" spans="1:17" x14ac:dyDescent="0.25">
      <c r="A15">
        <v>10859</v>
      </c>
      <c r="B15" t="s">
        <v>1</v>
      </c>
      <c r="C15" t="s">
        <v>57</v>
      </c>
      <c r="D15" t="s">
        <v>58</v>
      </c>
      <c r="E15" t="s">
        <v>59</v>
      </c>
      <c r="F15">
        <v>2018</v>
      </c>
      <c r="G15" t="s">
        <v>11</v>
      </c>
      <c r="H15" t="s">
        <v>60</v>
      </c>
      <c r="I15" s="3"/>
      <c r="K15" s="10" t="str">
        <f t="shared" si="0"/>
        <v>2018-Fa-Fal-121-75-230</v>
      </c>
      <c r="L15">
        <f t="shared" si="1"/>
        <v>121</v>
      </c>
      <c r="M15" t="str">
        <f t="shared" si="2"/>
        <v>75</v>
      </c>
      <c r="N15" t="str">
        <f t="shared" si="3"/>
        <v>230</v>
      </c>
      <c r="P15" s="11">
        <f>_xlfn.IFNA(_xlfn.XMATCH(K15,'Boards Catalogue'!A:A),-1)</f>
        <v>156</v>
      </c>
      <c r="Q15" s="12" t="str">
        <f>_xlfn.XLOOKUP(K15,'Boards Catalogue'!A:A,'Boards Catalogue'!A:A,,-1)</f>
        <v>2018-Fa-Fal-121-75-230</v>
      </c>
    </row>
    <row r="16" spans="1:17" x14ac:dyDescent="0.25">
      <c r="A16">
        <v>10899</v>
      </c>
      <c r="B16" t="s">
        <v>1</v>
      </c>
      <c r="C16" t="s">
        <v>61</v>
      </c>
      <c r="D16" t="s">
        <v>62</v>
      </c>
      <c r="E16" t="s">
        <v>63</v>
      </c>
      <c r="F16">
        <v>2018</v>
      </c>
      <c r="G16" t="s">
        <v>21</v>
      </c>
      <c r="H16" t="s">
        <v>64</v>
      </c>
      <c r="I16" s="3"/>
      <c r="K16" s="10" t="str">
        <f t="shared" si="0"/>
        <v>2018-Fa-Fal-136-85-225</v>
      </c>
      <c r="L16">
        <f t="shared" si="1"/>
        <v>136</v>
      </c>
      <c r="M16" t="str">
        <f t="shared" si="2"/>
        <v>85</v>
      </c>
      <c r="N16" t="str">
        <f t="shared" si="3"/>
        <v>225</v>
      </c>
      <c r="P16" s="11">
        <f>_xlfn.IFNA(_xlfn.XMATCH(K16,'Boards Catalogue'!A:A),-1)</f>
        <v>158</v>
      </c>
      <c r="Q16" s="12" t="str">
        <f>_xlfn.XLOOKUP(K16,'Boards Catalogue'!A:A,'Boards Catalogue'!A:A,,-1)</f>
        <v>2018-Fa-Fal-136-85-225</v>
      </c>
    </row>
    <row r="17" spans="1:17" x14ac:dyDescent="0.25">
      <c r="A17">
        <v>12250</v>
      </c>
      <c r="B17" t="s">
        <v>1</v>
      </c>
      <c r="C17" t="s">
        <v>65</v>
      </c>
      <c r="D17" t="s">
        <v>69</v>
      </c>
      <c r="E17" t="s">
        <v>66</v>
      </c>
      <c r="F17">
        <v>2018</v>
      </c>
      <c r="G17" t="s">
        <v>11</v>
      </c>
      <c r="H17" t="s">
        <v>67</v>
      </c>
      <c r="I17" s="3"/>
      <c r="K17" s="10" t="str">
        <f t="shared" si="0"/>
        <v>2018-Fa-Fal-98-63-235</v>
      </c>
      <c r="L17">
        <f t="shared" si="1"/>
        <v>98</v>
      </c>
      <c r="M17" t="str">
        <f t="shared" si="2"/>
        <v>63</v>
      </c>
      <c r="N17" t="str">
        <f t="shared" si="3"/>
        <v>235</v>
      </c>
      <c r="P17" s="11">
        <f>_xlfn.IFNA(_xlfn.XMATCH(K17,'Boards Catalogue'!A:A),-1)</f>
        <v>165</v>
      </c>
      <c r="Q17" s="12" t="str">
        <f>_xlfn.XLOOKUP(K17,'Boards Catalogue'!A:A,'Boards Catalogue'!A:A,,-1)</f>
        <v>2018-Fa-Fal-98-63-235</v>
      </c>
    </row>
    <row r="18" spans="1:17" x14ac:dyDescent="0.25">
      <c r="A18">
        <v>10668</v>
      </c>
      <c r="B18" t="s">
        <v>1</v>
      </c>
      <c r="C18" t="s">
        <v>68</v>
      </c>
      <c r="D18" t="s">
        <v>69</v>
      </c>
      <c r="E18" t="s">
        <v>70</v>
      </c>
      <c r="F18">
        <v>2018</v>
      </c>
      <c r="G18" t="s">
        <v>38</v>
      </c>
      <c r="H18" t="s">
        <v>71</v>
      </c>
      <c r="I18" s="3"/>
      <c r="K18" s="10" t="str">
        <f t="shared" si="0"/>
        <v>2018-Fa-Fal-99-63-235</v>
      </c>
      <c r="L18">
        <f t="shared" si="1"/>
        <v>99</v>
      </c>
      <c r="M18" t="str">
        <f t="shared" si="2"/>
        <v>63</v>
      </c>
      <c r="N18" t="str">
        <f t="shared" si="3"/>
        <v>235</v>
      </c>
      <c r="P18" s="11">
        <f>_xlfn.IFNA(_xlfn.XMATCH(K18,'Boards Catalogue'!A:A),-1)</f>
        <v>-1</v>
      </c>
      <c r="Q18" s="12" t="str">
        <f>_xlfn.XLOOKUP(K18,'Boards Catalogue'!A:A,'Boards Catalogue'!A:A,,-1)</f>
        <v>2018-Fa-Fal-98-63-235</v>
      </c>
    </row>
    <row r="19" spans="1:17" x14ac:dyDescent="0.25">
      <c r="A19">
        <v>10688</v>
      </c>
      <c r="B19" t="s">
        <v>1</v>
      </c>
      <c r="C19" t="s">
        <v>72</v>
      </c>
      <c r="D19" t="s">
        <v>73</v>
      </c>
      <c r="E19" t="s">
        <v>74</v>
      </c>
      <c r="F19">
        <v>2018</v>
      </c>
      <c r="G19" t="s">
        <v>75</v>
      </c>
      <c r="H19" t="s">
        <v>76</v>
      </c>
      <c r="I19" s="3"/>
      <c r="K19" s="10" t="str">
        <f t="shared" si="0"/>
        <v>2018-Fa-Fre-116-66-235</v>
      </c>
      <c r="L19">
        <f t="shared" si="1"/>
        <v>116</v>
      </c>
      <c r="M19" t="str">
        <f t="shared" si="2"/>
        <v>66</v>
      </c>
      <c r="N19" t="str">
        <f t="shared" si="3"/>
        <v>235</v>
      </c>
      <c r="P19" s="11">
        <f>_xlfn.IFNA(_xlfn.XMATCH(K19,'Boards Catalogue'!A:A),-1)</f>
        <v>-1</v>
      </c>
      <c r="Q19" s="12" t="str">
        <f>_xlfn.XLOOKUP(K19,'Boards Catalogue'!A:A,'Boards Catalogue'!A:A,,-1)</f>
        <v>2018-Fa-Fre-115-65-231</v>
      </c>
    </row>
    <row r="20" spans="1:17" x14ac:dyDescent="0.25">
      <c r="A20">
        <v>10689</v>
      </c>
      <c r="B20" t="s">
        <v>1</v>
      </c>
      <c r="C20" t="s">
        <v>72</v>
      </c>
      <c r="D20" t="s">
        <v>69</v>
      </c>
      <c r="E20" t="s">
        <v>77</v>
      </c>
      <c r="F20">
        <v>2018</v>
      </c>
      <c r="G20" t="s">
        <v>75</v>
      </c>
      <c r="H20" t="s">
        <v>76</v>
      </c>
      <c r="I20" s="3"/>
      <c r="K20" s="10" t="str">
        <f t="shared" si="0"/>
        <v>2018-Fa-Fre-106-63-235</v>
      </c>
      <c r="L20">
        <f t="shared" si="1"/>
        <v>106</v>
      </c>
      <c r="M20" t="str">
        <f t="shared" si="2"/>
        <v>63</v>
      </c>
      <c r="N20" t="str">
        <f t="shared" si="3"/>
        <v>235</v>
      </c>
      <c r="P20" s="11">
        <f>_xlfn.IFNA(_xlfn.XMATCH(K20,'Boards Catalogue'!A:A),-1)</f>
        <v>-1</v>
      </c>
      <c r="Q20" s="12" t="str">
        <f>_xlfn.XLOOKUP(K20,'Boards Catalogue'!A:A,'Boards Catalogue'!A:A,,-1)</f>
        <v>2018-Fa-Fre-105-62-229</v>
      </c>
    </row>
    <row r="21" spans="1:17" x14ac:dyDescent="0.25">
      <c r="A21">
        <v>11893</v>
      </c>
      <c r="B21" t="s">
        <v>1</v>
      </c>
      <c r="C21" t="s">
        <v>171</v>
      </c>
      <c r="D21" t="s">
        <v>78</v>
      </c>
      <c r="E21" t="s">
        <v>79</v>
      </c>
      <c r="F21">
        <v>2018</v>
      </c>
      <c r="G21" t="s">
        <v>75</v>
      </c>
      <c r="H21" t="s">
        <v>452</v>
      </c>
      <c r="I21" s="3"/>
      <c r="K21" s="10" t="str">
        <f t="shared" si="0"/>
        <v>2018-Fa-Fre-85-58-225</v>
      </c>
      <c r="L21">
        <f t="shared" si="1"/>
        <v>85</v>
      </c>
      <c r="M21" t="str">
        <f t="shared" si="2"/>
        <v>58</v>
      </c>
      <c r="N21" t="str">
        <f t="shared" si="3"/>
        <v>225</v>
      </c>
      <c r="P21" s="11">
        <f>_xlfn.IFNA(_xlfn.XMATCH(K21,'Boards Catalogue'!A:A),-1)</f>
        <v>-1</v>
      </c>
      <c r="Q21" s="12" t="str">
        <f>_xlfn.XLOOKUP(K21,'Boards Catalogue'!A:A,'Boards Catalogue'!A:A,,-1)</f>
        <v>2018-Fa-Fre-85-57-225</v>
      </c>
    </row>
    <row r="22" spans="1:17" x14ac:dyDescent="0.25">
      <c r="A22">
        <v>11871</v>
      </c>
      <c r="B22" t="s">
        <v>1</v>
      </c>
      <c r="C22" t="s">
        <v>80</v>
      </c>
      <c r="D22" t="s">
        <v>81</v>
      </c>
      <c r="E22" t="s">
        <v>82</v>
      </c>
      <c r="F22">
        <v>2018</v>
      </c>
      <c r="G22" t="s">
        <v>75</v>
      </c>
      <c r="H22" t="s">
        <v>83</v>
      </c>
      <c r="I22" s="3"/>
      <c r="K22" s="10" t="str">
        <f t="shared" si="0"/>
        <v>2018-Fa-Gec-133-78-246</v>
      </c>
      <c r="L22">
        <f t="shared" si="1"/>
        <v>133</v>
      </c>
      <c r="M22" t="str">
        <f t="shared" si="2"/>
        <v>78</v>
      </c>
      <c r="N22" t="str">
        <f t="shared" si="3"/>
        <v>246</v>
      </c>
      <c r="P22" s="11">
        <f>_xlfn.IFNA(_xlfn.XMATCH(K22,'Boards Catalogue'!A:A),-1)</f>
        <v>185</v>
      </c>
      <c r="Q22" s="12" t="str">
        <f>_xlfn.XLOOKUP(K22,'Boards Catalogue'!A:A,'Boards Catalogue'!A:A,,-1)</f>
        <v>2018-Fa-Gec-133-78-246</v>
      </c>
    </row>
    <row r="23" spans="1:17" x14ac:dyDescent="0.25">
      <c r="A23">
        <v>11049</v>
      </c>
      <c r="B23" t="s">
        <v>1</v>
      </c>
      <c r="C23" t="s">
        <v>444</v>
      </c>
      <c r="D23" t="s">
        <v>84</v>
      </c>
      <c r="E23" t="s">
        <v>85</v>
      </c>
      <c r="F23">
        <v>2018</v>
      </c>
      <c r="H23" t="s">
        <v>453</v>
      </c>
      <c r="I23" s="3"/>
      <c r="K23" s="10" t="str">
        <f t="shared" si="0"/>
        <v>2018-Fa-Gec-120-76-242</v>
      </c>
      <c r="L23">
        <f t="shared" si="1"/>
        <v>120</v>
      </c>
      <c r="M23" t="str">
        <f t="shared" si="2"/>
        <v>76</v>
      </c>
      <c r="N23" t="str">
        <f t="shared" si="3"/>
        <v>242</v>
      </c>
      <c r="P23" s="11">
        <f>_xlfn.IFNA(_xlfn.XMATCH(K23,'Boards Catalogue'!A:A),-1)</f>
        <v>182</v>
      </c>
      <c r="Q23" s="12" t="str">
        <f>_xlfn.XLOOKUP(K23,'Boards Catalogue'!A:A,'Boards Catalogue'!A:A,,-1)</f>
        <v>2018-Fa-Gec-120-76-242</v>
      </c>
    </row>
    <row r="24" spans="1:17" x14ac:dyDescent="0.25">
      <c r="A24">
        <v>10203</v>
      </c>
      <c r="B24" t="s">
        <v>1</v>
      </c>
      <c r="C24" t="s">
        <v>86</v>
      </c>
      <c r="D24" t="s">
        <v>87</v>
      </c>
      <c r="E24" t="s">
        <v>85</v>
      </c>
      <c r="F24">
        <v>2018</v>
      </c>
      <c r="G24" t="s">
        <v>21</v>
      </c>
      <c r="H24" t="s">
        <v>88</v>
      </c>
      <c r="I24" s="3"/>
      <c r="K24" s="10" t="str">
        <f t="shared" si="0"/>
        <v>2018-Fa-Gec-120-76-245</v>
      </c>
      <c r="L24">
        <f t="shared" si="1"/>
        <v>120</v>
      </c>
      <c r="M24" t="str">
        <f t="shared" si="2"/>
        <v>76</v>
      </c>
      <c r="N24" t="str">
        <f t="shared" si="3"/>
        <v>245</v>
      </c>
      <c r="P24" s="11">
        <f>_xlfn.IFNA(_xlfn.XMATCH(K24,'Boards Catalogue'!A:A),-1)</f>
        <v>-1</v>
      </c>
      <c r="Q24" s="12" t="str">
        <f>_xlfn.XLOOKUP(K24,'Boards Catalogue'!A:A,'Boards Catalogue'!A:A,,-1)</f>
        <v>2018-Fa-Gec-120-76-242</v>
      </c>
    </row>
    <row r="25" spans="1:17" x14ac:dyDescent="0.25">
      <c r="A25">
        <v>10545</v>
      </c>
      <c r="B25" t="s">
        <v>1</v>
      </c>
      <c r="C25" t="s">
        <v>454</v>
      </c>
      <c r="D25" t="s">
        <v>89</v>
      </c>
      <c r="E25" t="s">
        <v>90</v>
      </c>
      <c r="F25">
        <v>2018</v>
      </c>
      <c r="G25" t="s">
        <v>75</v>
      </c>
      <c r="H25" t="s">
        <v>455</v>
      </c>
      <c r="I25" s="3"/>
      <c r="K25" s="10" t="str">
        <f t="shared" si="0"/>
        <v>2018-Fa-Gri-82-58-224</v>
      </c>
      <c r="L25">
        <f t="shared" si="1"/>
        <v>82</v>
      </c>
      <c r="M25" t="str">
        <f t="shared" si="2"/>
        <v>58</v>
      </c>
      <c r="N25" t="str">
        <f t="shared" si="3"/>
        <v>224</v>
      </c>
      <c r="P25" s="11">
        <f>_xlfn.IFNA(_xlfn.XMATCH(K25,'Boards Catalogue'!A:A),-1)</f>
        <v>196</v>
      </c>
      <c r="Q25" s="12" t="str">
        <f>_xlfn.XLOOKUP(K25,'Boards Catalogue'!A:A,'Boards Catalogue'!A:A,,-1)</f>
        <v>2018-Fa-Gri-82-58-224</v>
      </c>
    </row>
    <row r="26" spans="1:17" x14ac:dyDescent="0.25">
      <c r="A26">
        <v>11188</v>
      </c>
      <c r="B26" t="s">
        <v>1</v>
      </c>
      <c r="C26" t="s">
        <v>91</v>
      </c>
      <c r="D26" t="s">
        <v>92</v>
      </c>
      <c r="E26" t="s">
        <v>70</v>
      </c>
      <c r="F26">
        <v>2018</v>
      </c>
      <c r="G26" t="s">
        <v>43</v>
      </c>
      <c r="H26" t="s">
        <v>93</v>
      </c>
      <c r="I26" s="3"/>
      <c r="K26" s="10" t="str">
        <f t="shared" si="0"/>
        <v>2018-Fa-Gri-99-62-229</v>
      </c>
      <c r="L26">
        <f t="shared" si="1"/>
        <v>99</v>
      </c>
      <c r="M26" t="str">
        <f t="shared" si="2"/>
        <v>62</v>
      </c>
      <c r="N26" t="str">
        <f t="shared" si="3"/>
        <v>229</v>
      </c>
      <c r="P26" s="11">
        <f>_xlfn.IFNA(_xlfn.XMATCH(K26,'Boards Catalogue'!A:A),-1)</f>
        <v>198</v>
      </c>
      <c r="Q26" s="12" t="str">
        <f>_xlfn.XLOOKUP(K26,'Boards Catalogue'!A:A,'Boards Catalogue'!A:A,,-1)</f>
        <v>2018-Fa-Gri-99-62-229</v>
      </c>
    </row>
    <row r="27" spans="1:17" x14ac:dyDescent="0.25">
      <c r="A27">
        <v>10563</v>
      </c>
      <c r="B27" t="s">
        <v>1</v>
      </c>
      <c r="C27" t="s">
        <v>94</v>
      </c>
      <c r="D27" t="s">
        <v>95</v>
      </c>
      <c r="E27" t="s">
        <v>96</v>
      </c>
      <c r="F27">
        <v>2018</v>
      </c>
      <c r="G27" t="s">
        <v>21</v>
      </c>
      <c r="H27" t="s">
        <v>97</v>
      </c>
      <c r="I27" s="3"/>
      <c r="K27" s="10" t="str">
        <f t="shared" si="0"/>
        <v>2018-Fa-Jag-125-75-235</v>
      </c>
      <c r="L27">
        <f t="shared" si="1"/>
        <v>125</v>
      </c>
      <c r="M27" t="str">
        <f t="shared" si="2"/>
        <v>75</v>
      </c>
      <c r="N27" t="str">
        <f t="shared" si="3"/>
        <v>235</v>
      </c>
      <c r="P27" s="11">
        <f>_xlfn.IFNA(_xlfn.XMATCH(K27,'Boards Catalogue'!A:A),-1)</f>
        <v>-1</v>
      </c>
      <c r="Q27" s="12" t="str">
        <f>_xlfn.XLOOKUP(K27,'Boards Catalogue'!A:A,'Boards Catalogue'!A:A,,-1)</f>
        <v>2018-Fa-Gri-99-62-229</v>
      </c>
    </row>
    <row r="28" spans="1:17" x14ac:dyDescent="0.25">
      <c r="A28">
        <v>10291</v>
      </c>
      <c r="B28" t="s">
        <v>1</v>
      </c>
      <c r="C28" t="s">
        <v>98</v>
      </c>
      <c r="D28" t="s">
        <v>99</v>
      </c>
      <c r="E28" t="s">
        <v>100</v>
      </c>
      <c r="F28">
        <v>2018</v>
      </c>
      <c r="G28" t="s">
        <v>48</v>
      </c>
      <c r="H28" t="s">
        <v>101</v>
      </c>
      <c r="I28" s="3"/>
      <c r="K28" s="10" t="str">
        <f t="shared" si="0"/>
        <v>2018-Fa-Lüd-50-44-230</v>
      </c>
      <c r="L28">
        <f t="shared" si="1"/>
        <v>50</v>
      </c>
      <c r="M28" t="str">
        <f t="shared" si="2"/>
        <v>44</v>
      </c>
      <c r="N28" t="str">
        <f t="shared" si="3"/>
        <v>230</v>
      </c>
      <c r="P28" s="11">
        <f>_xlfn.IFNA(_xlfn.XMATCH(K28,'Boards Catalogue'!A:A),-1)</f>
        <v>-1</v>
      </c>
      <c r="Q28" s="12" t="str">
        <f>_xlfn.XLOOKUP(K28,'Boards Catalogue'!A:A,'Boards Catalogue'!A:A,,-1)</f>
        <v>2018-Fa-Gri-99-62-229</v>
      </c>
    </row>
    <row r="29" spans="1:17" x14ac:dyDescent="0.25">
      <c r="A29">
        <v>740</v>
      </c>
      <c r="B29" t="s">
        <v>1</v>
      </c>
      <c r="C29" t="s">
        <v>102</v>
      </c>
      <c r="D29" t="s">
        <v>103</v>
      </c>
      <c r="E29" t="s">
        <v>96</v>
      </c>
      <c r="F29">
        <v>2018</v>
      </c>
      <c r="G29" t="s">
        <v>43</v>
      </c>
      <c r="H29" t="s">
        <v>104</v>
      </c>
      <c r="I29" s="3"/>
      <c r="K29" s="10" t="str">
        <f t="shared" si="0"/>
        <v>2018-Fa-Sha-125-70-295</v>
      </c>
      <c r="L29">
        <f t="shared" si="1"/>
        <v>125</v>
      </c>
      <c r="M29" t="str">
        <f t="shared" si="2"/>
        <v>70</v>
      </c>
      <c r="N29" t="str">
        <f t="shared" si="3"/>
        <v>295</v>
      </c>
      <c r="P29" s="11">
        <f>_xlfn.IFNA(_xlfn.XMATCH(K29,'Boards Catalogue'!A:A),-1)</f>
        <v>-1</v>
      </c>
      <c r="Q29" s="12" t="str">
        <f>_xlfn.XLOOKUP(K29,'Boards Catalogue'!A:A,'Boards Catalogue'!A:A,,-1)</f>
        <v>2018-Fa-Rip-187-73-274</v>
      </c>
    </row>
    <row r="30" spans="1:17" x14ac:dyDescent="0.25">
      <c r="A30">
        <v>10240</v>
      </c>
      <c r="B30" t="s">
        <v>1</v>
      </c>
      <c r="C30" t="s">
        <v>105</v>
      </c>
      <c r="D30" t="s">
        <v>106</v>
      </c>
      <c r="E30" t="s">
        <v>63</v>
      </c>
      <c r="F30">
        <v>2018</v>
      </c>
      <c r="G30" t="s">
        <v>21</v>
      </c>
      <c r="H30" t="s">
        <v>107</v>
      </c>
      <c r="I30" s="3"/>
      <c r="K30" s="10" t="str">
        <f t="shared" si="0"/>
        <v>2018-Fa-Sla-136-85-235</v>
      </c>
      <c r="L30">
        <f t="shared" si="1"/>
        <v>136</v>
      </c>
      <c r="M30" t="str">
        <f t="shared" si="2"/>
        <v>85</v>
      </c>
      <c r="N30" t="str">
        <f t="shared" si="3"/>
        <v>235</v>
      </c>
      <c r="P30" s="11">
        <f>_xlfn.IFNA(_xlfn.XMATCH(K30,'Boards Catalogue'!A:A),-1)</f>
        <v>-1</v>
      </c>
      <c r="Q30" s="12" t="str">
        <f>_xlfn.XLOOKUP(K30,'Boards Catalogue'!A:A,'Boards Catalogue'!A:A,,-1)</f>
        <v>2018-Fa-Ska-93-62-225</v>
      </c>
    </row>
    <row r="31" spans="1:17" x14ac:dyDescent="0.25">
      <c r="A31">
        <v>10237</v>
      </c>
      <c r="B31" t="s">
        <v>1</v>
      </c>
      <c r="C31" t="s">
        <v>108</v>
      </c>
      <c r="D31" t="s">
        <v>69</v>
      </c>
      <c r="E31" t="s">
        <v>66</v>
      </c>
      <c r="F31">
        <v>2018</v>
      </c>
      <c r="G31" t="s">
        <v>11</v>
      </c>
      <c r="H31" t="s">
        <v>109</v>
      </c>
      <c r="I31" s="3"/>
      <c r="K31" s="10" t="str">
        <f t="shared" si="0"/>
        <v>2018-Fa-Sla-98-63-235</v>
      </c>
      <c r="L31">
        <f t="shared" si="1"/>
        <v>98</v>
      </c>
      <c r="M31" t="str">
        <f t="shared" si="2"/>
        <v>63</v>
      </c>
      <c r="N31" t="str">
        <f t="shared" si="3"/>
        <v>235</v>
      </c>
      <c r="P31" s="11">
        <f>_xlfn.IFNA(_xlfn.XMATCH(K31,'Boards Catalogue'!A:A),-1)</f>
        <v>-1</v>
      </c>
      <c r="Q31" s="12" t="str">
        <f>_xlfn.XLOOKUP(K31,'Boards Catalogue'!A:A,'Boards Catalogue'!A:A,,-1)</f>
        <v>2018-Fa-Ska-93-62-225</v>
      </c>
    </row>
    <row r="32" spans="1:17" x14ac:dyDescent="0.25">
      <c r="A32">
        <v>10219</v>
      </c>
      <c r="B32" t="s">
        <v>1</v>
      </c>
      <c r="C32" t="s">
        <v>110</v>
      </c>
      <c r="D32" t="s">
        <v>111</v>
      </c>
      <c r="E32" t="s">
        <v>70</v>
      </c>
      <c r="F32">
        <v>2018</v>
      </c>
      <c r="G32" t="s">
        <v>75</v>
      </c>
      <c r="H32" t="s">
        <v>112</v>
      </c>
      <c r="I32" s="3"/>
      <c r="K32" s="10" t="str">
        <f t="shared" si="0"/>
        <v>2018-Fa-Stu-99-60-218</v>
      </c>
      <c r="L32">
        <f t="shared" si="1"/>
        <v>99</v>
      </c>
      <c r="M32" t="str">
        <f t="shared" si="2"/>
        <v>60</v>
      </c>
      <c r="N32" t="str">
        <f t="shared" si="3"/>
        <v>218</v>
      </c>
      <c r="P32" s="11">
        <f>_xlfn.IFNA(_xlfn.XMATCH(K32,'Boards Catalogue'!A:A),-1)</f>
        <v>208</v>
      </c>
      <c r="Q32" s="12" t="str">
        <f>_xlfn.XLOOKUP(K32,'Boards Catalogue'!A:A,'Boards Catalogue'!A:A,,-1)</f>
        <v>2018-Fa-Stu-99-60-218</v>
      </c>
    </row>
    <row r="33" spans="1:17" x14ac:dyDescent="0.25">
      <c r="A33">
        <v>12906</v>
      </c>
      <c r="B33" t="s">
        <v>1</v>
      </c>
      <c r="C33" t="s">
        <v>113</v>
      </c>
      <c r="D33" t="s">
        <v>114</v>
      </c>
      <c r="E33" t="s">
        <v>115</v>
      </c>
      <c r="F33">
        <v>2018</v>
      </c>
      <c r="G33" t="s">
        <v>43</v>
      </c>
      <c r="H33" t="s">
        <v>116</v>
      </c>
      <c r="I33" s="3"/>
      <c r="K33" s="10" t="str">
        <f t="shared" si="0"/>
        <v>2018-Fa-Vip-220-85-285</v>
      </c>
      <c r="L33">
        <f t="shared" si="1"/>
        <v>220</v>
      </c>
      <c r="M33" t="str">
        <f t="shared" si="2"/>
        <v>85</v>
      </c>
      <c r="N33" t="str">
        <f t="shared" si="3"/>
        <v>285</v>
      </c>
      <c r="P33" s="11">
        <f>_xlfn.IFNA(_xlfn.XMATCH(K33,'Boards Catalogue'!A:A),-1)</f>
        <v>212</v>
      </c>
      <c r="Q33" s="12" t="str">
        <f>_xlfn.XLOOKUP(K33,'Boards Catalogue'!A:A,'Boards Catalogue'!A:A,,-1)</f>
        <v>2018-Fa-Vip-220-85-285</v>
      </c>
    </row>
    <row r="34" spans="1:17" x14ac:dyDescent="0.25">
      <c r="A34">
        <v>13285</v>
      </c>
      <c r="B34" t="s">
        <v>1</v>
      </c>
      <c r="C34" t="s">
        <v>117</v>
      </c>
      <c r="D34" t="s">
        <v>118</v>
      </c>
      <c r="E34" t="s">
        <v>119</v>
      </c>
      <c r="F34">
        <v>2018</v>
      </c>
      <c r="G34" t="s">
        <v>75</v>
      </c>
      <c r="H34" t="s">
        <v>120</v>
      </c>
      <c r="I34" s="3"/>
      <c r="K34" s="10" t="str">
        <f t="shared" si="0"/>
        <v>2018-Fa-Wav-103-64-232</v>
      </c>
      <c r="L34">
        <f t="shared" si="1"/>
        <v>103</v>
      </c>
      <c r="M34" t="str">
        <f t="shared" si="2"/>
        <v>64</v>
      </c>
      <c r="N34" t="str">
        <f t="shared" si="3"/>
        <v>232</v>
      </c>
      <c r="P34" s="11">
        <f>_xlfn.IFNA(_xlfn.XMATCH(K34,'Boards Catalogue'!A:A),-1)</f>
        <v>-1</v>
      </c>
      <c r="Q34" s="12" t="str">
        <f>_xlfn.XLOOKUP(K34,'Boards Catalogue'!A:A,'Boards Catalogue'!A:A,,-1)</f>
        <v>2018-Fa-Vip-355-85-335</v>
      </c>
    </row>
  </sheetData>
  <autoFilter ref="A1:I1" xr:uid="{00000000-0001-0000-0000-000000000000}"/>
  <conditionalFormatting sqref="A1:A1048576 P1:Q1048576">
    <cfRule type="expression" dxfId="0" priority="1">
      <formula>$P1=-1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C00B-19AA-4837-A920-18B82D7DD7FE}">
  <sheetPr>
    <tabColor theme="4"/>
  </sheetPr>
  <dimension ref="A1:K77"/>
  <sheetViews>
    <sheetView zoomScale="85" zoomScaleNormal="85" workbookViewId="0">
      <selection activeCell="J49" sqref="J49"/>
    </sheetView>
  </sheetViews>
  <sheetFormatPr defaultColWidth="72.28515625" defaultRowHeight="15" x14ac:dyDescent="0.25"/>
  <cols>
    <col min="1" max="1" width="12.42578125" bestFit="1" customWidth="1"/>
    <col min="2" max="2" width="8.5703125" bestFit="1" customWidth="1"/>
    <col min="3" max="3" width="41.28515625" bestFit="1" customWidth="1"/>
    <col min="4" max="4" width="14.85546875" bestFit="1" customWidth="1"/>
    <col min="5" max="5" width="9.140625" bestFit="1" customWidth="1"/>
    <col min="6" max="6" width="14.42578125" bestFit="1" customWidth="1"/>
    <col min="7" max="7" width="18.28515625" bestFit="1" customWidth="1"/>
    <col min="8" max="8" width="39.5703125" customWidth="1"/>
    <col min="9" max="9" width="37.28515625" bestFit="1" customWidth="1"/>
    <col min="10" max="10" width="20.7109375" bestFit="1" customWidth="1"/>
    <col min="11" max="11" width="9.5703125" customWidth="1"/>
    <col min="12" max="12" width="15.7109375" bestFit="1" customWidth="1"/>
  </cols>
  <sheetData>
    <row r="1" spans="1:11" ht="90" customHeight="1" x14ac:dyDescent="0.25"/>
    <row r="2" spans="1:11" x14ac:dyDescent="0.25">
      <c r="A2" s="4" t="s">
        <v>279</v>
      </c>
      <c r="B2" s="4" t="s">
        <v>3</v>
      </c>
      <c r="C2" s="4" t="s">
        <v>121</v>
      </c>
      <c r="D2" s="4" t="s">
        <v>122</v>
      </c>
      <c r="E2" s="4" t="s">
        <v>123</v>
      </c>
      <c r="F2" s="4" t="s">
        <v>124</v>
      </c>
      <c r="G2" s="4" t="s">
        <v>125</v>
      </c>
      <c r="H2" s="4" t="s">
        <v>126</v>
      </c>
      <c r="I2" s="4" t="s">
        <v>127</v>
      </c>
      <c r="J2" s="4" t="s">
        <v>128</v>
      </c>
      <c r="K2" s="13" t="s">
        <v>2043</v>
      </c>
    </row>
    <row r="3" spans="1:11" x14ac:dyDescent="0.25">
      <c r="D3" s="5"/>
      <c r="E3" s="36"/>
      <c r="F3" s="36"/>
      <c r="H3" s="5"/>
      <c r="I3" s="5"/>
      <c r="J3" s="5"/>
    </row>
    <row r="4" spans="1:11" x14ac:dyDescent="0.25">
      <c r="E4" s="36"/>
      <c r="F4" s="36"/>
    </row>
    <row r="5" spans="1:11" x14ac:dyDescent="0.25">
      <c r="E5" s="36"/>
      <c r="F5" s="36"/>
    </row>
    <row r="6" spans="1:11" x14ac:dyDescent="0.25">
      <c r="E6" s="36"/>
      <c r="F6" s="36"/>
    </row>
    <row r="7" spans="1:11" x14ac:dyDescent="0.25">
      <c r="E7" s="36"/>
      <c r="F7" s="36"/>
    </row>
    <row r="8" spans="1:11" x14ac:dyDescent="0.25">
      <c r="E8" s="36"/>
      <c r="F8" s="36"/>
    </row>
    <row r="9" spans="1:11" x14ac:dyDescent="0.25">
      <c r="E9" s="36"/>
      <c r="F9" s="36"/>
    </row>
    <row r="10" spans="1:11" x14ac:dyDescent="0.25">
      <c r="E10" s="36"/>
      <c r="F10" s="36"/>
    </row>
    <row r="11" spans="1:11" x14ac:dyDescent="0.25">
      <c r="E11" s="36"/>
      <c r="F11" s="36"/>
    </row>
    <row r="12" spans="1:11" x14ac:dyDescent="0.25">
      <c r="E12" s="36"/>
      <c r="F12" s="36"/>
    </row>
    <row r="13" spans="1:11" x14ac:dyDescent="0.25">
      <c r="E13" s="36"/>
      <c r="F13" s="36"/>
    </row>
    <row r="14" spans="1:11" x14ac:dyDescent="0.25">
      <c r="E14" s="36"/>
      <c r="F14" s="36"/>
    </row>
    <row r="15" spans="1:11" x14ac:dyDescent="0.25">
      <c r="E15" s="36"/>
      <c r="F15" s="36"/>
    </row>
    <row r="16" spans="1:11" x14ac:dyDescent="0.25">
      <c r="E16" s="36"/>
      <c r="F16" s="36"/>
    </row>
    <row r="17" spans="5:6" x14ac:dyDescent="0.25">
      <c r="E17" s="36"/>
      <c r="F17" s="36"/>
    </row>
    <row r="18" spans="5:6" x14ac:dyDescent="0.25">
      <c r="E18" s="36"/>
      <c r="F18" s="36"/>
    </row>
    <row r="19" spans="5:6" x14ac:dyDescent="0.25">
      <c r="E19" s="36"/>
      <c r="F19" s="36"/>
    </row>
    <row r="20" spans="5:6" x14ac:dyDescent="0.25">
      <c r="E20" s="36"/>
      <c r="F20" s="36"/>
    </row>
    <row r="21" spans="5:6" x14ac:dyDescent="0.25">
      <c r="E21" s="36"/>
      <c r="F21" s="36"/>
    </row>
    <row r="22" spans="5:6" x14ac:dyDescent="0.25">
      <c r="E22" s="36"/>
      <c r="F22" s="36"/>
    </row>
    <row r="23" spans="5:6" x14ac:dyDescent="0.25">
      <c r="E23" s="36"/>
      <c r="F23" s="36"/>
    </row>
    <row r="24" spans="5:6" x14ac:dyDescent="0.25">
      <c r="F24" s="36"/>
    </row>
    <row r="25" spans="5:6" x14ac:dyDescent="0.25">
      <c r="E25" s="36"/>
      <c r="F25" s="36"/>
    </row>
    <row r="26" spans="5:6" x14ac:dyDescent="0.25">
      <c r="E26" s="36"/>
      <c r="F26" s="36"/>
    </row>
    <row r="27" spans="5:6" x14ac:dyDescent="0.25">
      <c r="E27" s="36"/>
      <c r="F27" s="36"/>
    </row>
    <row r="28" spans="5:6" x14ac:dyDescent="0.25">
      <c r="F28" s="36"/>
    </row>
    <row r="29" spans="5:6" x14ac:dyDescent="0.25">
      <c r="F29" s="36"/>
    </row>
    <row r="30" spans="5:6" x14ac:dyDescent="0.25">
      <c r="E30" s="36"/>
      <c r="F30" s="36"/>
    </row>
    <row r="31" spans="5:6" x14ac:dyDescent="0.25">
      <c r="E31" s="36"/>
      <c r="F31" s="36"/>
    </row>
    <row r="32" spans="5:6" x14ac:dyDescent="0.25">
      <c r="E32" s="36"/>
      <c r="F32" s="36"/>
    </row>
    <row r="33" spans="5:11" x14ac:dyDescent="0.25">
      <c r="E33" s="36"/>
      <c r="F33" s="36"/>
    </row>
    <row r="34" spans="5:11" x14ac:dyDescent="0.25">
      <c r="E34" s="36"/>
      <c r="F34" s="36"/>
    </row>
    <row r="35" spans="5:11" x14ac:dyDescent="0.25">
      <c r="E35" s="36"/>
      <c r="F35" s="36"/>
    </row>
    <row r="36" spans="5:11" x14ac:dyDescent="0.25">
      <c r="E36" s="36"/>
      <c r="F36" s="36"/>
    </row>
    <row r="37" spans="5:11" x14ac:dyDescent="0.25">
      <c r="E37" s="36"/>
      <c r="F37" s="36"/>
    </row>
    <row r="38" spans="5:11" x14ac:dyDescent="0.25">
      <c r="E38" s="36"/>
      <c r="F38" s="36"/>
      <c r="K38" s="36"/>
    </row>
    <row r="39" spans="5:11" x14ac:dyDescent="0.25">
      <c r="E39" s="36"/>
      <c r="F39" s="36"/>
      <c r="K39" s="36"/>
    </row>
    <row r="40" spans="5:11" x14ac:dyDescent="0.25">
      <c r="E40" s="36"/>
      <c r="F40" s="36"/>
      <c r="K40" s="36"/>
    </row>
    <row r="41" spans="5:11" x14ac:dyDescent="0.25">
      <c r="E41" s="36"/>
      <c r="F41" s="36"/>
      <c r="K41" s="36"/>
    </row>
    <row r="42" spans="5:11" x14ac:dyDescent="0.25">
      <c r="E42" s="36"/>
      <c r="F42" s="36"/>
      <c r="K42" s="36"/>
    </row>
    <row r="43" spans="5:11" x14ac:dyDescent="0.25">
      <c r="E43" s="36"/>
      <c r="F43" s="36"/>
      <c r="K43" s="36"/>
    </row>
    <row r="44" spans="5:11" x14ac:dyDescent="0.25">
      <c r="E44" s="36"/>
      <c r="F44" s="36"/>
      <c r="K44" s="36"/>
    </row>
    <row r="45" spans="5:11" x14ac:dyDescent="0.25">
      <c r="E45" s="36"/>
      <c r="F45" s="36"/>
      <c r="K45" s="36"/>
    </row>
    <row r="46" spans="5:11" x14ac:dyDescent="0.25">
      <c r="E46" s="36"/>
      <c r="F46" s="36"/>
      <c r="K46" s="36"/>
    </row>
    <row r="47" spans="5:11" x14ac:dyDescent="0.25">
      <c r="E47" s="36"/>
      <c r="F47" s="36"/>
      <c r="K47" s="36"/>
    </row>
    <row r="48" spans="5:11" x14ac:dyDescent="0.25">
      <c r="E48" s="36"/>
      <c r="F48" s="36"/>
      <c r="K48" s="36"/>
    </row>
    <row r="49" spans="5:11" x14ac:dyDescent="0.25">
      <c r="E49" s="36"/>
      <c r="F49" s="36"/>
      <c r="K49" s="36"/>
    </row>
    <row r="50" spans="5:11" x14ac:dyDescent="0.25">
      <c r="E50" s="36"/>
      <c r="F50" s="36"/>
      <c r="K50" s="36"/>
    </row>
    <row r="51" spans="5:11" x14ac:dyDescent="0.25">
      <c r="E51" s="36"/>
      <c r="F51" s="36"/>
      <c r="K51" s="36"/>
    </row>
    <row r="52" spans="5:11" x14ac:dyDescent="0.25">
      <c r="E52" s="36"/>
      <c r="F52" s="36"/>
      <c r="K52" s="36"/>
    </row>
    <row r="53" spans="5:11" x14ac:dyDescent="0.25">
      <c r="E53" s="36"/>
      <c r="F53" s="36"/>
      <c r="K53" s="36"/>
    </row>
    <row r="54" spans="5:11" x14ac:dyDescent="0.25">
      <c r="E54" s="36"/>
      <c r="F54" s="36"/>
      <c r="K54" s="36"/>
    </row>
    <row r="55" spans="5:11" x14ac:dyDescent="0.25">
      <c r="E55" s="36"/>
      <c r="F55" s="36"/>
      <c r="K55" s="36"/>
    </row>
    <row r="56" spans="5:11" x14ac:dyDescent="0.25">
      <c r="E56" s="36"/>
      <c r="F56" s="36"/>
      <c r="K56" s="36"/>
    </row>
    <row r="57" spans="5:11" x14ac:dyDescent="0.25">
      <c r="E57" s="36"/>
      <c r="F57" s="36"/>
      <c r="K57" s="36"/>
    </row>
    <row r="58" spans="5:11" x14ac:dyDescent="0.25">
      <c r="E58" s="36"/>
      <c r="F58" s="36"/>
      <c r="K58" s="36"/>
    </row>
    <row r="59" spans="5:11" x14ac:dyDescent="0.25">
      <c r="E59" s="36"/>
      <c r="F59" s="36"/>
      <c r="K59" s="36"/>
    </row>
    <row r="60" spans="5:11" x14ac:dyDescent="0.25">
      <c r="E60" s="36"/>
      <c r="F60" s="36"/>
      <c r="K60" s="36"/>
    </row>
    <row r="61" spans="5:11" x14ac:dyDescent="0.25">
      <c r="E61" s="36"/>
      <c r="F61" s="36"/>
      <c r="K61" s="36"/>
    </row>
    <row r="62" spans="5:11" x14ac:dyDescent="0.25">
      <c r="E62" s="36"/>
      <c r="F62" s="36"/>
      <c r="K62" s="36"/>
    </row>
    <row r="63" spans="5:11" x14ac:dyDescent="0.25">
      <c r="E63" s="36"/>
      <c r="F63" s="36"/>
      <c r="K63" s="36"/>
    </row>
    <row r="64" spans="5:11" x14ac:dyDescent="0.25">
      <c r="E64" s="36"/>
      <c r="F64" s="36"/>
      <c r="K64" s="36"/>
    </row>
    <row r="65" spans="5:11" x14ac:dyDescent="0.25">
      <c r="E65" s="36"/>
      <c r="F65" s="36"/>
      <c r="K65" s="36"/>
    </row>
    <row r="66" spans="5:11" x14ac:dyDescent="0.25">
      <c r="E66" s="36"/>
      <c r="F66" s="36"/>
      <c r="K66" s="36"/>
    </row>
    <row r="67" spans="5:11" x14ac:dyDescent="0.25">
      <c r="E67" s="36"/>
      <c r="F67" s="36"/>
      <c r="K67" s="36"/>
    </row>
    <row r="68" spans="5:11" x14ac:dyDescent="0.25">
      <c r="E68" s="36"/>
      <c r="F68" s="36"/>
    </row>
    <row r="69" spans="5:11" x14ac:dyDescent="0.25">
      <c r="E69" s="36"/>
      <c r="F69" s="36"/>
      <c r="K69" s="36"/>
    </row>
    <row r="70" spans="5:11" x14ac:dyDescent="0.25">
      <c r="E70" s="36"/>
      <c r="F70" s="36"/>
      <c r="K70" s="36"/>
    </row>
    <row r="71" spans="5:11" x14ac:dyDescent="0.25">
      <c r="E71" s="36"/>
      <c r="F71" s="36"/>
      <c r="K71" s="36"/>
    </row>
    <row r="72" spans="5:11" x14ac:dyDescent="0.25">
      <c r="E72" s="36"/>
      <c r="F72" s="36"/>
    </row>
    <row r="73" spans="5:11" x14ac:dyDescent="0.25">
      <c r="E73" s="36"/>
      <c r="F73" s="36"/>
      <c r="K73" s="36"/>
    </row>
    <row r="74" spans="5:11" x14ac:dyDescent="0.25">
      <c r="E74" s="36"/>
      <c r="F74" s="36"/>
    </row>
    <row r="75" spans="5:11" x14ac:dyDescent="0.25">
      <c r="E75" s="36"/>
      <c r="F75" s="36"/>
    </row>
    <row r="76" spans="5:11" x14ac:dyDescent="0.25">
      <c r="E76" s="36"/>
      <c r="F76" s="36"/>
    </row>
    <row r="77" spans="5:11" x14ac:dyDescent="0.25">
      <c r="E77" s="36"/>
      <c r="F77" s="36"/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6F94-05D8-41A4-AD8E-FCC365B39F79}">
  <sheetPr>
    <tabColor theme="4"/>
  </sheetPr>
  <dimension ref="A1:S84"/>
  <sheetViews>
    <sheetView zoomScale="70" zoomScaleNormal="70" workbookViewId="0">
      <selection activeCell="M2" sqref="M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20.7109375" bestFit="1" customWidth="1"/>
    <col min="4" max="4" width="11.5703125" bestFit="1" customWidth="1"/>
    <col min="6" max="6" width="11.140625" bestFit="1" customWidth="1"/>
    <col min="7" max="7" width="31.7109375" bestFit="1" customWidth="1"/>
    <col min="8" max="8" width="27.42578125" bestFit="1" customWidth="1"/>
    <col min="9" max="9" width="37.85546875" bestFit="1" customWidth="1"/>
    <col min="10" max="10" width="20.7109375" bestFit="1" customWidth="1"/>
    <col min="25" max="25" width="34.140625" bestFit="1" customWidth="1"/>
  </cols>
  <sheetData>
    <row r="1" spans="1:19" ht="109.5" customHeight="1" x14ac:dyDescent="0.25">
      <c r="A1" s="4" t="s">
        <v>279</v>
      </c>
      <c r="B1" s="4" t="s">
        <v>3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</row>
    <row r="2" spans="1:19" x14ac:dyDescent="0.25">
      <c r="A2">
        <v>2020</v>
      </c>
      <c r="B2" t="s">
        <v>1</v>
      </c>
      <c r="C2" t="s">
        <v>640</v>
      </c>
      <c r="D2">
        <v>60</v>
      </c>
      <c r="E2">
        <v>52</v>
      </c>
      <c r="F2">
        <v>218</v>
      </c>
      <c r="G2" t="s">
        <v>641</v>
      </c>
      <c r="H2" t="s">
        <v>141</v>
      </c>
      <c r="I2" t="s">
        <v>642</v>
      </c>
      <c r="J2" t="s">
        <v>643</v>
      </c>
      <c r="M2" s="15">
        <f>_xlfn.REGEXREPLACE(D2,"[^0-9.]","")+0</f>
        <v>60</v>
      </c>
      <c r="N2" s="15">
        <f t="shared" ref="N2" si="0">_xlfn.REGEXREPLACE(E2,"[^0-9.]","")+0</f>
        <v>52</v>
      </c>
      <c r="O2" s="15">
        <f t="shared" ref="O2" si="1">_xlfn.REGEXREPLACE(F2,"[^0-9.]","")+0</f>
        <v>218</v>
      </c>
      <c r="Q2">
        <v>60</v>
      </c>
      <c r="R2">
        <v>52</v>
      </c>
      <c r="S2">
        <v>218</v>
      </c>
    </row>
    <row r="3" spans="1:19" x14ac:dyDescent="0.25">
      <c r="A3">
        <v>2020</v>
      </c>
      <c r="B3" t="s">
        <v>1</v>
      </c>
      <c r="C3" t="s">
        <v>644</v>
      </c>
      <c r="D3">
        <v>68</v>
      </c>
      <c r="E3">
        <v>54</v>
      </c>
      <c r="F3">
        <v>220</v>
      </c>
      <c r="G3" t="s">
        <v>645</v>
      </c>
      <c r="H3" t="s">
        <v>141</v>
      </c>
      <c r="I3" t="s">
        <v>642</v>
      </c>
      <c r="J3" t="s">
        <v>143</v>
      </c>
      <c r="M3" s="15">
        <f t="shared" ref="M3:M66" si="2">_xlfn.REGEXREPLACE(D3,"[^0-9.]","")+0</f>
        <v>68</v>
      </c>
      <c r="N3" s="15">
        <f t="shared" ref="N3:N66" si="3">_xlfn.REGEXREPLACE(E3,"[^0-9.]","")+0</f>
        <v>54</v>
      </c>
      <c r="O3" s="15">
        <f t="shared" ref="O3:O66" si="4">_xlfn.REGEXREPLACE(F3,"[^0-9.]","")+0</f>
        <v>220</v>
      </c>
      <c r="Q3">
        <v>68</v>
      </c>
      <c r="R3">
        <v>54</v>
      </c>
      <c r="S3">
        <v>220</v>
      </c>
    </row>
    <row r="4" spans="1:19" x14ac:dyDescent="0.25">
      <c r="A4">
        <v>2020</v>
      </c>
      <c r="B4" t="s">
        <v>1</v>
      </c>
      <c r="C4" t="s">
        <v>644</v>
      </c>
      <c r="D4">
        <v>75</v>
      </c>
      <c r="E4">
        <v>56</v>
      </c>
      <c r="F4">
        <v>222</v>
      </c>
      <c r="G4" t="s">
        <v>645</v>
      </c>
      <c r="H4" t="s">
        <v>145</v>
      </c>
      <c r="I4" t="s">
        <v>153</v>
      </c>
      <c r="J4" t="s">
        <v>133</v>
      </c>
      <c r="M4" s="15">
        <f t="shared" si="2"/>
        <v>75</v>
      </c>
      <c r="N4" s="15">
        <f t="shared" si="3"/>
        <v>56</v>
      </c>
      <c r="O4" s="15">
        <f t="shared" si="4"/>
        <v>222</v>
      </c>
      <c r="Q4">
        <v>75</v>
      </c>
      <c r="R4">
        <v>56</v>
      </c>
      <c r="S4">
        <v>222</v>
      </c>
    </row>
    <row r="5" spans="1:19" x14ac:dyDescent="0.25">
      <c r="A5">
        <v>2020</v>
      </c>
      <c r="B5" t="s">
        <v>1</v>
      </c>
      <c r="C5" t="s">
        <v>644</v>
      </c>
      <c r="D5">
        <v>82</v>
      </c>
      <c r="E5">
        <v>58</v>
      </c>
      <c r="F5">
        <v>224</v>
      </c>
      <c r="G5" t="s">
        <v>645</v>
      </c>
      <c r="H5" t="s">
        <v>145</v>
      </c>
      <c r="I5" t="s">
        <v>146</v>
      </c>
      <c r="J5" t="s">
        <v>135</v>
      </c>
      <c r="M5" s="15">
        <f t="shared" si="2"/>
        <v>82</v>
      </c>
      <c r="N5" s="15">
        <f t="shared" si="3"/>
        <v>58</v>
      </c>
      <c r="O5" s="15">
        <f t="shared" si="4"/>
        <v>224</v>
      </c>
      <c r="Q5">
        <v>82</v>
      </c>
      <c r="R5">
        <v>58</v>
      </c>
      <c r="S5">
        <v>224</v>
      </c>
    </row>
    <row r="6" spans="1:19" x14ac:dyDescent="0.25">
      <c r="A6">
        <v>2020</v>
      </c>
      <c r="B6" t="s">
        <v>1</v>
      </c>
      <c r="C6" t="s">
        <v>644</v>
      </c>
      <c r="D6">
        <v>86</v>
      </c>
      <c r="E6">
        <v>58.5</v>
      </c>
      <c r="F6">
        <v>225</v>
      </c>
      <c r="G6" t="s">
        <v>645</v>
      </c>
      <c r="H6" t="s">
        <v>145</v>
      </c>
      <c r="I6" t="s">
        <v>153</v>
      </c>
      <c r="J6" t="s">
        <v>158</v>
      </c>
      <c r="M6" s="15">
        <f t="shared" si="2"/>
        <v>86</v>
      </c>
      <c r="N6" s="15">
        <f t="shared" si="3"/>
        <v>58.5</v>
      </c>
      <c r="O6" s="15">
        <f t="shared" si="4"/>
        <v>225</v>
      </c>
      <c r="Q6">
        <v>86</v>
      </c>
      <c r="R6">
        <v>58.5</v>
      </c>
      <c r="S6">
        <v>225</v>
      </c>
    </row>
    <row r="7" spans="1:19" x14ac:dyDescent="0.25">
      <c r="A7">
        <v>2020</v>
      </c>
      <c r="B7" t="s">
        <v>1</v>
      </c>
      <c r="C7" t="s">
        <v>644</v>
      </c>
      <c r="D7">
        <v>92</v>
      </c>
      <c r="E7">
        <v>59.5</v>
      </c>
      <c r="F7">
        <v>226</v>
      </c>
      <c r="G7" t="s">
        <v>645</v>
      </c>
      <c r="H7" t="s">
        <v>145</v>
      </c>
      <c r="I7" t="s">
        <v>149</v>
      </c>
      <c r="J7" t="s">
        <v>138</v>
      </c>
      <c r="M7" s="15">
        <f t="shared" si="2"/>
        <v>92</v>
      </c>
      <c r="N7" s="15">
        <f t="shared" si="3"/>
        <v>59.5</v>
      </c>
      <c r="O7" s="15">
        <f t="shared" si="4"/>
        <v>226</v>
      </c>
      <c r="Q7">
        <v>92</v>
      </c>
      <c r="R7">
        <v>59.5</v>
      </c>
      <c r="S7">
        <v>226</v>
      </c>
    </row>
    <row r="8" spans="1:19" x14ac:dyDescent="0.25">
      <c r="A8">
        <v>2020</v>
      </c>
      <c r="B8" t="s">
        <v>1</v>
      </c>
      <c r="C8" t="s">
        <v>644</v>
      </c>
      <c r="D8">
        <v>102</v>
      </c>
      <c r="E8">
        <v>61</v>
      </c>
      <c r="F8">
        <v>228</v>
      </c>
      <c r="G8" t="s">
        <v>645</v>
      </c>
      <c r="H8" t="s">
        <v>145</v>
      </c>
      <c r="I8" t="s">
        <v>160</v>
      </c>
      <c r="J8" t="s">
        <v>139</v>
      </c>
      <c r="M8" s="15">
        <f t="shared" si="2"/>
        <v>102</v>
      </c>
      <c r="N8" s="15">
        <f t="shared" si="3"/>
        <v>61</v>
      </c>
      <c r="O8" s="15">
        <f t="shared" si="4"/>
        <v>228</v>
      </c>
      <c r="Q8">
        <v>102</v>
      </c>
      <c r="R8">
        <v>61</v>
      </c>
      <c r="S8">
        <v>228</v>
      </c>
    </row>
    <row r="9" spans="1:19" x14ac:dyDescent="0.25">
      <c r="A9">
        <v>2020</v>
      </c>
      <c r="B9" t="s">
        <v>1</v>
      </c>
      <c r="C9" t="s">
        <v>647</v>
      </c>
      <c r="D9">
        <v>76</v>
      </c>
      <c r="E9">
        <v>55</v>
      </c>
      <c r="F9">
        <v>212</v>
      </c>
      <c r="G9" t="s">
        <v>645</v>
      </c>
      <c r="H9" t="s">
        <v>648</v>
      </c>
      <c r="I9" t="s">
        <v>646</v>
      </c>
      <c r="J9" t="s">
        <v>133</v>
      </c>
      <c r="M9" s="15">
        <f t="shared" si="2"/>
        <v>76</v>
      </c>
      <c r="N9" s="15">
        <f t="shared" si="3"/>
        <v>55</v>
      </c>
      <c r="O9" s="15">
        <f t="shared" si="4"/>
        <v>212</v>
      </c>
      <c r="Q9">
        <v>76</v>
      </c>
      <c r="R9">
        <v>55</v>
      </c>
      <c r="S9">
        <v>212</v>
      </c>
    </row>
    <row r="10" spans="1:19" x14ac:dyDescent="0.25">
      <c r="A10">
        <v>2020</v>
      </c>
      <c r="B10" t="s">
        <v>1</v>
      </c>
      <c r="C10" t="s">
        <v>647</v>
      </c>
      <c r="D10">
        <v>82</v>
      </c>
      <c r="E10">
        <v>56</v>
      </c>
      <c r="F10">
        <v>214</v>
      </c>
      <c r="G10" t="s">
        <v>645</v>
      </c>
      <c r="H10" t="s">
        <v>648</v>
      </c>
      <c r="I10" t="s">
        <v>646</v>
      </c>
      <c r="J10" t="s">
        <v>135</v>
      </c>
      <c r="M10" s="15">
        <f t="shared" si="2"/>
        <v>82</v>
      </c>
      <c r="N10" s="15">
        <f t="shared" si="3"/>
        <v>56</v>
      </c>
      <c r="O10" s="15">
        <f t="shared" si="4"/>
        <v>214</v>
      </c>
      <c r="Q10">
        <v>82</v>
      </c>
      <c r="R10">
        <v>56</v>
      </c>
      <c r="S10">
        <v>214</v>
      </c>
    </row>
    <row r="11" spans="1:19" x14ac:dyDescent="0.25">
      <c r="A11">
        <v>2020</v>
      </c>
      <c r="B11" t="s">
        <v>1</v>
      </c>
      <c r="C11" t="s">
        <v>647</v>
      </c>
      <c r="D11">
        <v>89</v>
      </c>
      <c r="E11">
        <v>57.5</v>
      </c>
      <c r="F11">
        <v>215</v>
      </c>
      <c r="G11" t="s">
        <v>645</v>
      </c>
      <c r="H11" t="s">
        <v>648</v>
      </c>
      <c r="I11" t="s">
        <v>649</v>
      </c>
      <c r="J11" t="s">
        <v>138</v>
      </c>
      <c r="M11" s="15">
        <f t="shared" si="2"/>
        <v>89</v>
      </c>
      <c r="N11" s="15">
        <f t="shared" si="3"/>
        <v>57.5</v>
      </c>
      <c r="O11" s="15">
        <f t="shared" si="4"/>
        <v>215</v>
      </c>
      <c r="Q11">
        <v>89</v>
      </c>
      <c r="R11">
        <v>57.5</v>
      </c>
      <c r="S11">
        <v>215</v>
      </c>
    </row>
    <row r="12" spans="1:19" x14ac:dyDescent="0.25">
      <c r="A12">
        <v>2020</v>
      </c>
      <c r="B12" t="s">
        <v>1</v>
      </c>
      <c r="C12" t="s">
        <v>647</v>
      </c>
      <c r="D12">
        <v>99</v>
      </c>
      <c r="E12">
        <v>60</v>
      </c>
      <c r="F12">
        <v>218</v>
      </c>
      <c r="G12" t="s">
        <v>645</v>
      </c>
      <c r="H12" t="s">
        <v>648</v>
      </c>
      <c r="I12" t="s">
        <v>649</v>
      </c>
      <c r="J12" t="s">
        <v>139</v>
      </c>
      <c r="M12" s="15">
        <f t="shared" si="2"/>
        <v>99</v>
      </c>
      <c r="N12" s="15">
        <f t="shared" si="3"/>
        <v>60</v>
      </c>
      <c r="O12" s="15">
        <f t="shared" si="4"/>
        <v>218</v>
      </c>
      <c r="Q12">
        <v>99</v>
      </c>
      <c r="R12">
        <v>60</v>
      </c>
      <c r="S12">
        <v>218</v>
      </c>
    </row>
    <row r="13" spans="1:19" x14ac:dyDescent="0.25">
      <c r="A13" s="14">
        <v>2020</v>
      </c>
      <c r="B13" s="14" t="s">
        <v>1</v>
      </c>
      <c r="C13" s="14" t="s">
        <v>651</v>
      </c>
      <c r="D13" s="14">
        <v>85</v>
      </c>
      <c r="E13" s="14">
        <v>58.5</v>
      </c>
      <c r="F13" s="14">
        <v>229</v>
      </c>
      <c r="G13" s="14" t="s">
        <v>650</v>
      </c>
      <c r="H13" s="14" t="s">
        <v>652</v>
      </c>
      <c r="I13" s="14" t="s">
        <v>160</v>
      </c>
      <c r="J13" s="14" t="s">
        <v>158</v>
      </c>
      <c r="K13" s="14"/>
      <c r="L13" s="14"/>
      <c r="M13" s="15">
        <f t="shared" si="2"/>
        <v>85</v>
      </c>
      <c r="N13" s="15">
        <f t="shared" si="3"/>
        <v>58.5</v>
      </c>
      <c r="O13" s="15">
        <f t="shared" si="4"/>
        <v>229</v>
      </c>
      <c r="Q13">
        <v>85</v>
      </c>
      <c r="R13">
        <v>58.5</v>
      </c>
      <c r="S13">
        <v>229</v>
      </c>
    </row>
    <row r="14" spans="1:19" x14ac:dyDescent="0.25">
      <c r="A14" s="14">
        <v>2020</v>
      </c>
      <c r="B14" s="14" t="s">
        <v>1</v>
      </c>
      <c r="C14" s="14" t="s">
        <v>651</v>
      </c>
      <c r="D14" s="14">
        <v>95</v>
      </c>
      <c r="E14" s="14">
        <v>61</v>
      </c>
      <c r="F14" s="14">
        <v>230</v>
      </c>
      <c r="G14" s="14" t="s">
        <v>650</v>
      </c>
      <c r="H14" s="14" t="s">
        <v>652</v>
      </c>
      <c r="I14" s="14" t="s">
        <v>162</v>
      </c>
      <c r="J14" s="14" t="s">
        <v>138</v>
      </c>
      <c r="K14" s="14"/>
      <c r="L14" s="14"/>
      <c r="M14" s="15">
        <f t="shared" si="2"/>
        <v>95</v>
      </c>
      <c r="N14" s="15">
        <f t="shared" si="3"/>
        <v>61</v>
      </c>
      <c r="O14" s="15">
        <f t="shared" si="4"/>
        <v>230</v>
      </c>
      <c r="Q14">
        <v>95</v>
      </c>
      <c r="R14">
        <v>61</v>
      </c>
      <c r="S14">
        <v>230</v>
      </c>
    </row>
    <row r="15" spans="1:19" x14ac:dyDescent="0.25">
      <c r="A15" s="14">
        <v>2020</v>
      </c>
      <c r="B15" s="14" t="s">
        <v>1</v>
      </c>
      <c r="C15" s="14" t="s">
        <v>651</v>
      </c>
      <c r="D15" s="14">
        <v>105</v>
      </c>
      <c r="E15" s="14">
        <v>63</v>
      </c>
      <c r="F15" s="14">
        <v>231</v>
      </c>
      <c r="G15" s="14" t="s">
        <v>653</v>
      </c>
      <c r="H15" s="14" t="s">
        <v>652</v>
      </c>
      <c r="I15" s="14" t="s">
        <v>654</v>
      </c>
      <c r="J15" s="14" t="s">
        <v>163</v>
      </c>
      <c r="K15" s="14"/>
      <c r="L15" s="14"/>
      <c r="M15" s="15">
        <f t="shared" si="2"/>
        <v>105</v>
      </c>
      <c r="N15" s="15">
        <f t="shared" si="3"/>
        <v>63</v>
      </c>
      <c r="O15" s="15">
        <f t="shared" si="4"/>
        <v>231</v>
      </c>
      <c r="Q15">
        <v>105</v>
      </c>
      <c r="R15">
        <v>63</v>
      </c>
      <c r="S15">
        <v>231</v>
      </c>
    </row>
    <row r="16" spans="1:19" x14ac:dyDescent="0.25">
      <c r="A16" s="14">
        <v>2020</v>
      </c>
      <c r="B16" s="14" t="s">
        <v>1</v>
      </c>
      <c r="C16" s="14" t="s">
        <v>651</v>
      </c>
      <c r="D16" s="14">
        <v>115</v>
      </c>
      <c r="E16" s="14">
        <v>65</v>
      </c>
      <c r="F16" s="14">
        <v>232</v>
      </c>
      <c r="G16" s="14" t="s">
        <v>153</v>
      </c>
      <c r="H16" s="14" t="s">
        <v>652</v>
      </c>
      <c r="I16" s="14" t="s">
        <v>655</v>
      </c>
      <c r="J16" s="14" t="s">
        <v>166</v>
      </c>
      <c r="K16" s="14"/>
      <c r="L16" s="14"/>
      <c r="M16" s="15">
        <f t="shared" si="2"/>
        <v>115</v>
      </c>
      <c r="N16" s="15">
        <f t="shared" si="3"/>
        <v>65</v>
      </c>
      <c r="O16" s="15">
        <f t="shared" si="4"/>
        <v>232</v>
      </c>
      <c r="Q16">
        <v>115</v>
      </c>
      <c r="R16">
        <v>65</v>
      </c>
      <c r="S16">
        <v>232</v>
      </c>
    </row>
    <row r="17" spans="1:19" x14ac:dyDescent="0.25">
      <c r="A17">
        <v>2020</v>
      </c>
      <c r="B17" t="s">
        <v>1</v>
      </c>
      <c r="C17" t="s">
        <v>656</v>
      </c>
      <c r="D17">
        <v>75</v>
      </c>
      <c r="E17">
        <v>56</v>
      </c>
      <c r="F17">
        <v>228</v>
      </c>
      <c r="G17" t="s">
        <v>645</v>
      </c>
      <c r="H17" t="s">
        <v>652</v>
      </c>
      <c r="I17" t="s">
        <v>157</v>
      </c>
      <c r="J17" t="s">
        <v>135</v>
      </c>
      <c r="M17" s="15">
        <f t="shared" si="2"/>
        <v>75</v>
      </c>
      <c r="N17" s="15">
        <f t="shared" si="3"/>
        <v>56</v>
      </c>
      <c r="O17" s="15">
        <f t="shared" si="4"/>
        <v>228</v>
      </c>
      <c r="Q17">
        <v>75</v>
      </c>
      <c r="R17">
        <v>56</v>
      </c>
      <c r="S17">
        <v>228</v>
      </c>
    </row>
    <row r="18" spans="1:19" x14ac:dyDescent="0.25">
      <c r="A18">
        <v>2020</v>
      </c>
      <c r="B18" t="s">
        <v>1</v>
      </c>
      <c r="C18" t="s">
        <v>656</v>
      </c>
      <c r="D18">
        <v>85</v>
      </c>
      <c r="E18">
        <v>58.5</v>
      </c>
      <c r="F18">
        <v>229</v>
      </c>
      <c r="G18" t="s">
        <v>645</v>
      </c>
      <c r="H18" t="s">
        <v>652</v>
      </c>
      <c r="I18" t="s">
        <v>160</v>
      </c>
      <c r="J18" t="s">
        <v>158</v>
      </c>
      <c r="M18" s="15">
        <f t="shared" si="2"/>
        <v>85</v>
      </c>
      <c r="N18" s="15">
        <f t="shared" si="3"/>
        <v>58.5</v>
      </c>
      <c r="O18" s="15">
        <f t="shared" si="4"/>
        <v>229</v>
      </c>
      <c r="Q18">
        <v>85</v>
      </c>
      <c r="R18">
        <v>58.5</v>
      </c>
      <c r="S18">
        <v>229</v>
      </c>
    </row>
    <row r="19" spans="1:19" x14ac:dyDescent="0.25">
      <c r="A19">
        <v>2020</v>
      </c>
      <c r="B19" t="s">
        <v>1</v>
      </c>
      <c r="C19" t="s">
        <v>656</v>
      </c>
      <c r="D19">
        <v>95</v>
      </c>
      <c r="E19">
        <v>61</v>
      </c>
      <c r="F19">
        <v>230</v>
      </c>
      <c r="G19" t="s">
        <v>645</v>
      </c>
      <c r="H19" t="s">
        <v>652</v>
      </c>
      <c r="I19" t="s">
        <v>162</v>
      </c>
      <c r="J19" t="s">
        <v>138</v>
      </c>
      <c r="M19" s="15">
        <f t="shared" si="2"/>
        <v>95</v>
      </c>
      <c r="N19" s="15">
        <f t="shared" si="3"/>
        <v>61</v>
      </c>
      <c r="O19" s="15">
        <f t="shared" si="4"/>
        <v>230</v>
      </c>
      <c r="Q19">
        <v>95</v>
      </c>
      <c r="R19">
        <v>61</v>
      </c>
      <c r="S19">
        <v>230</v>
      </c>
    </row>
    <row r="20" spans="1:19" x14ac:dyDescent="0.25">
      <c r="A20">
        <v>2020</v>
      </c>
      <c r="B20" t="s">
        <v>1</v>
      </c>
      <c r="C20" t="s">
        <v>656</v>
      </c>
      <c r="D20">
        <v>105</v>
      </c>
      <c r="E20">
        <v>63</v>
      </c>
      <c r="F20">
        <v>231</v>
      </c>
      <c r="G20" t="s">
        <v>645</v>
      </c>
      <c r="H20" t="s">
        <v>652</v>
      </c>
      <c r="I20" t="s">
        <v>654</v>
      </c>
      <c r="J20" t="s">
        <v>163</v>
      </c>
      <c r="M20" s="15">
        <f t="shared" si="2"/>
        <v>105</v>
      </c>
      <c r="N20" s="15">
        <f t="shared" si="3"/>
        <v>63</v>
      </c>
      <c r="O20" s="15">
        <f t="shared" si="4"/>
        <v>231</v>
      </c>
      <c r="Q20">
        <v>105</v>
      </c>
      <c r="R20">
        <v>63</v>
      </c>
      <c r="S20">
        <v>231</v>
      </c>
    </row>
    <row r="21" spans="1:19" x14ac:dyDescent="0.25">
      <c r="A21">
        <v>2020</v>
      </c>
      <c r="B21" t="s">
        <v>1</v>
      </c>
      <c r="C21" t="s">
        <v>656</v>
      </c>
      <c r="D21">
        <v>115</v>
      </c>
      <c r="E21">
        <v>65</v>
      </c>
      <c r="F21">
        <v>232</v>
      </c>
      <c r="G21" t="s">
        <v>645</v>
      </c>
      <c r="H21" t="s">
        <v>652</v>
      </c>
      <c r="I21" t="s">
        <v>655</v>
      </c>
      <c r="J21" t="s">
        <v>166</v>
      </c>
      <c r="M21" s="15">
        <f t="shared" si="2"/>
        <v>115</v>
      </c>
      <c r="N21" s="15">
        <f t="shared" si="3"/>
        <v>65</v>
      </c>
      <c r="O21" s="15">
        <f t="shared" si="4"/>
        <v>232</v>
      </c>
      <c r="Q21">
        <v>115</v>
      </c>
      <c r="R21">
        <v>65</v>
      </c>
      <c r="S21">
        <v>232</v>
      </c>
    </row>
    <row r="22" spans="1:19" x14ac:dyDescent="0.25">
      <c r="A22" s="14">
        <v>2020</v>
      </c>
      <c r="B22" s="14" t="s">
        <v>1</v>
      </c>
      <c r="C22" s="14" t="s">
        <v>72</v>
      </c>
      <c r="D22" s="14">
        <v>75</v>
      </c>
      <c r="E22" s="14">
        <v>56</v>
      </c>
      <c r="F22" s="14">
        <v>228</v>
      </c>
      <c r="G22" s="14" t="s">
        <v>710</v>
      </c>
      <c r="H22" s="14" t="s">
        <v>652</v>
      </c>
      <c r="I22" s="14" t="s">
        <v>657</v>
      </c>
      <c r="J22" s="14" t="s">
        <v>135</v>
      </c>
      <c r="K22" s="14"/>
      <c r="L22" s="14"/>
      <c r="M22" s="15">
        <f t="shared" si="2"/>
        <v>75</v>
      </c>
      <c r="N22" s="15">
        <f t="shared" si="3"/>
        <v>56</v>
      </c>
      <c r="O22" s="15">
        <f t="shared" si="4"/>
        <v>228</v>
      </c>
      <c r="Q22">
        <v>75</v>
      </c>
      <c r="R22">
        <v>56</v>
      </c>
      <c r="S22">
        <v>228</v>
      </c>
    </row>
    <row r="23" spans="1:19" x14ac:dyDescent="0.25">
      <c r="A23" s="14">
        <v>2020</v>
      </c>
      <c r="B23" s="14" t="s">
        <v>1</v>
      </c>
      <c r="C23" s="14" t="s">
        <v>72</v>
      </c>
      <c r="D23" s="14">
        <v>85</v>
      </c>
      <c r="E23" s="14">
        <v>58.5</v>
      </c>
      <c r="F23" s="14">
        <v>229</v>
      </c>
      <c r="G23" s="14" t="s">
        <v>710</v>
      </c>
      <c r="H23" s="14" t="s">
        <v>652</v>
      </c>
      <c r="I23" s="14" t="s">
        <v>659</v>
      </c>
      <c r="J23" s="14" t="s">
        <v>158</v>
      </c>
      <c r="K23" s="14"/>
      <c r="L23" s="14"/>
      <c r="M23" s="15">
        <f t="shared" si="2"/>
        <v>85</v>
      </c>
      <c r="N23" s="15">
        <f t="shared" si="3"/>
        <v>58.5</v>
      </c>
      <c r="O23" s="15">
        <f t="shared" si="4"/>
        <v>229</v>
      </c>
      <c r="Q23">
        <v>85</v>
      </c>
      <c r="R23">
        <v>58.5</v>
      </c>
      <c r="S23">
        <v>229</v>
      </c>
    </row>
    <row r="24" spans="1:19" x14ac:dyDescent="0.25">
      <c r="A24" s="14">
        <v>2020</v>
      </c>
      <c r="B24" s="14" t="s">
        <v>1</v>
      </c>
      <c r="C24" s="14" t="s">
        <v>72</v>
      </c>
      <c r="D24" s="14">
        <v>95</v>
      </c>
      <c r="E24" s="14">
        <v>61</v>
      </c>
      <c r="F24" s="14">
        <v>230</v>
      </c>
      <c r="G24" s="14" t="s">
        <v>710</v>
      </c>
      <c r="H24" s="14" t="s">
        <v>652</v>
      </c>
      <c r="I24" s="14" t="s">
        <v>661</v>
      </c>
      <c r="J24" s="14" t="s">
        <v>138</v>
      </c>
      <c r="K24" s="14"/>
      <c r="L24" s="14"/>
      <c r="M24" s="15">
        <f t="shared" si="2"/>
        <v>95</v>
      </c>
      <c r="N24" s="15">
        <f t="shared" si="3"/>
        <v>61</v>
      </c>
      <c r="O24" s="15">
        <f t="shared" si="4"/>
        <v>230</v>
      </c>
      <c r="Q24">
        <v>95</v>
      </c>
      <c r="R24">
        <v>61</v>
      </c>
      <c r="S24">
        <v>230</v>
      </c>
    </row>
    <row r="25" spans="1:19" x14ac:dyDescent="0.25">
      <c r="A25" s="14">
        <v>2020</v>
      </c>
      <c r="B25" s="14" t="s">
        <v>1</v>
      </c>
      <c r="C25" s="14" t="s">
        <v>72</v>
      </c>
      <c r="D25" s="14">
        <v>105</v>
      </c>
      <c r="E25" s="14">
        <v>63</v>
      </c>
      <c r="F25" s="14">
        <v>231</v>
      </c>
      <c r="G25" s="14" t="s">
        <v>710</v>
      </c>
      <c r="H25" s="14" t="s">
        <v>652</v>
      </c>
      <c r="I25" s="14" t="s">
        <v>662</v>
      </c>
      <c r="J25" s="14" t="s">
        <v>163</v>
      </c>
      <c r="K25" s="14"/>
      <c r="L25" s="14"/>
      <c r="M25" s="15">
        <f t="shared" si="2"/>
        <v>105</v>
      </c>
      <c r="N25" s="15">
        <f t="shared" si="3"/>
        <v>63</v>
      </c>
      <c r="O25" s="15">
        <f t="shared" si="4"/>
        <v>231</v>
      </c>
      <c r="Q25">
        <v>105</v>
      </c>
      <c r="R25">
        <v>63</v>
      </c>
      <c r="S25">
        <v>231</v>
      </c>
    </row>
    <row r="26" spans="1:19" x14ac:dyDescent="0.25">
      <c r="A26">
        <v>2020</v>
      </c>
      <c r="B26" t="s">
        <v>1</v>
      </c>
      <c r="C26" t="s">
        <v>665</v>
      </c>
      <c r="D26">
        <v>85</v>
      </c>
      <c r="E26">
        <v>60</v>
      </c>
      <c r="F26">
        <v>225</v>
      </c>
      <c r="G26" t="s">
        <v>645</v>
      </c>
      <c r="H26" t="s">
        <v>179</v>
      </c>
      <c r="I26" t="s">
        <v>663</v>
      </c>
      <c r="J26" t="s">
        <v>133</v>
      </c>
      <c r="M26" s="15">
        <f t="shared" si="2"/>
        <v>85</v>
      </c>
      <c r="N26" s="15">
        <f t="shared" si="3"/>
        <v>60</v>
      </c>
      <c r="O26" s="15">
        <f t="shared" si="4"/>
        <v>225</v>
      </c>
      <c r="Q26">
        <v>85</v>
      </c>
      <c r="R26">
        <v>60</v>
      </c>
      <c r="S26">
        <v>225</v>
      </c>
    </row>
    <row r="27" spans="1:19" x14ac:dyDescent="0.25">
      <c r="A27">
        <v>2020</v>
      </c>
      <c r="B27" t="s">
        <v>1</v>
      </c>
      <c r="C27" t="s">
        <v>665</v>
      </c>
      <c r="D27">
        <v>92</v>
      </c>
      <c r="E27">
        <v>62</v>
      </c>
      <c r="F27">
        <v>220</v>
      </c>
      <c r="G27" t="s">
        <v>645</v>
      </c>
      <c r="H27" t="s">
        <v>179</v>
      </c>
      <c r="I27" t="s">
        <v>664</v>
      </c>
      <c r="J27" t="s">
        <v>183</v>
      </c>
      <c r="M27" s="15">
        <f t="shared" si="2"/>
        <v>92</v>
      </c>
      <c r="N27" s="15">
        <f t="shared" si="3"/>
        <v>62</v>
      </c>
      <c r="O27" s="15">
        <f t="shared" si="4"/>
        <v>220</v>
      </c>
      <c r="Q27">
        <v>92</v>
      </c>
      <c r="R27">
        <v>62</v>
      </c>
      <c r="S27">
        <v>220</v>
      </c>
    </row>
    <row r="28" spans="1:19" x14ac:dyDescent="0.25">
      <c r="A28">
        <v>2020</v>
      </c>
      <c r="B28" t="s">
        <v>1</v>
      </c>
      <c r="C28" t="s">
        <v>665</v>
      </c>
      <c r="D28">
        <v>99</v>
      </c>
      <c r="E28">
        <v>65</v>
      </c>
      <c r="F28">
        <v>225</v>
      </c>
      <c r="G28" t="s">
        <v>645</v>
      </c>
      <c r="H28" t="s">
        <v>179</v>
      </c>
      <c r="I28" t="s">
        <v>666</v>
      </c>
      <c r="J28" t="s">
        <v>138</v>
      </c>
      <c r="M28" s="15">
        <f t="shared" si="2"/>
        <v>99</v>
      </c>
      <c r="N28" s="15">
        <f t="shared" si="3"/>
        <v>65</v>
      </c>
      <c r="O28" s="15">
        <f t="shared" si="4"/>
        <v>225</v>
      </c>
      <c r="Q28">
        <v>99</v>
      </c>
      <c r="R28">
        <v>65</v>
      </c>
      <c r="S28">
        <v>225</v>
      </c>
    </row>
    <row r="29" spans="1:19" x14ac:dyDescent="0.25">
      <c r="A29">
        <v>2020</v>
      </c>
      <c r="B29" t="s">
        <v>1</v>
      </c>
      <c r="C29" t="s">
        <v>665</v>
      </c>
      <c r="D29">
        <v>108</v>
      </c>
      <c r="E29">
        <v>66.5</v>
      </c>
      <c r="F29">
        <v>226</v>
      </c>
      <c r="G29" t="s">
        <v>645</v>
      </c>
      <c r="H29" t="s">
        <v>179</v>
      </c>
      <c r="I29" t="s">
        <v>667</v>
      </c>
      <c r="J29" t="s">
        <v>188</v>
      </c>
      <c r="M29" s="15">
        <f t="shared" si="2"/>
        <v>108</v>
      </c>
      <c r="N29" s="15">
        <f t="shared" si="3"/>
        <v>66.5</v>
      </c>
      <c r="O29" s="15">
        <f t="shared" si="4"/>
        <v>226</v>
      </c>
      <c r="Q29">
        <v>108</v>
      </c>
      <c r="R29">
        <v>66.5</v>
      </c>
      <c r="S29">
        <v>226</v>
      </c>
    </row>
    <row r="30" spans="1:19" x14ac:dyDescent="0.25">
      <c r="A30" s="14">
        <v>2020</v>
      </c>
      <c r="B30" s="14" t="s">
        <v>1</v>
      </c>
      <c r="C30" s="14" t="s">
        <v>668</v>
      </c>
      <c r="D30" s="14">
        <v>100</v>
      </c>
      <c r="E30" s="14">
        <v>62</v>
      </c>
      <c r="F30" s="14">
        <v>231</v>
      </c>
      <c r="G30" s="14" t="s">
        <v>710</v>
      </c>
      <c r="H30" s="14" t="s">
        <v>283</v>
      </c>
      <c r="I30" s="14" t="s">
        <v>190</v>
      </c>
      <c r="J30" s="14" t="s">
        <v>233</v>
      </c>
      <c r="K30" s="14"/>
      <c r="L30" s="14"/>
      <c r="M30" s="15">
        <f t="shared" si="2"/>
        <v>100</v>
      </c>
      <c r="N30" s="15">
        <f t="shared" si="3"/>
        <v>62</v>
      </c>
      <c r="O30" s="15">
        <f t="shared" si="4"/>
        <v>231</v>
      </c>
      <c r="Q30">
        <v>100</v>
      </c>
      <c r="R30">
        <v>62</v>
      </c>
      <c r="S30">
        <v>231</v>
      </c>
    </row>
    <row r="31" spans="1:19" x14ac:dyDescent="0.25">
      <c r="A31" s="14">
        <v>2020</v>
      </c>
      <c r="B31" s="14" t="s">
        <v>1</v>
      </c>
      <c r="C31" s="14" t="s">
        <v>668</v>
      </c>
      <c r="D31" s="14">
        <v>115</v>
      </c>
      <c r="E31" s="14">
        <v>66</v>
      </c>
      <c r="F31" s="14">
        <v>232</v>
      </c>
      <c r="G31" s="14" t="s">
        <v>710</v>
      </c>
      <c r="H31" s="14" t="s">
        <v>283</v>
      </c>
      <c r="I31" s="14" t="s">
        <v>195</v>
      </c>
      <c r="J31" s="14" t="s">
        <v>235</v>
      </c>
      <c r="K31" s="14"/>
      <c r="L31" s="14"/>
      <c r="M31" s="15">
        <f t="shared" si="2"/>
        <v>115</v>
      </c>
      <c r="N31" s="15">
        <f t="shared" si="3"/>
        <v>66</v>
      </c>
      <c r="O31" s="15">
        <f t="shared" si="4"/>
        <v>232</v>
      </c>
      <c r="Q31">
        <v>115</v>
      </c>
      <c r="R31">
        <v>66</v>
      </c>
      <c r="S31">
        <v>232</v>
      </c>
    </row>
    <row r="32" spans="1:19" x14ac:dyDescent="0.25">
      <c r="A32" s="14">
        <v>2020</v>
      </c>
      <c r="B32" s="14" t="s">
        <v>1</v>
      </c>
      <c r="C32" s="14" t="s">
        <v>668</v>
      </c>
      <c r="D32" s="14">
        <v>130</v>
      </c>
      <c r="E32" s="14">
        <v>70</v>
      </c>
      <c r="F32" s="14">
        <v>233</v>
      </c>
      <c r="G32" s="14" t="s">
        <v>710</v>
      </c>
      <c r="H32" s="14" t="s">
        <v>153</v>
      </c>
      <c r="I32" s="14" t="s">
        <v>201</v>
      </c>
      <c r="J32" s="14" t="s">
        <v>199</v>
      </c>
      <c r="K32" s="14"/>
      <c r="L32" s="14"/>
      <c r="M32" s="15">
        <f t="shared" si="2"/>
        <v>130</v>
      </c>
      <c r="N32" s="15">
        <f t="shared" si="3"/>
        <v>70</v>
      </c>
      <c r="O32" s="15">
        <f t="shared" si="4"/>
        <v>233</v>
      </c>
      <c r="Q32">
        <v>130</v>
      </c>
      <c r="R32">
        <v>70</v>
      </c>
      <c r="S32">
        <v>233</v>
      </c>
    </row>
    <row r="33" spans="1:19" x14ac:dyDescent="0.25">
      <c r="A33" s="14">
        <v>2020</v>
      </c>
      <c r="B33" s="14" t="s">
        <v>1</v>
      </c>
      <c r="C33" s="14" t="s">
        <v>668</v>
      </c>
      <c r="D33" s="14">
        <v>145</v>
      </c>
      <c r="E33" s="14">
        <v>77</v>
      </c>
      <c r="F33" s="14">
        <v>235</v>
      </c>
      <c r="G33" s="14" t="s">
        <v>710</v>
      </c>
      <c r="H33" s="14" t="s">
        <v>153</v>
      </c>
      <c r="I33" s="14" t="s">
        <v>209</v>
      </c>
      <c r="J33" s="14" t="s">
        <v>238</v>
      </c>
      <c r="K33" s="14"/>
      <c r="L33" s="14"/>
      <c r="M33" s="15">
        <f t="shared" si="2"/>
        <v>145</v>
      </c>
      <c r="N33" s="15">
        <f t="shared" si="3"/>
        <v>77</v>
      </c>
      <c r="O33" s="15">
        <f t="shared" si="4"/>
        <v>235</v>
      </c>
      <c r="Q33">
        <v>145</v>
      </c>
      <c r="R33">
        <v>77</v>
      </c>
      <c r="S33">
        <v>235</v>
      </c>
    </row>
    <row r="34" spans="1:19" x14ac:dyDescent="0.25">
      <c r="A34">
        <v>2020</v>
      </c>
      <c r="B34" t="s">
        <v>1</v>
      </c>
      <c r="C34" t="s">
        <v>671</v>
      </c>
      <c r="D34">
        <v>100</v>
      </c>
      <c r="E34">
        <v>62</v>
      </c>
      <c r="F34">
        <v>231</v>
      </c>
      <c r="G34" t="s">
        <v>593</v>
      </c>
      <c r="H34" t="s">
        <v>283</v>
      </c>
      <c r="I34" t="s">
        <v>669</v>
      </c>
      <c r="J34" t="s">
        <v>233</v>
      </c>
      <c r="M34" s="15">
        <f t="shared" si="2"/>
        <v>100</v>
      </c>
      <c r="N34" s="15">
        <f t="shared" si="3"/>
        <v>62</v>
      </c>
      <c r="O34" s="15">
        <f t="shared" si="4"/>
        <v>231</v>
      </c>
      <c r="Q34">
        <v>100</v>
      </c>
      <c r="R34">
        <v>62</v>
      </c>
      <c r="S34">
        <v>231</v>
      </c>
    </row>
    <row r="35" spans="1:19" x14ac:dyDescent="0.25">
      <c r="A35">
        <v>2020</v>
      </c>
      <c r="B35" t="s">
        <v>1</v>
      </c>
      <c r="C35" t="s">
        <v>671</v>
      </c>
      <c r="D35">
        <v>115</v>
      </c>
      <c r="E35">
        <v>66</v>
      </c>
      <c r="F35">
        <v>232</v>
      </c>
      <c r="G35" t="s">
        <v>593</v>
      </c>
      <c r="H35" t="s">
        <v>283</v>
      </c>
      <c r="I35" t="s">
        <v>670</v>
      </c>
      <c r="J35" t="s">
        <v>235</v>
      </c>
      <c r="M35" s="15">
        <f t="shared" si="2"/>
        <v>115</v>
      </c>
      <c r="N35" s="15">
        <f t="shared" si="3"/>
        <v>66</v>
      </c>
      <c r="O35" s="15">
        <f t="shared" si="4"/>
        <v>232</v>
      </c>
      <c r="Q35">
        <v>115</v>
      </c>
      <c r="R35">
        <v>66</v>
      </c>
      <c r="S35">
        <v>232</v>
      </c>
    </row>
    <row r="36" spans="1:19" x14ac:dyDescent="0.25">
      <c r="A36">
        <v>2020</v>
      </c>
      <c r="B36" t="s">
        <v>1</v>
      </c>
      <c r="C36" t="s">
        <v>671</v>
      </c>
      <c r="D36">
        <v>130</v>
      </c>
      <c r="E36">
        <v>70</v>
      </c>
      <c r="F36">
        <v>233</v>
      </c>
      <c r="G36" t="s">
        <v>593</v>
      </c>
      <c r="H36" t="s">
        <v>283</v>
      </c>
      <c r="I36" t="s">
        <v>672</v>
      </c>
      <c r="J36" t="s">
        <v>199</v>
      </c>
      <c r="M36" s="15">
        <f t="shared" si="2"/>
        <v>130</v>
      </c>
      <c r="N36" s="15">
        <f t="shared" si="3"/>
        <v>70</v>
      </c>
      <c r="O36" s="15">
        <f t="shared" si="4"/>
        <v>233</v>
      </c>
      <c r="Q36">
        <v>130</v>
      </c>
      <c r="R36">
        <v>70</v>
      </c>
      <c r="S36">
        <v>233</v>
      </c>
    </row>
    <row r="37" spans="1:19" x14ac:dyDescent="0.25">
      <c r="A37">
        <v>2020</v>
      </c>
      <c r="B37" t="s">
        <v>1</v>
      </c>
      <c r="C37" t="s">
        <v>671</v>
      </c>
      <c r="D37">
        <v>145</v>
      </c>
      <c r="E37">
        <v>77</v>
      </c>
      <c r="F37">
        <v>235</v>
      </c>
      <c r="G37" t="s">
        <v>593</v>
      </c>
      <c r="H37" t="s">
        <v>283</v>
      </c>
      <c r="I37" t="s">
        <v>673</v>
      </c>
      <c r="J37" t="s">
        <v>238</v>
      </c>
      <c r="M37" s="15">
        <f t="shared" si="2"/>
        <v>145</v>
      </c>
      <c r="N37" s="15">
        <f t="shared" si="3"/>
        <v>77</v>
      </c>
      <c r="O37" s="15">
        <f t="shared" si="4"/>
        <v>235</v>
      </c>
      <c r="Q37">
        <v>145</v>
      </c>
      <c r="R37">
        <v>77</v>
      </c>
      <c r="S37">
        <v>235</v>
      </c>
    </row>
    <row r="38" spans="1:19" x14ac:dyDescent="0.25">
      <c r="A38" s="14">
        <v>2020</v>
      </c>
      <c r="B38" s="14" t="s">
        <v>1</v>
      </c>
      <c r="C38" s="14" t="s">
        <v>674</v>
      </c>
      <c r="D38" s="14">
        <v>100</v>
      </c>
      <c r="E38" s="14">
        <v>66</v>
      </c>
      <c r="F38" s="14">
        <v>239</v>
      </c>
      <c r="G38" s="14" t="s">
        <v>710</v>
      </c>
      <c r="H38" s="14" t="s">
        <v>179</v>
      </c>
      <c r="I38" s="14" t="s">
        <v>192</v>
      </c>
      <c r="J38" s="14" t="s">
        <v>193</v>
      </c>
      <c r="K38" s="14"/>
      <c r="L38" s="14"/>
      <c r="M38" s="15">
        <f t="shared" si="2"/>
        <v>100</v>
      </c>
      <c r="N38" s="15">
        <f t="shared" si="3"/>
        <v>66</v>
      </c>
      <c r="O38" s="15">
        <f t="shared" si="4"/>
        <v>239</v>
      </c>
      <c r="Q38">
        <v>100</v>
      </c>
      <c r="R38">
        <v>66</v>
      </c>
      <c r="S38">
        <v>239</v>
      </c>
    </row>
    <row r="39" spans="1:19" x14ac:dyDescent="0.25">
      <c r="A39" s="14">
        <v>2020</v>
      </c>
      <c r="B39" s="14" t="s">
        <v>1</v>
      </c>
      <c r="C39" s="14" t="s">
        <v>674</v>
      </c>
      <c r="D39" s="14">
        <v>110</v>
      </c>
      <c r="E39" s="14">
        <v>72</v>
      </c>
      <c r="F39" s="14">
        <v>239</v>
      </c>
      <c r="G39" s="14" t="s">
        <v>710</v>
      </c>
      <c r="H39" s="14" t="s">
        <v>179</v>
      </c>
      <c r="I39" s="14" t="s">
        <v>195</v>
      </c>
      <c r="J39" s="14" t="s">
        <v>196</v>
      </c>
      <c r="K39" s="14"/>
      <c r="L39" s="14"/>
      <c r="M39" s="15">
        <f t="shared" si="2"/>
        <v>110</v>
      </c>
      <c r="N39" s="15">
        <f t="shared" si="3"/>
        <v>72</v>
      </c>
      <c r="O39" s="15">
        <f t="shared" si="4"/>
        <v>239</v>
      </c>
      <c r="Q39">
        <v>110</v>
      </c>
      <c r="R39">
        <v>72</v>
      </c>
      <c r="S39">
        <v>239</v>
      </c>
    </row>
    <row r="40" spans="1:19" x14ac:dyDescent="0.25">
      <c r="A40" s="14">
        <v>2020</v>
      </c>
      <c r="B40" s="14" t="s">
        <v>1</v>
      </c>
      <c r="C40" s="14" t="s">
        <v>674</v>
      </c>
      <c r="D40" s="14">
        <v>122</v>
      </c>
      <c r="E40" s="14">
        <v>77</v>
      </c>
      <c r="F40" s="14">
        <v>242</v>
      </c>
      <c r="G40" s="14" t="s">
        <v>710</v>
      </c>
      <c r="H40" s="14" t="s">
        <v>179</v>
      </c>
      <c r="I40" s="14" t="s">
        <v>198</v>
      </c>
      <c r="J40" s="14" t="s">
        <v>199</v>
      </c>
      <c r="K40" s="14"/>
      <c r="L40" s="14"/>
      <c r="M40" s="15">
        <f t="shared" si="2"/>
        <v>122</v>
      </c>
      <c r="N40" s="15">
        <f t="shared" si="3"/>
        <v>77</v>
      </c>
      <c r="O40" s="15">
        <f t="shared" si="4"/>
        <v>242</v>
      </c>
      <c r="Q40">
        <v>122</v>
      </c>
      <c r="R40">
        <v>77</v>
      </c>
      <c r="S40">
        <v>242</v>
      </c>
    </row>
    <row r="41" spans="1:19" x14ac:dyDescent="0.25">
      <c r="A41" s="14">
        <v>2020</v>
      </c>
      <c r="B41" s="14" t="s">
        <v>1</v>
      </c>
      <c r="C41" s="14" t="s">
        <v>674</v>
      </c>
      <c r="D41" s="14">
        <v>135</v>
      </c>
      <c r="E41" s="14">
        <v>79</v>
      </c>
      <c r="F41" s="14">
        <v>246</v>
      </c>
      <c r="G41" s="14" t="s">
        <v>710</v>
      </c>
      <c r="H41" s="14" t="s">
        <v>179</v>
      </c>
      <c r="I41" s="14" t="s">
        <v>201</v>
      </c>
      <c r="J41" s="14" t="s">
        <v>202</v>
      </c>
      <c r="K41" s="14"/>
      <c r="L41" s="14"/>
      <c r="M41" s="15">
        <f t="shared" si="2"/>
        <v>135</v>
      </c>
      <c r="N41" s="15">
        <f t="shared" si="3"/>
        <v>79</v>
      </c>
      <c r="O41" s="15">
        <f t="shared" si="4"/>
        <v>246</v>
      </c>
      <c r="Q41">
        <v>135</v>
      </c>
      <c r="R41">
        <v>79</v>
      </c>
      <c r="S41">
        <v>246</v>
      </c>
    </row>
    <row r="42" spans="1:19" x14ac:dyDescent="0.25">
      <c r="A42" s="14">
        <v>2020</v>
      </c>
      <c r="B42" s="14" t="s">
        <v>1</v>
      </c>
      <c r="C42" s="14" t="s">
        <v>674</v>
      </c>
      <c r="D42" s="14">
        <v>148</v>
      </c>
      <c r="E42" s="14">
        <v>83</v>
      </c>
      <c r="F42" s="14">
        <v>250</v>
      </c>
      <c r="G42" s="14" t="s">
        <v>710</v>
      </c>
      <c r="H42" s="14" t="s">
        <v>179</v>
      </c>
      <c r="I42" s="14" t="s">
        <v>204</v>
      </c>
      <c r="J42" s="14" t="s">
        <v>205</v>
      </c>
      <c r="K42" s="14"/>
      <c r="L42" s="14"/>
      <c r="M42" s="15">
        <f t="shared" si="2"/>
        <v>148</v>
      </c>
      <c r="N42" s="15">
        <f t="shared" si="3"/>
        <v>83</v>
      </c>
      <c r="O42" s="15">
        <f t="shared" si="4"/>
        <v>250</v>
      </c>
      <c r="Q42">
        <v>148</v>
      </c>
      <c r="R42">
        <v>83</v>
      </c>
      <c r="S42">
        <v>250</v>
      </c>
    </row>
    <row r="43" spans="1:19" x14ac:dyDescent="0.25">
      <c r="A43">
        <v>2020</v>
      </c>
      <c r="B43" t="s">
        <v>1</v>
      </c>
      <c r="C43" t="s">
        <v>675</v>
      </c>
      <c r="D43">
        <v>110</v>
      </c>
      <c r="E43">
        <v>72</v>
      </c>
      <c r="F43">
        <v>239</v>
      </c>
      <c r="G43" t="s">
        <v>709</v>
      </c>
      <c r="H43" t="s">
        <v>179</v>
      </c>
      <c r="I43" t="s">
        <v>195</v>
      </c>
      <c r="J43" t="s">
        <v>196</v>
      </c>
      <c r="M43" s="15">
        <f t="shared" si="2"/>
        <v>110</v>
      </c>
      <c r="N43" s="15">
        <f t="shared" si="3"/>
        <v>72</v>
      </c>
      <c r="O43" s="15">
        <f t="shared" si="4"/>
        <v>239</v>
      </c>
      <c r="Q43">
        <v>110</v>
      </c>
      <c r="R43">
        <v>72</v>
      </c>
      <c r="S43">
        <v>239</v>
      </c>
    </row>
    <row r="44" spans="1:19" x14ac:dyDescent="0.25">
      <c r="A44">
        <v>2020</v>
      </c>
      <c r="B44" t="s">
        <v>1</v>
      </c>
      <c r="C44" t="s">
        <v>675</v>
      </c>
      <c r="D44">
        <v>122</v>
      </c>
      <c r="E44">
        <v>77</v>
      </c>
      <c r="F44">
        <v>242</v>
      </c>
      <c r="G44" t="s">
        <v>709</v>
      </c>
      <c r="H44" t="s">
        <v>179</v>
      </c>
      <c r="I44" t="s">
        <v>198</v>
      </c>
      <c r="J44" t="s">
        <v>199</v>
      </c>
      <c r="M44" s="15">
        <f t="shared" si="2"/>
        <v>122</v>
      </c>
      <c r="N44" s="15">
        <f t="shared" si="3"/>
        <v>77</v>
      </c>
      <c r="O44" s="15">
        <f t="shared" si="4"/>
        <v>242</v>
      </c>
      <c r="Q44">
        <v>122</v>
      </c>
      <c r="R44">
        <v>77</v>
      </c>
      <c r="S44">
        <v>242</v>
      </c>
    </row>
    <row r="45" spans="1:19" x14ac:dyDescent="0.25">
      <c r="A45">
        <v>2020</v>
      </c>
      <c r="B45" t="s">
        <v>1</v>
      </c>
      <c r="C45" t="s">
        <v>675</v>
      </c>
      <c r="D45">
        <v>135</v>
      </c>
      <c r="E45">
        <v>79</v>
      </c>
      <c r="F45">
        <v>246</v>
      </c>
      <c r="G45" t="s">
        <v>709</v>
      </c>
      <c r="H45" t="s">
        <v>179</v>
      </c>
      <c r="I45" t="s">
        <v>201</v>
      </c>
      <c r="J45" t="s">
        <v>202</v>
      </c>
      <c r="M45" s="15">
        <f t="shared" si="2"/>
        <v>135</v>
      </c>
      <c r="N45" s="15">
        <f t="shared" si="3"/>
        <v>79</v>
      </c>
      <c r="O45" s="15">
        <f t="shared" si="4"/>
        <v>246</v>
      </c>
      <c r="Q45">
        <v>135</v>
      </c>
      <c r="R45">
        <v>79</v>
      </c>
      <c r="S45">
        <v>246</v>
      </c>
    </row>
    <row r="46" spans="1:19" x14ac:dyDescent="0.25">
      <c r="A46" s="14">
        <v>2020</v>
      </c>
      <c r="B46" s="14" t="s">
        <v>1</v>
      </c>
      <c r="C46" s="14" t="s">
        <v>678</v>
      </c>
      <c r="D46" s="14">
        <v>100</v>
      </c>
      <c r="E46" s="14">
        <v>66</v>
      </c>
      <c r="F46" s="14">
        <v>239</v>
      </c>
      <c r="G46" s="14" t="s">
        <v>593</v>
      </c>
      <c r="H46" s="14" t="s">
        <v>179</v>
      </c>
      <c r="I46" s="14" t="s">
        <v>676</v>
      </c>
      <c r="J46" s="14" t="s">
        <v>193</v>
      </c>
      <c r="K46" s="14"/>
      <c r="L46" s="14"/>
      <c r="M46" s="15">
        <f t="shared" si="2"/>
        <v>100</v>
      </c>
      <c r="N46" s="15">
        <f t="shared" si="3"/>
        <v>66</v>
      </c>
      <c r="O46" s="15">
        <f t="shared" si="4"/>
        <v>239</v>
      </c>
      <c r="Q46">
        <v>100</v>
      </c>
      <c r="R46">
        <v>66</v>
      </c>
      <c r="S46">
        <v>239</v>
      </c>
    </row>
    <row r="47" spans="1:19" x14ac:dyDescent="0.25">
      <c r="A47" s="14">
        <v>2020</v>
      </c>
      <c r="B47" s="14" t="s">
        <v>1</v>
      </c>
      <c r="C47" s="14" t="s">
        <v>678</v>
      </c>
      <c r="D47" s="14">
        <v>110</v>
      </c>
      <c r="E47" s="14">
        <v>72</v>
      </c>
      <c r="F47" s="14">
        <v>239</v>
      </c>
      <c r="G47" s="14" t="s">
        <v>593</v>
      </c>
      <c r="H47" s="14" t="s">
        <v>179</v>
      </c>
      <c r="I47" s="14" t="s">
        <v>670</v>
      </c>
      <c r="J47" s="14" t="s">
        <v>196</v>
      </c>
      <c r="K47" s="14"/>
      <c r="L47" s="14"/>
      <c r="M47" s="15">
        <f t="shared" si="2"/>
        <v>110</v>
      </c>
      <c r="N47" s="15">
        <f t="shared" si="3"/>
        <v>72</v>
      </c>
      <c r="O47" s="15">
        <f t="shared" si="4"/>
        <v>239</v>
      </c>
      <c r="Q47">
        <v>110</v>
      </c>
      <c r="R47">
        <v>72</v>
      </c>
      <c r="S47">
        <v>239</v>
      </c>
    </row>
    <row r="48" spans="1:19" x14ac:dyDescent="0.25">
      <c r="A48" s="14">
        <v>2020</v>
      </c>
      <c r="B48" s="14" t="s">
        <v>1</v>
      </c>
      <c r="C48" s="14" t="s">
        <v>678</v>
      </c>
      <c r="D48" s="14">
        <v>122</v>
      </c>
      <c r="E48" s="14">
        <v>77</v>
      </c>
      <c r="F48" s="14">
        <v>242</v>
      </c>
      <c r="G48" s="14" t="s">
        <v>593</v>
      </c>
      <c r="H48" s="14" t="s">
        <v>179</v>
      </c>
      <c r="I48" s="14" t="s">
        <v>677</v>
      </c>
      <c r="J48" s="14" t="s">
        <v>199</v>
      </c>
      <c r="K48" s="14"/>
      <c r="L48" s="14"/>
      <c r="M48" s="15">
        <f t="shared" si="2"/>
        <v>122</v>
      </c>
      <c r="N48" s="15">
        <f t="shared" si="3"/>
        <v>77</v>
      </c>
      <c r="O48" s="15">
        <f t="shared" si="4"/>
        <v>242</v>
      </c>
      <c r="Q48">
        <v>122</v>
      </c>
      <c r="R48">
        <v>77</v>
      </c>
      <c r="S48">
        <v>242</v>
      </c>
    </row>
    <row r="49" spans="1:19" x14ac:dyDescent="0.25">
      <c r="A49" s="14">
        <v>2020</v>
      </c>
      <c r="B49" s="14" t="s">
        <v>1</v>
      </c>
      <c r="C49" s="14" t="s">
        <v>678</v>
      </c>
      <c r="D49" s="14">
        <v>135</v>
      </c>
      <c r="E49" s="14">
        <v>79</v>
      </c>
      <c r="F49" s="14">
        <v>246</v>
      </c>
      <c r="G49" s="14" t="s">
        <v>593</v>
      </c>
      <c r="H49" s="14" t="s">
        <v>179</v>
      </c>
      <c r="I49" s="14" t="s">
        <v>672</v>
      </c>
      <c r="J49" s="14" t="s">
        <v>202</v>
      </c>
      <c r="K49" s="14"/>
      <c r="L49" s="14"/>
      <c r="M49" s="15">
        <f t="shared" si="2"/>
        <v>135</v>
      </c>
      <c r="N49" s="15">
        <f t="shared" si="3"/>
        <v>79</v>
      </c>
      <c r="O49" s="15">
        <f t="shared" si="4"/>
        <v>246</v>
      </c>
      <c r="Q49">
        <v>135</v>
      </c>
      <c r="R49">
        <v>79</v>
      </c>
      <c r="S49">
        <v>246</v>
      </c>
    </row>
    <row r="50" spans="1:19" x14ac:dyDescent="0.25">
      <c r="A50" s="14">
        <v>2020</v>
      </c>
      <c r="B50" s="14" t="s">
        <v>1</v>
      </c>
      <c r="C50" s="14" t="s">
        <v>678</v>
      </c>
      <c r="D50" s="14">
        <v>148</v>
      </c>
      <c r="E50" s="14">
        <v>83</v>
      </c>
      <c r="F50" s="14">
        <v>250</v>
      </c>
      <c r="G50" s="14" t="s">
        <v>593</v>
      </c>
      <c r="H50" s="14" t="s">
        <v>179</v>
      </c>
      <c r="I50" s="14" t="s">
        <v>679</v>
      </c>
      <c r="J50" s="14" t="s">
        <v>205</v>
      </c>
      <c r="K50" s="14"/>
      <c r="L50" s="14"/>
      <c r="M50" s="15">
        <f t="shared" si="2"/>
        <v>148</v>
      </c>
      <c r="N50" s="15">
        <f t="shared" si="3"/>
        <v>83</v>
      </c>
      <c r="O50" s="15">
        <f t="shared" si="4"/>
        <v>250</v>
      </c>
      <c r="Q50">
        <v>148</v>
      </c>
      <c r="R50">
        <v>83</v>
      </c>
      <c r="S50">
        <v>250</v>
      </c>
    </row>
    <row r="51" spans="1:19" x14ac:dyDescent="0.25">
      <c r="A51" s="14">
        <v>2020</v>
      </c>
      <c r="B51" s="14" t="s">
        <v>1</v>
      </c>
      <c r="C51" s="14" t="s">
        <v>678</v>
      </c>
      <c r="D51" s="14">
        <v>156</v>
      </c>
      <c r="E51" s="14">
        <v>85</v>
      </c>
      <c r="F51" s="14">
        <v>252</v>
      </c>
      <c r="G51" s="14" t="s">
        <v>593</v>
      </c>
      <c r="H51" s="14" t="s">
        <v>179</v>
      </c>
      <c r="I51" s="14" t="s">
        <v>680</v>
      </c>
      <c r="J51" s="14" t="s">
        <v>227</v>
      </c>
      <c r="K51" s="14"/>
      <c r="L51" s="14"/>
      <c r="M51" s="15">
        <f t="shared" si="2"/>
        <v>156</v>
      </c>
      <c r="N51" s="15">
        <f t="shared" si="3"/>
        <v>85</v>
      </c>
      <c r="O51" s="15">
        <f t="shared" si="4"/>
        <v>252</v>
      </c>
      <c r="Q51">
        <v>156</v>
      </c>
      <c r="R51">
        <v>85</v>
      </c>
      <c r="S51">
        <v>252</v>
      </c>
    </row>
    <row r="52" spans="1:19" x14ac:dyDescent="0.25">
      <c r="A52" s="14">
        <v>2020</v>
      </c>
      <c r="B52" s="14" t="s">
        <v>1</v>
      </c>
      <c r="C52" s="14" t="s">
        <v>678</v>
      </c>
      <c r="D52" s="14">
        <v>156</v>
      </c>
      <c r="E52" s="14">
        <v>85</v>
      </c>
      <c r="F52" s="14">
        <v>252</v>
      </c>
      <c r="G52" s="14" t="s">
        <v>681</v>
      </c>
      <c r="H52" s="14" t="s">
        <v>179</v>
      </c>
      <c r="I52" s="14" t="s">
        <v>682</v>
      </c>
      <c r="J52" s="14" t="s">
        <v>227</v>
      </c>
      <c r="K52" s="14"/>
      <c r="L52" s="14"/>
      <c r="M52" s="15">
        <f t="shared" si="2"/>
        <v>156</v>
      </c>
      <c r="N52" s="15">
        <f t="shared" si="3"/>
        <v>85</v>
      </c>
      <c r="O52" s="15">
        <f t="shared" si="4"/>
        <v>252</v>
      </c>
      <c r="Q52">
        <v>156</v>
      </c>
      <c r="R52">
        <v>85</v>
      </c>
      <c r="S52">
        <v>252</v>
      </c>
    </row>
    <row r="53" spans="1:19" x14ac:dyDescent="0.25">
      <c r="A53">
        <v>2020</v>
      </c>
      <c r="B53" t="s">
        <v>1</v>
      </c>
      <c r="C53" t="s">
        <v>683</v>
      </c>
      <c r="D53">
        <v>135</v>
      </c>
      <c r="E53">
        <v>79</v>
      </c>
      <c r="F53">
        <v>246</v>
      </c>
      <c r="G53" t="s">
        <v>641</v>
      </c>
      <c r="H53" t="s">
        <v>283</v>
      </c>
      <c r="I53" t="s">
        <v>209</v>
      </c>
      <c r="J53" t="s">
        <v>202</v>
      </c>
      <c r="M53" s="15">
        <f t="shared" si="2"/>
        <v>135</v>
      </c>
      <c r="N53" s="15">
        <f t="shared" si="3"/>
        <v>79</v>
      </c>
      <c r="O53" s="15">
        <f t="shared" si="4"/>
        <v>246</v>
      </c>
      <c r="Q53">
        <v>135</v>
      </c>
      <c r="R53">
        <v>79</v>
      </c>
      <c r="S53">
        <v>246</v>
      </c>
    </row>
    <row r="54" spans="1:19" x14ac:dyDescent="0.25">
      <c r="A54">
        <v>2020</v>
      </c>
      <c r="B54" t="s">
        <v>1</v>
      </c>
      <c r="C54" t="s">
        <v>684</v>
      </c>
      <c r="D54">
        <v>135</v>
      </c>
      <c r="E54">
        <v>79</v>
      </c>
      <c r="F54">
        <v>246</v>
      </c>
      <c r="G54" t="s">
        <v>593</v>
      </c>
      <c r="H54" t="s">
        <v>283</v>
      </c>
      <c r="I54" t="s">
        <v>673</v>
      </c>
      <c r="J54" t="s">
        <v>202</v>
      </c>
      <c r="M54" s="15">
        <f t="shared" si="2"/>
        <v>135</v>
      </c>
      <c r="N54" s="15">
        <f t="shared" si="3"/>
        <v>79</v>
      </c>
      <c r="O54" s="15">
        <f t="shared" si="4"/>
        <v>246</v>
      </c>
      <c r="Q54">
        <v>135</v>
      </c>
      <c r="R54">
        <v>79</v>
      </c>
      <c r="S54">
        <v>246</v>
      </c>
    </row>
    <row r="55" spans="1:19" x14ac:dyDescent="0.25">
      <c r="A55">
        <v>2020</v>
      </c>
      <c r="B55" t="s">
        <v>1</v>
      </c>
      <c r="C55" t="s">
        <v>688</v>
      </c>
      <c r="D55">
        <v>94</v>
      </c>
      <c r="E55">
        <v>61</v>
      </c>
      <c r="F55">
        <v>235</v>
      </c>
      <c r="G55" t="s">
        <v>710</v>
      </c>
      <c r="H55" t="s">
        <v>685</v>
      </c>
      <c r="I55" t="s">
        <v>686</v>
      </c>
      <c r="J55" t="s">
        <v>247</v>
      </c>
      <c r="M55" s="15">
        <f t="shared" si="2"/>
        <v>94</v>
      </c>
      <c r="N55" s="15">
        <f t="shared" si="3"/>
        <v>61</v>
      </c>
      <c r="O55" s="15">
        <f t="shared" si="4"/>
        <v>235</v>
      </c>
      <c r="Q55">
        <v>94</v>
      </c>
      <c r="R55">
        <v>61</v>
      </c>
      <c r="S55">
        <v>235</v>
      </c>
    </row>
    <row r="56" spans="1:19" x14ac:dyDescent="0.25">
      <c r="A56">
        <v>2020</v>
      </c>
      <c r="B56" t="s">
        <v>1</v>
      </c>
      <c r="C56" t="s">
        <v>688</v>
      </c>
      <c r="D56">
        <v>108</v>
      </c>
      <c r="E56">
        <v>69</v>
      </c>
      <c r="F56">
        <v>235</v>
      </c>
      <c r="G56" t="s">
        <v>710</v>
      </c>
      <c r="H56" t="s">
        <v>283</v>
      </c>
      <c r="I56" t="s">
        <v>687</v>
      </c>
      <c r="J56" t="s">
        <v>196</v>
      </c>
      <c r="M56" s="15">
        <f t="shared" si="2"/>
        <v>108</v>
      </c>
      <c r="N56" s="15">
        <f t="shared" si="3"/>
        <v>69</v>
      </c>
      <c r="O56" s="15">
        <f t="shared" si="4"/>
        <v>235</v>
      </c>
      <c r="Q56">
        <v>108</v>
      </c>
      <c r="R56">
        <v>69</v>
      </c>
      <c r="S56">
        <v>235</v>
      </c>
    </row>
    <row r="57" spans="1:19" x14ac:dyDescent="0.25">
      <c r="A57">
        <v>2020</v>
      </c>
      <c r="B57" t="s">
        <v>1</v>
      </c>
      <c r="C57" t="s">
        <v>688</v>
      </c>
      <c r="D57">
        <v>125</v>
      </c>
      <c r="E57">
        <v>75</v>
      </c>
      <c r="F57">
        <v>235</v>
      </c>
      <c r="G57" t="s">
        <v>710</v>
      </c>
      <c r="H57" t="s">
        <v>283</v>
      </c>
      <c r="I57" t="s">
        <v>689</v>
      </c>
      <c r="J57" t="s">
        <v>252</v>
      </c>
      <c r="M57" s="15">
        <f t="shared" si="2"/>
        <v>125</v>
      </c>
      <c r="N57" s="15">
        <f t="shared" si="3"/>
        <v>75</v>
      </c>
      <c r="O57" s="15">
        <f t="shared" si="4"/>
        <v>235</v>
      </c>
      <c r="Q57">
        <v>125</v>
      </c>
      <c r="R57">
        <v>75</v>
      </c>
      <c r="S57">
        <v>235</v>
      </c>
    </row>
    <row r="58" spans="1:19" x14ac:dyDescent="0.25">
      <c r="A58">
        <v>2020</v>
      </c>
      <c r="B58" t="s">
        <v>1</v>
      </c>
      <c r="C58" t="s">
        <v>688</v>
      </c>
      <c r="D58">
        <v>135</v>
      </c>
      <c r="E58">
        <v>82</v>
      </c>
      <c r="F58">
        <v>235</v>
      </c>
      <c r="G58" t="s">
        <v>710</v>
      </c>
      <c r="H58" t="s">
        <v>283</v>
      </c>
      <c r="I58" t="s">
        <v>690</v>
      </c>
      <c r="J58" t="s">
        <v>205</v>
      </c>
      <c r="M58" s="15">
        <f t="shared" si="2"/>
        <v>135</v>
      </c>
      <c r="N58" s="15">
        <f t="shared" si="3"/>
        <v>82</v>
      </c>
      <c r="O58" s="15">
        <f t="shared" si="4"/>
        <v>235</v>
      </c>
      <c r="Q58">
        <v>135</v>
      </c>
      <c r="R58">
        <v>82</v>
      </c>
      <c r="S58">
        <v>235</v>
      </c>
    </row>
    <row r="59" spans="1:19" x14ac:dyDescent="0.25">
      <c r="A59">
        <v>2020</v>
      </c>
      <c r="B59" t="s">
        <v>1</v>
      </c>
      <c r="C59" t="s">
        <v>692</v>
      </c>
      <c r="D59">
        <v>80</v>
      </c>
      <c r="E59">
        <v>56</v>
      </c>
      <c r="F59">
        <v>233</v>
      </c>
      <c r="G59" t="s">
        <v>691</v>
      </c>
      <c r="H59" t="s">
        <v>245</v>
      </c>
      <c r="I59" t="s">
        <v>246</v>
      </c>
      <c r="J59" t="s">
        <v>166</v>
      </c>
      <c r="M59" s="15">
        <f t="shared" si="2"/>
        <v>80</v>
      </c>
      <c r="N59" s="15">
        <f t="shared" si="3"/>
        <v>56</v>
      </c>
      <c r="O59" s="15">
        <f t="shared" si="4"/>
        <v>233</v>
      </c>
      <c r="Q59">
        <v>80</v>
      </c>
      <c r="R59">
        <v>56</v>
      </c>
      <c r="S59">
        <v>233</v>
      </c>
    </row>
    <row r="60" spans="1:19" x14ac:dyDescent="0.25">
      <c r="A60">
        <v>2020</v>
      </c>
      <c r="B60" t="s">
        <v>1</v>
      </c>
      <c r="C60" t="s">
        <v>692</v>
      </c>
      <c r="D60">
        <v>90</v>
      </c>
      <c r="E60">
        <v>60</v>
      </c>
      <c r="F60">
        <v>233</v>
      </c>
      <c r="G60" t="s">
        <v>691</v>
      </c>
      <c r="H60" t="s">
        <v>245</v>
      </c>
      <c r="I60" t="s">
        <v>246</v>
      </c>
      <c r="J60" t="s">
        <v>233</v>
      </c>
      <c r="M60" s="15">
        <f t="shared" si="2"/>
        <v>90</v>
      </c>
      <c r="N60" s="15">
        <f t="shared" si="3"/>
        <v>60</v>
      </c>
      <c r="O60" s="15">
        <f t="shared" si="4"/>
        <v>233</v>
      </c>
      <c r="Q60">
        <v>90</v>
      </c>
      <c r="R60">
        <v>60</v>
      </c>
      <c r="S60">
        <v>233</v>
      </c>
    </row>
    <row r="61" spans="1:19" x14ac:dyDescent="0.25">
      <c r="A61">
        <v>2020</v>
      </c>
      <c r="B61" t="s">
        <v>1</v>
      </c>
      <c r="C61" t="s">
        <v>692</v>
      </c>
      <c r="D61">
        <v>97</v>
      </c>
      <c r="E61">
        <v>62</v>
      </c>
      <c r="F61">
        <v>233</v>
      </c>
      <c r="G61" t="s">
        <v>691</v>
      </c>
      <c r="H61" t="s">
        <v>245</v>
      </c>
      <c r="I61" t="s">
        <v>246</v>
      </c>
      <c r="J61" t="s">
        <v>247</v>
      </c>
      <c r="M61" s="15">
        <f t="shared" si="2"/>
        <v>97</v>
      </c>
      <c r="N61" s="15">
        <f t="shared" si="3"/>
        <v>62</v>
      </c>
      <c r="O61" s="15">
        <f t="shared" si="4"/>
        <v>233</v>
      </c>
      <c r="Q61">
        <v>97</v>
      </c>
      <c r="R61">
        <v>62</v>
      </c>
      <c r="S61">
        <v>233</v>
      </c>
    </row>
    <row r="62" spans="1:19" x14ac:dyDescent="0.25">
      <c r="A62">
        <v>2020</v>
      </c>
      <c r="B62" t="s">
        <v>1</v>
      </c>
      <c r="C62" t="s">
        <v>692</v>
      </c>
      <c r="D62">
        <v>106</v>
      </c>
      <c r="E62">
        <v>68</v>
      </c>
      <c r="F62">
        <v>235</v>
      </c>
      <c r="G62" t="s">
        <v>693</v>
      </c>
      <c r="H62" t="s">
        <v>250</v>
      </c>
      <c r="I62" t="s">
        <v>246</v>
      </c>
      <c r="J62" t="s">
        <v>235</v>
      </c>
      <c r="M62" s="15">
        <f t="shared" si="2"/>
        <v>106</v>
      </c>
      <c r="N62" s="15">
        <f t="shared" si="3"/>
        <v>68</v>
      </c>
      <c r="O62" s="15">
        <f t="shared" si="4"/>
        <v>235</v>
      </c>
      <c r="Q62">
        <v>106</v>
      </c>
      <c r="R62">
        <v>68</v>
      </c>
      <c r="S62">
        <v>235</v>
      </c>
    </row>
    <row r="63" spans="1:19" x14ac:dyDescent="0.25">
      <c r="A63">
        <v>2020</v>
      </c>
      <c r="B63" t="s">
        <v>1</v>
      </c>
      <c r="C63" t="s">
        <v>692</v>
      </c>
      <c r="D63">
        <v>115</v>
      </c>
      <c r="E63">
        <v>71.5</v>
      </c>
      <c r="F63">
        <v>230</v>
      </c>
      <c r="G63" t="s">
        <v>693</v>
      </c>
      <c r="H63" t="s">
        <v>250</v>
      </c>
      <c r="I63" t="s">
        <v>246</v>
      </c>
      <c r="J63" t="s">
        <v>251</v>
      </c>
      <c r="M63" s="15">
        <f t="shared" si="2"/>
        <v>115</v>
      </c>
      <c r="N63" s="15">
        <f t="shared" si="3"/>
        <v>71.5</v>
      </c>
      <c r="O63" s="15">
        <f t="shared" si="4"/>
        <v>230</v>
      </c>
      <c r="Q63">
        <v>115</v>
      </c>
      <c r="R63">
        <v>71.5</v>
      </c>
      <c r="S63">
        <v>230</v>
      </c>
    </row>
    <row r="64" spans="1:19" x14ac:dyDescent="0.25">
      <c r="A64">
        <v>2020</v>
      </c>
      <c r="B64" t="s">
        <v>1</v>
      </c>
      <c r="C64" t="s">
        <v>692</v>
      </c>
      <c r="D64">
        <v>121</v>
      </c>
      <c r="E64">
        <v>75</v>
      </c>
      <c r="F64">
        <v>230</v>
      </c>
      <c r="G64" t="s">
        <v>693</v>
      </c>
      <c r="H64" t="s">
        <v>250</v>
      </c>
      <c r="I64" t="s">
        <v>246</v>
      </c>
      <c r="J64" t="s">
        <v>252</v>
      </c>
      <c r="M64" s="15">
        <f t="shared" si="2"/>
        <v>121</v>
      </c>
      <c r="N64" s="15">
        <f t="shared" si="3"/>
        <v>75</v>
      </c>
      <c r="O64" s="15">
        <f t="shared" si="4"/>
        <v>230</v>
      </c>
      <c r="Q64">
        <v>121</v>
      </c>
      <c r="R64">
        <v>75</v>
      </c>
      <c r="S64">
        <v>230</v>
      </c>
    </row>
    <row r="65" spans="1:19" x14ac:dyDescent="0.25">
      <c r="A65">
        <v>2020</v>
      </c>
      <c r="B65" t="s">
        <v>1</v>
      </c>
      <c r="C65" t="s">
        <v>692</v>
      </c>
      <c r="D65">
        <v>130</v>
      </c>
      <c r="E65">
        <v>80</v>
      </c>
      <c r="F65">
        <v>228</v>
      </c>
      <c r="G65" t="s">
        <v>693</v>
      </c>
      <c r="H65" t="s">
        <v>283</v>
      </c>
      <c r="I65" t="s">
        <v>246</v>
      </c>
      <c r="J65" t="s">
        <v>202</v>
      </c>
      <c r="M65" s="15">
        <f t="shared" si="2"/>
        <v>130</v>
      </c>
      <c r="N65" s="15">
        <f t="shared" si="3"/>
        <v>80</v>
      </c>
      <c r="O65" s="15">
        <f t="shared" si="4"/>
        <v>228</v>
      </c>
      <c r="Q65">
        <v>130</v>
      </c>
      <c r="R65">
        <v>80</v>
      </c>
      <c r="S65">
        <v>228</v>
      </c>
    </row>
    <row r="66" spans="1:19" x14ac:dyDescent="0.25">
      <c r="A66">
        <v>2020</v>
      </c>
      <c r="B66" t="s">
        <v>1</v>
      </c>
      <c r="C66" t="s">
        <v>692</v>
      </c>
      <c r="D66">
        <v>140</v>
      </c>
      <c r="E66">
        <v>85</v>
      </c>
      <c r="F66">
        <v>228</v>
      </c>
      <c r="G66" t="s">
        <v>693</v>
      </c>
      <c r="H66" t="s">
        <v>283</v>
      </c>
      <c r="I66" t="s">
        <v>246</v>
      </c>
      <c r="J66" t="s">
        <v>205</v>
      </c>
      <c r="M66" s="15">
        <f t="shared" si="2"/>
        <v>140</v>
      </c>
      <c r="N66" s="15">
        <f t="shared" si="3"/>
        <v>85</v>
      </c>
      <c r="O66" s="15">
        <f t="shared" si="4"/>
        <v>228</v>
      </c>
      <c r="Q66">
        <v>140</v>
      </c>
      <c r="R66">
        <v>85</v>
      </c>
      <c r="S66">
        <v>228</v>
      </c>
    </row>
    <row r="67" spans="1:19" x14ac:dyDescent="0.25">
      <c r="A67">
        <v>2020</v>
      </c>
      <c r="B67" t="s">
        <v>1</v>
      </c>
      <c r="C67" t="s">
        <v>40</v>
      </c>
      <c r="D67">
        <v>159</v>
      </c>
      <c r="E67">
        <v>90</v>
      </c>
      <c r="F67">
        <v>230</v>
      </c>
      <c r="G67" t="s">
        <v>641</v>
      </c>
      <c r="H67" t="s">
        <v>283</v>
      </c>
      <c r="I67" t="s">
        <v>694</v>
      </c>
      <c r="J67" t="s">
        <v>227</v>
      </c>
      <c r="M67" s="15">
        <f t="shared" ref="M67:M84" si="5">_xlfn.REGEXREPLACE(D67,"[^0-9.]","")+0</f>
        <v>159</v>
      </c>
      <c r="N67" s="15">
        <f t="shared" ref="N67:N84" si="6">_xlfn.REGEXREPLACE(E67,"[^0-9.]","")+0</f>
        <v>90</v>
      </c>
      <c r="O67" s="15">
        <f t="shared" ref="O67:O84" si="7">_xlfn.REGEXREPLACE(F67,"[^0-9.]","")+0</f>
        <v>230</v>
      </c>
      <c r="Q67">
        <v>159</v>
      </c>
      <c r="R67">
        <v>90</v>
      </c>
      <c r="S67">
        <v>230</v>
      </c>
    </row>
    <row r="68" spans="1:19" x14ac:dyDescent="0.25">
      <c r="A68">
        <v>2020</v>
      </c>
      <c r="B68" t="s">
        <v>1</v>
      </c>
      <c r="C68" t="s">
        <v>695</v>
      </c>
      <c r="D68">
        <v>54</v>
      </c>
      <c r="E68">
        <v>44</v>
      </c>
      <c r="F68">
        <v>230</v>
      </c>
      <c r="G68" t="s">
        <v>691</v>
      </c>
      <c r="H68" t="s">
        <v>245</v>
      </c>
      <c r="I68" t="s">
        <v>246</v>
      </c>
      <c r="J68" t="s">
        <v>139</v>
      </c>
      <c r="M68" s="15">
        <f t="shared" si="5"/>
        <v>54</v>
      </c>
      <c r="N68" s="15">
        <f t="shared" si="6"/>
        <v>44</v>
      </c>
      <c r="O68" s="15">
        <f t="shared" si="7"/>
        <v>230</v>
      </c>
      <c r="Q68">
        <v>54</v>
      </c>
      <c r="R68">
        <v>44</v>
      </c>
      <c r="S68">
        <v>230</v>
      </c>
    </row>
    <row r="69" spans="1:19" x14ac:dyDescent="0.25">
      <c r="A69">
        <v>2020</v>
      </c>
      <c r="B69" t="s">
        <v>1</v>
      </c>
      <c r="C69" t="s">
        <v>695</v>
      </c>
      <c r="D69">
        <v>70</v>
      </c>
      <c r="E69">
        <v>52.5</v>
      </c>
      <c r="F69">
        <v>230</v>
      </c>
      <c r="G69" t="s">
        <v>691</v>
      </c>
      <c r="H69" t="s">
        <v>245</v>
      </c>
      <c r="I69" t="s">
        <v>246</v>
      </c>
      <c r="J69" t="s">
        <v>257</v>
      </c>
      <c r="M69" s="15">
        <f t="shared" si="5"/>
        <v>70</v>
      </c>
      <c r="N69" s="15">
        <f t="shared" si="6"/>
        <v>52.5</v>
      </c>
      <c r="O69" s="15">
        <f t="shared" si="7"/>
        <v>230</v>
      </c>
      <c r="Q69">
        <v>70</v>
      </c>
      <c r="R69">
        <v>52.5</v>
      </c>
      <c r="S69">
        <v>230</v>
      </c>
    </row>
    <row r="70" spans="1:19" x14ac:dyDescent="0.25">
      <c r="A70">
        <v>2020</v>
      </c>
      <c r="B70" t="s">
        <v>1</v>
      </c>
      <c r="C70" t="s">
        <v>696</v>
      </c>
      <c r="D70">
        <v>110</v>
      </c>
      <c r="E70">
        <v>65</v>
      </c>
      <c r="F70">
        <v>215</v>
      </c>
      <c r="G70" t="s">
        <v>658</v>
      </c>
      <c r="H70" t="s">
        <v>697</v>
      </c>
      <c r="I70" t="s">
        <v>246</v>
      </c>
      <c r="J70" t="s">
        <v>193</v>
      </c>
      <c r="M70" s="15">
        <f t="shared" si="5"/>
        <v>110</v>
      </c>
      <c r="N70" s="15">
        <f t="shared" si="6"/>
        <v>65</v>
      </c>
      <c r="O70" s="15">
        <f t="shared" si="7"/>
        <v>215</v>
      </c>
      <c r="Q70">
        <v>110</v>
      </c>
      <c r="R70">
        <v>65</v>
      </c>
      <c r="S70">
        <v>215</v>
      </c>
    </row>
    <row r="71" spans="1:19" x14ac:dyDescent="0.25">
      <c r="A71">
        <v>2020</v>
      </c>
      <c r="B71" t="s">
        <v>1</v>
      </c>
      <c r="C71" t="s">
        <v>696</v>
      </c>
      <c r="D71">
        <v>125</v>
      </c>
      <c r="E71">
        <v>75</v>
      </c>
      <c r="F71">
        <v>228</v>
      </c>
      <c r="G71" t="s">
        <v>660</v>
      </c>
      <c r="H71" t="s">
        <v>697</v>
      </c>
      <c r="I71" t="s">
        <v>246</v>
      </c>
      <c r="J71" t="s">
        <v>199</v>
      </c>
      <c r="M71" s="15">
        <f t="shared" si="5"/>
        <v>125</v>
      </c>
      <c r="N71" s="15">
        <f t="shared" si="6"/>
        <v>75</v>
      </c>
      <c r="O71" s="15">
        <f t="shared" si="7"/>
        <v>228</v>
      </c>
      <c r="Q71">
        <v>125</v>
      </c>
      <c r="R71">
        <v>75</v>
      </c>
      <c r="S71">
        <v>228</v>
      </c>
    </row>
    <row r="72" spans="1:19" x14ac:dyDescent="0.25">
      <c r="A72">
        <v>2020</v>
      </c>
      <c r="B72" t="s">
        <v>1</v>
      </c>
      <c r="C72" t="s">
        <v>696</v>
      </c>
      <c r="D72">
        <v>140</v>
      </c>
      <c r="E72">
        <v>85</v>
      </c>
      <c r="F72">
        <v>228</v>
      </c>
      <c r="G72" t="s">
        <v>660</v>
      </c>
      <c r="H72" t="s">
        <v>697</v>
      </c>
      <c r="I72" t="s">
        <v>246</v>
      </c>
      <c r="J72" t="s">
        <v>238</v>
      </c>
      <c r="M72" s="15">
        <f t="shared" si="5"/>
        <v>140</v>
      </c>
      <c r="N72" s="15">
        <f t="shared" si="6"/>
        <v>85</v>
      </c>
      <c r="O72" s="15">
        <f t="shared" si="7"/>
        <v>228</v>
      </c>
      <c r="Q72">
        <v>140</v>
      </c>
      <c r="R72">
        <v>85</v>
      </c>
      <c r="S72">
        <v>228</v>
      </c>
    </row>
    <row r="73" spans="1:19" x14ac:dyDescent="0.25">
      <c r="A73">
        <v>2020</v>
      </c>
      <c r="B73" t="s">
        <v>1</v>
      </c>
      <c r="C73" t="s">
        <v>698</v>
      </c>
      <c r="D73">
        <v>125</v>
      </c>
      <c r="E73">
        <v>75</v>
      </c>
      <c r="F73">
        <v>228</v>
      </c>
      <c r="G73" t="s">
        <v>593</v>
      </c>
      <c r="H73" t="s">
        <v>697</v>
      </c>
      <c r="I73" t="s">
        <v>246</v>
      </c>
      <c r="J73" t="s">
        <v>199</v>
      </c>
      <c r="M73" s="15">
        <f t="shared" si="5"/>
        <v>125</v>
      </c>
      <c r="N73" s="15">
        <f t="shared" si="6"/>
        <v>75</v>
      </c>
      <c r="O73" s="15">
        <f t="shared" si="7"/>
        <v>228</v>
      </c>
      <c r="Q73">
        <v>125</v>
      </c>
      <c r="R73">
        <v>75</v>
      </c>
      <c r="S73">
        <v>228</v>
      </c>
    </row>
    <row r="74" spans="1:19" x14ac:dyDescent="0.25">
      <c r="A74">
        <v>2020</v>
      </c>
      <c r="B74" t="s">
        <v>1</v>
      </c>
      <c r="C74" t="s">
        <v>698</v>
      </c>
      <c r="D74">
        <v>140</v>
      </c>
      <c r="E74">
        <v>85</v>
      </c>
      <c r="F74">
        <v>228</v>
      </c>
      <c r="G74" t="s">
        <v>593</v>
      </c>
      <c r="H74" t="s">
        <v>697</v>
      </c>
      <c r="I74" t="s">
        <v>246</v>
      </c>
      <c r="J74" t="s">
        <v>238</v>
      </c>
      <c r="M74" s="15">
        <f t="shared" si="5"/>
        <v>140</v>
      </c>
      <c r="N74" s="15">
        <f t="shared" si="6"/>
        <v>85</v>
      </c>
      <c r="O74" s="15">
        <f t="shared" si="7"/>
        <v>228</v>
      </c>
      <c r="Q74">
        <v>140</v>
      </c>
      <c r="R74">
        <v>85</v>
      </c>
      <c r="S74">
        <v>228</v>
      </c>
    </row>
    <row r="75" spans="1:19" x14ac:dyDescent="0.25">
      <c r="A75">
        <v>2020</v>
      </c>
      <c r="B75" t="s">
        <v>1</v>
      </c>
      <c r="C75" t="s">
        <v>699</v>
      </c>
      <c r="D75">
        <v>180</v>
      </c>
      <c r="E75">
        <v>91</v>
      </c>
      <c r="F75">
        <v>230</v>
      </c>
      <c r="G75" t="s">
        <v>691</v>
      </c>
      <c r="H75" t="s">
        <v>283</v>
      </c>
      <c r="I75" t="s">
        <v>246</v>
      </c>
      <c r="J75" t="s">
        <v>227</v>
      </c>
      <c r="M75" s="15">
        <f t="shared" si="5"/>
        <v>180</v>
      </c>
      <c r="N75" s="15">
        <f t="shared" si="6"/>
        <v>91</v>
      </c>
      <c r="O75" s="15">
        <f t="shared" si="7"/>
        <v>230</v>
      </c>
      <c r="Q75">
        <v>180</v>
      </c>
      <c r="R75">
        <v>91</v>
      </c>
      <c r="S75">
        <v>230</v>
      </c>
    </row>
    <row r="76" spans="1:19" x14ac:dyDescent="0.25">
      <c r="A76">
        <v>2020</v>
      </c>
      <c r="B76" t="s">
        <v>1</v>
      </c>
      <c r="C76" t="s">
        <v>113</v>
      </c>
      <c r="D76">
        <v>160</v>
      </c>
      <c r="E76">
        <v>75</v>
      </c>
      <c r="F76">
        <v>275</v>
      </c>
      <c r="G76" t="s">
        <v>700</v>
      </c>
      <c r="H76" t="s">
        <v>179</v>
      </c>
      <c r="I76" t="s">
        <v>682</v>
      </c>
      <c r="J76" t="s">
        <v>205</v>
      </c>
      <c r="M76" s="15">
        <f t="shared" si="5"/>
        <v>160</v>
      </c>
      <c r="N76" s="15">
        <f t="shared" si="6"/>
        <v>75</v>
      </c>
      <c r="O76" s="15">
        <f t="shared" si="7"/>
        <v>275</v>
      </c>
      <c r="Q76">
        <v>160</v>
      </c>
      <c r="R76">
        <v>75</v>
      </c>
      <c r="S76">
        <v>275</v>
      </c>
    </row>
    <row r="77" spans="1:19" x14ac:dyDescent="0.25">
      <c r="A77">
        <v>2020</v>
      </c>
      <c r="B77" t="s">
        <v>1</v>
      </c>
      <c r="C77" t="s">
        <v>113</v>
      </c>
      <c r="D77">
        <v>190</v>
      </c>
      <c r="E77">
        <v>80</v>
      </c>
      <c r="F77">
        <v>280</v>
      </c>
      <c r="G77" t="s">
        <v>700</v>
      </c>
      <c r="H77" t="s">
        <v>179</v>
      </c>
      <c r="I77" t="s">
        <v>682</v>
      </c>
      <c r="J77" t="s">
        <v>205</v>
      </c>
      <c r="M77" s="15">
        <f t="shared" si="5"/>
        <v>190</v>
      </c>
      <c r="N77" s="15">
        <f t="shared" si="6"/>
        <v>80</v>
      </c>
      <c r="O77" s="15">
        <f t="shared" si="7"/>
        <v>280</v>
      </c>
      <c r="Q77">
        <v>190</v>
      </c>
      <c r="R77">
        <v>80</v>
      </c>
      <c r="S77">
        <v>280</v>
      </c>
    </row>
    <row r="78" spans="1:19" x14ac:dyDescent="0.25">
      <c r="A78">
        <v>2020</v>
      </c>
      <c r="B78" t="s">
        <v>1</v>
      </c>
      <c r="C78" t="s">
        <v>113</v>
      </c>
      <c r="D78">
        <v>220</v>
      </c>
      <c r="E78">
        <v>85</v>
      </c>
      <c r="F78">
        <v>285</v>
      </c>
      <c r="G78" t="s">
        <v>700</v>
      </c>
      <c r="H78" t="s">
        <v>179</v>
      </c>
      <c r="I78" t="s">
        <v>682</v>
      </c>
      <c r="J78" t="s">
        <v>205</v>
      </c>
      <c r="M78" s="15">
        <f t="shared" si="5"/>
        <v>220</v>
      </c>
      <c r="N78" s="15">
        <f t="shared" si="6"/>
        <v>85</v>
      </c>
      <c r="O78" s="15">
        <f t="shared" si="7"/>
        <v>285</v>
      </c>
      <c r="Q78">
        <v>220</v>
      </c>
      <c r="R78">
        <v>85</v>
      </c>
      <c r="S78">
        <v>285</v>
      </c>
    </row>
    <row r="79" spans="1:19" x14ac:dyDescent="0.25">
      <c r="A79">
        <v>2020</v>
      </c>
      <c r="B79" t="s">
        <v>1</v>
      </c>
      <c r="C79" t="s">
        <v>113</v>
      </c>
      <c r="D79">
        <v>240</v>
      </c>
      <c r="E79">
        <v>91</v>
      </c>
      <c r="F79">
        <v>290</v>
      </c>
      <c r="G79" t="s">
        <v>700</v>
      </c>
      <c r="H79" t="s">
        <v>179</v>
      </c>
      <c r="I79" t="s">
        <v>682</v>
      </c>
      <c r="J79" t="s">
        <v>205</v>
      </c>
      <c r="M79" s="15">
        <f t="shared" si="5"/>
        <v>240</v>
      </c>
      <c r="N79" s="15">
        <f t="shared" si="6"/>
        <v>91</v>
      </c>
      <c r="O79" s="15">
        <f t="shared" si="7"/>
        <v>290</v>
      </c>
      <c r="Q79">
        <v>240</v>
      </c>
      <c r="R79">
        <v>91</v>
      </c>
      <c r="S79">
        <v>290</v>
      </c>
    </row>
    <row r="80" spans="1:19" x14ac:dyDescent="0.25">
      <c r="A80">
        <v>2020</v>
      </c>
      <c r="B80" t="s">
        <v>1</v>
      </c>
      <c r="C80" t="s">
        <v>701</v>
      </c>
      <c r="D80">
        <v>112</v>
      </c>
      <c r="E80">
        <v>73</v>
      </c>
      <c r="F80">
        <v>239</v>
      </c>
      <c r="G80" t="s">
        <v>700</v>
      </c>
      <c r="H80" t="s">
        <v>179</v>
      </c>
      <c r="I80" t="s">
        <v>702</v>
      </c>
      <c r="J80" t="s">
        <v>193</v>
      </c>
      <c r="M80" s="15">
        <f t="shared" si="5"/>
        <v>112</v>
      </c>
      <c r="N80" s="15">
        <f t="shared" si="6"/>
        <v>73</v>
      </c>
      <c r="O80" s="15">
        <f t="shared" si="7"/>
        <v>239</v>
      </c>
      <c r="Q80">
        <v>112</v>
      </c>
      <c r="R80">
        <v>73</v>
      </c>
      <c r="S80">
        <v>239</v>
      </c>
    </row>
    <row r="81" spans="1:19" x14ac:dyDescent="0.25">
      <c r="A81">
        <v>2020</v>
      </c>
      <c r="B81" t="s">
        <v>1</v>
      </c>
      <c r="C81" t="s">
        <v>703</v>
      </c>
      <c r="D81">
        <v>355</v>
      </c>
      <c r="E81">
        <v>85.1</v>
      </c>
      <c r="F81">
        <v>335.3</v>
      </c>
      <c r="G81" t="s">
        <v>426</v>
      </c>
      <c r="H81" t="s">
        <v>269</v>
      </c>
      <c r="I81" t="s">
        <v>704</v>
      </c>
      <c r="J81" t="s">
        <v>705</v>
      </c>
      <c r="M81" s="15">
        <f t="shared" si="5"/>
        <v>355</v>
      </c>
      <c r="N81" s="15">
        <f t="shared" si="6"/>
        <v>85.1</v>
      </c>
      <c r="O81" s="15">
        <f t="shared" si="7"/>
        <v>335.3</v>
      </c>
      <c r="Q81">
        <v>355</v>
      </c>
      <c r="R81">
        <v>85.1</v>
      </c>
      <c r="S81">
        <v>335.3</v>
      </c>
    </row>
    <row r="82" spans="1:19" x14ac:dyDescent="0.25">
      <c r="A82">
        <v>2020</v>
      </c>
      <c r="B82" t="s">
        <v>1</v>
      </c>
      <c r="C82" t="s">
        <v>706</v>
      </c>
      <c r="D82">
        <v>355</v>
      </c>
      <c r="E82">
        <v>85.1</v>
      </c>
      <c r="F82">
        <v>335.3</v>
      </c>
      <c r="G82" t="s">
        <v>707</v>
      </c>
      <c r="H82" t="s">
        <v>269</v>
      </c>
      <c r="I82" t="s">
        <v>704</v>
      </c>
      <c r="J82" t="s">
        <v>705</v>
      </c>
      <c r="M82" s="15">
        <f t="shared" si="5"/>
        <v>355</v>
      </c>
      <c r="N82" s="15">
        <f t="shared" si="6"/>
        <v>85.1</v>
      </c>
      <c r="O82" s="15">
        <f t="shared" si="7"/>
        <v>335.3</v>
      </c>
      <c r="Q82">
        <v>355</v>
      </c>
      <c r="R82">
        <v>85.1</v>
      </c>
      <c r="S82">
        <v>335.3</v>
      </c>
    </row>
    <row r="83" spans="1:19" x14ac:dyDescent="0.25">
      <c r="A83">
        <v>2020</v>
      </c>
      <c r="B83" t="s">
        <v>1</v>
      </c>
      <c r="C83" t="s">
        <v>708</v>
      </c>
      <c r="D83">
        <v>187</v>
      </c>
      <c r="E83">
        <v>73.7</v>
      </c>
      <c r="F83">
        <v>274.3</v>
      </c>
      <c r="G83" t="s">
        <v>707</v>
      </c>
      <c r="H83" t="s">
        <v>269</v>
      </c>
      <c r="I83" t="s">
        <v>704</v>
      </c>
      <c r="J83" t="s">
        <v>705</v>
      </c>
      <c r="M83" s="15">
        <f t="shared" si="5"/>
        <v>187</v>
      </c>
      <c r="N83" s="15">
        <f t="shared" si="6"/>
        <v>73.7</v>
      </c>
      <c r="O83" s="15">
        <f t="shared" si="7"/>
        <v>274.3</v>
      </c>
      <c r="Q83">
        <v>187</v>
      </c>
      <c r="R83">
        <v>73.7</v>
      </c>
      <c r="S83">
        <v>274.3</v>
      </c>
    </row>
    <row r="84" spans="1:19" x14ac:dyDescent="0.25">
      <c r="A84">
        <v>2020</v>
      </c>
      <c r="B84" t="s">
        <v>1</v>
      </c>
      <c r="C84" t="s">
        <v>277</v>
      </c>
      <c r="D84">
        <v>505</v>
      </c>
      <c r="E84">
        <v>86.4</v>
      </c>
      <c r="F84">
        <v>487.6</v>
      </c>
      <c r="G84" t="s">
        <v>426</v>
      </c>
      <c r="H84" t="s">
        <v>269</v>
      </c>
      <c r="I84" t="s">
        <v>704</v>
      </c>
      <c r="J84" t="s">
        <v>705</v>
      </c>
      <c r="M84" s="15">
        <f t="shared" si="5"/>
        <v>505</v>
      </c>
      <c r="N84" s="15">
        <f t="shared" si="6"/>
        <v>86.4</v>
      </c>
      <c r="O84" s="15">
        <f t="shared" si="7"/>
        <v>487.6</v>
      </c>
      <c r="Q84">
        <v>505</v>
      </c>
      <c r="R84">
        <v>86.4</v>
      </c>
      <c r="S84">
        <v>487.6</v>
      </c>
    </row>
  </sheetData>
  <phoneticPr fontId="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DD8AF-1879-4F83-8F98-1601FAF2D9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Boards Catalogue</vt:lpstr>
      <vt:lpstr>APPROVED SERIES PRODUCTION </vt:lpstr>
      <vt:lpstr>GPS-Boards-Validation</vt:lpstr>
      <vt:lpstr>Temp-Berra-ToAddAfterReview</vt:lpstr>
      <vt:lpstr>Temp-Berra-unit-remove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2026-04-23T05:39:45Z</dcterms:modified>
</cp:coreProperties>
</file>