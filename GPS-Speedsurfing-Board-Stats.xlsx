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bjorn\Documents\bjorn76\WS\"/>
    </mc:Choice>
  </mc:AlternateContent>
  <xr:revisionPtr revIDLastSave="0" documentId="13_ncr:1_{8C79CE99-56ED-4831-9D35-25B49B369D7A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Board Stats" sheetId="2" r:id="rId1"/>
    <sheet name="windsurfing.pl" sheetId="3" r:id="rId2"/>
    <sheet name="ddl" sheetId="4" r:id="rId3"/>
  </sheets>
  <definedNames>
    <definedName name="_xlnm._FilterDatabase" localSheetId="0" hidden="1">'Board Stats'!$A$2:$K$2</definedName>
    <definedName name="rYear">ddl!$A$2:$A$18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K69" i="2" l="1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3" i="2"/>
</calcChain>
</file>

<file path=xl/sharedStrings.xml><?xml version="1.0" encoding="utf-8"?>
<sst xmlns="http://schemas.openxmlformats.org/spreadsheetml/2006/main" count="542" uniqueCount="213">
  <si>
    <t>#</t>
  </si>
  <si>
    <t>ID</t>
  </si>
  <si>
    <t>Brand</t>
  </si>
  <si>
    <t>Type</t>
  </si>
  <si>
    <t>Size</t>
  </si>
  <si>
    <t>Volume</t>
  </si>
  <si>
    <t>Year</t>
  </si>
  <si>
    <t>Class</t>
  </si>
  <si>
    <t>Sessions</t>
  </si>
  <si>
    <t>In Quiver</t>
  </si>
  <si>
    <t>RRD</t>
  </si>
  <si>
    <t>Custom Aurelio Verdi</t>
  </si>
  <si>
    <t>39 x 226 cm</t>
  </si>
  <si>
    <t>45 l</t>
  </si>
  <si>
    <t>Speedboard</t>
  </si>
  <si>
    <t>43 x 223 cm</t>
  </si>
  <si>
    <t>50 l</t>
  </si>
  <si>
    <t>43 x 220 cm</t>
  </si>
  <si>
    <t>48 l</t>
  </si>
  <si>
    <t>Fire Storm Wood V2</t>
  </si>
  <si>
    <t>75 x 239 cm</t>
  </si>
  <si>
    <t>129 l</t>
  </si>
  <si>
    <t>Slalom Large</t>
  </si>
  <si>
    <t>Firemove Ltd V2 102</t>
  </si>
  <si>
    <t>68 x 238 cm</t>
  </si>
  <si>
    <t>102 l</t>
  </si>
  <si>
    <t>Wave / Freestyle</t>
  </si>
  <si>
    <t>Firemove Ltd V2 112</t>
  </si>
  <si>
    <t>74 x 238 cm</t>
  </si>
  <si>
    <t>112 l</t>
  </si>
  <si>
    <t>Firemove Ltd V2 122</t>
  </si>
  <si>
    <t>79 x 238 cm</t>
  </si>
  <si>
    <t>122 l</t>
  </si>
  <si>
    <t>Firemove Ltd V2 130</t>
  </si>
  <si>
    <t>85 x 236 cm</t>
  </si>
  <si>
    <t>130 l</t>
  </si>
  <si>
    <t>Firemove Ltd V2 140</t>
  </si>
  <si>
    <t>90 x 238 cm</t>
  </si>
  <si>
    <t>140 l</t>
  </si>
  <si>
    <t>Firemove V2 Wood</t>
  </si>
  <si>
    <t>firestorm 111</t>
  </si>
  <si>
    <t>68 x 236 cm</t>
  </si>
  <si>
    <t>111 l</t>
  </si>
  <si>
    <t>-</t>
  </si>
  <si>
    <t>Firestorm LTD</t>
  </si>
  <si>
    <t>72 x 238 cm</t>
  </si>
  <si>
    <t>120 l</t>
  </si>
  <si>
    <t>Firestorm LTD V2</t>
  </si>
  <si>
    <t>77 x 240 cm</t>
  </si>
  <si>
    <t>138 l</t>
  </si>
  <si>
    <t>Firewave LTD</t>
  </si>
  <si>
    <t>62 x 235 cm</t>
  </si>
  <si>
    <t>92 l</t>
  </si>
  <si>
    <t>freerace</t>
  </si>
  <si>
    <t>74 x 240 cm</t>
  </si>
  <si>
    <t>proto Firestorm V3 #053</t>
  </si>
  <si>
    <t>65 x 235 cm</t>
  </si>
  <si>
    <t>101 l</t>
  </si>
  <si>
    <t>Slalom Medium</t>
  </si>
  <si>
    <t>Proto X-Fire 98 V7</t>
  </si>
  <si>
    <t>98 l</t>
  </si>
  <si>
    <t>Speed/Slalom Small</t>
  </si>
  <si>
    <t>Slalom</t>
  </si>
  <si>
    <t>85 x 270 cm</t>
  </si>
  <si>
    <t>Slalom Large Proto</t>
  </si>
  <si>
    <t>90 x 232 cm</t>
  </si>
  <si>
    <t>144 l</t>
  </si>
  <si>
    <t>Slalom Xtra Large</t>
  </si>
  <si>
    <t>Speed 41</t>
  </si>
  <si>
    <t>41 x 226 cm</t>
  </si>
  <si>
    <t>54 l</t>
  </si>
  <si>
    <t>Speed 43</t>
  </si>
  <si>
    <t>43 x 225 cm</t>
  </si>
  <si>
    <t>63 l</t>
  </si>
  <si>
    <t>speed board</t>
  </si>
  <si>
    <t>42 x 225 cm</t>
  </si>
  <si>
    <t>58 l</t>
  </si>
  <si>
    <t>x fire</t>
  </si>
  <si>
    <t>X-Fire LTD V6 105</t>
  </si>
  <si>
    <t>105 l</t>
  </si>
  <si>
    <t>X-Fire LTD V6 114</t>
  </si>
  <si>
    <t>70 x 235 cm</t>
  </si>
  <si>
    <t>114 l</t>
  </si>
  <si>
    <t>X-Fire LTD V6 122</t>
  </si>
  <si>
    <t>81 x 228 cm</t>
  </si>
  <si>
    <t>X-Fire LTD V6 129</t>
  </si>
  <si>
    <t>85 x 228 cm</t>
  </si>
  <si>
    <t>X-Fire LTD V6 90</t>
  </si>
  <si>
    <t>59 x 235 cm</t>
  </si>
  <si>
    <t>90 l</t>
  </si>
  <si>
    <t>X-Fire LTD V6 98</t>
  </si>
  <si>
    <t>X-Fire LTD V7 105</t>
  </si>
  <si>
    <t>X-Fire LTD V7 114</t>
  </si>
  <si>
    <t>X-Fire LTD V7 122</t>
  </si>
  <si>
    <t>X-Fire LTD V7 129</t>
  </si>
  <si>
    <t>X-Fire LTD V7 80</t>
  </si>
  <si>
    <t>53 x 235 cm</t>
  </si>
  <si>
    <t>80 l</t>
  </si>
  <si>
    <t>X-Fire LTD V7 90</t>
  </si>
  <si>
    <t>X-Fire LTD V7 98</t>
  </si>
  <si>
    <t>X-Fire V5 LTD 128</t>
  </si>
  <si>
    <t>XiFire LTD V6 90</t>
  </si>
  <si>
    <t>https://www.gps-speedsurfing.com/mypage/boardstats?id=</t>
  </si>
  <si>
    <t>Link</t>
  </si>
  <si>
    <t>Custom Speed</t>
  </si>
  <si>
    <t>0 x 0 cm</t>
  </si>
  <si>
    <t>0 l</t>
  </si>
  <si>
    <t>Firemove</t>
  </si>
  <si>
    <t>236 x 85 cm</t>
  </si>
  <si>
    <t>firemove</t>
  </si>
  <si>
    <t>75 x 235 cm</t>
  </si>
  <si>
    <t>110 l</t>
  </si>
  <si>
    <t>FireMove 120 LTD</t>
  </si>
  <si>
    <t>80 x 236 cm</t>
  </si>
  <si>
    <t>FireMove 140 LTD</t>
  </si>
  <si>
    <t>Firemove LTD</t>
  </si>
  <si>
    <t>69 x 236 cm</t>
  </si>
  <si>
    <t>100 l</t>
  </si>
  <si>
    <t>Firemove LTD 130</t>
  </si>
  <si>
    <t>firerace</t>
  </si>
  <si>
    <t>69 x 235 cm</t>
  </si>
  <si>
    <t>Firerace W-tech 102</t>
  </si>
  <si>
    <t>Firerace W-tech 112</t>
  </si>
  <si>
    <t>Firestorm 120 W-tech</t>
  </si>
  <si>
    <t>FireWave 102 LTD</t>
  </si>
  <si>
    <t>64 x 235 cm</t>
  </si>
  <si>
    <t>Freestyle Wave</t>
  </si>
  <si>
    <t>59 x 234 cm</t>
  </si>
  <si>
    <t>84 l</t>
  </si>
  <si>
    <t>Freestyle Wave LTD</t>
  </si>
  <si>
    <t>31 x 233 cm</t>
  </si>
  <si>
    <t>63 x 234 cm</t>
  </si>
  <si>
    <t>96 l</t>
  </si>
  <si>
    <t>FreeStyleWave</t>
  </si>
  <si>
    <t>Frrestyle Wave 102</t>
  </si>
  <si>
    <t>65 x 233 cm</t>
  </si>
  <si>
    <t>Slalom/speed</t>
  </si>
  <si>
    <t>59 x 240 cm</t>
  </si>
  <si>
    <t>X-fire LTD V5</t>
  </si>
  <si>
    <t>58 x 240 cm</t>
  </si>
  <si>
    <t>X-Fire LTD V5 105</t>
  </si>
  <si>
    <t>X-Fire LTD V5 114</t>
  </si>
  <si>
    <t>X-Fire LTD V5 114 2013</t>
  </si>
  <si>
    <t>X-Fire LTD V5 122</t>
  </si>
  <si>
    <t>X-Fire LTD V5 129</t>
  </si>
  <si>
    <t>X-Fire LTD V5 90</t>
  </si>
  <si>
    <t>X-Fire LTD V5 98</t>
  </si>
  <si>
    <t>Fire Storm 111</t>
  </si>
  <si>
    <t>38 x 238 cm</t>
  </si>
  <si>
    <t>Fire Storm 138 W-Tech</t>
  </si>
  <si>
    <t>Fire Strom LTD</t>
  </si>
  <si>
    <t>firemove 100</t>
  </si>
  <si>
    <t>FireMove 100 X-Tech</t>
  </si>
  <si>
    <t>firemove 110</t>
  </si>
  <si>
    <t>75 x 232 cm</t>
  </si>
  <si>
    <t>FireMove 110 X-Tech</t>
  </si>
  <si>
    <t>75 x 236 cm</t>
  </si>
  <si>
    <t>Firemove 120</t>
  </si>
  <si>
    <t>80 x 235 cm</t>
  </si>
  <si>
    <t>Wingboard</t>
  </si>
  <si>
    <t>Firemove LTD 100</t>
  </si>
  <si>
    <t>Firemove LTD 110</t>
  </si>
  <si>
    <t>Firerace V3 122</t>
  </si>
  <si>
    <t>79 x 225 cm</t>
  </si>
  <si>
    <t>Firestorm</t>
  </si>
  <si>
    <t>72 x 235 cm</t>
  </si>
  <si>
    <t>59 x 232 cm</t>
  </si>
  <si>
    <t>Freestyle Wave 90 X-Tech</t>
  </si>
  <si>
    <t>61 x 233 cm</t>
  </si>
  <si>
    <t>Freestyle Wave 96 LTD</t>
  </si>
  <si>
    <t>FreestyleWave</t>
  </si>
  <si>
    <t>TwinTip LTD</t>
  </si>
  <si>
    <t>635 x 231 cm</t>
  </si>
  <si>
    <t>wave cult</t>
  </si>
  <si>
    <t>565 x 230 cm</t>
  </si>
  <si>
    <t>77 l</t>
  </si>
  <si>
    <t>X-fire</t>
  </si>
  <si>
    <t>85 x 225 cm</t>
  </si>
  <si>
    <t>135 l</t>
  </si>
  <si>
    <t>xfire 105</t>
  </si>
  <si>
    <t>60 x 250 cm</t>
  </si>
  <si>
    <t>X-Fire 80 V</t>
  </si>
  <si>
    <t>Speed/Slalom Xtra Small</t>
  </si>
  <si>
    <t>X-Fire LTD 105</t>
  </si>
  <si>
    <t>65 x 230 cm</t>
  </si>
  <si>
    <t>X-Fire Ltd V3 122</t>
  </si>
  <si>
    <t>X-Fire LTD V4</t>
  </si>
  <si>
    <t>X-Fire LTD V4 105</t>
  </si>
  <si>
    <t>X-Fire LTD V4 114</t>
  </si>
  <si>
    <t>X-Fire LTD V4 122</t>
  </si>
  <si>
    <t>X-Fire LTD V4 129</t>
  </si>
  <si>
    <t>134 l</t>
  </si>
  <si>
    <t>X-Fire LTD V4 90</t>
  </si>
  <si>
    <t>X-Fire LTD V4 98</t>
  </si>
  <si>
    <t>X-FIRE V3</t>
  </si>
  <si>
    <t>X-Fire V4</t>
  </si>
  <si>
    <t>https://www.windsurfing.pl/equipment-catalog/?eqtype=1&amp;eqbrand=45&amp;eqyear=2013</t>
  </si>
  <si>
    <t>Brand#</t>
  </si>
  <si>
    <t>https://www.windsurfing.pl/equipment-catalog/?eqtype=1&amp;eqbrand=</t>
  </si>
  <si>
    <t>45&amp;eqyear=2013</t>
  </si>
  <si>
    <t>JP</t>
  </si>
  <si>
    <t>Fanatic</t>
  </si>
  <si>
    <t>Mistral</t>
  </si>
  <si>
    <t>Tabou</t>
  </si>
  <si>
    <t>Tiga</t>
  </si>
  <si>
    <t>Naish</t>
  </si>
  <si>
    <t>rYear</t>
  </si>
  <si>
    <t>F2</t>
  </si>
  <si>
    <t>AHD</t>
  </si>
  <si>
    <t>Attack</t>
  </si>
  <si>
    <t>BIC</t>
  </si>
  <si>
    <t>Excocet</t>
  </si>
  <si>
    <t>https://www.windsurfing.pl/equipment/7047,rrd-x-fire-ltd-v5-90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</si>
</sst>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CC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2" fillId="0" borderId="0" xfId="1"/>
    <xf numFmtId="0" fontId="1" fillId="0" borderId="0" xfId="0" applyFont="1"/>
    <xf numFmtId="0" fontId="0" fillId="0" borderId="0" xfId="0" applyFill="1"/>
    <xf numFmtId="0" fontId="3" fillId="0" borderId="0" xfId="0" applyFont="1"/>
    <xf numFmtId="0" fontId="3" fillId="0" borderId="0" xfId="0" applyFont="1" applyFill="1"/>
    <xf numFmtId="0" fontId="1" fillId="2" borderId="0" xfId="0" applyFont="1" applyFill="1"/>
    <xf numFmtId="0" fontId="1" fillId="3" borderId="0" xfId="0" applyFont="1" applyFill="1"/>
    <xf numFmtId="0" fontId="0" fillId="4" borderId="0" xfId="0" applyFill="1"/>
    <xf numFmtId="0" fontId="2" fillId="0" borderId="0" xfId="1" applyFill="1"/>
    <xf numFmtId="0" fontId="1" fillId="4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windsurfing.pl/equipment/7047,rrd-x-fire-ltd-v5-90" TargetMode="External"/><Relationship Id="rId1" Type="http://schemas.openxmlformats.org/officeDocument/2006/relationships/hyperlink" Target="https://www.windsurfing.pl/equipment-catalog/?eqtype=1&amp;eqbrand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76202-A1A0-4430-9DEF-EFCA8AEA998F}">
  <dimension ref="A1:K104"/>
  <sheetViews>
    <sheetView tabSelected="1" workbookViewId="0">
      <pane ySplit="2" topLeftCell="A15" activePane="bottomLeft" state="frozen"/>
      <selection pane="bottomLeft" activeCell="K30" sqref="K30"/>
    </sheetView>
  </sheetViews>
  <sheetFormatPr defaultRowHeight="15" x14ac:dyDescent="0.25"/>
  <cols>
    <col min="1" max="1" width="5.140625" customWidth="1"/>
    <col min="4" max="4" width="24" bestFit="1" customWidth="1"/>
    <col min="5" max="5" width="37" bestFit="1" customWidth="1"/>
    <col min="6" max="6" width="10.28515625" bestFit="1" customWidth="1"/>
    <col min="7" max="7" width="7.28515625" bestFit="1" customWidth="1"/>
    <col min="8" max="8" width="23.140625" bestFit="1" customWidth="1"/>
    <col min="11" max="11" width="26.28515625" customWidth="1"/>
  </cols>
  <sheetData>
    <row r="1" spans="1:11" s="4" customFormat="1" ht="13.5" x14ac:dyDescent="0.25">
      <c r="E1" s="5" t="s">
        <v>102</v>
      </c>
    </row>
    <row r="2" spans="1:11" ht="19.5" customHeight="1" x14ac:dyDescent="0.25">
      <c r="A2" s="6" t="s">
        <v>0</v>
      </c>
      <c r="B2" s="6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6" t="s">
        <v>103</v>
      </c>
    </row>
    <row r="3" spans="1:11" x14ac:dyDescent="0.25">
      <c r="A3">
        <v>1</v>
      </c>
      <c r="B3">
        <v>6821</v>
      </c>
      <c r="C3" t="s">
        <v>10</v>
      </c>
      <c r="D3" t="s">
        <v>11</v>
      </c>
      <c r="E3" t="s">
        <v>12</v>
      </c>
      <c r="F3" t="s">
        <v>13</v>
      </c>
      <c r="G3">
        <v>2014</v>
      </c>
      <c r="H3" t="s">
        <v>14</v>
      </c>
      <c r="I3">
        <v>9</v>
      </c>
      <c r="J3">
        <v>1</v>
      </c>
      <c r="K3" s="1" t="str">
        <f>HYPERLINK(_xlfn.CONCAT($E$1,B3),D3)</f>
        <v>Custom Aurelio Verdi</v>
      </c>
    </row>
    <row r="4" spans="1:11" x14ac:dyDescent="0.25">
      <c r="A4">
        <v>2</v>
      </c>
      <c r="B4">
        <v>7087</v>
      </c>
      <c r="C4" t="s">
        <v>10</v>
      </c>
      <c r="D4" t="s">
        <v>11</v>
      </c>
      <c r="E4" t="s">
        <v>15</v>
      </c>
      <c r="F4" t="s">
        <v>16</v>
      </c>
      <c r="G4">
        <v>2014</v>
      </c>
      <c r="H4" t="s">
        <v>14</v>
      </c>
      <c r="I4">
        <v>5</v>
      </c>
      <c r="J4">
        <v>2</v>
      </c>
      <c r="K4" s="1" t="str">
        <f t="shared" ref="K4:K67" si="0">HYPERLINK(_xlfn.CONCAT($E$1,B4),D4)</f>
        <v>Custom Aurelio Verdi</v>
      </c>
    </row>
    <row r="5" spans="1:11" x14ac:dyDescent="0.25">
      <c r="A5">
        <v>3</v>
      </c>
      <c r="B5">
        <v>7217</v>
      </c>
      <c r="C5" t="s">
        <v>10</v>
      </c>
      <c r="D5" t="s">
        <v>11</v>
      </c>
      <c r="E5" t="s">
        <v>17</v>
      </c>
      <c r="F5" t="s">
        <v>18</v>
      </c>
      <c r="G5">
        <v>2014</v>
      </c>
      <c r="H5" t="s">
        <v>14</v>
      </c>
      <c r="I5">
        <v>6</v>
      </c>
      <c r="J5">
        <v>2</v>
      </c>
      <c r="K5" s="1" t="str">
        <f t="shared" si="0"/>
        <v>Custom Aurelio Verdi</v>
      </c>
    </row>
    <row r="6" spans="1:11" x14ac:dyDescent="0.25">
      <c r="A6">
        <v>4</v>
      </c>
      <c r="B6">
        <v>10820</v>
      </c>
      <c r="C6" t="s">
        <v>10</v>
      </c>
      <c r="D6" t="s">
        <v>19</v>
      </c>
      <c r="E6" t="s">
        <v>20</v>
      </c>
      <c r="F6" t="s">
        <v>21</v>
      </c>
      <c r="G6">
        <v>2014</v>
      </c>
      <c r="H6" t="s">
        <v>22</v>
      </c>
      <c r="I6">
        <v>83</v>
      </c>
      <c r="J6">
        <v>1</v>
      </c>
      <c r="K6" s="1" t="str">
        <f t="shared" si="0"/>
        <v>Fire Storm Wood V2</v>
      </c>
    </row>
    <row r="7" spans="1:11" x14ac:dyDescent="0.25">
      <c r="A7">
        <v>5</v>
      </c>
      <c r="B7">
        <v>5783</v>
      </c>
      <c r="C7" t="s">
        <v>10</v>
      </c>
      <c r="D7" t="s">
        <v>23</v>
      </c>
      <c r="E7" t="s">
        <v>24</v>
      </c>
      <c r="F7" t="s">
        <v>25</v>
      </c>
      <c r="G7">
        <v>2014</v>
      </c>
      <c r="H7" t="s">
        <v>26</v>
      </c>
      <c r="I7">
        <v>53</v>
      </c>
      <c r="J7">
        <v>3</v>
      </c>
      <c r="K7" s="1" t="str">
        <f t="shared" si="0"/>
        <v>Firemove Ltd V2 102</v>
      </c>
    </row>
    <row r="8" spans="1:11" x14ac:dyDescent="0.25">
      <c r="A8">
        <v>6</v>
      </c>
      <c r="B8">
        <v>5784</v>
      </c>
      <c r="C8" t="s">
        <v>10</v>
      </c>
      <c r="D8" t="s">
        <v>27</v>
      </c>
      <c r="E8" t="s">
        <v>28</v>
      </c>
      <c r="F8" t="s">
        <v>29</v>
      </c>
      <c r="G8">
        <v>2014</v>
      </c>
      <c r="H8" t="s">
        <v>26</v>
      </c>
      <c r="I8">
        <v>13</v>
      </c>
      <c r="J8">
        <v>4</v>
      </c>
      <c r="K8" s="1" t="str">
        <f t="shared" si="0"/>
        <v>Firemove Ltd V2 112</v>
      </c>
    </row>
    <row r="9" spans="1:11" x14ac:dyDescent="0.25">
      <c r="A9">
        <v>7</v>
      </c>
      <c r="B9">
        <v>5785</v>
      </c>
      <c r="C9" t="s">
        <v>10</v>
      </c>
      <c r="D9" t="s">
        <v>30</v>
      </c>
      <c r="E9" t="s">
        <v>31</v>
      </c>
      <c r="F9" t="s">
        <v>32</v>
      </c>
      <c r="G9">
        <v>2014</v>
      </c>
      <c r="H9" t="s">
        <v>26</v>
      </c>
      <c r="I9">
        <v>6</v>
      </c>
      <c r="J9">
        <v>2</v>
      </c>
      <c r="K9" s="1" t="str">
        <f t="shared" si="0"/>
        <v>Firemove Ltd V2 122</v>
      </c>
    </row>
    <row r="10" spans="1:11" x14ac:dyDescent="0.25">
      <c r="A10">
        <v>8</v>
      </c>
      <c r="B10">
        <v>5786</v>
      </c>
      <c r="C10" t="s">
        <v>10</v>
      </c>
      <c r="D10" t="s">
        <v>33</v>
      </c>
      <c r="E10" t="s">
        <v>34</v>
      </c>
      <c r="F10" t="s">
        <v>35</v>
      </c>
      <c r="G10">
        <v>2014</v>
      </c>
      <c r="H10" t="s">
        <v>26</v>
      </c>
      <c r="I10">
        <v>4</v>
      </c>
      <c r="J10">
        <v>2</v>
      </c>
      <c r="K10" s="1" t="str">
        <f t="shared" si="0"/>
        <v>Firemove Ltd V2 130</v>
      </c>
    </row>
    <row r="11" spans="1:11" x14ac:dyDescent="0.25">
      <c r="A11">
        <v>9</v>
      </c>
      <c r="B11">
        <v>5787</v>
      </c>
      <c r="C11" t="s">
        <v>10</v>
      </c>
      <c r="D11" t="s">
        <v>36</v>
      </c>
      <c r="E11" t="s">
        <v>37</v>
      </c>
      <c r="F11" t="s">
        <v>38</v>
      </c>
      <c r="G11">
        <v>2014</v>
      </c>
      <c r="H11" t="s">
        <v>26</v>
      </c>
      <c r="I11">
        <v>60</v>
      </c>
      <c r="J11">
        <v>5</v>
      </c>
      <c r="K11" s="1" t="str">
        <f t="shared" si="0"/>
        <v>Firemove Ltd V2 140</v>
      </c>
    </row>
    <row r="12" spans="1:11" x14ac:dyDescent="0.25">
      <c r="A12">
        <v>10</v>
      </c>
      <c r="B12">
        <v>13559</v>
      </c>
      <c r="C12" t="s">
        <v>10</v>
      </c>
      <c r="D12" t="s">
        <v>39</v>
      </c>
      <c r="E12" t="s">
        <v>37</v>
      </c>
      <c r="F12" t="s">
        <v>38</v>
      </c>
      <c r="G12">
        <v>2014</v>
      </c>
      <c r="H12" t="s">
        <v>26</v>
      </c>
      <c r="I12">
        <v>11</v>
      </c>
      <c r="J12">
        <v>1</v>
      </c>
      <c r="K12" s="1" t="str">
        <f t="shared" si="0"/>
        <v>Firemove V2 Wood</v>
      </c>
    </row>
    <row r="13" spans="1:11" x14ac:dyDescent="0.25">
      <c r="A13">
        <v>11</v>
      </c>
      <c r="B13">
        <v>9793</v>
      </c>
      <c r="C13" t="s">
        <v>10</v>
      </c>
      <c r="D13" t="s">
        <v>40</v>
      </c>
      <c r="E13" t="s">
        <v>41</v>
      </c>
      <c r="F13" t="s">
        <v>42</v>
      </c>
      <c r="G13">
        <v>2014</v>
      </c>
      <c r="H13" t="s">
        <v>43</v>
      </c>
      <c r="I13">
        <v>2</v>
      </c>
      <c r="K13" s="1" t="str">
        <f t="shared" si="0"/>
        <v>firestorm 111</v>
      </c>
    </row>
    <row r="14" spans="1:11" x14ac:dyDescent="0.25">
      <c r="A14">
        <v>12</v>
      </c>
      <c r="B14">
        <v>7194</v>
      </c>
      <c r="C14" t="s">
        <v>10</v>
      </c>
      <c r="D14" t="s">
        <v>44</v>
      </c>
      <c r="E14" t="s">
        <v>45</v>
      </c>
      <c r="F14" t="s">
        <v>46</v>
      </c>
      <c r="G14">
        <v>2014</v>
      </c>
      <c r="H14" t="s">
        <v>22</v>
      </c>
      <c r="I14">
        <v>44</v>
      </c>
      <c r="J14">
        <v>1</v>
      </c>
      <c r="K14" s="1" t="str">
        <f t="shared" si="0"/>
        <v>Firestorm LTD</v>
      </c>
    </row>
    <row r="15" spans="1:11" x14ac:dyDescent="0.25">
      <c r="A15">
        <v>13</v>
      </c>
      <c r="B15">
        <v>10003</v>
      </c>
      <c r="C15" t="s">
        <v>10</v>
      </c>
      <c r="D15" t="s">
        <v>47</v>
      </c>
      <c r="E15" t="s">
        <v>48</v>
      </c>
      <c r="F15" t="s">
        <v>49</v>
      </c>
      <c r="G15">
        <v>2014</v>
      </c>
      <c r="H15" t="s">
        <v>22</v>
      </c>
      <c r="I15">
        <v>73</v>
      </c>
      <c r="J15">
        <v>1</v>
      </c>
      <c r="K15" s="1" t="str">
        <f t="shared" si="0"/>
        <v>Firestorm LTD V2</v>
      </c>
    </row>
    <row r="16" spans="1:11" x14ac:dyDescent="0.25">
      <c r="A16">
        <v>14</v>
      </c>
      <c r="B16">
        <v>10368</v>
      </c>
      <c r="C16" t="s">
        <v>10</v>
      </c>
      <c r="D16" t="s">
        <v>50</v>
      </c>
      <c r="E16" t="s">
        <v>51</v>
      </c>
      <c r="F16" t="s">
        <v>52</v>
      </c>
      <c r="G16">
        <v>2014</v>
      </c>
      <c r="H16" t="s">
        <v>26</v>
      </c>
      <c r="I16">
        <v>52</v>
      </c>
      <c r="J16">
        <v>1</v>
      </c>
      <c r="K16" s="1" t="str">
        <f t="shared" si="0"/>
        <v>Firewave LTD</v>
      </c>
    </row>
    <row r="17" spans="1:11" x14ac:dyDescent="0.25">
      <c r="A17">
        <v>15</v>
      </c>
      <c r="B17">
        <v>9692</v>
      </c>
      <c r="C17" t="s">
        <v>10</v>
      </c>
      <c r="D17" t="s">
        <v>53</v>
      </c>
      <c r="E17" t="s">
        <v>54</v>
      </c>
      <c r="F17" t="s">
        <v>21</v>
      </c>
      <c r="G17">
        <v>2014</v>
      </c>
      <c r="H17" t="s">
        <v>22</v>
      </c>
      <c r="I17">
        <v>1</v>
      </c>
      <c r="K17" s="1" t="str">
        <f t="shared" si="0"/>
        <v>freerace</v>
      </c>
    </row>
    <row r="18" spans="1:11" x14ac:dyDescent="0.25">
      <c r="A18">
        <v>16</v>
      </c>
      <c r="B18">
        <v>8251</v>
      </c>
      <c r="C18" t="s">
        <v>10</v>
      </c>
      <c r="D18" t="s">
        <v>55</v>
      </c>
      <c r="E18" t="s">
        <v>56</v>
      </c>
      <c r="F18" t="s">
        <v>57</v>
      </c>
      <c r="G18">
        <v>2014</v>
      </c>
      <c r="H18" t="s">
        <v>58</v>
      </c>
      <c r="I18">
        <v>5</v>
      </c>
      <c r="K18" s="1" t="str">
        <f t="shared" si="0"/>
        <v>proto Firestorm V3 #053</v>
      </c>
    </row>
    <row r="19" spans="1:11" x14ac:dyDescent="0.25">
      <c r="A19">
        <v>17</v>
      </c>
      <c r="B19">
        <v>8266</v>
      </c>
      <c r="C19" t="s">
        <v>10</v>
      </c>
      <c r="D19" t="s">
        <v>59</v>
      </c>
      <c r="E19" t="s">
        <v>51</v>
      </c>
      <c r="F19" t="s">
        <v>60</v>
      </c>
      <c r="G19">
        <v>2014</v>
      </c>
      <c r="H19" t="s">
        <v>61</v>
      </c>
      <c r="I19">
        <v>5</v>
      </c>
      <c r="J19">
        <v>1</v>
      </c>
      <c r="K19" s="1" t="str">
        <f t="shared" si="0"/>
        <v>Proto X-Fire 98 V7</v>
      </c>
    </row>
    <row r="20" spans="1:11" x14ac:dyDescent="0.25">
      <c r="A20">
        <v>18</v>
      </c>
      <c r="B20">
        <v>10170</v>
      </c>
      <c r="C20" t="s">
        <v>10</v>
      </c>
      <c r="D20" t="s">
        <v>62</v>
      </c>
      <c r="E20" t="s">
        <v>63</v>
      </c>
      <c r="F20" t="s">
        <v>60</v>
      </c>
      <c r="G20">
        <v>2014</v>
      </c>
      <c r="H20" t="s">
        <v>43</v>
      </c>
      <c r="I20">
        <v>5</v>
      </c>
      <c r="K20" s="1" t="str">
        <f t="shared" si="0"/>
        <v>Slalom</v>
      </c>
    </row>
    <row r="21" spans="1:11" x14ac:dyDescent="0.25">
      <c r="A21">
        <v>19</v>
      </c>
      <c r="B21">
        <v>10287</v>
      </c>
      <c r="C21" t="s">
        <v>10</v>
      </c>
      <c r="D21" t="s">
        <v>64</v>
      </c>
      <c r="E21" t="s">
        <v>65</v>
      </c>
      <c r="F21" t="s">
        <v>66</v>
      </c>
      <c r="G21">
        <v>2014</v>
      </c>
      <c r="H21" t="s">
        <v>67</v>
      </c>
      <c r="I21">
        <v>4</v>
      </c>
      <c r="K21" s="1" t="str">
        <f t="shared" si="0"/>
        <v>Slalom Large Proto</v>
      </c>
    </row>
    <row r="22" spans="1:11" x14ac:dyDescent="0.25">
      <c r="A22">
        <v>20</v>
      </c>
      <c r="B22">
        <v>5797</v>
      </c>
      <c r="C22" t="s">
        <v>10</v>
      </c>
      <c r="D22" t="s">
        <v>68</v>
      </c>
      <c r="E22" t="s">
        <v>69</v>
      </c>
      <c r="F22" t="s">
        <v>70</v>
      </c>
      <c r="G22">
        <v>2014</v>
      </c>
      <c r="H22" t="s">
        <v>14</v>
      </c>
      <c r="I22">
        <v>28</v>
      </c>
      <c r="J22">
        <v>2</v>
      </c>
      <c r="K22" s="1" t="str">
        <f t="shared" si="0"/>
        <v>Speed 41</v>
      </c>
    </row>
    <row r="23" spans="1:11" x14ac:dyDescent="0.25">
      <c r="A23">
        <v>21</v>
      </c>
      <c r="B23">
        <v>9443</v>
      </c>
      <c r="C23" t="s">
        <v>10</v>
      </c>
      <c r="D23" t="s">
        <v>71</v>
      </c>
      <c r="E23" t="s">
        <v>72</v>
      </c>
      <c r="F23" t="s">
        <v>73</v>
      </c>
      <c r="G23">
        <v>2014</v>
      </c>
      <c r="H23" t="s">
        <v>14</v>
      </c>
      <c r="I23">
        <v>35</v>
      </c>
      <c r="J23">
        <v>3</v>
      </c>
      <c r="K23" s="1" t="str">
        <f t="shared" si="0"/>
        <v>Speed 43</v>
      </c>
    </row>
    <row r="24" spans="1:11" x14ac:dyDescent="0.25">
      <c r="A24">
        <v>22</v>
      </c>
      <c r="B24">
        <v>6951</v>
      </c>
      <c r="C24" t="s">
        <v>10</v>
      </c>
      <c r="D24" t="s">
        <v>74</v>
      </c>
      <c r="E24" t="s">
        <v>75</v>
      </c>
      <c r="F24" t="s">
        <v>76</v>
      </c>
      <c r="G24">
        <v>2014</v>
      </c>
      <c r="H24" t="s">
        <v>14</v>
      </c>
      <c r="I24">
        <v>9</v>
      </c>
      <c r="J24">
        <v>1</v>
      </c>
      <c r="K24" s="1" t="str">
        <f t="shared" si="0"/>
        <v>speed board</v>
      </c>
    </row>
    <row r="25" spans="1:11" x14ac:dyDescent="0.25">
      <c r="A25">
        <v>23</v>
      </c>
      <c r="B25">
        <v>7238</v>
      </c>
      <c r="C25" t="s">
        <v>10</v>
      </c>
      <c r="D25" t="s">
        <v>77</v>
      </c>
      <c r="E25" t="s">
        <v>51</v>
      </c>
      <c r="F25" t="s">
        <v>60</v>
      </c>
      <c r="G25">
        <v>2014</v>
      </c>
      <c r="H25" t="s">
        <v>58</v>
      </c>
      <c r="I25">
        <v>23</v>
      </c>
      <c r="J25">
        <v>2</v>
      </c>
      <c r="K25" s="1" t="str">
        <f t="shared" si="0"/>
        <v>x fire</v>
      </c>
    </row>
    <row r="26" spans="1:11" x14ac:dyDescent="0.25">
      <c r="A26">
        <v>24</v>
      </c>
      <c r="B26">
        <v>5753</v>
      </c>
      <c r="C26" t="s">
        <v>10</v>
      </c>
      <c r="D26" t="s">
        <v>78</v>
      </c>
      <c r="E26" t="s">
        <v>56</v>
      </c>
      <c r="F26" t="s">
        <v>79</v>
      </c>
      <c r="G26">
        <v>2014</v>
      </c>
      <c r="H26" t="s">
        <v>58</v>
      </c>
      <c r="I26">
        <v>612</v>
      </c>
      <c r="J26">
        <v>17</v>
      </c>
      <c r="K26" s="1" t="str">
        <f t="shared" si="0"/>
        <v>X-Fire LTD V6 105</v>
      </c>
    </row>
    <row r="27" spans="1:11" x14ac:dyDescent="0.25">
      <c r="A27">
        <v>25</v>
      </c>
      <c r="B27">
        <v>5703</v>
      </c>
      <c r="C27" t="s">
        <v>10</v>
      </c>
      <c r="D27" t="s">
        <v>80</v>
      </c>
      <c r="E27" t="s">
        <v>81</v>
      </c>
      <c r="F27" t="s">
        <v>82</v>
      </c>
      <c r="G27">
        <v>2014</v>
      </c>
      <c r="H27" t="s">
        <v>58</v>
      </c>
      <c r="I27">
        <v>840</v>
      </c>
      <c r="J27">
        <v>24</v>
      </c>
      <c r="K27" s="1" t="str">
        <f t="shared" si="0"/>
        <v>X-Fire LTD V6 114</v>
      </c>
    </row>
    <row r="28" spans="1:11" x14ac:dyDescent="0.25">
      <c r="A28">
        <v>26</v>
      </c>
      <c r="B28">
        <v>5796</v>
      </c>
      <c r="C28" t="s">
        <v>10</v>
      </c>
      <c r="D28" t="s">
        <v>83</v>
      </c>
      <c r="E28" t="s">
        <v>84</v>
      </c>
      <c r="F28" t="s">
        <v>32</v>
      </c>
      <c r="G28">
        <v>2014</v>
      </c>
      <c r="H28" t="s">
        <v>22</v>
      </c>
      <c r="I28">
        <v>134</v>
      </c>
      <c r="J28">
        <v>15</v>
      </c>
      <c r="K28" s="1" t="str">
        <f t="shared" si="0"/>
        <v>X-Fire LTD V6 122</v>
      </c>
    </row>
    <row r="29" spans="1:11" x14ac:dyDescent="0.25">
      <c r="A29">
        <v>27</v>
      </c>
      <c r="B29">
        <v>5702</v>
      </c>
      <c r="C29" t="s">
        <v>10</v>
      </c>
      <c r="D29" t="s">
        <v>85</v>
      </c>
      <c r="E29" t="s">
        <v>86</v>
      </c>
      <c r="F29" t="s">
        <v>21</v>
      </c>
      <c r="G29">
        <v>2014</v>
      </c>
      <c r="H29" t="s">
        <v>22</v>
      </c>
      <c r="I29">
        <v>64</v>
      </c>
      <c r="J29">
        <v>5</v>
      </c>
      <c r="K29" s="1" t="str">
        <f t="shared" si="0"/>
        <v>X-Fire LTD V6 129</v>
      </c>
    </row>
    <row r="30" spans="1:11" x14ac:dyDescent="0.25">
      <c r="A30" s="8">
        <v>28</v>
      </c>
      <c r="B30" s="8">
        <v>5795</v>
      </c>
      <c r="C30" s="8" t="s">
        <v>10</v>
      </c>
      <c r="D30" s="8" t="s">
        <v>87</v>
      </c>
      <c r="E30" s="8" t="s">
        <v>88</v>
      </c>
      <c r="F30" s="8" t="s">
        <v>89</v>
      </c>
      <c r="G30" s="8">
        <v>2014</v>
      </c>
      <c r="H30" s="8" t="s">
        <v>61</v>
      </c>
      <c r="I30" s="8">
        <v>326</v>
      </c>
      <c r="J30" s="8">
        <v>13</v>
      </c>
      <c r="K30" s="1" t="str">
        <f t="shared" si="0"/>
        <v>X-Fire LTD V6 90</v>
      </c>
    </row>
    <row r="31" spans="1:11" x14ac:dyDescent="0.25">
      <c r="A31">
        <v>29</v>
      </c>
      <c r="B31">
        <v>5738</v>
      </c>
      <c r="C31" t="s">
        <v>10</v>
      </c>
      <c r="D31" t="s">
        <v>90</v>
      </c>
      <c r="E31" t="s">
        <v>51</v>
      </c>
      <c r="F31" t="s">
        <v>60</v>
      </c>
      <c r="G31">
        <v>2014</v>
      </c>
      <c r="H31" t="s">
        <v>61</v>
      </c>
      <c r="I31">
        <v>479</v>
      </c>
      <c r="J31">
        <v>18</v>
      </c>
      <c r="K31" s="1" t="str">
        <f t="shared" si="0"/>
        <v>X-Fire LTD V6 98</v>
      </c>
    </row>
    <row r="32" spans="1:11" x14ac:dyDescent="0.25">
      <c r="A32">
        <v>30</v>
      </c>
      <c r="B32">
        <v>7059</v>
      </c>
      <c r="C32" t="s">
        <v>10</v>
      </c>
      <c r="D32" t="s">
        <v>91</v>
      </c>
      <c r="E32" t="s">
        <v>56</v>
      </c>
      <c r="F32" t="s">
        <v>79</v>
      </c>
      <c r="G32">
        <v>2014</v>
      </c>
      <c r="H32" t="s">
        <v>58</v>
      </c>
      <c r="I32">
        <v>29</v>
      </c>
      <c r="J32">
        <v>4</v>
      </c>
      <c r="K32" s="1" t="str">
        <f t="shared" si="0"/>
        <v>X-Fire LTD V7 105</v>
      </c>
    </row>
    <row r="33" spans="1:11" x14ac:dyDescent="0.25">
      <c r="A33">
        <v>31</v>
      </c>
      <c r="B33">
        <v>7060</v>
      </c>
      <c r="C33" t="s">
        <v>10</v>
      </c>
      <c r="D33" t="s">
        <v>92</v>
      </c>
      <c r="E33" t="s">
        <v>81</v>
      </c>
      <c r="F33" t="s">
        <v>82</v>
      </c>
      <c r="G33">
        <v>2014</v>
      </c>
      <c r="H33" t="s">
        <v>58</v>
      </c>
      <c r="I33">
        <v>48</v>
      </c>
      <c r="J33">
        <v>4</v>
      </c>
      <c r="K33" s="1" t="str">
        <f t="shared" si="0"/>
        <v>X-Fire LTD V7 114</v>
      </c>
    </row>
    <row r="34" spans="1:11" x14ac:dyDescent="0.25">
      <c r="A34">
        <v>32</v>
      </c>
      <c r="B34">
        <v>7061</v>
      </c>
      <c r="C34" t="s">
        <v>10</v>
      </c>
      <c r="D34" t="s">
        <v>93</v>
      </c>
      <c r="E34" t="s">
        <v>84</v>
      </c>
      <c r="F34" t="s">
        <v>32</v>
      </c>
      <c r="G34">
        <v>2014</v>
      </c>
      <c r="H34" t="s">
        <v>22</v>
      </c>
      <c r="I34">
        <v>160</v>
      </c>
      <c r="J34">
        <v>3</v>
      </c>
      <c r="K34" s="1" t="str">
        <f t="shared" si="0"/>
        <v>X-Fire LTD V7 122</v>
      </c>
    </row>
    <row r="35" spans="1:11" x14ac:dyDescent="0.25">
      <c r="A35">
        <v>33</v>
      </c>
      <c r="B35">
        <v>7062</v>
      </c>
      <c r="C35" t="s">
        <v>10</v>
      </c>
      <c r="D35" t="s">
        <v>94</v>
      </c>
      <c r="E35" t="s">
        <v>86</v>
      </c>
      <c r="F35" t="s">
        <v>21</v>
      </c>
      <c r="G35">
        <v>2014</v>
      </c>
      <c r="H35" t="s">
        <v>22</v>
      </c>
      <c r="I35">
        <v>7</v>
      </c>
      <c r="J35">
        <v>1</v>
      </c>
      <c r="K35" s="1" t="str">
        <f t="shared" si="0"/>
        <v>X-Fire LTD V7 129</v>
      </c>
    </row>
    <row r="36" spans="1:11" x14ac:dyDescent="0.25">
      <c r="A36">
        <v>34</v>
      </c>
      <c r="B36">
        <v>7056</v>
      </c>
      <c r="C36" t="s">
        <v>10</v>
      </c>
      <c r="D36" t="s">
        <v>95</v>
      </c>
      <c r="E36" t="s">
        <v>96</v>
      </c>
      <c r="F36" t="s">
        <v>97</v>
      </c>
      <c r="G36">
        <v>2014</v>
      </c>
      <c r="H36" t="s">
        <v>61</v>
      </c>
      <c r="I36">
        <v>31</v>
      </c>
      <c r="J36">
        <v>1</v>
      </c>
      <c r="K36" s="1" t="str">
        <f t="shared" si="0"/>
        <v>X-Fire LTD V7 80</v>
      </c>
    </row>
    <row r="37" spans="1:11" x14ac:dyDescent="0.25">
      <c r="A37">
        <v>35</v>
      </c>
      <c r="B37">
        <v>7057</v>
      </c>
      <c r="C37" t="s">
        <v>10</v>
      </c>
      <c r="D37" t="s">
        <v>98</v>
      </c>
      <c r="E37" t="s">
        <v>88</v>
      </c>
      <c r="F37" t="s">
        <v>89</v>
      </c>
      <c r="G37">
        <v>2014</v>
      </c>
      <c r="H37" t="s">
        <v>61</v>
      </c>
      <c r="I37">
        <v>42</v>
      </c>
      <c r="J37">
        <v>1</v>
      </c>
      <c r="K37" s="1" t="str">
        <f t="shared" si="0"/>
        <v>X-Fire LTD V7 90</v>
      </c>
    </row>
    <row r="38" spans="1:11" x14ac:dyDescent="0.25">
      <c r="A38">
        <v>36</v>
      </c>
      <c r="B38">
        <v>7058</v>
      </c>
      <c r="C38" t="s">
        <v>10</v>
      </c>
      <c r="D38" t="s">
        <v>99</v>
      </c>
      <c r="E38" t="s">
        <v>51</v>
      </c>
      <c r="F38" t="s">
        <v>60</v>
      </c>
      <c r="G38">
        <v>2014</v>
      </c>
      <c r="H38" t="s">
        <v>58</v>
      </c>
      <c r="I38">
        <v>70</v>
      </c>
      <c r="J38">
        <v>3</v>
      </c>
      <c r="K38" s="1" t="str">
        <f t="shared" si="0"/>
        <v>X-Fire LTD V7 98</v>
      </c>
    </row>
    <row r="39" spans="1:11" x14ac:dyDescent="0.25">
      <c r="A39">
        <v>37</v>
      </c>
      <c r="B39">
        <v>14103</v>
      </c>
      <c r="C39" t="s">
        <v>10</v>
      </c>
      <c r="D39" t="s">
        <v>100</v>
      </c>
      <c r="E39" t="s">
        <v>86</v>
      </c>
      <c r="F39" t="s">
        <v>21</v>
      </c>
      <c r="G39">
        <v>2014</v>
      </c>
      <c r="H39" t="s">
        <v>22</v>
      </c>
      <c r="I39">
        <v>2</v>
      </c>
      <c r="J39">
        <v>1</v>
      </c>
      <c r="K39" s="1" t="str">
        <f t="shared" si="0"/>
        <v>X-Fire V5 LTD 128</v>
      </c>
    </row>
    <row r="40" spans="1:11" x14ac:dyDescent="0.25">
      <c r="A40">
        <v>38</v>
      </c>
      <c r="B40">
        <v>5678</v>
      </c>
      <c r="C40" t="s">
        <v>10</v>
      </c>
      <c r="D40" t="s">
        <v>101</v>
      </c>
      <c r="E40" t="s">
        <v>88</v>
      </c>
      <c r="F40" t="s">
        <v>89</v>
      </c>
      <c r="G40">
        <v>2014</v>
      </c>
      <c r="H40" t="s">
        <v>61</v>
      </c>
      <c r="I40">
        <v>75</v>
      </c>
      <c r="J40">
        <v>3</v>
      </c>
      <c r="K40" s="1" t="str">
        <f t="shared" si="0"/>
        <v>XiFire LTD V6 90</v>
      </c>
    </row>
    <row r="41" spans="1:11" x14ac:dyDescent="0.25">
      <c r="A41">
        <v>39</v>
      </c>
      <c r="B41">
        <v>5581</v>
      </c>
      <c r="C41" t="s">
        <v>10</v>
      </c>
      <c r="D41" t="s">
        <v>104</v>
      </c>
      <c r="E41" t="s">
        <v>105</v>
      </c>
      <c r="F41" t="s">
        <v>106</v>
      </c>
      <c r="G41">
        <v>2013</v>
      </c>
      <c r="H41" t="s">
        <v>14</v>
      </c>
      <c r="I41">
        <v>17</v>
      </c>
      <c r="J41">
        <v>2</v>
      </c>
      <c r="K41" s="1" t="str">
        <f t="shared" si="0"/>
        <v>Custom Speed</v>
      </c>
    </row>
    <row r="42" spans="1:11" x14ac:dyDescent="0.25">
      <c r="A42">
        <v>40</v>
      </c>
      <c r="B42">
        <v>9415</v>
      </c>
      <c r="C42" t="s">
        <v>10</v>
      </c>
      <c r="D42" t="s">
        <v>107</v>
      </c>
      <c r="E42" t="s">
        <v>108</v>
      </c>
      <c r="F42" t="s">
        <v>35</v>
      </c>
      <c r="G42">
        <v>2013</v>
      </c>
      <c r="H42" t="s">
        <v>26</v>
      </c>
      <c r="I42">
        <v>7</v>
      </c>
      <c r="J42">
        <v>1</v>
      </c>
      <c r="K42" s="1" t="str">
        <f t="shared" si="0"/>
        <v>Firemove</v>
      </c>
    </row>
    <row r="43" spans="1:11" x14ac:dyDescent="0.25">
      <c r="A43">
        <v>41</v>
      </c>
      <c r="B43">
        <v>14364</v>
      </c>
      <c r="C43" t="s">
        <v>10</v>
      </c>
      <c r="D43" t="s">
        <v>109</v>
      </c>
      <c r="E43" t="s">
        <v>110</v>
      </c>
      <c r="F43" t="s">
        <v>111</v>
      </c>
      <c r="G43">
        <v>2013</v>
      </c>
      <c r="H43" t="s">
        <v>58</v>
      </c>
      <c r="K43" s="1" t="str">
        <f t="shared" si="0"/>
        <v>firemove</v>
      </c>
    </row>
    <row r="44" spans="1:11" x14ac:dyDescent="0.25">
      <c r="A44">
        <v>42</v>
      </c>
      <c r="B44">
        <v>5553</v>
      </c>
      <c r="C44" t="s">
        <v>10</v>
      </c>
      <c r="D44" t="s">
        <v>112</v>
      </c>
      <c r="E44" t="s">
        <v>113</v>
      </c>
      <c r="F44" t="s">
        <v>46</v>
      </c>
      <c r="G44">
        <v>2013</v>
      </c>
      <c r="H44" t="s">
        <v>58</v>
      </c>
      <c r="I44">
        <v>4</v>
      </c>
      <c r="J44">
        <v>2</v>
      </c>
      <c r="K44" s="1" t="str">
        <f t="shared" si="0"/>
        <v>FireMove 120 LTD</v>
      </c>
    </row>
    <row r="45" spans="1:11" x14ac:dyDescent="0.25">
      <c r="A45">
        <v>43</v>
      </c>
      <c r="B45">
        <v>5554</v>
      </c>
      <c r="C45" t="s">
        <v>10</v>
      </c>
      <c r="D45" t="s">
        <v>114</v>
      </c>
      <c r="E45" t="s">
        <v>37</v>
      </c>
      <c r="F45" t="s">
        <v>38</v>
      </c>
      <c r="G45">
        <v>2013</v>
      </c>
      <c r="H45" t="s">
        <v>22</v>
      </c>
      <c r="I45">
        <v>4</v>
      </c>
      <c r="J45">
        <v>2</v>
      </c>
      <c r="K45" s="1" t="str">
        <f t="shared" si="0"/>
        <v>FireMove 140 LTD</v>
      </c>
    </row>
    <row r="46" spans="1:11" x14ac:dyDescent="0.25">
      <c r="A46">
        <v>44</v>
      </c>
      <c r="B46">
        <v>9928</v>
      </c>
      <c r="C46" t="s">
        <v>10</v>
      </c>
      <c r="D46" t="s">
        <v>115</v>
      </c>
      <c r="E46" t="s">
        <v>34</v>
      </c>
      <c r="F46" t="s">
        <v>35</v>
      </c>
      <c r="G46">
        <v>2013</v>
      </c>
      <c r="H46" t="s">
        <v>22</v>
      </c>
      <c r="I46">
        <v>7</v>
      </c>
      <c r="J46">
        <v>1</v>
      </c>
      <c r="K46" s="1" t="str">
        <f t="shared" si="0"/>
        <v>Firemove LTD</v>
      </c>
    </row>
    <row r="47" spans="1:11" x14ac:dyDescent="0.25">
      <c r="A47">
        <v>45</v>
      </c>
      <c r="B47">
        <v>5191</v>
      </c>
      <c r="C47" t="s">
        <v>10</v>
      </c>
      <c r="D47" t="s">
        <v>115</v>
      </c>
      <c r="E47" t="s">
        <v>116</v>
      </c>
      <c r="F47" t="s">
        <v>117</v>
      </c>
      <c r="G47">
        <v>2013</v>
      </c>
      <c r="H47" t="s">
        <v>43</v>
      </c>
      <c r="I47">
        <v>62</v>
      </c>
      <c r="J47">
        <v>2</v>
      </c>
      <c r="K47" s="1" t="str">
        <f t="shared" si="0"/>
        <v>Firemove LTD</v>
      </c>
    </row>
    <row r="48" spans="1:11" x14ac:dyDescent="0.25">
      <c r="A48">
        <v>46</v>
      </c>
      <c r="B48">
        <v>10208</v>
      </c>
      <c r="C48" t="s">
        <v>10</v>
      </c>
      <c r="D48" t="s">
        <v>118</v>
      </c>
      <c r="E48" t="s">
        <v>34</v>
      </c>
      <c r="F48" t="s">
        <v>35</v>
      </c>
      <c r="G48">
        <v>2013</v>
      </c>
      <c r="H48" t="s">
        <v>22</v>
      </c>
      <c r="I48">
        <v>11</v>
      </c>
      <c r="J48">
        <v>1</v>
      </c>
      <c r="K48" s="1" t="str">
        <f t="shared" si="0"/>
        <v>Firemove LTD 130</v>
      </c>
    </row>
    <row r="49" spans="1:11" x14ac:dyDescent="0.25">
      <c r="A49">
        <v>47</v>
      </c>
      <c r="B49">
        <v>5664</v>
      </c>
      <c r="C49" t="s">
        <v>10</v>
      </c>
      <c r="D49" t="s">
        <v>119</v>
      </c>
      <c r="E49" t="s">
        <v>120</v>
      </c>
      <c r="F49" t="s">
        <v>29</v>
      </c>
      <c r="G49">
        <v>2013</v>
      </c>
      <c r="H49" t="s">
        <v>43</v>
      </c>
      <c r="I49">
        <v>2</v>
      </c>
      <c r="J49">
        <v>2</v>
      </c>
      <c r="K49" s="1" t="str">
        <f t="shared" si="0"/>
        <v>firerace</v>
      </c>
    </row>
    <row r="50" spans="1:11" x14ac:dyDescent="0.25">
      <c r="A50">
        <v>48</v>
      </c>
      <c r="B50">
        <v>5425</v>
      </c>
      <c r="C50" t="s">
        <v>10</v>
      </c>
      <c r="D50" t="s">
        <v>121</v>
      </c>
      <c r="E50" t="s">
        <v>56</v>
      </c>
      <c r="F50" t="s">
        <v>25</v>
      </c>
      <c r="G50">
        <v>2013</v>
      </c>
      <c r="H50" t="s">
        <v>58</v>
      </c>
      <c r="I50">
        <v>4</v>
      </c>
      <c r="J50">
        <v>1</v>
      </c>
      <c r="K50" s="1" t="str">
        <f t="shared" si="0"/>
        <v>Firerace W-tech 102</v>
      </c>
    </row>
    <row r="51" spans="1:11" x14ac:dyDescent="0.25">
      <c r="A51">
        <v>49</v>
      </c>
      <c r="B51">
        <v>5426</v>
      </c>
      <c r="C51" t="s">
        <v>10</v>
      </c>
      <c r="D51" t="s">
        <v>122</v>
      </c>
      <c r="E51" t="s">
        <v>81</v>
      </c>
      <c r="F51" t="s">
        <v>29</v>
      </c>
      <c r="G51">
        <v>2013</v>
      </c>
      <c r="H51" t="s">
        <v>43</v>
      </c>
      <c r="I51">
        <v>10</v>
      </c>
      <c r="J51">
        <v>1</v>
      </c>
      <c r="K51" s="1" t="str">
        <f t="shared" si="0"/>
        <v>Firerace W-tech 112</v>
      </c>
    </row>
    <row r="52" spans="1:11" x14ac:dyDescent="0.25">
      <c r="A52">
        <v>50</v>
      </c>
      <c r="B52">
        <v>5576</v>
      </c>
      <c r="C52" t="s">
        <v>10</v>
      </c>
      <c r="D52" t="s">
        <v>123</v>
      </c>
      <c r="E52" t="s">
        <v>45</v>
      </c>
      <c r="F52" t="s">
        <v>46</v>
      </c>
      <c r="G52">
        <v>2013</v>
      </c>
      <c r="H52" t="s">
        <v>58</v>
      </c>
      <c r="I52">
        <v>26</v>
      </c>
      <c r="J52">
        <v>1</v>
      </c>
      <c r="K52" s="1" t="str">
        <f t="shared" si="0"/>
        <v>Firestorm 120 W-tech</v>
      </c>
    </row>
    <row r="53" spans="1:11" x14ac:dyDescent="0.25">
      <c r="A53">
        <v>51</v>
      </c>
      <c r="B53">
        <v>5555</v>
      </c>
      <c r="C53" t="s">
        <v>10</v>
      </c>
      <c r="D53" t="s">
        <v>124</v>
      </c>
      <c r="E53" t="s">
        <v>125</v>
      </c>
      <c r="F53" t="s">
        <v>25</v>
      </c>
      <c r="G53">
        <v>2013</v>
      </c>
      <c r="H53" t="s">
        <v>26</v>
      </c>
      <c r="I53">
        <v>1</v>
      </c>
      <c r="K53" s="1" t="str">
        <f t="shared" si="0"/>
        <v>FireWave 102 LTD</v>
      </c>
    </row>
    <row r="54" spans="1:11" x14ac:dyDescent="0.25">
      <c r="A54">
        <v>52</v>
      </c>
      <c r="B54">
        <v>5492</v>
      </c>
      <c r="C54" t="s">
        <v>10</v>
      </c>
      <c r="D54" t="s">
        <v>126</v>
      </c>
      <c r="E54" t="s">
        <v>127</v>
      </c>
      <c r="F54" t="s">
        <v>128</v>
      </c>
      <c r="G54">
        <v>2013</v>
      </c>
      <c r="H54" t="s">
        <v>26</v>
      </c>
      <c r="I54">
        <v>29</v>
      </c>
      <c r="J54">
        <v>1</v>
      </c>
      <c r="K54" s="1" t="str">
        <f t="shared" si="0"/>
        <v>Freestyle Wave</v>
      </c>
    </row>
    <row r="55" spans="1:11" x14ac:dyDescent="0.25">
      <c r="A55">
        <v>53</v>
      </c>
      <c r="B55">
        <v>6930</v>
      </c>
      <c r="C55" t="s">
        <v>10</v>
      </c>
      <c r="D55" t="s">
        <v>129</v>
      </c>
      <c r="E55" t="s">
        <v>130</v>
      </c>
      <c r="F55" t="s">
        <v>89</v>
      </c>
      <c r="G55">
        <v>2013</v>
      </c>
      <c r="H55" t="s">
        <v>26</v>
      </c>
      <c r="I55">
        <v>4</v>
      </c>
      <c r="J55">
        <v>4</v>
      </c>
      <c r="K55" s="1" t="str">
        <f t="shared" si="0"/>
        <v>Freestyle Wave LTD</v>
      </c>
    </row>
    <row r="56" spans="1:11" x14ac:dyDescent="0.25">
      <c r="A56">
        <v>54</v>
      </c>
      <c r="B56">
        <v>10156</v>
      </c>
      <c r="C56" t="s">
        <v>10</v>
      </c>
      <c r="D56" t="s">
        <v>129</v>
      </c>
      <c r="E56" t="s">
        <v>131</v>
      </c>
      <c r="F56" t="s">
        <v>132</v>
      </c>
      <c r="G56">
        <v>2013</v>
      </c>
      <c r="H56" t="s">
        <v>26</v>
      </c>
      <c r="I56">
        <v>19</v>
      </c>
      <c r="J56">
        <v>1</v>
      </c>
      <c r="K56" s="1" t="str">
        <f t="shared" si="0"/>
        <v>Freestyle Wave LTD</v>
      </c>
    </row>
    <row r="57" spans="1:11" x14ac:dyDescent="0.25">
      <c r="A57">
        <v>55</v>
      </c>
      <c r="B57">
        <v>10490</v>
      </c>
      <c r="C57" t="s">
        <v>10</v>
      </c>
      <c r="D57" t="s">
        <v>133</v>
      </c>
      <c r="E57" t="s">
        <v>56</v>
      </c>
      <c r="F57" t="s">
        <v>25</v>
      </c>
      <c r="G57">
        <v>2013</v>
      </c>
      <c r="H57" t="s">
        <v>26</v>
      </c>
      <c r="I57">
        <v>2</v>
      </c>
      <c r="K57" s="1" t="str">
        <f t="shared" si="0"/>
        <v>FreeStyleWave</v>
      </c>
    </row>
    <row r="58" spans="1:11" x14ac:dyDescent="0.25">
      <c r="A58">
        <v>56</v>
      </c>
      <c r="B58">
        <v>10476</v>
      </c>
      <c r="C58" t="s">
        <v>10</v>
      </c>
      <c r="D58" t="s">
        <v>134</v>
      </c>
      <c r="E58" t="s">
        <v>56</v>
      </c>
      <c r="F58" t="s">
        <v>25</v>
      </c>
      <c r="G58">
        <v>2013</v>
      </c>
      <c r="H58" t="s">
        <v>26</v>
      </c>
      <c r="I58">
        <v>19</v>
      </c>
      <c r="J58">
        <v>2</v>
      </c>
      <c r="K58" s="1" t="str">
        <f t="shared" si="0"/>
        <v>Frrestyle Wave 102</v>
      </c>
    </row>
    <row r="59" spans="1:11" x14ac:dyDescent="0.25">
      <c r="A59">
        <v>57</v>
      </c>
      <c r="B59">
        <v>14962</v>
      </c>
      <c r="C59" t="s">
        <v>10</v>
      </c>
      <c r="D59" t="s">
        <v>62</v>
      </c>
      <c r="E59" t="s">
        <v>135</v>
      </c>
      <c r="F59" t="s">
        <v>79</v>
      </c>
      <c r="G59">
        <v>2013</v>
      </c>
      <c r="H59" t="s">
        <v>58</v>
      </c>
      <c r="K59" s="1" t="str">
        <f t="shared" si="0"/>
        <v>Slalom</v>
      </c>
    </row>
    <row r="60" spans="1:11" x14ac:dyDescent="0.25">
      <c r="A60">
        <v>58</v>
      </c>
      <c r="B60">
        <v>10426</v>
      </c>
      <c r="C60" t="s">
        <v>10</v>
      </c>
      <c r="D60" t="s">
        <v>136</v>
      </c>
      <c r="E60" t="s">
        <v>137</v>
      </c>
      <c r="F60" t="s">
        <v>89</v>
      </c>
      <c r="G60">
        <v>2013</v>
      </c>
      <c r="H60" t="s">
        <v>61</v>
      </c>
      <c r="I60">
        <v>1</v>
      </c>
      <c r="J60">
        <v>2</v>
      </c>
      <c r="K60" s="1" t="str">
        <f t="shared" si="0"/>
        <v>Slalom/speed</v>
      </c>
    </row>
    <row r="61" spans="1:11" x14ac:dyDescent="0.25">
      <c r="A61">
        <v>59</v>
      </c>
      <c r="B61">
        <v>10110</v>
      </c>
      <c r="C61" t="s">
        <v>10</v>
      </c>
      <c r="D61" t="s">
        <v>138</v>
      </c>
      <c r="E61" t="s">
        <v>139</v>
      </c>
      <c r="F61" t="s">
        <v>89</v>
      </c>
      <c r="G61">
        <v>2013</v>
      </c>
      <c r="H61" t="s">
        <v>61</v>
      </c>
      <c r="I61">
        <v>6</v>
      </c>
      <c r="J61">
        <v>1</v>
      </c>
      <c r="K61" s="1" t="str">
        <f t="shared" si="0"/>
        <v>X-fire LTD V5</v>
      </c>
    </row>
    <row r="62" spans="1:11" x14ac:dyDescent="0.25">
      <c r="A62">
        <v>60</v>
      </c>
      <c r="B62">
        <v>5312</v>
      </c>
      <c r="C62" t="s">
        <v>10</v>
      </c>
      <c r="D62" t="s">
        <v>140</v>
      </c>
      <c r="E62" t="s">
        <v>56</v>
      </c>
      <c r="F62" t="s">
        <v>79</v>
      </c>
      <c r="G62">
        <v>2013</v>
      </c>
      <c r="H62" t="s">
        <v>58</v>
      </c>
      <c r="I62">
        <v>309</v>
      </c>
      <c r="J62">
        <v>11</v>
      </c>
      <c r="K62" s="1" t="str">
        <f t="shared" si="0"/>
        <v>X-Fire LTD V5 105</v>
      </c>
    </row>
    <row r="63" spans="1:11" x14ac:dyDescent="0.25">
      <c r="A63">
        <v>61</v>
      </c>
      <c r="B63">
        <v>5313</v>
      </c>
      <c r="C63" t="s">
        <v>10</v>
      </c>
      <c r="D63" t="s">
        <v>141</v>
      </c>
      <c r="E63" t="s">
        <v>81</v>
      </c>
      <c r="F63" t="s">
        <v>82</v>
      </c>
      <c r="G63">
        <v>2013</v>
      </c>
      <c r="H63" t="s">
        <v>58</v>
      </c>
      <c r="I63">
        <v>417</v>
      </c>
      <c r="J63">
        <v>15</v>
      </c>
      <c r="K63" s="1" t="str">
        <f t="shared" si="0"/>
        <v>X-Fire LTD V5 114</v>
      </c>
    </row>
    <row r="64" spans="1:11" x14ac:dyDescent="0.25">
      <c r="A64">
        <v>62</v>
      </c>
      <c r="B64">
        <v>5397</v>
      </c>
      <c r="C64" t="s">
        <v>10</v>
      </c>
      <c r="D64" t="s">
        <v>142</v>
      </c>
      <c r="E64" t="s">
        <v>81</v>
      </c>
      <c r="F64" t="s">
        <v>82</v>
      </c>
      <c r="G64">
        <v>2013</v>
      </c>
      <c r="H64" t="s">
        <v>58</v>
      </c>
      <c r="I64">
        <v>45</v>
      </c>
      <c r="J64">
        <v>9</v>
      </c>
      <c r="K64" s="1" t="str">
        <f t="shared" si="0"/>
        <v>X-Fire LTD V5 114 2013</v>
      </c>
    </row>
    <row r="65" spans="1:11" x14ac:dyDescent="0.25">
      <c r="A65">
        <v>63</v>
      </c>
      <c r="B65">
        <v>5314</v>
      </c>
      <c r="C65" t="s">
        <v>10</v>
      </c>
      <c r="D65" t="s">
        <v>143</v>
      </c>
      <c r="E65" t="s">
        <v>84</v>
      </c>
      <c r="F65" t="s">
        <v>32</v>
      </c>
      <c r="G65">
        <v>2013</v>
      </c>
      <c r="H65" t="s">
        <v>22</v>
      </c>
      <c r="I65">
        <v>242</v>
      </c>
      <c r="J65">
        <v>10</v>
      </c>
      <c r="K65" s="1" t="str">
        <f t="shared" si="0"/>
        <v>X-Fire LTD V5 122</v>
      </c>
    </row>
    <row r="66" spans="1:11" x14ac:dyDescent="0.25">
      <c r="A66">
        <v>64</v>
      </c>
      <c r="B66">
        <v>5315</v>
      </c>
      <c r="C66" t="s">
        <v>10</v>
      </c>
      <c r="D66" t="s">
        <v>144</v>
      </c>
      <c r="E66" t="s">
        <v>86</v>
      </c>
      <c r="F66" t="s">
        <v>21</v>
      </c>
      <c r="G66">
        <v>2013</v>
      </c>
      <c r="H66" t="s">
        <v>22</v>
      </c>
      <c r="I66">
        <v>214</v>
      </c>
      <c r="J66">
        <v>14</v>
      </c>
      <c r="K66" s="1" t="str">
        <f t="shared" si="0"/>
        <v>X-Fire LTD V5 129</v>
      </c>
    </row>
    <row r="67" spans="1:11" x14ac:dyDescent="0.25">
      <c r="A67">
        <v>65</v>
      </c>
      <c r="B67">
        <v>5311</v>
      </c>
      <c r="C67" t="s">
        <v>10</v>
      </c>
      <c r="D67" t="s">
        <v>145</v>
      </c>
      <c r="E67" t="s">
        <v>137</v>
      </c>
      <c r="F67" t="s">
        <v>89</v>
      </c>
      <c r="G67">
        <v>2013</v>
      </c>
      <c r="H67" t="s">
        <v>61</v>
      </c>
      <c r="I67">
        <v>123</v>
      </c>
      <c r="J67">
        <v>7</v>
      </c>
      <c r="K67" s="1" t="str">
        <f t="shared" si="0"/>
        <v>X-Fire LTD V5 90</v>
      </c>
    </row>
    <row r="68" spans="1:11" x14ac:dyDescent="0.25">
      <c r="A68">
        <v>66</v>
      </c>
      <c r="B68">
        <v>5266</v>
      </c>
      <c r="C68" t="s">
        <v>10</v>
      </c>
      <c r="D68" t="s">
        <v>146</v>
      </c>
      <c r="E68" t="s">
        <v>51</v>
      </c>
      <c r="F68" t="s">
        <v>60</v>
      </c>
      <c r="G68">
        <v>2013</v>
      </c>
      <c r="H68" t="s">
        <v>58</v>
      </c>
      <c r="I68">
        <v>589</v>
      </c>
      <c r="J68">
        <v>24</v>
      </c>
      <c r="K68" s="1" t="str">
        <f t="shared" ref="K68:K104" si="1">HYPERLINK(_xlfn.CONCAT($E$1,B68),D68)</f>
        <v>X-Fire LTD V5 98</v>
      </c>
    </row>
    <row r="69" spans="1:11" x14ac:dyDescent="0.25">
      <c r="A69">
        <v>67</v>
      </c>
      <c r="B69">
        <v>5201</v>
      </c>
      <c r="C69" t="s">
        <v>10</v>
      </c>
      <c r="D69" t="s">
        <v>104</v>
      </c>
      <c r="E69" t="s">
        <v>105</v>
      </c>
      <c r="F69" t="s">
        <v>106</v>
      </c>
      <c r="G69">
        <v>2012</v>
      </c>
      <c r="H69" t="s">
        <v>14</v>
      </c>
      <c r="I69">
        <v>9</v>
      </c>
      <c r="J69">
        <v>3</v>
      </c>
      <c r="K69" s="1" t="str">
        <f t="shared" si="1"/>
        <v>Custom Speed</v>
      </c>
    </row>
    <row r="70" spans="1:11" x14ac:dyDescent="0.25">
      <c r="A70">
        <v>68</v>
      </c>
      <c r="B70">
        <v>4944</v>
      </c>
      <c r="C70" t="s">
        <v>10</v>
      </c>
      <c r="D70" t="s">
        <v>147</v>
      </c>
      <c r="E70" t="s">
        <v>148</v>
      </c>
      <c r="F70" t="s">
        <v>42</v>
      </c>
      <c r="G70">
        <v>2012</v>
      </c>
      <c r="H70" t="s">
        <v>58</v>
      </c>
      <c r="I70">
        <v>23</v>
      </c>
      <c r="J70">
        <v>2</v>
      </c>
      <c r="K70" s="1" t="str">
        <f t="shared" si="1"/>
        <v>Fire Storm 111</v>
      </c>
    </row>
    <row r="71" spans="1:11" x14ac:dyDescent="0.25">
      <c r="A71">
        <v>69</v>
      </c>
      <c r="B71">
        <v>6940</v>
      </c>
      <c r="C71" t="s">
        <v>10</v>
      </c>
      <c r="D71" t="s">
        <v>149</v>
      </c>
      <c r="E71" t="s">
        <v>48</v>
      </c>
      <c r="F71" t="s">
        <v>49</v>
      </c>
      <c r="G71">
        <v>2012</v>
      </c>
      <c r="H71" t="s">
        <v>58</v>
      </c>
      <c r="I71">
        <v>23</v>
      </c>
      <c r="J71">
        <v>3</v>
      </c>
      <c r="K71" s="1" t="str">
        <f t="shared" si="1"/>
        <v>Fire Storm 138 W-Tech</v>
      </c>
    </row>
    <row r="72" spans="1:11" x14ac:dyDescent="0.25">
      <c r="A72">
        <v>70</v>
      </c>
      <c r="B72">
        <v>5327</v>
      </c>
      <c r="C72" t="s">
        <v>10</v>
      </c>
      <c r="D72" t="s">
        <v>150</v>
      </c>
      <c r="E72" t="s">
        <v>48</v>
      </c>
      <c r="F72" t="s">
        <v>49</v>
      </c>
      <c r="G72">
        <v>2012</v>
      </c>
      <c r="H72" t="s">
        <v>58</v>
      </c>
      <c r="I72">
        <v>13</v>
      </c>
      <c r="J72">
        <v>3</v>
      </c>
      <c r="K72" s="1" t="str">
        <f t="shared" si="1"/>
        <v>Fire Strom LTD</v>
      </c>
    </row>
    <row r="73" spans="1:11" x14ac:dyDescent="0.25">
      <c r="A73">
        <v>71</v>
      </c>
      <c r="B73">
        <v>14552</v>
      </c>
      <c r="C73" t="s">
        <v>10</v>
      </c>
      <c r="D73" t="s">
        <v>151</v>
      </c>
      <c r="E73" t="s">
        <v>116</v>
      </c>
      <c r="F73" t="s">
        <v>117</v>
      </c>
      <c r="G73">
        <v>2012</v>
      </c>
      <c r="H73" t="s">
        <v>26</v>
      </c>
      <c r="I73">
        <v>6</v>
      </c>
      <c r="J73">
        <v>1</v>
      </c>
      <c r="K73" s="1" t="str">
        <f t="shared" si="1"/>
        <v>firemove 100</v>
      </c>
    </row>
    <row r="74" spans="1:11" x14ac:dyDescent="0.25">
      <c r="A74">
        <v>72</v>
      </c>
      <c r="B74">
        <v>13922</v>
      </c>
      <c r="C74" t="s">
        <v>10</v>
      </c>
      <c r="D74" t="s">
        <v>152</v>
      </c>
      <c r="E74" t="s">
        <v>116</v>
      </c>
      <c r="F74" t="s">
        <v>117</v>
      </c>
      <c r="G74">
        <v>2012</v>
      </c>
      <c r="H74" t="s">
        <v>58</v>
      </c>
      <c r="I74">
        <v>22</v>
      </c>
      <c r="J74">
        <v>2</v>
      </c>
      <c r="K74" s="1" t="str">
        <f t="shared" si="1"/>
        <v>FireMove 100 X-Tech</v>
      </c>
    </row>
    <row r="75" spans="1:11" x14ac:dyDescent="0.25">
      <c r="A75">
        <v>73</v>
      </c>
      <c r="B75">
        <v>14551</v>
      </c>
      <c r="C75" t="s">
        <v>10</v>
      </c>
      <c r="D75" t="s">
        <v>153</v>
      </c>
      <c r="E75" t="s">
        <v>154</v>
      </c>
      <c r="F75" t="s">
        <v>111</v>
      </c>
      <c r="G75">
        <v>2012</v>
      </c>
      <c r="H75" t="s">
        <v>26</v>
      </c>
      <c r="I75">
        <v>5</v>
      </c>
      <c r="J75">
        <v>1</v>
      </c>
      <c r="K75" s="1" t="str">
        <f t="shared" si="1"/>
        <v>firemove 110</v>
      </c>
    </row>
    <row r="76" spans="1:11" x14ac:dyDescent="0.25">
      <c r="A76">
        <v>74</v>
      </c>
      <c r="B76">
        <v>4965</v>
      </c>
      <c r="C76" t="s">
        <v>10</v>
      </c>
      <c r="D76" t="s">
        <v>155</v>
      </c>
      <c r="E76" t="s">
        <v>156</v>
      </c>
      <c r="F76" t="s">
        <v>111</v>
      </c>
      <c r="G76">
        <v>2012</v>
      </c>
      <c r="H76" t="s">
        <v>26</v>
      </c>
      <c r="I76">
        <v>2</v>
      </c>
      <c r="J76">
        <v>1</v>
      </c>
      <c r="K76" s="1" t="str">
        <f t="shared" si="1"/>
        <v>FireMove 110 X-Tech</v>
      </c>
    </row>
    <row r="77" spans="1:11" x14ac:dyDescent="0.25">
      <c r="A77">
        <v>75</v>
      </c>
      <c r="B77">
        <v>5398</v>
      </c>
      <c r="C77" t="s">
        <v>10</v>
      </c>
      <c r="D77" t="s">
        <v>157</v>
      </c>
      <c r="E77" t="s">
        <v>158</v>
      </c>
      <c r="F77" t="s">
        <v>46</v>
      </c>
      <c r="G77">
        <v>2012</v>
      </c>
      <c r="H77" t="s">
        <v>22</v>
      </c>
      <c r="I77">
        <v>25</v>
      </c>
      <c r="J77">
        <v>1</v>
      </c>
      <c r="K77" s="1" t="str">
        <f t="shared" si="1"/>
        <v>Firemove 120</v>
      </c>
    </row>
    <row r="78" spans="1:11" x14ac:dyDescent="0.25">
      <c r="A78">
        <v>76</v>
      </c>
      <c r="B78">
        <v>14541</v>
      </c>
      <c r="C78" t="s">
        <v>10</v>
      </c>
      <c r="D78" t="s">
        <v>115</v>
      </c>
      <c r="E78" t="s">
        <v>156</v>
      </c>
      <c r="F78" t="s">
        <v>111</v>
      </c>
      <c r="G78">
        <v>2012</v>
      </c>
      <c r="H78" t="s">
        <v>159</v>
      </c>
      <c r="I78">
        <v>1</v>
      </c>
      <c r="J78">
        <v>1</v>
      </c>
      <c r="K78" s="1" t="str">
        <f t="shared" si="1"/>
        <v>Firemove LTD</v>
      </c>
    </row>
    <row r="79" spans="1:11" x14ac:dyDescent="0.25">
      <c r="A79">
        <v>77</v>
      </c>
      <c r="B79">
        <v>5031</v>
      </c>
      <c r="C79" t="s">
        <v>10</v>
      </c>
      <c r="D79" t="s">
        <v>115</v>
      </c>
      <c r="E79" t="s">
        <v>156</v>
      </c>
      <c r="F79" t="s">
        <v>111</v>
      </c>
      <c r="G79">
        <v>2012</v>
      </c>
      <c r="H79" t="s">
        <v>159</v>
      </c>
      <c r="I79">
        <v>31</v>
      </c>
      <c r="J79">
        <v>1</v>
      </c>
      <c r="K79" s="1" t="str">
        <f t="shared" si="1"/>
        <v>Firemove LTD</v>
      </c>
    </row>
    <row r="80" spans="1:11" x14ac:dyDescent="0.25">
      <c r="A80">
        <v>78</v>
      </c>
      <c r="B80">
        <v>4921</v>
      </c>
      <c r="C80" t="s">
        <v>10</v>
      </c>
      <c r="D80" t="s">
        <v>115</v>
      </c>
      <c r="E80" t="s">
        <v>116</v>
      </c>
      <c r="F80" t="s">
        <v>117</v>
      </c>
      <c r="G80">
        <v>2012</v>
      </c>
      <c r="H80" t="s">
        <v>43</v>
      </c>
      <c r="I80">
        <v>4</v>
      </c>
      <c r="J80">
        <v>2</v>
      </c>
      <c r="K80" s="1" t="str">
        <f t="shared" si="1"/>
        <v>Firemove LTD</v>
      </c>
    </row>
    <row r="81" spans="1:11" x14ac:dyDescent="0.25">
      <c r="A81">
        <v>79</v>
      </c>
      <c r="B81">
        <v>4936</v>
      </c>
      <c r="C81" t="s">
        <v>10</v>
      </c>
      <c r="D81" t="s">
        <v>160</v>
      </c>
      <c r="E81" t="s">
        <v>116</v>
      </c>
      <c r="F81" t="s">
        <v>117</v>
      </c>
      <c r="G81">
        <v>2012</v>
      </c>
      <c r="H81" t="s">
        <v>43</v>
      </c>
      <c r="I81">
        <v>83</v>
      </c>
      <c r="J81">
        <v>4</v>
      </c>
      <c r="K81" s="1" t="str">
        <f t="shared" si="1"/>
        <v>Firemove LTD 100</v>
      </c>
    </row>
    <row r="82" spans="1:11" x14ac:dyDescent="0.25">
      <c r="A82">
        <v>80</v>
      </c>
      <c r="B82">
        <v>5032</v>
      </c>
      <c r="C82" t="s">
        <v>10</v>
      </c>
      <c r="D82" t="s">
        <v>161</v>
      </c>
      <c r="E82" t="s">
        <v>156</v>
      </c>
      <c r="F82" t="s">
        <v>111</v>
      </c>
      <c r="G82">
        <v>2012</v>
      </c>
      <c r="H82" t="s">
        <v>58</v>
      </c>
      <c r="I82">
        <v>130</v>
      </c>
      <c r="J82">
        <v>6</v>
      </c>
      <c r="K82" s="1" t="str">
        <f t="shared" si="1"/>
        <v>Firemove LTD 110</v>
      </c>
    </row>
    <row r="83" spans="1:11" x14ac:dyDescent="0.25">
      <c r="A83">
        <v>81</v>
      </c>
      <c r="B83">
        <v>5412</v>
      </c>
      <c r="C83" t="s">
        <v>10</v>
      </c>
      <c r="D83" t="s">
        <v>162</v>
      </c>
      <c r="E83" t="s">
        <v>163</v>
      </c>
      <c r="F83" t="s">
        <v>32</v>
      </c>
      <c r="G83">
        <v>2012</v>
      </c>
      <c r="H83" t="s">
        <v>22</v>
      </c>
      <c r="I83">
        <v>1</v>
      </c>
      <c r="J83">
        <v>1</v>
      </c>
      <c r="K83" s="1" t="str">
        <f t="shared" si="1"/>
        <v>Firerace V3 122</v>
      </c>
    </row>
    <row r="84" spans="1:11" x14ac:dyDescent="0.25">
      <c r="A84">
        <v>82</v>
      </c>
      <c r="B84">
        <v>7038</v>
      </c>
      <c r="C84" t="s">
        <v>10</v>
      </c>
      <c r="D84" t="s">
        <v>164</v>
      </c>
      <c r="E84" t="s">
        <v>165</v>
      </c>
      <c r="F84" t="s">
        <v>46</v>
      </c>
      <c r="G84">
        <v>2012</v>
      </c>
      <c r="H84" t="s">
        <v>58</v>
      </c>
      <c r="I84">
        <v>73</v>
      </c>
      <c r="J84">
        <v>3</v>
      </c>
      <c r="K84" s="1" t="str">
        <f t="shared" si="1"/>
        <v>Firestorm</v>
      </c>
    </row>
    <row r="85" spans="1:11" x14ac:dyDescent="0.25">
      <c r="A85">
        <v>83</v>
      </c>
      <c r="B85">
        <v>12125</v>
      </c>
      <c r="C85" t="s">
        <v>10</v>
      </c>
      <c r="D85" t="s">
        <v>126</v>
      </c>
      <c r="E85" t="s">
        <v>166</v>
      </c>
      <c r="F85" t="s">
        <v>128</v>
      </c>
      <c r="G85">
        <v>2012</v>
      </c>
      <c r="H85" t="s">
        <v>26</v>
      </c>
      <c r="I85">
        <v>3</v>
      </c>
      <c r="J85">
        <v>1</v>
      </c>
      <c r="K85" s="1" t="str">
        <f t="shared" si="1"/>
        <v>Freestyle Wave</v>
      </c>
    </row>
    <row r="86" spans="1:11" x14ac:dyDescent="0.25">
      <c r="A86">
        <v>84</v>
      </c>
      <c r="B86">
        <v>14198</v>
      </c>
      <c r="C86" t="s">
        <v>10</v>
      </c>
      <c r="D86" t="s">
        <v>167</v>
      </c>
      <c r="E86" t="s">
        <v>168</v>
      </c>
      <c r="F86" t="s">
        <v>89</v>
      </c>
      <c r="G86">
        <v>2012</v>
      </c>
      <c r="H86" t="s">
        <v>26</v>
      </c>
      <c r="I86">
        <v>4</v>
      </c>
      <c r="J86">
        <v>1</v>
      </c>
      <c r="K86" s="1" t="str">
        <f t="shared" si="1"/>
        <v>Freestyle Wave 90 X-Tech</v>
      </c>
    </row>
    <row r="87" spans="1:11" x14ac:dyDescent="0.25">
      <c r="A87">
        <v>85</v>
      </c>
      <c r="B87">
        <v>10193</v>
      </c>
      <c r="C87" t="s">
        <v>10</v>
      </c>
      <c r="D87" t="s">
        <v>169</v>
      </c>
      <c r="E87" t="s">
        <v>131</v>
      </c>
      <c r="F87" t="s">
        <v>132</v>
      </c>
      <c r="G87">
        <v>2012</v>
      </c>
      <c r="H87" t="s">
        <v>26</v>
      </c>
      <c r="I87">
        <v>33</v>
      </c>
      <c r="J87">
        <v>1</v>
      </c>
      <c r="K87" s="1" t="str">
        <f t="shared" si="1"/>
        <v>Freestyle Wave 96 LTD</v>
      </c>
    </row>
    <row r="88" spans="1:11" x14ac:dyDescent="0.25">
      <c r="A88">
        <v>86</v>
      </c>
      <c r="B88">
        <v>5018</v>
      </c>
      <c r="C88" t="s">
        <v>10</v>
      </c>
      <c r="D88" t="s">
        <v>170</v>
      </c>
      <c r="E88" t="s">
        <v>131</v>
      </c>
      <c r="F88" t="s">
        <v>132</v>
      </c>
      <c r="G88">
        <v>2012</v>
      </c>
      <c r="H88" t="s">
        <v>26</v>
      </c>
      <c r="I88">
        <v>1</v>
      </c>
      <c r="J88">
        <v>1</v>
      </c>
      <c r="K88" s="1" t="str">
        <f t="shared" si="1"/>
        <v>FreestyleWave</v>
      </c>
    </row>
    <row r="89" spans="1:11" x14ac:dyDescent="0.25">
      <c r="A89">
        <v>87</v>
      </c>
      <c r="B89">
        <v>5196</v>
      </c>
      <c r="C89" t="s">
        <v>10</v>
      </c>
      <c r="D89" t="s">
        <v>171</v>
      </c>
      <c r="E89" t="s">
        <v>172</v>
      </c>
      <c r="F89" t="s">
        <v>117</v>
      </c>
      <c r="G89">
        <v>2012</v>
      </c>
      <c r="H89" t="s">
        <v>26</v>
      </c>
      <c r="I89">
        <v>6</v>
      </c>
      <c r="J89">
        <v>3</v>
      </c>
      <c r="K89" s="1" t="str">
        <f t="shared" si="1"/>
        <v>TwinTip LTD</v>
      </c>
    </row>
    <row r="90" spans="1:11" x14ac:dyDescent="0.25">
      <c r="A90">
        <v>88</v>
      </c>
      <c r="B90">
        <v>4977</v>
      </c>
      <c r="C90" t="s">
        <v>10</v>
      </c>
      <c r="D90" t="s">
        <v>173</v>
      </c>
      <c r="E90" t="s">
        <v>174</v>
      </c>
      <c r="F90" t="s">
        <v>175</v>
      </c>
      <c r="G90">
        <v>2012</v>
      </c>
      <c r="H90" t="s">
        <v>43</v>
      </c>
      <c r="I90">
        <v>1</v>
      </c>
      <c r="J90">
        <v>1</v>
      </c>
      <c r="K90" s="1" t="str">
        <f t="shared" si="1"/>
        <v>wave cult</v>
      </c>
    </row>
    <row r="91" spans="1:11" x14ac:dyDescent="0.25">
      <c r="A91">
        <v>89</v>
      </c>
      <c r="B91">
        <v>15015</v>
      </c>
      <c r="C91" t="s">
        <v>10</v>
      </c>
      <c r="D91" t="s">
        <v>176</v>
      </c>
      <c r="E91" t="s">
        <v>177</v>
      </c>
      <c r="F91" t="s">
        <v>178</v>
      </c>
      <c r="G91">
        <v>2012</v>
      </c>
      <c r="H91" t="s">
        <v>58</v>
      </c>
      <c r="K91" s="1" t="str">
        <f t="shared" si="1"/>
        <v>X-fire</v>
      </c>
    </row>
    <row r="92" spans="1:11" x14ac:dyDescent="0.25">
      <c r="A92">
        <v>90</v>
      </c>
      <c r="B92">
        <v>14981</v>
      </c>
      <c r="C92" t="s">
        <v>10</v>
      </c>
      <c r="D92" t="s">
        <v>179</v>
      </c>
      <c r="E92" t="s">
        <v>180</v>
      </c>
      <c r="F92" t="s">
        <v>79</v>
      </c>
      <c r="G92">
        <v>2012</v>
      </c>
      <c r="H92" t="s">
        <v>61</v>
      </c>
      <c r="I92">
        <v>1</v>
      </c>
      <c r="K92" s="1" t="str">
        <f t="shared" si="1"/>
        <v>xfire 105</v>
      </c>
    </row>
    <row r="93" spans="1:11" x14ac:dyDescent="0.25">
      <c r="A93">
        <v>91</v>
      </c>
      <c r="B93">
        <v>5163</v>
      </c>
      <c r="C93" t="s">
        <v>10</v>
      </c>
      <c r="D93" t="s">
        <v>181</v>
      </c>
      <c r="E93" t="s">
        <v>96</v>
      </c>
      <c r="F93" t="s">
        <v>97</v>
      </c>
      <c r="G93">
        <v>2012</v>
      </c>
      <c r="H93" t="s">
        <v>182</v>
      </c>
      <c r="I93">
        <v>16</v>
      </c>
      <c r="J93">
        <v>3</v>
      </c>
      <c r="K93" s="1" t="str">
        <f t="shared" si="1"/>
        <v>X-Fire 80 V</v>
      </c>
    </row>
    <row r="94" spans="1:11" x14ac:dyDescent="0.25">
      <c r="A94">
        <v>92</v>
      </c>
      <c r="B94">
        <v>9639</v>
      </c>
      <c r="C94" t="s">
        <v>10</v>
      </c>
      <c r="D94" t="s">
        <v>183</v>
      </c>
      <c r="E94" t="s">
        <v>184</v>
      </c>
      <c r="F94" t="s">
        <v>79</v>
      </c>
      <c r="G94">
        <v>2012</v>
      </c>
      <c r="H94" t="s">
        <v>58</v>
      </c>
      <c r="I94">
        <v>5</v>
      </c>
      <c r="K94" s="1" t="str">
        <f t="shared" si="1"/>
        <v>X-Fire LTD 105</v>
      </c>
    </row>
    <row r="95" spans="1:11" x14ac:dyDescent="0.25">
      <c r="A95">
        <v>93</v>
      </c>
      <c r="B95">
        <v>4845</v>
      </c>
      <c r="C95" t="s">
        <v>10</v>
      </c>
      <c r="D95" t="s">
        <v>185</v>
      </c>
      <c r="E95" t="s">
        <v>163</v>
      </c>
      <c r="F95" t="s">
        <v>32</v>
      </c>
      <c r="G95">
        <v>2012</v>
      </c>
      <c r="H95" t="s">
        <v>22</v>
      </c>
      <c r="I95">
        <v>45</v>
      </c>
      <c r="J95">
        <v>8</v>
      </c>
      <c r="K95" s="1" t="str">
        <f t="shared" si="1"/>
        <v>X-Fire Ltd V3 122</v>
      </c>
    </row>
    <row r="96" spans="1:11" x14ac:dyDescent="0.25">
      <c r="A96">
        <v>94</v>
      </c>
      <c r="B96">
        <v>4868</v>
      </c>
      <c r="C96" t="s">
        <v>10</v>
      </c>
      <c r="D96" t="s">
        <v>186</v>
      </c>
      <c r="E96" t="s">
        <v>81</v>
      </c>
      <c r="F96" t="s">
        <v>82</v>
      </c>
      <c r="G96">
        <v>2012</v>
      </c>
      <c r="H96" t="s">
        <v>58</v>
      </c>
      <c r="I96">
        <v>29</v>
      </c>
      <c r="J96">
        <v>3</v>
      </c>
      <c r="K96" s="1" t="str">
        <f t="shared" si="1"/>
        <v>X-Fire LTD V4</v>
      </c>
    </row>
    <row r="97" spans="1:11" x14ac:dyDescent="0.25">
      <c r="A97">
        <v>95</v>
      </c>
      <c r="B97">
        <v>5012</v>
      </c>
      <c r="C97" t="s">
        <v>10</v>
      </c>
      <c r="D97" t="s">
        <v>187</v>
      </c>
      <c r="E97" t="s">
        <v>56</v>
      </c>
      <c r="F97" t="s">
        <v>79</v>
      </c>
      <c r="G97">
        <v>2012</v>
      </c>
      <c r="H97" t="s">
        <v>58</v>
      </c>
      <c r="I97">
        <v>135</v>
      </c>
      <c r="J97">
        <v>5</v>
      </c>
      <c r="K97" s="1" t="str">
        <f t="shared" si="1"/>
        <v>X-Fire LTD V4 105</v>
      </c>
    </row>
    <row r="98" spans="1:11" x14ac:dyDescent="0.25">
      <c r="A98">
        <v>96</v>
      </c>
      <c r="B98">
        <v>4870</v>
      </c>
      <c r="C98" t="s">
        <v>10</v>
      </c>
      <c r="D98" t="s">
        <v>188</v>
      </c>
      <c r="E98" t="s">
        <v>81</v>
      </c>
      <c r="F98" t="s">
        <v>82</v>
      </c>
      <c r="G98">
        <v>2012</v>
      </c>
      <c r="H98" t="s">
        <v>58</v>
      </c>
      <c r="I98">
        <v>431</v>
      </c>
      <c r="J98">
        <v>22</v>
      </c>
      <c r="K98" s="1" t="str">
        <f t="shared" si="1"/>
        <v>X-Fire LTD V4 114</v>
      </c>
    </row>
    <row r="99" spans="1:11" x14ac:dyDescent="0.25">
      <c r="A99">
        <v>97</v>
      </c>
      <c r="B99">
        <v>4954</v>
      </c>
      <c r="C99" t="s">
        <v>10</v>
      </c>
      <c r="D99" t="s">
        <v>189</v>
      </c>
      <c r="E99" t="s">
        <v>84</v>
      </c>
      <c r="F99" t="s">
        <v>32</v>
      </c>
      <c r="G99">
        <v>2012</v>
      </c>
      <c r="H99" t="s">
        <v>22</v>
      </c>
      <c r="I99">
        <v>373</v>
      </c>
      <c r="J99">
        <v>11</v>
      </c>
      <c r="K99" s="1" t="str">
        <f t="shared" si="1"/>
        <v>X-Fire LTD V4 122</v>
      </c>
    </row>
    <row r="100" spans="1:11" x14ac:dyDescent="0.25">
      <c r="A100">
        <v>98</v>
      </c>
      <c r="B100">
        <v>4946</v>
      </c>
      <c r="C100" t="s">
        <v>10</v>
      </c>
      <c r="D100" t="s">
        <v>190</v>
      </c>
      <c r="E100" t="s">
        <v>86</v>
      </c>
      <c r="F100" t="s">
        <v>191</v>
      </c>
      <c r="G100">
        <v>2012</v>
      </c>
      <c r="H100" t="s">
        <v>67</v>
      </c>
      <c r="I100">
        <v>79</v>
      </c>
      <c r="J100">
        <v>9</v>
      </c>
      <c r="K100" s="1" t="str">
        <f t="shared" si="1"/>
        <v>X-Fire LTD V4 129</v>
      </c>
    </row>
    <row r="101" spans="1:11" x14ac:dyDescent="0.25">
      <c r="A101">
        <v>99</v>
      </c>
      <c r="B101">
        <v>4869</v>
      </c>
      <c r="C101" t="s">
        <v>10</v>
      </c>
      <c r="D101" t="s">
        <v>192</v>
      </c>
      <c r="E101" t="s">
        <v>139</v>
      </c>
      <c r="F101" t="s">
        <v>89</v>
      </c>
      <c r="G101">
        <v>2012</v>
      </c>
      <c r="H101" t="s">
        <v>61</v>
      </c>
      <c r="I101">
        <v>121</v>
      </c>
      <c r="J101">
        <v>8</v>
      </c>
      <c r="K101" s="1" t="str">
        <f t="shared" si="1"/>
        <v>X-Fire LTD V4 90</v>
      </c>
    </row>
    <row r="102" spans="1:11" x14ac:dyDescent="0.25">
      <c r="A102">
        <v>100</v>
      </c>
      <c r="B102">
        <v>4927</v>
      </c>
      <c r="C102" t="s">
        <v>10</v>
      </c>
      <c r="D102" t="s">
        <v>193</v>
      </c>
      <c r="E102" t="s">
        <v>51</v>
      </c>
      <c r="F102" t="s">
        <v>60</v>
      </c>
      <c r="G102">
        <v>2012</v>
      </c>
      <c r="H102" t="s">
        <v>58</v>
      </c>
      <c r="I102">
        <v>282</v>
      </c>
      <c r="J102">
        <v>15</v>
      </c>
      <c r="K102" s="1" t="str">
        <f t="shared" si="1"/>
        <v>X-Fire LTD V4 98</v>
      </c>
    </row>
    <row r="103" spans="1:11" x14ac:dyDescent="0.25">
      <c r="A103">
        <v>101</v>
      </c>
      <c r="B103">
        <v>4888</v>
      </c>
      <c r="C103" t="s">
        <v>10</v>
      </c>
      <c r="D103" t="s">
        <v>194</v>
      </c>
      <c r="E103" t="s">
        <v>120</v>
      </c>
      <c r="F103" t="s">
        <v>29</v>
      </c>
      <c r="G103">
        <v>2012</v>
      </c>
      <c r="H103" t="s">
        <v>58</v>
      </c>
      <c r="I103">
        <v>106</v>
      </c>
      <c r="J103">
        <v>8</v>
      </c>
      <c r="K103" s="1" t="str">
        <f t="shared" si="1"/>
        <v>X-FIRE V3</v>
      </c>
    </row>
    <row r="104" spans="1:11" x14ac:dyDescent="0.25">
      <c r="A104">
        <v>102</v>
      </c>
      <c r="B104">
        <v>5010</v>
      </c>
      <c r="C104" t="s">
        <v>10</v>
      </c>
      <c r="D104" t="s">
        <v>195</v>
      </c>
      <c r="E104" t="s">
        <v>56</v>
      </c>
      <c r="F104" t="s">
        <v>79</v>
      </c>
      <c r="G104">
        <v>2012</v>
      </c>
      <c r="H104" t="s">
        <v>58</v>
      </c>
      <c r="I104">
        <v>6</v>
      </c>
      <c r="J104">
        <v>1</v>
      </c>
      <c r="K104" s="1" t="str">
        <f t="shared" si="1"/>
        <v>X-Fire V4</v>
      </c>
    </row>
  </sheetData>
  <autoFilter ref="A2:K2" xr:uid="{CA576202-A1A0-4430-9DEF-EFCA8AEA998F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2A5F9-18CA-47B5-B545-037F63A1FD14}">
  <dimension ref="A1:L20"/>
  <sheetViews>
    <sheetView workbookViewId="0">
      <selection activeCell="D21" sqref="D21"/>
    </sheetView>
  </sheetViews>
  <sheetFormatPr defaultRowHeight="15" x14ac:dyDescent="0.25"/>
  <sheetData>
    <row r="1" spans="1:12" x14ac:dyDescent="0.25">
      <c r="A1" s="10">
        <v>2013</v>
      </c>
      <c r="B1" s="9" t="s">
        <v>198</v>
      </c>
      <c r="I1" t="s">
        <v>199</v>
      </c>
      <c r="L1" s="3" t="s">
        <v>196</v>
      </c>
    </row>
    <row r="2" spans="1:12" x14ac:dyDescent="0.25">
      <c r="B2" t="s">
        <v>2</v>
      </c>
      <c r="C2" t="s">
        <v>197</v>
      </c>
      <c r="D2" t="s">
        <v>103</v>
      </c>
    </row>
    <row r="3" spans="1:12" x14ac:dyDescent="0.25">
      <c r="B3" t="s">
        <v>208</v>
      </c>
      <c r="C3">
        <v>1</v>
      </c>
      <c r="D3" s="1" t="str">
        <f t="shared" ref="D3:D13" si="0">HYPERLINK(_xlfn.CONCAT($B$1,$C3,"&amp;eqyear=",$A$1),_xlfn.CONCAT($A$1))</f>
        <v>2013</v>
      </c>
    </row>
    <row r="4" spans="1:12" x14ac:dyDescent="0.25">
      <c r="B4" t="s">
        <v>209</v>
      </c>
      <c r="C4">
        <v>4</v>
      </c>
      <c r="D4" s="1" t="str">
        <f t="shared" si="0"/>
        <v>2013</v>
      </c>
    </row>
    <row r="5" spans="1:12" x14ac:dyDescent="0.25">
      <c r="B5" t="s">
        <v>210</v>
      </c>
      <c r="C5">
        <v>6</v>
      </c>
      <c r="D5" s="1" t="str">
        <f t="shared" si="0"/>
        <v>2013</v>
      </c>
    </row>
    <row r="6" spans="1:12" x14ac:dyDescent="0.25">
      <c r="B6" t="s">
        <v>211</v>
      </c>
      <c r="C6">
        <v>13</v>
      </c>
      <c r="D6" s="1" t="str">
        <f t="shared" si="0"/>
        <v>2013</v>
      </c>
    </row>
    <row r="7" spans="1:12" x14ac:dyDescent="0.25">
      <c r="B7" t="s">
        <v>207</v>
      </c>
      <c r="C7">
        <v>16</v>
      </c>
      <c r="D7" s="1" t="str">
        <f t="shared" si="0"/>
        <v>2013</v>
      </c>
    </row>
    <row r="8" spans="1:12" x14ac:dyDescent="0.25">
      <c r="B8" t="s">
        <v>205</v>
      </c>
      <c r="C8">
        <v>35</v>
      </c>
      <c r="D8" s="1" t="str">
        <f t="shared" si="0"/>
        <v>2013</v>
      </c>
    </row>
    <row r="9" spans="1:12" x14ac:dyDescent="0.25">
      <c r="B9" t="s">
        <v>204</v>
      </c>
      <c r="C9">
        <v>55</v>
      </c>
      <c r="D9" s="1" t="str">
        <f t="shared" si="0"/>
        <v>2013</v>
      </c>
    </row>
    <row r="10" spans="1:12" x14ac:dyDescent="0.25">
      <c r="B10" t="s">
        <v>203</v>
      </c>
      <c r="C10">
        <v>52</v>
      </c>
      <c r="D10" s="1" t="str">
        <f t="shared" si="0"/>
        <v>2013</v>
      </c>
    </row>
    <row r="11" spans="1:12" x14ac:dyDescent="0.25">
      <c r="B11" t="s">
        <v>202</v>
      </c>
      <c r="C11">
        <v>34</v>
      </c>
      <c r="D11" s="1" t="str">
        <f t="shared" si="0"/>
        <v>2013</v>
      </c>
    </row>
    <row r="12" spans="1:12" x14ac:dyDescent="0.25">
      <c r="B12" t="s">
        <v>201</v>
      </c>
      <c r="C12">
        <v>17</v>
      </c>
      <c r="D12" s="1" t="str">
        <f t="shared" si="0"/>
        <v>2013</v>
      </c>
    </row>
    <row r="13" spans="1:12" x14ac:dyDescent="0.25">
      <c r="B13" t="s">
        <v>200</v>
      </c>
      <c r="C13">
        <v>30</v>
      </c>
      <c r="D13" s="1" t="str">
        <f t="shared" si="0"/>
        <v>2013</v>
      </c>
    </row>
    <row r="14" spans="1:12" x14ac:dyDescent="0.25">
      <c r="B14" s="2" t="s">
        <v>10</v>
      </c>
      <c r="C14">
        <v>45</v>
      </c>
      <c r="D14" s="1" t="str">
        <f>HYPERLINK(_xlfn.CONCAT($B$1,$C14,"&amp;eqyear=",$A$1),_xlfn.CONCAT($A$1))</f>
        <v>2013</v>
      </c>
    </row>
    <row r="20" spans="4:4" x14ac:dyDescent="0.25">
      <c r="D20" s="1" t="s">
        <v>212</v>
      </c>
    </row>
  </sheetData>
  <dataValidations count="1">
    <dataValidation type="list" allowBlank="1" showInputMessage="1" showErrorMessage="1" sqref="A1" xr:uid="{5EB31147-B765-45DA-B588-B91859632423}">
      <formula1>rYear</formula1>
    </dataValidation>
  </dataValidations>
  <hyperlinks>
    <hyperlink ref="B1" r:id="rId1" xr:uid="{17CF5FDE-F4C0-425C-A328-BEBE6092A2BF}"/>
    <hyperlink ref="D20" r:id="rId2" xr:uid="{BE85311A-4242-4A16-9F49-79D53CED419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583F9-C105-4DC5-AB97-B32AA9231D3E}">
  <dimension ref="A1:A18"/>
  <sheetViews>
    <sheetView workbookViewId="0">
      <selection activeCell="A2" sqref="A2:A18"/>
    </sheetView>
  </sheetViews>
  <sheetFormatPr defaultRowHeight="15" x14ac:dyDescent="0.25"/>
  <sheetData>
    <row r="1" spans="1:1" x14ac:dyDescent="0.25">
      <c r="A1" t="s">
        <v>206</v>
      </c>
    </row>
    <row r="2" spans="1:1" x14ac:dyDescent="0.25">
      <c r="A2">
        <v>2000</v>
      </c>
    </row>
    <row r="3" spans="1:1" x14ac:dyDescent="0.25">
      <c r="A3">
        <v>2001</v>
      </c>
    </row>
    <row r="4" spans="1:1" x14ac:dyDescent="0.25">
      <c r="A4">
        <v>2002</v>
      </c>
    </row>
    <row r="5" spans="1:1" x14ac:dyDescent="0.25">
      <c r="A5">
        <v>2003</v>
      </c>
    </row>
    <row r="6" spans="1:1" x14ac:dyDescent="0.25">
      <c r="A6">
        <v>2004</v>
      </c>
    </row>
    <row r="7" spans="1:1" x14ac:dyDescent="0.25">
      <c r="A7">
        <v>2005</v>
      </c>
    </row>
    <row r="8" spans="1:1" x14ac:dyDescent="0.25">
      <c r="A8">
        <v>2006</v>
      </c>
    </row>
    <row r="9" spans="1:1" x14ac:dyDescent="0.25">
      <c r="A9">
        <v>2007</v>
      </c>
    </row>
    <row r="10" spans="1:1" x14ac:dyDescent="0.25">
      <c r="A10">
        <v>2008</v>
      </c>
    </row>
    <row r="11" spans="1:1" x14ac:dyDescent="0.25">
      <c r="A11">
        <v>2009</v>
      </c>
    </row>
    <row r="12" spans="1:1" x14ac:dyDescent="0.25">
      <c r="A12">
        <v>2010</v>
      </c>
    </row>
    <row r="13" spans="1:1" x14ac:dyDescent="0.25">
      <c r="A13">
        <v>2011</v>
      </c>
    </row>
    <row r="14" spans="1:1" x14ac:dyDescent="0.25">
      <c r="A14">
        <v>2012</v>
      </c>
    </row>
    <row r="15" spans="1:1" x14ac:dyDescent="0.25">
      <c r="A15">
        <v>2013</v>
      </c>
    </row>
    <row r="16" spans="1:1" x14ac:dyDescent="0.25">
      <c r="A16">
        <v>2014</v>
      </c>
    </row>
    <row r="17" spans="1:1" x14ac:dyDescent="0.25">
      <c r="A17">
        <v>2015</v>
      </c>
    </row>
    <row r="18" spans="1:1" x14ac:dyDescent="0.25">
      <c r="A18">
        <v>2016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Board Stats</vt:lpstr>
      <vt:lpstr>windsurfing.pl</vt:lpstr>
      <vt:lpstr>ddl</vt:lpstr>
      <vt:lpstr>rYear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Björn Johansson</dc:creator>
  <cp:lastModifiedBy>Björn Johansson</cp:lastModifiedBy>
  <dcterms:created xsi:type="dcterms:W3CDTF">2015-06-05T18:17:20Z</dcterms:created>
  <dcterms:modified xsi:type="dcterms:W3CDTF">2026-04-22T19:41:12Z</dcterms:modified>
</cp:coreProperties>
</file>