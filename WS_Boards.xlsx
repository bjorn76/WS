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C4CCE8A7-AD9E-4009-94D6-CC12FC8D69BD}" xr6:coauthVersionLast="47" xr6:coauthVersionMax="47" xr10:uidLastSave="{00000000-0000-0000-0000-000000000000}"/>
  <bookViews>
    <workbookView xWindow="-23148" yWindow="4188" windowWidth="23256" windowHeight="12456" xr2:uid="{00000000-000D-0000-FFFF-FFFF00000000}"/>
  </bookViews>
  <sheets>
    <sheet name="Boards Catalogue" sheetId="4" r:id="rId1"/>
    <sheet name="GPS-Boards-Validation" sheetId="1" r:id="rId2"/>
    <sheet name="Temp-Berra-ToAddAfterReview" sheetId="8" r:id="rId3"/>
    <sheet name="Temp-Berra-unit-remove" sheetId="9" r:id="rId4"/>
  </sheets>
  <definedNames>
    <definedName name="_xlnm._FilterDatabase" localSheetId="0" hidden="1">'Boards Catalogue'!$A$1:$K$1</definedName>
    <definedName name="_xlnm._FilterDatabase" localSheetId="1" hidden="1">'GPS-Boards-Validation'!$A$1:$I$1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9" l="1"/>
  <c r="N3" i="9"/>
  <c r="O3" i="9"/>
  <c r="M4" i="9"/>
  <c r="N4" i="9"/>
  <c r="O4" i="9"/>
  <c r="M5" i="9"/>
  <c r="N5" i="9"/>
  <c r="O5" i="9"/>
  <c r="M6" i="9"/>
  <c r="N6" i="9"/>
  <c r="O6" i="9"/>
  <c r="M7" i="9"/>
  <c r="N7" i="9"/>
  <c r="O7" i="9"/>
  <c r="M8" i="9"/>
  <c r="N8" i="9"/>
  <c r="O8" i="9"/>
  <c r="M9" i="9"/>
  <c r="N9" i="9"/>
  <c r="O9" i="9"/>
  <c r="M10" i="9"/>
  <c r="N10" i="9"/>
  <c r="O10" i="9"/>
  <c r="M11" i="9"/>
  <c r="N11" i="9"/>
  <c r="O11" i="9"/>
  <c r="M12" i="9"/>
  <c r="N12" i="9"/>
  <c r="O12" i="9"/>
  <c r="M13" i="9"/>
  <c r="N13" i="9"/>
  <c r="O13" i="9"/>
  <c r="M14" i="9"/>
  <c r="N14" i="9"/>
  <c r="O14" i="9"/>
  <c r="M15" i="9"/>
  <c r="N15" i="9"/>
  <c r="O15" i="9"/>
  <c r="M16" i="9"/>
  <c r="N16" i="9"/>
  <c r="O16" i="9"/>
  <c r="M17" i="9"/>
  <c r="N17" i="9"/>
  <c r="O17" i="9"/>
  <c r="M18" i="9"/>
  <c r="N18" i="9"/>
  <c r="O18" i="9"/>
  <c r="M19" i="9"/>
  <c r="N19" i="9"/>
  <c r="O19" i="9"/>
  <c r="M20" i="9"/>
  <c r="N20" i="9"/>
  <c r="O20" i="9"/>
  <c r="M21" i="9"/>
  <c r="N21" i="9"/>
  <c r="O21" i="9"/>
  <c r="M22" i="9"/>
  <c r="N22" i="9"/>
  <c r="O22" i="9"/>
  <c r="M23" i="9"/>
  <c r="N23" i="9"/>
  <c r="O23" i="9"/>
  <c r="M24" i="9"/>
  <c r="N24" i="9"/>
  <c r="O24" i="9"/>
  <c r="M25" i="9"/>
  <c r="N25" i="9"/>
  <c r="O25" i="9"/>
  <c r="M26" i="9"/>
  <c r="N26" i="9"/>
  <c r="O26" i="9"/>
  <c r="M27" i="9"/>
  <c r="N27" i="9"/>
  <c r="O27" i="9"/>
  <c r="M28" i="9"/>
  <c r="N28" i="9"/>
  <c r="O28" i="9"/>
  <c r="M29" i="9"/>
  <c r="N29" i="9"/>
  <c r="O29" i="9"/>
  <c r="M30" i="9"/>
  <c r="N30" i="9"/>
  <c r="O30" i="9"/>
  <c r="M31" i="9"/>
  <c r="N31" i="9"/>
  <c r="O31" i="9"/>
  <c r="M32" i="9"/>
  <c r="N32" i="9"/>
  <c r="O32" i="9"/>
  <c r="M33" i="9"/>
  <c r="N33" i="9"/>
  <c r="O33" i="9"/>
  <c r="M34" i="9"/>
  <c r="N34" i="9"/>
  <c r="O34" i="9"/>
  <c r="M35" i="9"/>
  <c r="N35" i="9"/>
  <c r="O35" i="9"/>
  <c r="M36" i="9"/>
  <c r="N36" i="9"/>
  <c r="O36" i="9"/>
  <c r="M37" i="9"/>
  <c r="N37" i="9"/>
  <c r="O37" i="9"/>
  <c r="M38" i="9"/>
  <c r="N38" i="9"/>
  <c r="O38" i="9"/>
  <c r="M39" i="9"/>
  <c r="N39" i="9"/>
  <c r="O39" i="9"/>
  <c r="M40" i="9"/>
  <c r="N40" i="9"/>
  <c r="O40" i="9"/>
  <c r="M41" i="9"/>
  <c r="N41" i="9"/>
  <c r="O41" i="9"/>
  <c r="M42" i="9"/>
  <c r="N42" i="9"/>
  <c r="O42" i="9"/>
  <c r="M43" i="9"/>
  <c r="N43" i="9"/>
  <c r="O43" i="9"/>
  <c r="M44" i="9"/>
  <c r="N44" i="9"/>
  <c r="O44" i="9"/>
  <c r="M45" i="9"/>
  <c r="N45" i="9"/>
  <c r="O45" i="9"/>
  <c r="M46" i="9"/>
  <c r="N46" i="9"/>
  <c r="O46" i="9"/>
  <c r="M47" i="9"/>
  <c r="N47" i="9"/>
  <c r="O47" i="9"/>
  <c r="M48" i="9"/>
  <c r="N48" i="9"/>
  <c r="O48" i="9"/>
  <c r="M49" i="9"/>
  <c r="N49" i="9"/>
  <c r="O49" i="9"/>
  <c r="M50" i="9"/>
  <c r="N50" i="9"/>
  <c r="O50" i="9"/>
  <c r="M51" i="9"/>
  <c r="N51" i="9"/>
  <c r="O51" i="9"/>
  <c r="M52" i="9"/>
  <c r="N52" i="9"/>
  <c r="O52" i="9"/>
  <c r="M53" i="9"/>
  <c r="N53" i="9"/>
  <c r="O53" i="9"/>
  <c r="M54" i="9"/>
  <c r="N54" i="9"/>
  <c r="O54" i="9"/>
  <c r="M55" i="9"/>
  <c r="N55" i="9"/>
  <c r="O55" i="9"/>
  <c r="M56" i="9"/>
  <c r="N56" i="9"/>
  <c r="O56" i="9"/>
  <c r="M57" i="9"/>
  <c r="N57" i="9"/>
  <c r="O57" i="9"/>
  <c r="M58" i="9"/>
  <c r="N58" i="9"/>
  <c r="O58" i="9"/>
  <c r="M59" i="9"/>
  <c r="N59" i="9"/>
  <c r="O59" i="9"/>
  <c r="M60" i="9"/>
  <c r="N60" i="9"/>
  <c r="O60" i="9"/>
  <c r="M61" i="9"/>
  <c r="N61" i="9"/>
  <c r="O61" i="9"/>
  <c r="M62" i="9"/>
  <c r="N62" i="9"/>
  <c r="O62" i="9"/>
  <c r="M63" i="9"/>
  <c r="N63" i="9"/>
  <c r="O63" i="9"/>
  <c r="M64" i="9"/>
  <c r="N64" i="9"/>
  <c r="O64" i="9"/>
  <c r="M65" i="9"/>
  <c r="N65" i="9"/>
  <c r="O65" i="9"/>
  <c r="M66" i="9"/>
  <c r="N66" i="9"/>
  <c r="O66" i="9"/>
  <c r="M67" i="9"/>
  <c r="N67" i="9"/>
  <c r="O67" i="9"/>
  <c r="M68" i="9"/>
  <c r="N68" i="9"/>
  <c r="O68" i="9"/>
  <c r="M69" i="9"/>
  <c r="N69" i="9"/>
  <c r="O69" i="9"/>
  <c r="M70" i="9"/>
  <c r="N70" i="9"/>
  <c r="O70" i="9"/>
  <c r="M71" i="9"/>
  <c r="N71" i="9"/>
  <c r="O71" i="9"/>
  <c r="M72" i="9"/>
  <c r="N72" i="9"/>
  <c r="O72" i="9"/>
  <c r="M73" i="9"/>
  <c r="N73" i="9"/>
  <c r="O73" i="9"/>
  <c r="M74" i="9"/>
  <c r="N74" i="9"/>
  <c r="O74" i="9"/>
  <c r="M75" i="9"/>
  <c r="N75" i="9"/>
  <c r="O75" i="9"/>
  <c r="M76" i="9"/>
  <c r="N76" i="9"/>
  <c r="O76" i="9"/>
  <c r="M77" i="9"/>
  <c r="N77" i="9"/>
  <c r="O77" i="9"/>
  <c r="M78" i="9"/>
  <c r="N78" i="9"/>
  <c r="O78" i="9"/>
  <c r="M79" i="9"/>
  <c r="N79" i="9"/>
  <c r="O79" i="9"/>
  <c r="M80" i="9"/>
  <c r="N80" i="9"/>
  <c r="O80" i="9"/>
  <c r="M81" i="9"/>
  <c r="N81" i="9"/>
  <c r="O81" i="9"/>
  <c r="M82" i="9"/>
  <c r="N82" i="9"/>
  <c r="O82" i="9"/>
  <c r="M83" i="9"/>
  <c r="N83" i="9"/>
  <c r="O83" i="9"/>
  <c r="M84" i="9"/>
  <c r="N84" i="9"/>
  <c r="O84" i="9"/>
  <c r="A107" i="4"/>
  <c r="A260" i="4"/>
  <c r="A228" i="4"/>
  <c r="A229" i="4"/>
  <c r="A230" i="4"/>
  <c r="A231" i="4"/>
  <c r="A232" i="4"/>
  <c r="A233" i="4"/>
  <c r="A227" i="4"/>
  <c r="A249" i="4"/>
  <c r="A250" i="4"/>
  <c r="A251" i="4"/>
  <c r="A252" i="4"/>
  <c r="A204" i="4"/>
  <c r="A207" i="4"/>
  <c r="A197" i="4"/>
  <c r="A200" i="4"/>
  <c r="A202" i="4"/>
  <c r="A205" i="4"/>
  <c r="A208" i="4"/>
  <c r="A198" i="4"/>
  <c r="A201" i="4"/>
  <c r="A203" i="4"/>
  <c r="A206" i="4"/>
  <c r="A209" i="4"/>
  <c r="A199" i="4"/>
  <c r="A241" i="4"/>
  <c r="A242" i="4"/>
  <c r="A243" i="4"/>
  <c r="A240" i="4"/>
  <c r="A177" i="4"/>
  <c r="A179" i="4"/>
  <c r="A181" i="4"/>
  <c r="A183" i="4"/>
  <c r="A178" i="4"/>
  <c r="A180" i="4"/>
  <c r="A182" i="4"/>
  <c r="A184" i="4"/>
  <c r="A210" i="4"/>
  <c r="A212" i="4"/>
  <c r="A215" i="4"/>
  <c r="A218" i="4"/>
  <c r="A223" i="4"/>
  <c r="A213" i="4"/>
  <c r="A216" i="4"/>
  <c r="A219" i="4"/>
  <c r="A211" i="4"/>
  <c r="A214" i="4"/>
  <c r="A217" i="4"/>
  <c r="A220" i="4"/>
  <c r="A224" i="4"/>
  <c r="A225" i="4"/>
  <c r="A226" i="4"/>
  <c r="A221" i="4"/>
  <c r="A222" i="4"/>
  <c r="A237" i="4"/>
  <c r="A234" i="4"/>
  <c r="A235" i="4"/>
  <c r="A236" i="4"/>
  <c r="A194" i="4"/>
  <c r="A195" i="4"/>
  <c r="A196" i="4"/>
  <c r="A185" i="4"/>
  <c r="A186" i="4"/>
  <c r="A187" i="4"/>
  <c r="A188" i="4"/>
  <c r="A189" i="4"/>
  <c r="A190" i="4"/>
  <c r="A192" i="4"/>
  <c r="A193" i="4"/>
  <c r="A244" i="4"/>
  <c r="A245" i="4"/>
  <c r="A247" i="4"/>
  <c r="A246" i="4"/>
  <c r="A248" i="4"/>
  <c r="A191" i="4"/>
  <c r="A254" i="4"/>
  <c r="A255" i="4"/>
  <c r="A256" i="4"/>
  <c r="A257" i="4"/>
  <c r="A238" i="4"/>
  <c r="A258" i="4"/>
  <c r="A259" i="4"/>
  <c r="A239" i="4"/>
  <c r="A253" i="4"/>
  <c r="M2" i="9"/>
  <c r="N2" i="9"/>
  <c r="O2" i="9"/>
  <c r="A26" i="4"/>
  <c r="A28" i="4"/>
  <c r="A30" i="4"/>
  <c r="A32" i="4"/>
  <c r="A27" i="4"/>
  <c r="A29" i="4"/>
  <c r="A31" i="4"/>
  <c r="A33" i="4"/>
  <c r="A14" i="4"/>
  <c r="A16" i="4"/>
  <c r="A18" i="4"/>
  <c r="A10" i="4"/>
  <c r="A12" i="4"/>
  <c r="A15" i="4"/>
  <c r="A17" i="4"/>
  <c r="A19" i="4"/>
  <c r="A11" i="4"/>
  <c r="A13" i="4"/>
  <c r="A47" i="4"/>
  <c r="A49" i="4"/>
  <c r="A51" i="4"/>
  <c r="A48" i="4"/>
  <c r="A50" i="4"/>
  <c r="A20" i="4"/>
  <c r="A22" i="4"/>
  <c r="A24" i="4"/>
  <c r="A21" i="4"/>
  <c r="A23" i="4"/>
  <c r="A25" i="4"/>
  <c r="A39" i="4"/>
  <c r="A40" i="4"/>
  <c r="A41" i="4"/>
  <c r="A42" i="4"/>
  <c r="A44" i="4"/>
  <c r="A46" i="4"/>
  <c r="A43" i="4"/>
  <c r="A45" i="4"/>
  <c r="A37" i="4"/>
  <c r="A34" i="4"/>
  <c r="A35" i="4"/>
  <c r="A36" i="4"/>
  <c r="A8" i="4"/>
  <c r="A9" i="4"/>
  <c r="A3" i="4"/>
  <c r="A4" i="4"/>
  <c r="A5" i="4"/>
  <c r="A6" i="4"/>
  <c r="A7" i="4"/>
  <c r="A52" i="4"/>
  <c r="A53" i="4"/>
  <c r="A54" i="4"/>
  <c r="A55" i="4"/>
  <c r="A38" i="4"/>
  <c r="A336" i="4"/>
  <c r="A338" i="4"/>
  <c r="A340" i="4"/>
  <c r="A337" i="4"/>
  <c r="A339" i="4"/>
  <c r="A341" i="4"/>
  <c r="A321" i="4"/>
  <c r="A322" i="4"/>
  <c r="A323" i="4"/>
  <c r="A330" i="4"/>
  <c r="A331" i="4"/>
  <c r="A332" i="4"/>
  <c r="A329" i="4"/>
  <c r="A350" i="4"/>
  <c r="A348" i="4"/>
  <c r="A351" i="4"/>
  <c r="A349" i="4"/>
  <c r="A335" i="4"/>
  <c r="A333" i="4"/>
  <c r="A334" i="4"/>
  <c r="A324" i="4"/>
  <c r="A325" i="4"/>
  <c r="A326" i="4"/>
  <c r="A343" i="4"/>
  <c r="A345" i="4"/>
  <c r="A344" i="4"/>
  <c r="A346" i="4"/>
  <c r="A347" i="4"/>
  <c r="A328" i="4"/>
  <c r="A355" i="4"/>
  <c r="A356" i="4"/>
  <c r="A357" i="4"/>
  <c r="A358" i="4"/>
  <c r="A327" i="4"/>
  <c r="A352" i="4"/>
  <c r="A353" i="4"/>
  <c r="A354" i="4"/>
  <c r="A342" i="4"/>
  <c r="A167" i="4"/>
  <c r="A168" i="4"/>
  <c r="A169" i="4"/>
  <c r="A155" i="4"/>
  <c r="A156" i="4"/>
  <c r="A157" i="4"/>
  <c r="A158" i="4"/>
  <c r="A159" i="4"/>
  <c r="A132" i="4"/>
  <c r="A135" i="4"/>
  <c r="A127" i="4"/>
  <c r="A130" i="4"/>
  <c r="A133" i="4"/>
  <c r="A136" i="4"/>
  <c r="A128" i="4"/>
  <c r="A131" i="4"/>
  <c r="A134" i="4"/>
  <c r="A137" i="4"/>
  <c r="A129" i="4"/>
  <c r="A164" i="4"/>
  <c r="A165" i="4"/>
  <c r="A162" i="4"/>
  <c r="A163" i="4"/>
  <c r="A153" i="4"/>
  <c r="A138" i="4"/>
  <c r="A140" i="4"/>
  <c r="A143" i="4"/>
  <c r="A146" i="4"/>
  <c r="A149" i="4"/>
  <c r="A144" i="4"/>
  <c r="A147" i="4"/>
  <c r="A141" i="4"/>
  <c r="A154" i="4"/>
  <c r="A139" i="4"/>
  <c r="A142" i="4"/>
  <c r="A145" i="4"/>
  <c r="A148" i="4"/>
  <c r="A150" i="4"/>
  <c r="A151" i="4"/>
  <c r="A152" i="4"/>
  <c r="A108" i="4"/>
  <c r="A110" i="4"/>
  <c r="A112" i="4"/>
  <c r="A114" i="4"/>
  <c r="A109" i="4"/>
  <c r="A111" i="4"/>
  <c r="A113" i="4"/>
  <c r="A115" i="4"/>
  <c r="A125" i="4"/>
  <c r="A126" i="4"/>
  <c r="A116" i="4"/>
  <c r="A117" i="4"/>
  <c r="A118" i="4"/>
  <c r="A119" i="4"/>
  <c r="A120" i="4"/>
  <c r="A122" i="4"/>
  <c r="A123" i="4"/>
  <c r="A124" i="4"/>
  <c r="A121" i="4"/>
  <c r="A171" i="4"/>
  <c r="A172" i="4"/>
  <c r="A173" i="4"/>
  <c r="A174" i="4"/>
  <c r="A175" i="4"/>
  <c r="A176" i="4"/>
  <c r="A160" i="4"/>
  <c r="A161" i="4"/>
  <c r="A170" i="4"/>
  <c r="A291" i="4"/>
  <c r="A292" i="4"/>
  <c r="A293" i="4"/>
  <c r="A294" i="4"/>
  <c r="A295" i="4"/>
  <c r="A296" i="4"/>
  <c r="A290" i="4"/>
  <c r="A303" i="4"/>
  <c r="A304" i="4"/>
  <c r="A305" i="4"/>
  <c r="A302" i="4"/>
  <c r="A307" i="4"/>
  <c r="A308" i="4"/>
  <c r="A309" i="4"/>
  <c r="A306" i="4"/>
  <c r="A281" i="4"/>
  <c r="A282" i="4"/>
  <c r="A283" i="4"/>
  <c r="A278" i="4"/>
  <c r="A279" i="4"/>
  <c r="A280" i="4"/>
  <c r="A261" i="4"/>
  <c r="A262" i="4"/>
  <c r="A263" i="4"/>
  <c r="A264" i="4"/>
  <c r="A284" i="4"/>
  <c r="A285" i="4"/>
  <c r="A286" i="4"/>
  <c r="A287" i="4"/>
  <c r="A288" i="4"/>
  <c r="A289" i="4"/>
  <c r="A265" i="4"/>
  <c r="A266" i="4"/>
  <c r="A301" i="4"/>
  <c r="A297" i="4"/>
  <c r="A298" i="4"/>
  <c r="A299" i="4"/>
  <c r="A300" i="4"/>
  <c r="A275" i="4"/>
  <c r="A276" i="4"/>
  <c r="A277" i="4"/>
  <c r="A267" i="4"/>
  <c r="A268" i="4"/>
  <c r="A269" i="4"/>
  <c r="A270" i="4"/>
  <c r="A272" i="4"/>
  <c r="A310" i="4"/>
  <c r="A311" i="4"/>
  <c r="A271" i="4"/>
  <c r="A273" i="4"/>
  <c r="A274" i="4"/>
  <c r="A2" i="4"/>
  <c r="A314" i="4"/>
  <c r="A315" i="4"/>
  <c r="A312" i="4"/>
  <c r="A313" i="4"/>
  <c r="A320" i="4"/>
  <c r="A316" i="4"/>
  <c r="A317" i="4"/>
  <c r="A318" i="4"/>
  <c r="A319" i="4"/>
  <c r="A82" i="4"/>
  <c r="A83" i="4"/>
  <c r="A84" i="4"/>
  <c r="A85" i="4"/>
  <c r="A95" i="4"/>
  <c r="A96" i="4"/>
  <c r="A97" i="4"/>
  <c r="A98" i="4"/>
  <c r="A99" i="4"/>
  <c r="A100" i="4"/>
  <c r="A69" i="4"/>
  <c r="A70" i="4"/>
  <c r="A71" i="4"/>
  <c r="A67" i="4"/>
  <c r="A68" i="4"/>
  <c r="A93" i="4"/>
  <c r="A94" i="4"/>
  <c r="A90" i="4"/>
  <c r="A91" i="4"/>
  <c r="A89" i="4"/>
  <c r="A92" i="4"/>
  <c r="A81" i="4"/>
  <c r="A79" i="4"/>
  <c r="A80" i="4"/>
  <c r="A78" i="4"/>
  <c r="A72" i="4"/>
  <c r="A73" i="4"/>
  <c r="A74" i="4"/>
  <c r="A75" i="4"/>
  <c r="A76" i="4"/>
  <c r="A77" i="4"/>
  <c r="A65" i="4"/>
  <c r="A66" i="4"/>
  <c r="A56" i="4"/>
  <c r="A57" i="4"/>
  <c r="A58" i="4"/>
  <c r="A59" i="4"/>
  <c r="A60" i="4"/>
  <c r="A61" i="4"/>
  <c r="A62" i="4"/>
  <c r="A63" i="4"/>
  <c r="A64" i="4"/>
  <c r="A101" i="4"/>
  <c r="A102" i="4"/>
  <c r="A103" i="4"/>
  <c r="A104" i="4"/>
  <c r="A105" i="4"/>
  <c r="A86" i="4"/>
  <c r="A87" i="4"/>
  <c r="A106" i="4"/>
  <c r="A88" i="4"/>
  <c r="A166" i="4"/>
  <c r="L3" i="1"/>
  <c r="M3" i="1"/>
  <c r="N3" i="1"/>
  <c r="L4" i="1"/>
  <c r="K4" i="1" s="1"/>
  <c r="M4" i="1"/>
  <c r="N4" i="1"/>
  <c r="L5" i="1"/>
  <c r="K5" i="1" s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K13" i="1" s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K21" i="1" s="1"/>
  <c r="M21" i="1"/>
  <c r="N21" i="1"/>
  <c r="L22" i="1"/>
  <c r="M22" i="1"/>
  <c r="N22" i="1"/>
  <c r="L23" i="1"/>
  <c r="K23" i="1" s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K29" i="1" s="1"/>
  <c r="M29" i="1"/>
  <c r="N29" i="1"/>
  <c r="L30" i="1"/>
  <c r="M30" i="1"/>
  <c r="N30" i="1"/>
  <c r="L31" i="1"/>
  <c r="K31" i="1" s="1"/>
  <c r="M31" i="1"/>
  <c r="N31" i="1"/>
  <c r="L32" i="1"/>
  <c r="M32" i="1"/>
  <c r="N32" i="1"/>
  <c r="L33" i="1"/>
  <c r="M33" i="1"/>
  <c r="N33" i="1"/>
  <c r="L34" i="1"/>
  <c r="M34" i="1"/>
  <c r="N34" i="1"/>
  <c r="L2" i="1"/>
  <c r="N2" i="1"/>
  <c r="M2" i="1"/>
  <c r="K10" i="1" l="1"/>
  <c r="K15" i="1"/>
  <c r="K7" i="1"/>
  <c r="K28" i="1"/>
  <c r="K20" i="1"/>
  <c r="K12" i="1"/>
  <c r="K33" i="1"/>
  <c r="P33" i="1" s="1"/>
  <c r="K30" i="1"/>
  <c r="Q30" i="1" s="1"/>
  <c r="K25" i="1"/>
  <c r="K22" i="1"/>
  <c r="K17" i="1"/>
  <c r="Q17" i="1" s="1"/>
  <c r="K14" i="1"/>
  <c r="K9" i="1"/>
  <c r="K6" i="1"/>
  <c r="K2" i="1"/>
  <c r="P2" i="1" s="1"/>
  <c r="K27" i="1"/>
  <c r="K19" i="1"/>
  <c r="K11" i="1"/>
  <c r="P11" i="1" s="1"/>
  <c r="K3" i="1"/>
  <c r="Q3" i="1" s="1"/>
  <c r="K32" i="1"/>
  <c r="P32" i="1" s="1"/>
  <c r="K24" i="1"/>
  <c r="K16" i="1"/>
  <c r="K8" i="1"/>
  <c r="Q8" i="1" s="1"/>
  <c r="K34" i="1"/>
  <c r="K26" i="1"/>
  <c r="K18" i="1"/>
  <c r="Q18" i="1" s="1"/>
  <c r="P25" i="1"/>
  <c r="P13" i="1"/>
  <c r="P5" i="1"/>
  <c r="Q25" i="1"/>
  <c r="Q23" i="1"/>
  <c r="Q7" i="1"/>
  <c r="P27" i="1"/>
  <c r="P21" i="1"/>
  <c r="P29" i="1"/>
  <c r="Q22" i="1"/>
  <c r="P26" i="1"/>
  <c r="P3" i="1"/>
  <c r="Q28" i="1"/>
  <c r="P19" i="1"/>
  <c r="P23" i="1"/>
  <c r="P22" i="1"/>
  <c r="Q26" i="1"/>
  <c r="P28" i="1"/>
  <c r="P20" i="1"/>
  <c r="P12" i="1"/>
  <c r="P4" i="1"/>
  <c r="Q29" i="1"/>
  <c r="P34" i="1"/>
  <c r="P18" i="1"/>
  <c r="P10" i="1"/>
  <c r="Q2" i="1"/>
  <c r="Q27" i="1"/>
  <c r="Q16" i="1"/>
  <c r="P17" i="1"/>
  <c r="P9" i="1"/>
  <c r="Q34" i="1"/>
  <c r="Q15" i="1"/>
  <c r="P24" i="1"/>
  <c r="P16" i="1"/>
  <c r="P8" i="1"/>
  <c r="Q33" i="1"/>
  <c r="Q10" i="1"/>
  <c r="P31" i="1"/>
  <c r="P15" i="1"/>
  <c r="P7" i="1"/>
  <c r="Q24" i="1"/>
  <c r="Q9" i="1"/>
  <c r="P30" i="1"/>
  <c r="P14" i="1"/>
  <c r="P6" i="1"/>
  <c r="Q31" i="1"/>
  <c r="Q14" i="1"/>
  <c r="Q6" i="1"/>
  <c r="Q21" i="1"/>
  <c r="Q13" i="1"/>
  <c r="Q5" i="1"/>
  <c r="Q20" i="1"/>
  <c r="Q12" i="1"/>
  <c r="Q4" i="1"/>
  <c r="Q19" i="1"/>
  <c r="Q11" i="1"/>
  <c r="Q32" i="1" l="1"/>
</calcChain>
</file>

<file path=xl/sharedStrings.xml><?xml version="1.0" encoding="utf-8"?>
<sst xmlns="http://schemas.openxmlformats.org/spreadsheetml/2006/main" count="2507" uniqueCount="729">
  <si>
    <t>Year</t>
  </si>
  <si>
    <t>Fanatic</t>
  </si>
  <si>
    <t>ID</t>
  </si>
  <si>
    <t>Brand</t>
  </si>
  <si>
    <t>Type</t>
  </si>
  <si>
    <t>Size</t>
  </si>
  <si>
    <t>Volume</t>
  </si>
  <si>
    <t>Class</t>
  </si>
  <si>
    <t>Sessions</t>
  </si>
  <si>
    <t>66 x 232 cm</t>
  </si>
  <si>
    <t>115 l</t>
  </si>
  <si>
    <t>Slalom Medium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</si>
  <si>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</si>
  <si>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</si>
  <si>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</si>
  <si>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</si>
  <si>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</si>
  <si>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</si>
  <si>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</si>
  <si>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</si>
  <si>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</si>
  <si>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</si>
  <si>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</si>
  <si>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</si>
  <si>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</si>
  <si>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</si>
  <si>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</si>
  <si>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</si>
  <si>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</si>
  <si>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</si>
  <si>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</si>
  <si>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</si>
  <si>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</si>
  <si>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</si>
  <si>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</si>
  <si>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</si>
  <si>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</si>
  <si>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</si>
  <si>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</si>
  <si>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</si>
  <si>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</si>
  <si>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</si>
  <si>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</si>
  <si>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</si>
  <si>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</si>
  <si>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</si>
  <si>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</si>
  <si>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</si>
  <si>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</si>
  <si>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</si>
  <si>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</si>
  <si>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</si>
  <si>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</si>
  <si>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</si>
  <si>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</si>
  <si>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</si>
  <si>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</si>
  <si>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</si>
  <si>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</si>
  <si>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</si>
  <si>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</si>
  <si>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</si>
  <si>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</si>
  <si>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</si>
  <si>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</si>
  <si>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</si>
  <si>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</si>
  <si>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</si>
  <si>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</si>
  <si>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</si>
  <si>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</si>
  <si>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</si>
  <si>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</si>
  <si>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</si>
  <si>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</si>
  <si>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</si>
  <si>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</si>
  <si>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</si>
  <si>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58 x 225 cm</t>
  </si>
  <si>
    <t>85 l</t>
  </si>
  <si>
    <t>Gecko</t>
  </si>
  <si>
    <t>78 x 246 cm</t>
  </si>
  <si>
    <t>133 l</t>
  </si>
  <si>
    <t>Fanatic Gecko</t>
  </si>
  <si>
    <t>76 x 242 cm</t>
  </si>
  <si>
    <t>120 l</t>
  </si>
  <si>
    <t>Gecko Foil Edition</t>
  </si>
  <si>
    <t>76 x 245 cm</t>
  </si>
  <si>
    <t>Fanatic Gecko Foil Edition</t>
  </si>
  <si>
    <t>58 x 224 cm</t>
  </si>
  <si>
    <t>82 l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</si>
  <si>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</si>
  <si>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</si>
  <si>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</si>
  <si>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</si>
  <si>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</si>
  <si>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</si>
  <si>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</si>
  <si>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</si>
  <si>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</si>
  <si>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</si>
  <si>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</si>
  <si>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</si>
  <si>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</si>
  <si>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</si>
  <si>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</si>
  <si>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</si>
  <si>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</si>
  <si>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</si>
  <si>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</si>
  <si>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</si>
  <si>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</si>
  <si>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</si>
  <si>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</si>
  <si>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</si>
  <si>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</si>
  <si>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</si>
  <si>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</si>
  <si>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</si>
  <si>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</si>
  <si>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</si>
  <si>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</si>
  <si>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</si>
  <si>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</si>
  <si>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</si>
  <si>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</si>
  <si>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</si>
  <si>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</si>
  <si>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</si>
  <si>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</si>
  <si>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</si>
  <si>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</si>
  <si>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</si>
  <si>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</si>
  <si>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</si>
  <si>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</si>
  <si>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</si>
  <si>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</si>
  <si>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</si>
  <si>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</si>
  <si>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</si>
  <si>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</si>
  <si>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</si>
  <si>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</si>
  <si>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</si>
  <si>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</si>
  <si>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</si>
  <si>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</si>
  <si>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</si>
  <si>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</si>
  <si>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</si>
  <si>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</si>
  <si>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</si>
  <si>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</si>
  <si>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</si>
  <si>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</si>
  <si>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</si>
  <si>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</si>
  <si>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</si>
  <si>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</si>
  <si>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</si>
  <si>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</si>
  <si>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</si>
  <si>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</si>
  <si>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</si>
  <si>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</si>
  <si>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</si>
  <si>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</si>
  <si>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</si>
  <si>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</si>
  <si>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</si>
  <si>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</si>
  <si>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</si>
  <si>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</si>
  <si>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</si>
  <si>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</si>
  <si>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</si>
  <si>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</si>
  <si>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</si>
  <si>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</si>
  <si>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</si>
  <si>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</si>
  <si>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</si>
  <si>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</si>
  <si>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</si>
  <si>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</si>
  <si>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</si>
  <si>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</si>
  <si>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</si>
  <si>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</si>
  <si>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</si>
  <si>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</si>
  <si>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</si>
  <si>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</si>
  <si>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</si>
  <si>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</si>
  <si>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</si>
  <si>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</si>
  <si>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</si>
  <si>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</si>
  <si>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</si>
  <si>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</si>
  <si>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</si>
  <si>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</si>
  <si>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</si>
  <si>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</si>
  <si>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</si>
  <si>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</si>
  <si>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</si>
  <si>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</si>
  <si>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</si>
  <si>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</si>
  <si>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</si>
  <si>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</si>
  <si>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</si>
  <si>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</si>
  <si>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</si>
  <si>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</si>
  <si>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</si>
  <si>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</si>
  <si>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</si>
  <si>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</si>
  <si>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</si>
  <si>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</si>
  <si>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</si>
  <si>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</si>
  <si>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</si>
  <si>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</si>
  <si>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</si>
  <si>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</si>
  <si>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</si>
  <si>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</si>
  <si>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</si>
  <si>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</si>
  <si>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</si>
  <si>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</si>
  <si>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</si>
  <si>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</si>
  <si>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</si>
  <si>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</si>
  <si>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</si>
  <si>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</si>
  <si>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</si>
  <si>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</si>
  <si>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</si>
  <si>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</si>
  <si>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</si>
  <si>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</si>
  <si>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</si>
  <si>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</si>
  <si>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</si>
  <si>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</si>
  <si>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</si>
  <si>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</si>
  <si>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</si>
  <si>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</si>
  <si>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</si>
  <si>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</si>
  <si>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</si>
  <si>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</si>
  <si>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</si>
  <si>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</si>
  <si>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</si>
  <si>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</si>
  <si>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</si>
  <si>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</si>
  <si>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</si>
  <si>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</si>
  <si>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</si>
  <si>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</si>
  <si>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</si>
  <si>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</si>
  <si>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</si>
  <si>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</si>
  <si>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</si>
  <si>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</si>
  <si>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</si>
  <si>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</si>
  <si>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</si>
  <si>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</si>
  <si>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5x Slot Box</t>
  </si>
  <si>
    <t>3x Slot Box</t>
  </si>
  <si>
    <t>Power Box + 2x Slot</t>
  </si>
  <si>
    <t>Foil Tuttle Box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</si>
  <si>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</si>
  <si>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</si>
  <si>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</si>
  <si>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</si>
  <si>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</si>
  <si>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</si>
  <si>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</si>
  <si>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</si>
  <si>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</si>
  <si>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</si>
  <si>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</si>
  <si>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</si>
  <si>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</si>
  <si>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</si>
  <si>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</si>
  <si>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</si>
  <si>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</si>
  <si>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</si>
  <si>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</si>
  <si>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</si>
  <si>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</si>
  <si>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</si>
  <si>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</si>
  <si>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</si>
  <si>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</si>
  <si>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</si>
  <si>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</si>
  <si>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</si>
  <si>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</si>
  <si>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</si>
  <si>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</si>
  <si>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</si>
  <si>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</si>
  <si>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</si>
  <si>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</si>
  <si>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</si>
  <si>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</si>
  <si>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</si>
  <si>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</si>
  <si>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</si>
  <si>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</si>
  <si>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</si>
  <si>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</si>
  <si>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</si>
  <si>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</si>
  <si>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</si>
  <si>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</si>
  <si>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</si>
  <si>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</si>
  <si>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</si>
  <si>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</si>
  <si>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</si>
  <si>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</si>
  <si>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</si>
  <si>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</si>
  <si>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</si>
  <si>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</si>
  <si>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</si>
  <si>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</si>
  <si>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</si>
  <si>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</si>
  <si>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</si>
  <si>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</si>
  <si>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</si>
  <si>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</si>
  <si>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</si>
  <si>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</si>
  <si>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</si>
  <si>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</si>
  <si>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</si>
  <si>
    <t>ID2</t>
  </si>
  <si>
    <t>Length</t>
  </si>
  <si>
    <t>Width</t>
  </si>
  <si>
    <t>Vol</t>
  </si>
  <si>
    <t>XMATCH</t>
  </si>
  <si>
    <t>XLookUp "-1"</t>
  </si>
  <si>
    <t>Quad TE 69 NEW SHAPE</t>
  </si>
  <si>
    <t>IC / LF</t>
  </si>
  <si>
    <t>3.3 – 5.0 m2</t>
  </si>
  <si>
    <t>Quad TE 75 NEW SHAPE</t>
  </si>
  <si>
    <t>3.7 – 5.3 m2</t>
  </si>
  <si>
    <t>Quad TE 81 NEW SHAPE</t>
  </si>
  <si>
    <t>4.0 – 5.8 m2</t>
  </si>
  <si>
    <t>Quad TE 90 NEW SHAPE</t>
  </si>
  <si>
    <t>4.2 – 6.5 m2</t>
  </si>
  <si>
    <t>Stubby TE 77 NEW SHAPE</t>
  </si>
  <si>
    <t>3.3 – 5.3 m2</t>
  </si>
  <si>
    <t>Stubby TE 88 NEW SHAPE</t>
  </si>
  <si>
    <t>TriWave TE 74 NEW SHAPE</t>
  </si>
  <si>
    <t>3.5 – 5.3 m2</t>
  </si>
  <si>
    <t>TriWave TE 82 NEW SHAPE</t>
  </si>
  <si>
    <t>TriWave TE 89 NEW SHAPE</t>
  </si>
  <si>
    <t>4.2 – 6.2 m2</t>
  </si>
  <si>
    <t>TriWave TE 99 NEW SHAPE</t>
  </si>
  <si>
    <t>4.5 – 6.7 m2</t>
  </si>
  <si>
    <t>FreeWave TE 76; FreeWave CWS 76</t>
  </si>
  <si>
    <t>IC / LF; CWS</t>
  </si>
  <si>
    <t>3.7 – 6.0 m2</t>
  </si>
  <si>
    <t>TeXtreme® IC / LF; IC / LF; CWS</t>
  </si>
  <si>
    <t>4.7 – 7.0 m2</t>
  </si>
  <si>
    <t>5.0 – 7.3 m2</t>
  </si>
  <si>
    <t>3.7 – 5.9 m2</t>
  </si>
  <si>
    <t>4.2 – 6.4 m2</t>
  </si>
  <si>
    <t>4.5 – 7.0 m2</t>
  </si>
  <si>
    <t>5.0 – 7.5 m2</t>
  </si>
  <si>
    <t>Skate 100</t>
  </si>
  <si>
    <t>BGS / LF</t>
  </si>
  <si>
    <t>Skate 110</t>
  </si>
  <si>
    <t>IC / BSLT / LF; BOS / LF</t>
  </si>
  <si>
    <t>4.5 – 7.5 m2</t>
  </si>
  <si>
    <t>5.0 – 8.0 m2</t>
  </si>
  <si>
    <t>5.5 – 8.5 m2</t>
  </si>
  <si>
    <t>IC / BSLT / LF; BOS / LF; HRS</t>
  </si>
  <si>
    <t>6.0 – 9.0 m2</t>
  </si>
  <si>
    <t>7.5 – 9.5 m2</t>
  </si>
  <si>
    <t>7.0 – 10.0 m2</t>
  </si>
  <si>
    <t>BOS / LF; HRS</t>
  </si>
  <si>
    <t>8.0 – 11.0 m2</t>
  </si>
  <si>
    <t>Falcon Slalom TE 90</t>
  </si>
  <si>
    <t>BCS / LF</t>
  </si>
  <si>
    <t>5.0 – 7.8 m2</t>
  </si>
  <si>
    <t>BCS / LF; BGS / LF</t>
  </si>
  <si>
    <t>5.5 – 8.2 m2</t>
  </si>
  <si>
    <t>Full BCS / LF (Deck &amp; Bottom); BGS / LF</t>
  </si>
  <si>
    <t>6.0 – 8.6 m2</t>
  </si>
  <si>
    <t>6.5 – 9.2 m2</t>
  </si>
  <si>
    <t>Full BCS / LF (Deck &amp; Bottom)</t>
  </si>
  <si>
    <t>6.8 – 9.5 m2</t>
  </si>
  <si>
    <t>Falcon Slalom TE 138</t>
  </si>
  <si>
    <t>Falcon Slalom TE 152</t>
  </si>
  <si>
    <t>7.5 – 11.0+ m2</t>
  </si>
  <si>
    <t>8.0 – 12.5+ m2</t>
  </si>
  <si>
    <t>4.0 – 6.5 m2</t>
  </si>
  <si>
    <t>Falcon Speed 50</t>
  </si>
  <si>
    <t>Viper 70</t>
  </si>
  <si>
    <t>HRS – Softdeck</t>
  </si>
  <si>
    <t>2.0 – 8.0 m2</t>
  </si>
  <si>
    <t>2.0 – 10.0 m2</t>
  </si>
  <si>
    <t>2.0 – 11.0 m2</t>
  </si>
  <si>
    <t>Ripper 102</t>
  </si>
  <si>
    <t>1.5 – 8.0 m2</t>
  </si>
  <si>
    <t>Ripper 120</t>
  </si>
  <si>
    <t>Double Layer Heavy Duty</t>
  </si>
  <si>
    <t>1.5 – 8.5 m2</t>
  </si>
  <si>
    <t>1.0 – 6.5 m2</t>
  </si>
  <si>
    <t>Falcon Slalom TE 99</t>
  </si>
  <si>
    <t>Falcon Slalom TE 129</t>
  </si>
  <si>
    <t>Falcon Slalom TE 121</t>
  </si>
  <si>
    <t>Falcon Slalom TE 112</t>
  </si>
  <si>
    <t>FreeWave 86</t>
  </si>
  <si>
    <t>FreeWave 96</t>
  </si>
  <si>
    <t>FreeWave 106</t>
  </si>
  <si>
    <t>FreeWave 116</t>
  </si>
  <si>
    <t>Skate TE 94</t>
  </si>
  <si>
    <t>Hawk 99</t>
  </si>
  <si>
    <t>Hawk 113</t>
  </si>
  <si>
    <t>Hawk 124</t>
  </si>
  <si>
    <t>Gecko 98</t>
  </si>
  <si>
    <t>Gecko 105</t>
  </si>
  <si>
    <t>Gecko 112</t>
  </si>
  <si>
    <t>Gecko 120</t>
  </si>
  <si>
    <t>Gecko 133</t>
  </si>
  <si>
    <t>Gecko 146</t>
  </si>
  <si>
    <t>Gecko 156+</t>
  </si>
  <si>
    <t>Viper Air 315</t>
  </si>
  <si>
    <t>Ripper Air WS 187</t>
  </si>
  <si>
    <t>Blast 115</t>
  </si>
  <si>
    <t>Fanatic Blast 115</t>
  </si>
  <si>
    <t>Fanatic FreeWave STB 85</t>
  </si>
  <si>
    <t>Fanatic Gecko 120</t>
  </si>
  <si>
    <t>Grip 82</t>
  </si>
  <si>
    <t>Fanatic Grip 82</t>
  </si>
  <si>
    <t>Temp Notes</t>
  </si>
  <si>
    <t>NW 69</t>
  </si>
  <si>
    <t>TECHNORA KEVLAR DOUBLE SANDWICH / LF</t>
  </si>
  <si>
    <t>FANATIC NEWWAVE 21,5 G10</t>
  </si>
  <si>
    <t>NW 75</t>
  </si>
  <si>
    <t>FANATIC NEWWAVE 22,5 G10</t>
  </si>
  <si>
    <t>NW 81</t>
  </si>
  <si>
    <t>FANATIC NEWWAVE 23,5 G10</t>
  </si>
  <si>
    <t>NW TE 69</t>
  </si>
  <si>
    <t>TECHNORA KEVLAR DOUBLE SANDWICH / ULF</t>
  </si>
  <si>
    <t>NW TE 75</t>
  </si>
  <si>
    <t>NW TE 81</t>
  </si>
  <si>
    <t>AW 72</t>
  </si>
  <si>
    <t>GLASS DOUBLE SANDWICH</t>
  </si>
  <si>
    <t>FANATIC ALLWAVE 22 G10</t>
  </si>
  <si>
    <t>AW 82</t>
  </si>
  <si>
    <t>FANATIC ALLWAVE 23,5 G10</t>
  </si>
  <si>
    <t>AW 92</t>
  </si>
  <si>
    <t>FANATIC ALLWAVE 25 G10</t>
  </si>
  <si>
    <t>FW 77</t>
  </si>
  <si>
    <t>FANATIC FREEWAVE 23 G10</t>
  </si>
  <si>
    <t>FW 86</t>
  </si>
  <si>
    <t>FANATIC FREEWAVE 25 G10</t>
  </si>
  <si>
    <t>FW 95</t>
  </si>
  <si>
    <t>FANATIC FREEWAVE 27 G10</t>
  </si>
  <si>
    <t>FW 104</t>
  </si>
  <si>
    <t>FANATIC FREEWAVE 29 G10</t>
  </si>
  <si>
    <t>SKATE 97</t>
  </si>
  <si>
    <t>TECHNORA KEVLAR SANDWICH / LF</t>
  </si>
  <si>
    <t>FANATIC SKATE 25 G10</t>
  </si>
  <si>
    <t>SKATE 107</t>
  </si>
  <si>
    <t>FANATIC SKATE 27 G10</t>
  </si>
  <si>
    <t>SKATE TE 97</t>
  </si>
  <si>
    <t>TECHNORA KEVLAR SANDWICH / ULF</t>
  </si>
  <si>
    <t>SKATE TE 107</t>
  </si>
  <si>
    <t>HAWK 93</t>
  </si>
  <si>
    <t>HYBRID SANDWICH</t>
  </si>
  <si>
    <t>FANATIC HAWK 28 G10</t>
  </si>
  <si>
    <t>HAWK 108</t>
  </si>
  <si>
    <t>FANATIC HAWK 34 G10</t>
  </si>
  <si>
    <t>HAWK 123</t>
  </si>
  <si>
    <t>FANATIC HAWK 38 G10</t>
  </si>
  <si>
    <t>EAGLE 100</t>
  </si>
  <si>
    <t>FANATIC EAGLE 36 G10</t>
  </si>
  <si>
    <t>EAGLE 113</t>
  </si>
  <si>
    <t>FANATIC EAGLE 39 G10</t>
  </si>
  <si>
    <t>EAGLE 126</t>
  </si>
  <si>
    <t>FANATIC EAGLE 42 G10</t>
  </si>
  <si>
    <t>SHARK 130 LTD</t>
  </si>
  <si>
    <t>FANATIC FREERIDE 46 G10</t>
  </si>
  <si>
    <t>SHARK 145 LTD</t>
  </si>
  <si>
    <t>FANATIC FREERIDE 50 G10</t>
  </si>
  <si>
    <t>SHARK 130</t>
  </si>
  <si>
    <t>HIGH RESISTANCE SKIN</t>
  </si>
  <si>
    <t>FANATIC FREERIDE 46</t>
  </si>
  <si>
    <t>SHARK 145</t>
  </si>
  <si>
    <t>FANATIC FREERIDE 50</t>
  </si>
  <si>
    <t>SHARK 160</t>
  </si>
  <si>
    <t>FANATIC FREERIDE 52</t>
  </si>
  <si>
    <t>FALCON SPEED</t>
  </si>
  <si>
    <t>CARBON SANDWICH</t>
  </si>
  <si>
    <t>FANATIC SPEED 28 G10</t>
  </si>
  <si>
    <t>FALCON SL 79</t>
  </si>
  <si>
    <t>TBA</t>
  </si>
  <si>
    <t>FALCON SL 89</t>
  </si>
  <si>
    <t>FALCON SL 104</t>
  </si>
  <si>
    <t>FALCON SL 124</t>
  </si>
  <si>
    <t>FALCON SL 145</t>
  </si>
  <si>
    <t>Fanatic Slalom 54 G10</t>
  </si>
  <si>
    <t>VIPER 75</t>
  </si>
  <si>
    <t>HIGH RESISTANCE SKIN – SOFTDECK</t>
  </si>
  <si>
    <t>FANATIC VIPER 34, DAGGERBOARD</t>
  </si>
  <si>
    <t>VIPER 80</t>
  </si>
  <si>
    <t>VIPER 85</t>
  </si>
  <si>
    <t>RIPPER 102</t>
  </si>
  <si>
    <t>FANATIC RIPPER 30 &amp; 39</t>
  </si>
  <si>
    <t>2007and08</t>
  </si>
  <si>
    <t>Newwave TE 69</t>
  </si>
  <si>
    <t>Carbon Kevlar Light TE</t>
  </si>
  <si>
    <t>Fanatic Newwave 20.5 Prepreg</t>
  </si>
  <si>
    <t>Us Box</t>
  </si>
  <si>
    <t>3.3 – 5.4 M2</t>
  </si>
  <si>
    <t>Newwave TE 76</t>
  </si>
  <si>
    <t>Fanatic Newwave 21.5 Prepreg</t>
  </si>
  <si>
    <t>3.5 – 5.8 M2</t>
  </si>
  <si>
    <t>Newwave TE 83</t>
  </si>
  <si>
    <t>Fanatic Newwave 22 Prepreg</t>
  </si>
  <si>
    <t>3.7 – 6.0 M2</t>
  </si>
  <si>
    <t>Newwave TE 91</t>
  </si>
  <si>
    <t>Fanatic Newwave 23 Prepreg</t>
  </si>
  <si>
    <t>4.2 – 6.4 M2</t>
  </si>
  <si>
    <t>Newwave Twin TE 72</t>
  </si>
  <si>
    <t>2 X Fanatic Newwave 15.5 G10</t>
  </si>
  <si>
    <t>3.7 – 5.3 M2</t>
  </si>
  <si>
    <t>Newwave Twin TE 79</t>
  </si>
  <si>
    <t>2 X Fanatic Newwave 16 G10</t>
  </si>
  <si>
    <t>4.0 – 5.8 M2</t>
  </si>
  <si>
    <t>Newwave Twin TE 86</t>
  </si>
  <si>
    <t>2 X Fanatic Newwave 16.5 G10</t>
  </si>
  <si>
    <t>4.2 – 6.2 M2</t>
  </si>
  <si>
    <t>Newwave Twin TE 93</t>
  </si>
  <si>
    <t>2 X Fanatic Newwave 17 G10</t>
  </si>
  <si>
    <t>4.5 – 6.6 M2</t>
  </si>
  <si>
    <t>Freewave 75</t>
  </si>
  <si>
    <t>Custom Wood Sandwich Light</t>
  </si>
  <si>
    <t>Fanatic Freewave 23 G10</t>
  </si>
  <si>
    <t>Freewave 85</t>
  </si>
  <si>
    <t>Fanatic Freewave 25 G10</t>
  </si>
  <si>
    <t>4.2 – 6.5 M2</t>
  </si>
  <si>
    <t>Freewave 95</t>
  </si>
  <si>
    <t>Fanatic Freewave 27 G10</t>
  </si>
  <si>
    <t>4.5 – 6.7 M2</t>
  </si>
  <si>
    <t>Freewave 105</t>
  </si>
  <si>
    <t>Fanatic Freewave 29 G10</t>
  </si>
  <si>
    <t>4.7 –7.0 M2</t>
  </si>
  <si>
    <t>Freewave 115</t>
  </si>
  <si>
    <t>5.0 – 7.3 M2</t>
  </si>
  <si>
    <t>Freewave TE 75</t>
  </si>
  <si>
    <t>Freewave TE 85</t>
  </si>
  <si>
    <t>Freewave TE 95</t>
  </si>
  <si>
    <t>Freewave TE 105</t>
  </si>
  <si>
    <t>4.7 – 7.0 M2</t>
  </si>
  <si>
    <t>Freewave TE 115</t>
  </si>
  <si>
    <t>Biax Glass Sandwich Light</t>
  </si>
  <si>
    <t>Fanatic Freestyle 22 Prepreg</t>
  </si>
  <si>
    <t>4.5 – 7.0 M2</t>
  </si>
  <si>
    <t>Fanatic Freestyle 24 Prepreg</t>
  </si>
  <si>
    <t>5.0 – 7.5 M2</t>
  </si>
  <si>
    <t>Skate TE 90</t>
  </si>
  <si>
    <t>Fanatic Freestyle 20 Prepreg</t>
  </si>
  <si>
    <t>4.0 – 6.6 M2</t>
  </si>
  <si>
    <t>Skate TE 110</t>
  </si>
  <si>
    <t>Hawk 100</t>
  </si>
  <si>
    <t>Wood Sandwich Light</t>
  </si>
  <si>
    <t>Fanatic Hawk 34 Gfk</t>
  </si>
  <si>
    <t>5.0 – 8.0 M2</t>
  </si>
  <si>
    <t>Hawk 120</t>
  </si>
  <si>
    <t>Fanatic Hawk 39 Gfk</t>
  </si>
  <si>
    <t>5.5 – 8.5 M2</t>
  </si>
  <si>
    <t>Hawk 135</t>
  </si>
  <si>
    <t>Fanatic Hawk 46 Gfk</t>
  </si>
  <si>
    <t>6.0 – 9.0 M2</t>
  </si>
  <si>
    <t>Hawk Ltd 100</t>
  </si>
  <si>
    <t>Aramid Carbon Sandwich Light</t>
  </si>
  <si>
    <t>Fanatic Hawk 34 G10</t>
  </si>
  <si>
    <t>Hawk Ltd 120</t>
  </si>
  <si>
    <t>Fanatic Hawk 39 G10</t>
  </si>
  <si>
    <t>Hawk Ltd 135</t>
  </si>
  <si>
    <t>Fanatic Hawk 46 G10</t>
  </si>
  <si>
    <t>Shark 100</t>
  </si>
  <si>
    <t>High Resistance Skin</t>
  </si>
  <si>
    <t>Fanatic Freeride 36 Gfk</t>
  </si>
  <si>
    <t>Shark 115</t>
  </si>
  <si>
    <t>Fanatic Freeride 39 Gfk</t>
  </si>
  <si>
    <t>Shark 125</t>
  </si>
  <si>
    <t>Fanatic Freeride 42 Gfk</t>
  </si>
  <si>
    <t>5.5 – 8.0 M2</t>
  </si>
  <si>
    <t>Shark 135</t>
  </si>
  <si>
    <t>Fanatic Freeride 48 Gfk</t>
  </si>
  <si>
    <t>Shark 150</t>
  </si>
  <si>
    <t>Fanatic Freeride 50 Gfk</t>
  </si>
  <si>
    <t>6.5 – 9.5 M2</t>
  </si>
  <si>
    <t>Shark 165</t>
  </si>
  <si>
    <t>Fanatic Freeride 54 Gfk</t>
  </si>
  <si>
    <t>7.0 – 10.0 M”</t>
  </si>
  <si>
    <t>Shark 135 Ltd</t>
  </si>
  <si>
    <t>Fanatic Freeride 48 G10</t>
  </si>
  <si>
    <t>Shark 150 Ltd</t>
  </si>
  <si>
    <t>Fanatic Freeride 52 G10</t>
  </si>
  <si>
    <t>Ray 95 Ltd</t>
  </si>
  <si>
    <t>Ray 34 G10</t>
  </si>
  <si>
    <t>Ray 110 Ltd</t>
  </si>
  <si>
    <t>Ray 37 G10</t>
  </si>
  <si>
    <t>6.0 – 8.5 M2</t>
  </si>
  <si>
    <t>Ray 125 Ltd</t>
  </si>
  <si>
    <t>Ray 43 G10</t>
  </si>
  <si>
    <t>6.5 – 9.0 M2</t>
  </si>
  <si>
    <t>Ray 140 Ltd</t>
  </si>
  <si>
    <t>Ray 49 G10</t>
  </si>
  <si>
    <t>Falcon Speed</t>
  </si>
  <si>
    <t>Carbon Sandwich Light</t>
  </si>
  <si>
    <t>None</t>
  </si>
  <si>
    <t>4.0 – 7.0 M2</t>
  </si>
  <si>
    <t>Falcon Slalom 86</t>
  </si>
  <si>
    <t>Biax Carbon Sandwich Light</t>
  </si>
  <si>
    <t>Falcon Slalom 102</t>
  </si>
  <si>
    <t>Falcon Slalom 112</t>
  </si>
  <si>
    <t>Falcon Slalom 122</t>
  </si>
  <si>
    <t>Falcon Slalom 133</t>
  </si>
  <si>
    <t>6.5 – 10 M2</t>
  </si>
  <si>
    <t>Falcon Slalom 145</t>
  </si>
  <si>
    <t>7.0 – 10 M2 +</t>
  </si>
  <si>
    <t>High Resistance Skin – Softdeck**</t>
  </si>
  <si>
    <t>Fanatic Viper 34</t>
  </si>
  <si>
    <t>2.0 – 8.0 M2</t>
  </si>
  <si>
    <t>2.0 – 10.0 M2</t>
  </si>
  <si>
    <t>High Resistance Skin – Softdeck</t>
  </si>
  <si>
    <t>Grip XS</t>
  </si>
  <si>
    <t>Biax Fibre / Full PVC Sandw. LF</t>
  </si>
  <si>
    <t>CF 2 × 9 cm, 2 × 14 cm</t>
  </si>
  <si>
    <t>Up to 4.7 m2</t>
  </si>
  <si>
    <t>Grip TE</t>
  </si>
  <si>
    <t>Biax Innegra Carbon LF</t>
  </si>
  <si>
    <t>CF 2 × 12 cm, 17 cm</t>
  </si>
  <si>
    <t>Stubby TE</t>
  </si>
  <si>
    <t>2 × Slot Box, Center US Box</t>
  </si>
  <si>
    <t>CF 2 × 12 cm, 18 cm</t>
  </si>
  <si>
    <t>TeXtreme® / Biax Innegra</t>
  </si>
  <si>
    <t>FreeWave TXTR</t>
  </si>
  <si>
    <t>Power Box, 2 × Slot Box</t>
  </si>
  <si>
    <t>Carbon LF</t>
  </si>
  <si>
    <t>MFC TF Black 2 × 12 cm, 21 cm</t>
  </si>
  <si>
    <t>MFC 30 cm G10</t>
  </si>
  <si>
    <t>Freewave TE</t>
  </si>
  <si>
    <t>CF G10 24 cm</t>
  </si>
  <si>
    <t>Biax Fibre /</t>
  </si>
  <si>
    <t>CF G10 26 cm</t>
  </si>
  <si>
    <t>Full PVC Sandwich LF</t>
  </si>
  <si>
    <t>CF G10 28 cm</t>
  </si>
  <si>
    <t>CF G10 30 cm</t>
  </si>
  <si>
    <t>CF Composite Innegra Carbon 17.5 cm</t>
  </si>
  <si>
    <t>CF Composite Innegra Carbon 18.5 cm</t>
  </si>
  <si>
    <t>Skate TE</t>
  </si>
  <si>
    <t>CF Composite Innegra Carbon 20 cm</t>
  </si>
  <si>
    <t>CF Composite Innegra Carbon 22 cm</t>
  </si>
  <si>
    <t>Blast LTD</t>
  </si>
  <si>
    <t>CF Composite White 34 cm</t>
  </si>
  <si>
    <t>CF Composite White 38 cm</t>
  </si>
  <si>
    <t>Blast HRS</t>
  </si>
  <si>
    <t>CF Composite White 42 cm</t>
  </si>
  <si>
    <t>CF Composite White 44 cm</t>
  </si>
  <si>
    <t>Gecko LTD</t>
  </si>
  <si>
    <t>Gecko Eco</t>
  </si>
  <si>
    <t>CF Composite White 36 cm</t>
  </si>
  <si>
    <t>CF Composite White 40 cm</t>
  </si>
  <si>
    <t>Gecko HRS</t>
  </si>
  <si>
    <t>CF Composite White 46 cm</t>
  </si>
  <si>
    <t>CF Composite White 48 cm</t>
  </si>
  <si>
    <t>HRS Soft Top with Noseshield</t>
  </si>
  <si>
    <t>Fanatic Viper 34 cm, Daggerboard</t>
  </si>
  <si>
    <t>Gecko LTD Foil</t>
  </si>
  <si>
    <t>Gecko HRS Foil</t>
  </si>
  <si>
    <t>Short Tuttle</t>
  </si>
  <si>
    <t>CF Carbon Black 34 cm</t>
  </si>
  <si>
    <t>CF Carbon Black 38 cm</t>
  </si>
  <si>
    <t>Jag LTD</t>
  </si>
  <si>
    <t>CF Carbon Black 42 cm</t>
  </si>
  <si>
    <t>CF Carbon Black 46 cm</t>
  </si>
  <si>
    <t>Biax Carbon Sandwich LF</t>
  </si>
  <si>
    <t>Falcon Slalom TE</t>
  </si>
  <si>
    <t>Full Biax Carbon Sandwich LF</t>
  </si>
  <si>
    <t>CF Carbon Black 50 cm</t>
  </si>
  <si>
    <t>Falcon Speed TE</t>
  </si>
  <si>
    <t>Stingray LTD</t>
  </si>
  <si>
    <t>Foil Tuttle Box, 2 × US Box</t>
  </si>
  <si>
    <t>Stingray HRS</t>
  </si>
  <si>
    <t>Falcon Foil</t>
  </si>
  <si>
    <t>High Resistance Skin – Soft Top</t>
  </si>
  <si>
    <t>Ripper</t>
  </si>
  <si>
    <t>Fanatic Ripper 30 cm, 39 cm</t>
  </si>
  <si>
    <t>Viper Air Premium</t>
  </si>
  <si>
    <t>1 × 19.5 cm, 1 × 24 cm</t>
  </si>
  <si>
    <t>—</t>
  </si>
  <si>
    <t>Viper Air Pure</t>
  </si>
  <si>
    <t>Drop Stitch Light</t>
  </si>
  <si>
    <t>Ripper Air WS</t>
  </si>
  <si>
    <t>Cork Flax /Wood Composite LF</t>
  </si>
  <si>
    <t>Biax Fibre / Full PVC Sandwich LF</t>
  </si>
  <si>
    <t>FMX</t>
  </si>
  <si>
    <t>Invictus 74</t>
  </si>
  <si>
    <t>AV</t>
  </si>
  <si>
    <t>Modena Speed 58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</si>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</sst>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2" borderId="1" xfId="0" applyFill="1" applyBorder="1"/>
    <xf numFmtId="0" fontId="1" fillId="3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4" borderId="3" xfId="0" applyFont="1" applyFill="1" applyBorder="1"/>
    <xf numFmtId="0" fontId="1" fillId="4" borderId="0" xfId="0" applyFont="1" applyFill="1"/>
    <xf numFmtId="0" fontId="3" fillId="4" borderId="0" xfId="0" applyFont="1" applyFill="1"/>
    <xf numFmtId="0" fontId="4" fillId="0" borderId="0" xfId="0" applyFont="1"/>
    <xf numFmtId="0" fontId="2" fillId="5" borderId="0" xfId="0" applyFont="1" applyFill="1"/>
    <xf numFmtId="0" fontId="0" fillId="5" borderId="0" xfId="0" applyFill="1"/>
    <xf numFmtId="0" fontId="4" fillId="5" borderId="0" xfId="0" applyFont="1" applyFill="1"/>
    <xf numFmtId="0" fontId="0" fillId="6" borderId="0" xfId="0" applyFill="1"/>
    <xf numFmtId="0" fontId="6" fillId="3" borderId="0" xfId="0" applyFont="1" applyFill="1"/>
    <xf numFmtId="0" fontId="0" fillId="3" borderId="0" xfId="0" applyFill="1"/>
    <xf numFmtId="0" fontId="0" fillId="7" borderId="0" xfId="0" applyFill="1"/>
    <xf numFmtId="0" fontId="7" fillId="8" borderId="0" xfId="0" applyFont="1" applyFill="1"/>
    <xf numFmtId="0" fontId="7" fillId="9" borderId="0" xfId="0" applyFont="1" applyFill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0</xdr:row>
      <xdr:rowOff>885825</xdr:rowOff>
    </xdr:from>
    <xdr:ext cx="268605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5FD69C-6359-4AED-9E80-2C8D7B4A6595}"/>
            </a:ext>
          </a:extLst>
        </xdr:cNvPr>
        <xdr:cNvSpPr txBox="1"/>
      </xdr:nvSpPr>
      <xdr:spPr>
        <a:xfrm>
          <a:off x="13296900" y="885825"/>
          <a:ext cx="268605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sheetPr>
    <tabColor theme="9"/>
  </sheetPr>
  <dimension ref="A1:K358"/>
  <sheetViews>
    <sheetView tabSelected="1" zoomScale="85" zoomScaleNormal="85" workbookViewId="0">
      <pane ySplit="1" topLeftCell="A308" activePane="bottomLeft" state="frozen"/>
      <selection pane="bottomLeft" activeCell="A308" sqref="A308"/>
    </sheetView>
  </sheetViews>
  <sheetFormatPr defaultRowHeight="15" x14ac:dyDescent="0.25"/>
  <cols>
    <col min="1" max="1" width="33.7109375" bestFit="1" customWidth="1"/>
    <col min="2" max="2" width="10.7109375" bestFit="1" customWidth="1"/>
    <col min="3" max="3" width="12" customWidth="1"/>
    <col min="4" max="4" width="60" bestFit="1" customWidth="1"/>
    <col min="5" max="5" width="12.42578125" bestFit="1" customWidth="1"/>
    <col min="6" max="6" width="10.85546875" bestFit="1" customWidth="1"/>
    <col min="7" max="7" width="11.7109375" bestFit="1" customWidth="1"/>
    <col min="8" max="8" width="36.42578125" bestFit="1" customWidth="1"/>
    <col min="9" max="9" width="26.7109375" bestFit="1" customWidth="1"/>
    <col min="10" max="10" width="30.5703125" bestFit="1" customWidth="1"/>
    <col min="11" max="11" width="24" bestFit="1" customWidth="1"/>
  </cols>
  <sheetData>
    <row r="1" spans="1:11" ht="33" customHeight="1" x14ac:dyDescent="0.25">
      <c r="A1" s="19" t="s">
        <v>2</v>
      </c>
      <c r="B1" s="18" t="s">
        <v>279</v>
      </c>
      <c r="C1" s="18" t="s">
        <v>3</v>
      </c>
      <c r="D1" s="18" t="s">
        <v>121</v>
      </c>
      <c r="E1" s="18" t="s">
        <v>122</v>
      </c>
      <c r="F1" s="18" t="s">
        <v>123</v>
      </c>
      <c r="G1" s="18" t="s">
        <v>124</v>
      </c>
      <c r="H1" s="15" t="s">
        <v>125</v>
      </c>
      <c r="I1" s="15" t="s">
        <v>126</v>
      </c>
      <c r="J1" s="15" t="s">
        <v>127</v>
      </c>
      <c r="K1" s="15" t="s">
        <v>128</v>
      </c>
    </row>
    <row r="2" spans="1:11" x14ac:dyDescent="0.25">
      <c r="A2" s="11" t="str">
        <f t="shared" ref="A2:A65" si="0">_xlfn.CONCAT(B2,"-",LEFT(C2,2),"-",LEFT(D2,3),"-",E2,"-",TRUNC(F2),"-",TRUNC(G2))</f>
        <v>1992-Ti-260-88-55-260</v>
      </c>
      <c r="B2">
        <v>1992</v>
      </c>
      <c r="C2" t="s">
        <v>339</v>
      </c>
      <c r="D2" t="s">
        <v>340</v>
      </c>
      <c r="E2">
        <v>88</v>
      </c>
      <c r="F2">
        <v>55</v>
      </c>
      <c r="G2">
        <v>260</v>
      </c>
      <c r="I2" t="s">
        <v>332</v>
      </c>
    </row>
    <row r="3" spans="1:11" x14ac:dyDescent="0.25">
      <c r="A3" s="11" t="str">
        <f t="shared" si="0"/>
        <v>2010-Fa-Fal-102-63-235</v>
      </c>
      <c r="B3">
        <v>2010</v>
      </c>
      <c r="C3" t="s">
        <v>1</v>
      </c>
      <c r="D3" t="s">
        <v>641</v>
      </c>
      <c r="E3">
        <v>102</v>
      </c>
      <c r="F3">
        <v>63</v>
      </c>
      <c r="G3">
        <v>235</v>
      </c>
      <c r="H3" t="s">
        <v>640</v>
      </c>
      <c r="I3" t="s">
        <v>232</v>
      </c>
      <c r="J3" t="s">
        <v>637</v>
      </c>
      <c r="K3" t="s">
        <v>594</v>
      </c>
    </row>
    <row r="4" spans="1:11" x14ac:dyDescent="0.25">
      <c r="A4" s="11" t="str">
        <f t="shared" si="0"/>
        <v>2010-Fa-Fal-112-69-235</v>
      </c>
      <c r="B4">
        <v>2010</v>
      </c>
      <c r="C4" t="s">
        <v>1</v>
      </c>
      <c r="D4" t="s">
        <v>642</v>
      </c>
      <c r="E4">
        <v>112</v>
      </c>
      <c r="F4">
        <v>69</v>
      </c>
      <c r="G4">
        <v>235</v>
      </c>
      <c r="H4" t="s">
        <v>640</v>
      </c>
      <c r="I4" t="s">
        <v>232</v>
      </c>
      <c r="J4" t="s">
        <v>637</v>
      </c>
      <c r="K4" t="s">
        <v>597</v>
      </c>
    </row>
    <row r="5" spans="1:11" x14ac:dyDescent="0.25">
      <c r="A5" s="11" t="str">
        <f t="shared" si="0"/>
        <v>2010-Fa-Fal-122-75-230</v>
      </c>
      <c r="B5">
        <v>2010</v>
      </c>
      <c r="C5" t="s">
        <v>1</v>
      </c>
      <c r="D5" t="s">
        <v>643</v>
      </c>
      <c r="E5">
        <v>122</v>
      </c>
      <c r="F5">
        <v>75</v>
      </c>
      <c r="G5">
        <v>230</v>
      </c>
      <c r="H5" t="s">
        <v>640</v>
      </c>
      <c r="I5" t="s">
        <v>232</v>
      </c>
      <c r="J5" t="s">
        <v>637</v>
      </c>
      <c r="K5" t="s">
        <v>617</v>
      </c>
    </row>
    <row r="6" spans="1:11" x14ac:dyDescent="0.25">
      <c r="A6" s="11" t="str">
        <f t="shared" si="0"/>
        <v>2010-Fa-Fal-133-79-230</v>
      </c>
      <c r="B6">
        <v>2010</v>
      </c>
      <c r="C6" t="s">
        <v>1</v>
      </c>
      <c r="D6" t="s">
        <v>644</v>
      </c>
      <c r="E6">
        <v>133</v>
      </c>
      <c r="F6">
        <v>79</v>
      </c>
      <c r="G6">
        <v>230</v>
      </c>
      <c r="H6" t="s">
        <v>640</v>
      </c>
      <c r="I6" t="s">
        <v>260</v>
      </c>
      <c r="J6" t="s">
        <v>637</v>
      </c>
      <c r="K6" t="s">
        <v>645</v>
      </c>
    </row>
    <row r="7" spans="1:11" x14ac:dyDescent="0.25">
      <c r="A7" s="11" t="str">
        <f t="shared" si="0"/>
        <v>2010-Fa-Fal-145-85-230</v>
      </c>
      <c r="B7">
        <v>2010</v>
      </c>
      <c r="C7" t="s">
        <v>1</v>
      </c>
      <c r="D7" t="s">
        <v>646</v>
      </c>
      <c r="E7">
        <v>145</v>
      </c>
      <c r="F7">
        <v>85</v>
      </c>
      <c r="G7">
        <v>230</v>
      </c>
      <c r="H7" t="s">
        <v>640</v>
      </c>
      <c r="I7" t="s">
        <v>260</v>
      </c>
      <c r="J7" t="s">
        <v>637</v>
      </c>
      <c r="K7" t="s">
        <v>647</v>
      </c>
    </row>
    <row r="8" spans="1:11" x14ac:dyDescent="0.25">
      <c r="A8" s="11" t="str">
        <f t="shared" si="0"/>
        <v>2010-Fa-Fal-68-48-242</v>
      </c>
      <c r="B8">
        <v>2010</v>
      </c>
      <c r="C8" t="s">
        <v>1</v>
      </c>
      <c r="D8" t="s">
        <v>635</v>
      </c>
      <c r="E8">
        <v>68</v>
      </c>
      <c r="F8">
        <v>48</v>
      </c>
      <c r="G8">
        <v>242</v>
      </c>
      <c r="H8" t="s">
        <v>636</v>
      </c>
      <c r="I8" t="s">
        <v>232</v>
      </c>
      <c r="J8" t="s">
        <v>637</v>
      </c>
      <c r="K8" t="s">
        <v>638</v>
      </c>
    </row>
    <row r="9" spans="1:11" x14ac:dyDescent="0.25">
      <c r="A9" s="11" t="str">
        <f t="shared" si="0"/>
        <v>2010-Fa-Fal-86-58-240</v>
      </c>
      <c r="B9">
        <v>2010</v>
      </c>
      <c r="C9" t="s">
        <v>1</v>
      </c>
      <c r="D9" t="s">
        <v>639</v>
      </c>
      <c r="E9">
        <v>86</v>
      </c>
      <c r="F9">
        <v>58</v>
      </c>
      <c r="G9">
        <v>240</v>
      </c>
      <c r="H9" t="s">
        <v>640</v>
      </c>
      <c r="I9" t="s">
        <v>232</v>
      </c>
      <c r="J9" t="s">
        <v>637</v>
      </c>
      <c r="K9" t="s">
        <v>581</v>
      </c>
    </row>
    <row r="10" spans="1:11" x14ac:dyDescent="0.25">
      <c r="A10" s="11" t="str">
        <f t="shared" si="0"/>
        <v>2010-Fa-Fre-105-63-242</v>
      </c>
      <c r="B10">
        <v>2010</v>
      </c>
      <c r="C10" t="s">
        <v>1</v>
      </c>
      <c r="D10" t="s">
        <v>568</v>
      </c>
      <c r="E10">
        <v>105</v>
      </c>
      <c r="F10">
        <v>63.5</v>
      </c>
      <c r="G10">
        <v>242</v>
      </c>
      <c r="H10" t="s">
        <v>560</v>
      </c>
      <c r="I10" t="s">
        <v>179</v>
      </c>
      <c r="J10" t="s">
        <v>569</v>
      </c>
      <c r="K10" t="s">
        <v>570</v>
      </c>
    </row>
    <row r="11" spans="1:11" x14ac:dyDescent="0.25">
      <c r="A11" s="11" t="str">
        <f t="shared" si="0"/>
        <v>2010-Fa-Fre-105-63-242</v>
      </c>
      <c r="B11">
        <v>2010</v>
      </c>
      <c r="C11" t="s">
        <v>1</v>
      </c>
      <c r="D11" t="s">
        <v>576</v>
      </c>
      <c r="E11">
        <v>105</v>
      </c>
      <c r="F11">
        <v>63.5</v>
      </c>
      <c r="G11">
        <v>242</v>
      </c>
      <c r="H11" t="s">
        <v>534</v>
      </c>
      <c r="I11" t="s">
        <v>179</v>
      </c>
      <c r="J11" t="s">
        <v>569</v>
      </c>
      <c r="K11" t="s">
        <v>577</v>
      </c>
    </row>
    <row r="12" spans="1:11" x14ac:dyDescent="0.25">
      <c r="A12" s="11" t="str">
        <f t="shared" si="0"/>
        <v>2010-Fa-Fre-115-66-244</v>
      </c>
      <c r="B12">
        <v>2010</v>
      </c>
      <c r="C12" t="s">
        <v>1</v>
      </c>
      <c r="D12" t="s">
        <v>571</v>
      </c>
      <c r="E12">
        <v>115</v>
      </c>
      <c r="F12">
        <v>66</v>
      </c>
      <c r="G12">
        <v>244</v>
      </c>
      <c r="H12" t="s">
        <v>560</v>
      </c>
      <c r="I12" t="s">
        <v>179</v>
      </c>
      <c r="J12" t="s">
        <v>569</v>
      </c>
      <c r="K12" t="s">
        <v>572</v>
      </c>
    </row>
    <row r="13" spans="1:11" x14ac:dyDescent="0.25">
      <c r="A13" s="11" t="str">
        <f t="shared" si="0"/>
        <v>2010-Fa-Fre-115-66-244</v>
      </c>
      <c r="B13">
        <v>2010</v>
      </c>
      <c r="C13" t="s">
        <v>1</v>
      </c>
      <c r="D13" t="s">
        <v>578</v>
      </c>
      <c r="E13">
        <v>115</v>
      </c>
      <c r="F13">
        <v>66</v>
      </c>
      <c r="G13">
        <v>244</v>
      </c>
      <c r="H13" t="s">
        <v>534</v>
      </c>
      <c r="I13" t="s">
        <v>179</v>
      </c>
      <c r="J13" t="s">
        <v>569</v>
      </c>
      <c r="K13" t="s">
        <v>572</v>
      </c>
    </row>
    <row r="14" spans="1:11" x14ac:dyDescent="0.25">
      <c r="A14" s="11" t="str">
        <f t="shared" si="0"/>
        <v>2010-Fa-Fre-75-56-235</v>
      </c>
      <c r="B14">
        <v>2010</v>
      </c>
      <c r="C14" t="s">
        <v>1</v>
      </c>
      <c r="D14" t="s">
        <v>559</v>
      </c>
      <c r="E14">
        <v>75</v>
      </c>
      <c r="F14">
        <v>56</v>
      </c>
      <c r="G14">
        <v>235</v>
      </c>
      <c r="H14" t="s">
        <v>560</v>
      </c>
      <c r="I14" t="s">
        <v>536</v>
      </c>
      <c r="J14" t="s">
        <v>561</v>
      </c>
      <c r="K14" t="s">
        <v>543</v>
      </c>
    </row>
    <row r="15" spans="1:11" x14ac:dyDescent="0.25">
      <c r="A15" s="11" t="str">
        <f t="shared" si="0"/>
        <v>2010-Fa-Fre-75-56-235</v>
      </c>
      <c r="B15">
        <v>2010</v>
      </c>
      <c r="C15" t="s">
        <v>1</v>
      </c>
      <c r="D15" t="s">
        <v>573</v>
      </c>
      <c r="E15">
        <v>75</v>
      </c>
      <c r="F15">
        <v>56</v>
      </c>
      <c r="G15">
        <v>235</v>
      </c>
      <c r="H15" t="s">
        <v>534</v>
      </c>
      <c r="I15" t="s">
        <v>536</v>
      </c>
      <c r="J15" t="s">
        <v>561</v>
      </c>
      <c r="K15" t="s">
        <v>543</v>
      </c>
    </row>
    <row r="16" spans="1:11" x14ac:dyDescent="0.25">
      <c r="A16" s="11" t="str">
        <f t="shared" si="0"/>
        <v>2010-Fa-Fre-85-58-238</v>
      </c>
      <c r="B16">
        <v>2010</v>
      </c>
      <c r="C16" t="s">
        <v>1</v>
      </c>
      <c r="D16" t="s">
        <v>562</v>
      </c>
      <c r="E16">
        <v>85</v>
      </c>
      <c r="F16">
        <v>58.5</v>
      </c>
      <c r="G16">
        <v>238</v>
      </c>
      <c r="H16" t="s">
        <v>560</v>
      </c>
      <c r="I16" t="s">
        <v>179</v>
      </c>
      <c r="J16" t="s">
        <v>563</v>
      </c>
      <c r="K16" t="s">
        <v>564</v>
      </c>
    </row>
    <row r="17" spans="1:11" x14ac:dyDescent="0.25">
      <c r="A17" s="11" t="str">
        <f t="shared" si="0"/>
        <v>2010-Fa-Fre-85-58-238</v>
      </c>
      <c r="B17">
        <v>2010</v>
      </c>
      <c r="C17" t="s">
        <v>1</v>
      </c>
      <c r="D17" t="s">
        <v>574</v>
      </c>
      <c r="E17">
        <v>85</v>
      </c>
      <c r="F17">
        <v>58.5</v>
      </c>
      <c r="G17">
        <v>238</v>
      </c>
      <c r="H17" t="s">
        <v>534</v>
      </c>
      <c r="I17" t="s">
        <v>179</v>
      </c>
      <c r="J17" t="s">
        <v>563</v>
      </c>
      <c r="K17" t="s">
        <v>564</v>
      </c>
    </row>
    <row r="18" spans="1:11" x14ac:dyDescent="0.25">
      <c r="A18" s="11" t="str">
        <f t="shared" si="0"/>
        <v>2010-Fa-Fre-95-61-240</v>
      </c>
      <c r="B18">
        <v>2010</v>
      </c>
      <c r="C18" t="s">
        <v>1</v>
      </c>
      <c r="D18" t="s">
        <v>565</v>
      </c>
      <c r="E18">
        <v>95</v>
      </c>
      <c r="F18">
        <v>61</v>
      </c>
      <c r="G18">
        <v>240</v>
      </c>
      <c r="H18" t="s">
        <v>560</v>
      </c>
      <c r="I18" t="s">
        <v>179</v>
      </c>
      <c r="J18" t="s">
        <v>566</v>
      </c>
      <c r="K18" t="s">
        <v>567</v>
      </c>
    </row>
    <row r="19" spans="1:11" x14ac:dyDescent="0.25">
      <c r="A19" s="11" t="str">
        <f t="shared" si="0"/>
        <v>2010-Fa-Fre-95-61-240</v>
      </c>
      <c r="B19">
        <v>2010</v>
      </c>
      <c r="C19" t="s">
        <v>1</v>
      </c>
      <c r="D19" t="s">
        <v>575</v>
      </c>
      <c r="E19">
        <v>95</v>
      </c>
      <c r="F19">
        <v>61</v>
      </c>
      <c r="G19">
        <v>240</v>
      </c>
      <c r="H19" t="s">
        <v>534</v>
      </c>
      <c r="I19" t="s">
        <v>179</v>
      </c>
      <c r="J19" t="s">
        <v>566</v>
      </c>
      <c r="K19" t="s">
        <v>567</v>
      </c>
    </row>
    <row r="20" spans="1:11" x14ac:dyDescent="0.25">
      <c r="A20" s="11" t="str">
        <f t="shared" si="0"/>
        <v>2010-Fa-Haw-100-62-245</v>
      </c>
      <c r="B20">
        <v>2010</v>
      </c>
      <c r="C20" t="s">
        <v>1</v>
      </c>
      <c r="D20" t="s">
        <v>588</v>
      </c>
      <c r="E20">
        <v>100</v>
      </c>
      <c r="F20">
        <v>62</v>
      </c>
      <c r="G20">
        <v>245</v>
      </c>
      <c r="H20" t="s">
        <v>589</v>
      </c>
      <c r="I20" t="s">
        <v>179</v>
      </c>
      <c r="J20" t="s">
        <v>590</v>
      </c>
      <c r="K20" t="s">
        <v>591</v>
      </c>
    </row>
    <row r="21" spans="1:11" x14ac:dyDescent="0.25">
      <c r="A21" s="11" t="str">
        <f t="shared" si="0"/>
        <v>2010-Fa-Haw-100-62-245</v>
      </c>
      <c r="B21">
        <v>2010</v>
      </c>
      <c r="C21" t="s">
        <v>1</v>
      </c>
      <c r="D21" t="s">
        <v>598</v>
      </c>
      <c r="E21">
        <v>100</v>
      </c>
      <c r="F21">
        <v>62</v>
      </c>
      <c r="G21">
        <v>245</v>
      </c>
      <c r="H21" t="s">
        <v>599</v>
      </c>
      <c r="I21" t="s">
        <v>179</v>
      </c>
      <c r="J21" t="s">
        <v>600</v>
      </c>
      <c r="K21" t="s">
        <v>591</v>
      </c>
    </row>
    <row r="22" spans="1:11" x14ac:dyDescent="0.25">
      <c r="A22" s="11" t="str">
        <f t="shared" si="0"/>
        <v>2010-Fa-Haw-120-68-249</v>
      </c>
      <c r="B22">
        <v>2010</v>
      </c>
      <c r="C22" t="s">
        <v>1</v>
      </c>
      <c r="D22" t="s">
        <v>592</v>
      </c>
      <c r="E22">
        <v>120</v>
      </c>
      <c r="F22">
        <v>68</v>
      </c>
      <c r="G22">
        <v>249</v>
      </c>
      <c r="H22" t="s">
        <v>589</v>
      </c>
      <c r="I22" t="s">
        <v>179</v>
      </c>
      <c r="J22" t="s">
        <v>593</v>
      </c>
      <c r="K22" t="s">
        <v>594</v>
      </c>
    </row>
    <row r="23" spans="1:11" x14ac:dyDescent="0.25">
      <c r="A23" s="11" t="str">
        <f t="shared" si="0"/>
        <v>2010-Fa-Haw-120-68-249</v>
      </c>
      <c r="B23">
        <v>2010</v>
      </c>
      <c r="C23" t="s">
        <v>1</v>
      </c>
      <c r="D23" t="s">
        <v>601</v>
      </c>
      <c r="E23">
        <v>120</v>
      </c>
      <c r="F23">
        <v>68</v>
      </c>
      <c r="G23">
        <v>249</v>
      </c>
      <c r="H23" t="s">
        <v>599</v>
      </c>
      <c r="I23" t="s">
        <v>179</v>
      </c>
      <c r="J23" t="s">
        <v>602</v>
      </c>
      <c r="K23" t="s">
        <v>594</v>
      </c>
    </row>
    <row r="24" spans="1:11" x14ac:dyDescent="0.25">
      <c r="A24" s="11" t="str">
        <f t="shared" si="0"/>
        <v>2010-Fa-Haw-135-73-249</v>
      </c>
      <c r="B24">
        <v>2010</v>
      </c>
      <c r="C24" t="s">
        <v>1</v>
      </c>
      <c r="D24" t="s">
        <v>595</v>
      </c>
      <c r="E24">
        <v>135</v>
      </c>
      <c r="F24">
        <v>73</v>
      </c>
      <c r="G24">
        <v>249</v>
      </c>
      <c r="H24" t="s">
        <v>589</v>
      </c>
      <c r="I24" t="s">
        <v>179</v>
      </c>
      <c r="J24" t="s">
        <v>596</v>
      </c>
      <c r="K24" t="s">
        <v>597</v>
      </c>
    </row>
    <row r="25" spans="1:11" x14ac:dyDescent="0.25">
      <c r="A25" s="11" t="str">
        <f t="shared" si="0"/>
        <v>2010-Fa-Haw-135-73-249</v>
      </c>
      <c r="B25">
        <v>2010</v>
      </c>
      <c r="C25" t="s">
        <v>1</v>
      </c>
      <c r="D25" t="s">
        <v>603</v>
      </c>
      <c r="E25">
        <v>135</v>
      </c>
      <c r="F25">
        <v>73</v>
      </c>
      <c r="G25">
        <v>249</v>
      </c>
      <c r="H25" t="s">
        <v>599</v>
      </c>
      <c r="I25" t="s">
        <v>179</v>
      </c>
      <c r="J25" t="s">
        <v>604</v>
      </c>
      <c r="K25" t="s">
        <v>597</v>
      </c>
    </row>
    <row r="26" spans="1:11" x14ac:dyDescent="0.25">
      <c r="A26" s="11" t="str">
        <f t="shared" si="0"/>
        <v>2010-Fa-New-69-53-232</v>
      </c>
      <c r="B26">
        <v>2010</v>
      </c>
      <c r="C26" t="s">
        <v>1</v>
      </c>
      <c r="D26" t="s">
        <v>533</v>
      </c>
      <c r="E26">
        <v>69</v>
      </c>
      <c r="F26">
        <v>53</v>
      </c>
      <c r="G26">
        <v>232</v>
      </c>
      <c r="H26" t="s">
        <v>534</v>
      </c>
      <c r="I26" t="s">
        <v>536</v>
      </c>
      <c r="J26" t="s">
        <v>535</v>
      </c>
      <c r="K26" t="s">
        <v>537</v>
      </c>
    </row>
    <row r="27" spans="1:11" x14ac:dyDescent="0.25">
      <c r="A27" s="11" t="str">
        <f t="shared" si="0"/>
        <v>2010-Fa-New-72-53-230</v>
      </c>
      <c r="B27">
        <v>2010</v>
      </c>
      <c r="C27" t="s">
        <v>1</v>
      </c>
      <c r="D27" t="s">
        <v>547</v>
      </c>
      <c r="E27">
        <v>72</v>
      </c>
      <c r="F27">
        <v>53.5</v>
      </c>
      <c r="G27">
        <v>230</v>
      </c>
      <c r="H27" t="s">
        <v>534</v>
      </c>
      <c r="I27" t="s">
        <v>536</v>
      </c>
      <c r="J27" t="s">
        <v>548</v>
      </c>
      <c r="K27" t="s">
        <v>549</v>
      </c>
    </row>
    <row r="28" spans="1:11" x14ac:dyDescent="0.25">
      <c r="A28" s="11" t="str">
        <f t="shared" si="0"/>
        <v>2010-Fa-New-76-55-234</v>
      </c>
      <c r="B28">
        <v>2010</v>
      </c>
      <c r="C28" t="s">
        <v>1</v>
      </c>
      <c r="D28" t="s">
        <v>538</v>
      </c>
      <c r="E28">
        <v>76</v>
      </c>
      <c r="F28">
        <v>55</v>
      </c>
      <c r="G28">
        <v>234</v>
      </c>
      <c r="H28" t="s">
        <v>534</v>
      </c>
      <c r="I28" t="s">
        <v>536</v>
      </c>
      <c r="J28" t="s">
        <v>539</v>
      </c>
      <c r="K28" t="s">
        <v>540</v>
      </c>
    </row>
    <row r="29" spans="1:11" x14ac:dyDescent="0.25">
      <c r="A29" s="11" t="str">
        <f t="shared" si="0"/>
        <v>2010-Fa-New-79-55-232</v>
      </c>
      <c r="B29">
        <v>2010</v>
      </c>
      <c r="C29" t="s">
        <v>1</v>
      </c>
      <c r="D29" t="s">
        <v>550</v>
      </c>
      <c r="E29">
        <v>79</v>
      </c>
      <c r="F29">
        <v>55.5</v>
      </c>
      <c r="G29">
        <v>232</v>
      </c>
      <c r="H29" t="s">
        <v>534</v>
      </c>
      <c r="I29" t="s">
        <v>536</v>
      </c>
      <c r="J29" t="s">
        <v>551</v>
      </c>
      <c r="K29" t="s">
        <v>552</v>
      </c>
    </row>
    <row r="30" spans="1:11" x14ac:dyDescent="0.25">
      <c r="A30" s="11" t="str">
        <f t="shared" si="0"/>
        <v>2010-Fa-New-83-57-236</v>
      </c>
      <c r="B30">
        <v>2010</v>
      </c>
      <c r="C30" t="s">
        <v>1</v>
      </c>
      <c r="D30" t="s">
        <v>541</v>
      </c>
      <c r="E30">
        <v>83</v>
      </c>
      <c r="F30">
        <v>57</v>
      </c>
      <c r="G30">
        <v>236</v>
      </c>
      <c r="H30" t="s">
        <v>534</v>
      </c>
      <c r="I30" t="s">
        <v>536</v>
      </c>
      <c r="J30" t="s">
        <v>542</v>
      </c>
      <c r="K30" t="s">
        <v>543</v>
      </c>
    </row>
    <row r="31" spans="1:11" x14ac:dyDescent="0.25">
      <c r="A31" s="11" t="str">
        <f t="shared" si="0"/>
        <v>2010-Fa-New-86-57-234</v>
      </c>
      <c r="B31">
        <v>2010</v>
      </c>
      <c r="C31" t="s">
        <v>1</v>
      </c>
      <c r="D31" t="s">
        <v>553</v>
      </c>
      <c r="E31">
        <v>86</v>
      </c>
      <c r="F31">
        <v>57.5</v>
      </c>
      <c r="G31">
        <v>234</v>
      </c>
      <c r="H31" t="s">
        <v>534</v>
      </c>
      <c r="I31" t="s">
        <v>536</v>
      </c>
      <c r="J31" t="s">
        <v>554</v>
      </c>
      <c r="K31" t="s">
        <v>555</v>
      </c>
    </row>
    <row r="32" spans="1:11" x14ac:dyDescent="0.25">
      <c r="A32" s="11" t="str">
        <f t="shared" si="0"/>
        <v>2010-Fa-New-91-59-243</v>
      </c>
      <c r="B32">
        <v>2010</v>
      </c>
      <c r="C32" t="s">
        <v>1</v>
      </c>
      <c r="D32" t="s">
        <v>544</v>
      </c>
      <c r="E32">
        <v>91</v>
      </c>
      <c r="F32">
        <v>59.5</v>
      </c>
      <c r="G32">
        <v>243</v>
      </c>
      <c r="H32" t="s">
        <v>534</v>
      </c>
      <c r="I32" t="s">
        <v>536</v>
      </c>
      <c r="J32" t="s">
        <v>545</v>
      </c>
      <c r="K32" t="s">
        <v>546</v>
      </c>
    </row>
    <row r="33" spans="1:11" x14ac:dyDescent="0.25">
      <c r="A33" s="11" t="str">
        <f t="shared" si="0"/>
        <v>2010-Fa-New-93-59-236</v>
      </c>
      <c r="B33">
        <v>2010</v>
      </c>
      <c r="C33" t="s">
        <v>1</v>
      </c>
      <c r="D33" t="s">
        <v>556</v>
      </c>
      <c r="E33">
        <v>93</v>
      </c>
      <c r="F33">
        <v>59.5</v>
      </c>
      <c r="G33">
        <v>236</v>
      </c>
      <c r="H33" t="s">
        <v>534</v>
      </c>
      <c r="I33" t="s">
        <v>536</v>
      </c>
      <c r="J33" t="s">
        <v>557</v>
      </c>
      <c r="K33" t="s">
        <v>558</v>
      </c>
    </row>
    <row r="34" spans="1:11" x14ac:dyDescent="0.25">
      <c r="A34" s="11" t="str">
        <f t="shared" si="0"/>
        <v>2010-Fa-Ray-110-65-245</v>
      </c>
      <c r="B34">
        <v>2010</v>
      </c>
      <c r="C34" t="s">
        <v>1</v>
      </c>
      <c r="D34" t="s">
        <v>627</v>
      </c>
      <c r="E34">
        <v>110</v>
      </c>
      <c r="F34">
        <v>65</v>
      </c>
      <c r="G34">
        <v>245</v>
      </c>
      <c r="H34" t="s">
        <v>599</v>
      </c>
      <c r="I34" t="s">
        <v>232</v>
      </c>
      <c r="J34" t="s">
        <v>628</v>
      </c>
      <c r="K34" t="s">
        <v>629</v>
      </c>
    </row>
    <row r="35" spans="1:11" x14ac:dyDescent="0.25">
      <c r="A35" s="11" t="str">
        <f t="shared" si="0"/>
        <v>2010-Fa-Ray-125-70-245</v>
      </c>
      <c r="B35">
        <v>2010</v>
      </c>
      <c r="C35" t="s">
        <v>1</v>
      </c>
      <c r="D35" t="s">
        <v>630</v>
      </c>
      <c r="E35">
        <v>125</v>
      </c>
      <c r="F35">
        <v>70</v>
      </c>
      <c r="G35">
        <v>245</v>
      </c>
      <c r="H35" t="s">
        <v>599</v>
      </c>
      <c r="I35" t="s">
        <v>232</v>
      </c>
      <c r="J35" t="s">
        <v>631</v>
      </c>
      <c r="K35" t="s">
        <v>632</v>
      </c>
    </row>
    <row r="36" spans="1:11" x14ac:dyDescent="0.25">
      <c r="A36" s="11" t="str">
        <f t="shared" si="0"/>
        <v>2010-Fa-Ray-140-77-245</v>
      </c>
      <c r="B36">
        <v>2010</v>
      </c>
      <c r="C36" t="s">
        <v>1</v>
      </c>
      <c r="D36" t="s">
        <v>633</v>
      </c>
      <c r="E36">
        <v>140</v>
      </c>
      <c r="F36">
        <v>77</v>
      </c>
      <c r="G36">
        <v>245</v>
      </c>
      <c r="H36" t="s">
        <v>599</v>
      </c>
      <c r="I36" t="s">
        <v>260</v>
      </c>
      <c r="J36" t="s">
        <v>634</v>
      </c>
      <c r="K36" t="s">
        <v>617</v>
      </c>
    </row>
    <row r="37" spans="1:11" x14ac:dyDescent="0.25">
      <c r="A37" s="11" t="str">
        <f t="shared" si="0"/>
        <v>2010-Fa-Ray-95-59-245</v>
      </c>
      <c r="B37">
        <v>2010</v>
      </c>
      <c r="C37" t="s">
        <v>1</v>
      </c>
      <c r="D37" t="s">
        <v>625</v>
      </c>
      <c r="E37">
        <v>95</v>
      </c>
      <c r="F37">
        <v>59</v>
      </c>
      <c r="G37">
        <v>245</v>
      </c>
      <c r="H37" t="s">
        <v>599</v>
      </c>
      <c r="I37" t="s">
        <v>232</v>
      </c>
      <c r="J37" t="s">
        <v>626</v>
      </c>
      <c r="K37" t="s">
        <v>612</v>
      </c>
    </row>
    <row r="38" spans="1:11" x14ac:dyDescent="0.25">
      <c r="A38" s="11" t="str">
        <f t="shared" si="0"/>
        <v>2010-Fa-Rip-102-69-242</v>
      </c>
      <c r="B38">
        <v>2010</v>
      </c>
      <c r="C38" t="s">
        <v>1</v>
      </c>
      <c r="D38" t="s">
        <v>423</v>
      </c>
      <c r="E38">
        <v>102</v>
      </c>
      <c r="F38">
        <v>69</v>
      </c>
      <c r="G38">
        <v>242</v>
      </c>
      <c r="H38" t="s">
        <v>652</v>
      </c>
      <c r="I38" t="s">
        <v>179</v>
      </c>
      <c r="J38" t="s">
        <v>275</v>
      </c>
      <c r="K38" t="s">
        <v>650</v>
      </c>
    </row>
    <row r="39" spans="1:11" x14ac:dyDescent="0.25">
      <c r="A39" s="11" t="str">
        <f t="shared" si="0"/>
        <v>2010-Fa-Sha-100-63-245</v>
      </c>
      <c r="B39">
        <v>2010</v>
      </c>
      <c r="C39" t="s">
        <v>1</v>
      </c>
      <c r="D39" t="s">
        <v>605</v>
      </c>
      <c r="E39">
        <v>100</v>
      </c>
      <c r="F39">
        <v>63</v>
      </c>
      <c r="G39">
        <v>245</v>
      </c>
      <c r="H39" t="s">
        <v>606</v>
      </c>
      <c r="I39" t="s">
        <v>179</v>
      </c>
      <c r="J39" t="s">
        <v>607</v>
      </c>
      <c r="K39" t="s">
        <v>581</v>
      </c>
    </row>
    <row r="40" spans="1:11" x14ac:dyDescent="0.25">
      <c r="A40" s="11" t="str">
        <f t="shared" si="0"/>
        <v>2010-Fa-Sha-115-66-247</v>
      </c>
      <c r="B40">
        <v>2010</v>
      </c>
      <c r="C40" t="s">
        <v>1</v>
      </c>
      <c r="D40" t="s">
        <v>608</v>
      </c>
      <c r="E40">
        <v>115</v>
      </c>
      <c r="F40">
        <v>66</v>
      </c>
      <c r="G40">
        <v>247</v>
      </c>
      <c r="H40" t="s">
        <v>606</v>
      </c>
      <c r="I40" t="s">
        <v>179</v>
      </c>
      <c r="J40" t="s">
        <v>609</v>
      </c>
      <c r="K40" t="s">
        <v>583</v>
      </c>
    </row>
    <row r="41" spans="1:11" x14ac:dyDescent="0.25">
      <c r="A41" s="11" t="str">
        <f t="shared" si="0"/>
        <v>2010-Fa-Sha-125-69-249</v>
      </c>
      <c r="B41">
        <v>2010</v>
      </c>
      <c r="C41" t="s">
        <v>1</v>
      </c>
      <c r="D41" t="s">
        <v>610</v>
      </c>
      <c r="E41">
        <v>125</v>
      </c>
      <c r="F41">
        <v>69</v>
      </c>
      <c r="G41">
        <v>249</v>
      </c>
      <c r="H41" t="s">
        <v>606</v>
      </c>
      <c r="I41" t="s">
        <v>179</v>
      </c>
      <c r="J41" t="s">
        <v>611</v>
      </c>
      <c r="K41" t="s">
        <v>612</v>
      </c>
    </row>
    <row r="42" spans="1:11" x14ac:dyDescent="0.25">
      <c r="A42" s="11" t="str">
        <f t="shared" si="0"/>
        <v>2010-Fa-Sha-135-73-245</v>
      </c>
      <c r="B42">
        <v>2010</v>
      </c>
      <c r="C42" t="s">
        <v>1</v>
      </c>
      <c r="D42" t="s">
        <v>613</v>
      </c>
      <c r="E42">
        <v>135</v>
      </c>
      <c r="F42">
        <v>73</v>
      </c>
      <c r="G42">
        <v>245</v>
      </c>
      <c r="H42" t="s">
        <v>606</v>
      </c>
      <c r="I42" t="s">
        <v>179</v>
      </c>
      <c r="J42" t="s">
        <v>614</v>
      </c>
      <c r="K42" t="s">
        <v>597</v>
      </c>
    </row>
    <row r="43" spans="1:11" x14ac:dyDescent="0.25">
      <c r="A43" s="11" t="str">
        <f t="shared" si="0"/>
        <v>2010-Fa-Sha-135-73-245</v>
      </c>
      <c r="B43">
        <v>2010</v>
      </c>
      <c r="C43" t="s">
        <v>1</v>
      </c>
      <c r="D43" t="s">
        <v>621</v>
      </c>
      <c r="E43">
        <v>135</v>
      </c>
      <c r="F43">
        <v>73</v>
      </c>
      <c r="G43">
        <v>245</v>
      </c>
      <c r="H43" t="s">
        <v>599</v>
      </c>
      <c r="I43" t="s">
        <v>179</v>
      </c>
      <c r="J43" t="s">
        <v>622</v>
      </c>
      <c r="K43" t="s">
        <v>597</v>
      </c>
    </row>
    <row r="44" spans="1:11" x14ac:dyDescent="0.25">
      <c r="A44" s="11" t="str">
        <f t="shared" si="0"/>
        <v>2010-Fa-Sha-150-78-250</v>
      </c>
      <c r="B44">
        <v>2010</v>
      </c>
      <c r="C44" t="s">
        <v>1</v>
      </c>
      <c r="D44" t="s">
        <v>615</v>
      </c>
      <c r="E44">
        <v>150</v>
      </c>
      <c r="F44">
        <v>78</v>
      </c>
      <c r="G44">
        <v>250</v>
      </c>
      <c r="H44" t="s">
        <v>606</v>
      </c>
      <c r="I44" t="s">
        <v>179</v>
      </c>
      <c r="J44" t="s">
        <v>616</v>
      </c>
      <c r="K44" t="s">
        <v>617</v>
      </c>
    </row>
    <row r="45" spans="1:11" x14ac:dyDescent="0.25">
      <c r="A45" s="11" t="str">
        <f t="shared" si="0"/>
        <v>2010-Fa-Sha-150-78-250</v>
      </c>
      <c r="B45">
        <v>2010</v>
      </c>
      <c r="C45" t="s">
        <v>1</v>
      </c>
      <c r="D45" t="s">
        <v>623</v>
      </c>
      <c r="E45">
        <v>150</v>
      </c>
      <c r="F45">
        <v>78</v>
      </c>
      <c r="G45">
        <v>250</v>
      </c>
      <c r="H45" t="s">
        <v>599</v>
      </c>
      <c r="I45" t="s">
        <v>179</v>
      </c>
      <c r="J45" t="s">
        <v>624</v>
      </c>
      <c r="K45" t="s">
        <v>617</v>
      </c>
    </row>
    <row r="46" spans="1:11" x14ac:dyDescent="0.25">
      <c r="A46" s="11" t="str">
        <f t="shared" si="0"/>
        <v>2010-Fa-Sha-165-83-255</v>
      </c>
      <c r="B46">
        <v>2010</v>
      </c>
      <c r="C46" t="s">
        <v>1</v>
      </c>
      <c r="D46" t="s">
        <v>618</v>
      </c>
      <c r="E46">
        <v>165</v>
      </c>
      <c r="F46">
        <v>83</v>
      </c>
      <c r="G46">
        <v>255</v>
      </c>
      <c r="H46" t="s">
        <v>606</v>
      </c>
      <c r="I46" t="s">
        <v>179</v>
      </c>
      <c r="J46" t="s">
        <v>619</v>
      </c>
      <c r="K46" t="s">
        <v>620</v>
      </c>
    </row>
    <row r="47" spans="1:11" x14ac:dyDescent="0.25">
      <c r="A47" s="11" t="str">
        <f t="shared" si="0"/>
        <v>2010-Fa-Ska-100-63-235</v>
      </c>
      <c r="B47">
        <v>2010</v>
      </c>
      <c r="C47" t="s">
        <v>1</v>
      </c>
      <c r="D47" t="s">
        <v>389</v>
      </c>
      <c r="E47">
        <v>100</v>
      </c>
      <c r="F47">
        <v>63.5</v>
      </c>
      <c r="G47">
        <v>235</v>
      </c>
      <c r="H47" t="s">
        <v>579</v>
      </c>
      <c r="I47" t="s">
        <v>179</v>
      </c>
      <c r="J47" t="s">
        <v>580</v>
      </c>
      <c r="K47" t="s">
        <v>581</v>
      </c>
    </row>
    <row r="48" spans="1:11" x14ac:dyDescent="0.25">
      <c r="A48" s="11" t="str">
        <f t="shared" si="0"/>
        <v>2010-Fa-Ska-100-63-235</v>
      </c>
      <c r="B48">
        <v>2010</v>
      </c>
      <c r="C48" t="s">
        <v>1</v>
      </c>
      <c r="D48" t="s">
        <v>184</v>
      </c>
      <c r="E48">
        <v>100</v>
      </c>
      <c r="F48">
        <v>63.5</v>
      </c>
      <c r="G48">
        <v>235</v>
      </c>
      <c r="H48" t="s">
        <v>534</v>
      </c>
      <c r="I48" t="s">
        <v>179</v>
      </c>
      <c r="J48" t="s">
        <v>580</v>
      </c>
      <c r="K48" t="s">
        <v>581</v>
      </c>
    </row>
    <row r="49" spans="1:11" x14ac:dyDescent="0.25">
      <c r="A49" s="11" t="str">
        <f t="shared" si="0"/>
        <v>2010-Fa-Ska-110-66-237</v>
      </c>
      <c r="B49">
        <v>2010</v>
      </c>
      <c r="C49" t="s">
        <v>1</v>
      </c>
      <c r="D49" t="s">
        <v>391</v>
      </c>
      <c r="E49">
        <v>110</v>
      </c>
      <c r="F49">
        <v>66.5</v>
      </c>
      <c r="G49">
        <v>237</v>
      </c>
      <c r="H49" t="s">
        <v>579</v>
      </c>
      <c r="I49" t="s">
        <v>179</v>
      </c>
      <c r="J49" t="s">
        <v>582</v>
      </c>
      <c r="K49" t="s">
        <v>583</v>
      </c>
    </row>
    <row r="50" spans="1:11" x14ac:dyDescent="0.25">
      <c r="A50" s="11" t="str">
        <f t="shared" si="0"/>
        <v>2010-Fa-Ska-110-66-237</v>
      </c>
      <c r="B50">
        <v>2010</v>
      </c>
      <c r="C50" t="s">
        <v>1</v>
      </c>
      <c r="D50" t="s">
        <v>587</v>
      </c>
      <c r="E50">
        <v>110</v>
      </c>
      <c r="F50">
        <v>66.5</v>
      </c>
      <c r="G50">
        <v>237</v>
      </c>
      <c r="H50" t="s">
        <v>534</v>
      </c>
      <c r="I50" t="s">
        <v>179</v>
      </c>
      <c r="J50" t="s">
        <v>582</v>
      </c>
      <c r="K50" t="s">
        <v>583</v>
      </c>
    </row>
    <row r="51" spans="1:11" x14ac:dyDescent="0.25">
      <c r="A51" s="11" t="str">
        <f t="shared" si="0"/>
        <v>2010-Fa-Ska-90-60-232</v>
      </c>
      <c r="B51">
        <v>2010</v>
      </c>
      <c r="C51" t="s">
        <v>1</v>
      </c>
      <c r="D51" t="s">
        <v>584</v>
      </c>
      <c r="E51">
        <v>90</v>
      </c>
      <c r="F51">
        <v>60</v>
      </c>
      <c r="G51">
        <v>232</v>
      </c>
      <c r="H51" t="s">
        <v>534</v>
      </c>
      <c r="I51" t="s">
        <v>179</v>
      </c>
      <c r="J51" t="s">
        <v>585</v>
      </c>
      <c r="K51" t="s">
        <v>586</v>
      </c>
    </row>
    <row r="52" spans="1:11" x14ac:dyDescent="0.25">
      <c r="A52" s="11" t="str">
        <f t="shared" si="0"/>
        <v>2010-Fa-Vip-150-70-270</v>
      </c>
      <c r="B52">
        <v>2010</v>
      </c>
      <c r="C52" t="s">
        <v>1</v>
      </c>
      <c r="D52" t="s">
        <v>418</v>
      </c>
      <c r="E52">
        <v>150</v>
      </c>
      <c r="F52">
        <v>70</v>
      </c>
      <c r="G52">
        <v>270</v>
      </c>
      <c r="H52" t="s">
        <v>648</v>
      </c>
      <c r="I52" t="s">
        <v>179</v>
      </c>
      <c r="J52" t="s">
        <v>649</v>
      </c>
      <c r="K52" t="s">
        <v>650</v>
      </c>
    </row>
    <row r="53" spans="1:11" x14ac:dyDescent="0.25">
      <c r="A53" s="11" t="str">
        <f t="shared" si="0"/>
        <v>2010-Fa-Vip-160-75-275</v>
      </c>
      <c r="B53">
        <v>2010</v>
      </c>
      <c r="C53" t="s">
        <v>1</v>
      </c>
      <c r="D53" t="s">
        <v>262</v>
      </c>
      <c r="E53">
        <v>160</v>
      </c>
      <c r="F53">
        <v>75</v>
      </c>
      <c r="G53">
        <v>275</v>
      </c>
      <c r="H53" t="s">
        <v>648</v>
      </c>
      <c r="I53" t="s">
        <v>179</v>
      </c>
      <c r="J53" t="s">
        <v>649</v>
      </c>
      <c r="K53" t="s">
        <v>651</v>
      </c>
    </row>
    <row r="54" spans="1:11" x14ac:dyDescent="0.25">
      <c r="A54" s="11" t="str">
        <f t="shared" si="0"/>
        <v>2010-Fa-Vip-190-80-280</v>
      </c>
      <c r="B54">
        <v>2010</v>
      </c>
      <c r="C54" t="s">
        <v>1</v>
      </c>
      <c r="D54" t="s">
        <v>264</v>
      </c>
      <c r="E54">
        <v>190</v>
      </c>
      <c r="F54">
        <v>80</v>
      </c>
      <c r="G54">
        <v>280</v>
      </c>
      <c r="H54" t="s">
        <v>648</v>
      </c>
      <c r="I54" t="s">
        <v>179</v>
      </c>
      <c r="J54" t="s">
        <v>649</v>
      </c>
      <c r="K54" t="s">
        <v>651</v>
      </c>
    </row>
    <row r="55" spans="1:11" x14ac:dyDescent="0.25">
      <c r="A55" s="11" t="str">
        <f t="shared" si="0"/>
        <v>2010-Fa-Vip-220-85-285</v>
      </c>
      <c r="B55">
        <v>2010</v>
      </c>
      <c r="C55" t="s">
        <v>1</v>
      </c>
      <c r="D55" t="s">
        <v>265</v>
      </c>
      <c r="E55">
        <v>220</v>
      </c>
      <c r="F55">
        <v>85</v>
      </c>
      <c r="G55">
        <v>285</v>
      </c>
      <c r="H55" t="s">
        <v>648</v>
      </c>
      <c r="I55" t="s">
        <v>179</v>
      </c>
      <c r="J55" t="s">
        <v>649</v>
      </c>
      <c r="K55" t="s">
        <v>651</v>
      </c>
    </row>
    <row r="56" spans="1:11" x14ac:dyDescent="0.25">
      <c r="A56" s="11" t="str">
        <f t="shared" si="0"/>
        <v>2016-Fa-Fal-112-70-230</v>
      </c>
      <c r="B56">
        <v>2016</v>
      </c>
      <c r="C56" t="s">
        <v>1</v>
      </c>
      <c r="D56" t="s">
        <v>432</v>
      </c>
      <c r="E56">
        <v>112</v>
      </c>
      <c r="F56">
        <v>70</v>
      </c>
      <c r="G56">
        <v>230</v>
      </c>
      <c r="H56" t="s">
        <v>407</v>
      </c>
      <c r="K56" t="s">
        <v>408</v>
      </c>
    </row>
    <row r="57" spans="1:11" x14ac:dyDescent="0.25">
      <c r="A57" s="11" t="str">
        <f t="shared" si="0"/>
        <v>2016-Fa-Fal-121-75-230</v>
      </c>
      <c r="B57">
        <v>2016</v>
      </c>
      <c r="C57" t="s">
        <v>1</v>
      </c>
      <c r="D57" t="s">
        <v>431</v>
      </c>
      <c r="E57">
        <v>121</v>
      </c>
      <c r="F57">
        <v>75</v>
      </c>
      <c r="G57">
        <v>230</v>
      </c>
      <c r="H57" t="s">
        <v>407</v>
      </c>
      <c r="K57" t="s">
        <v>409</v>
      </c>
    </row>
    <row r="58" spans="1:11" x14ac:dyDescent="0.25">
      <c r="A58" s="11" t="str">
        <f t="shared" si="0"/>
        <v>2016-Fa-Fal-129-80-230</v>
      </c>
      <c r="B58">
        <v>2016</v>
      </c>
      <c r="C58" t="s">
        <v>1</v>
      </c>
      <c r="D58" t="s">
        <v>430</v>
      </c>
      <c r="E58">
        <v>129</v>
      </c>
      <c r="F58">
        <v>80</v>
      </c>
      <c r="G58">
        <v>230</v>
      </c>
      <c r="H58" t="s">
        <v>410</v>
      </c>
      <c r="K58" t="s">
        <v>411</v>
      </c>
    </row>
    <row r="59" spans="1:11" x14ac:dyDescent="0.25">
      <c r="A59" s="11" t="str">
        <f t="shared" si="0"/>
        <v>2016-Fa-Fal-138-85-230</v>
      </c>
      <c r="B59">
        <v>2016</v>
      </c>
      <c r="C59" t="s">
        <v>1</v>
      </c>
      <c r="D59" t="s">
        <v>412</v>
      </c>
      <c r="E59">
        <v>138</v>
      </c>
      <c r="F59">
        <v>85</v>
      </c>
      <c r="G59">
        <v>230</v>
      </c>
      <c r="H59" t="s">
        <v>410</v>
      </c>
      <c r="K59" t="s">
        <v>399</v>
      </c>
    </row>
    <row r="60" spans="1:11" x14ac:dyDescent="0.25">
      <c r="A60" s="11" t="str">
        <f t="shared" si="0"/>
        <v>2016-Fa-Fal-152-90-230</v>
      </c>
      <c r="B60">
        <v>2016</v>
      </c>
      <c r="C60" t="s">
        <v>1</v>
      </c>
      <c r="D60" t="s">
        <v>413</v>
      </c>
      <c r="E60">
        <v>152</v>
      </c>
      <c r="F60">
        <v>90</v>
      </c>
      <c r="G60">
        <v>230</v>
      </c>
      <c r="H60" t="s">
        <v>410</v>
      </c>
      <c r="K60" t="s">
        <v>414</v>
      </c>
    </row>
    <row r="61" spans="1:11" x14ac:dyDescent="0.25">
      <c r="A61" s="11" t="str">
        <f t="shared" si="0"/>
        <v>2016-Fa-Fal-172-100-230</v>
      </c>
      <c r="B61">
        <v>2016</v>
      </c>
      <c r="C61" t="s">
        <v>1</v>
      </c>
      <c r="D61" t="s">
        <v>259</v>
      </c>
      <c r="E61">
        <v>172</v>
      </c>
      <c r="F61">
        <v>100</v>
      </c>
      <c r="G61">
        <v>230</v>
      </c>
      <c r="H61" t="s">
        <v>410</v>
      </c>
      <c r="K61" t="s">
        <v>415</v>
      </c>
    </row>
    <row r="62" spans="1:11" x14ac:dyDescent="0.25">
      <c r="A62" s="11" t="str">
        <f t="shared" si="0"/>
        <v>2016-Fa-Fal-54-44-230</v>
      </c>
      <c r="B62">
        <v>2016</v>
      </c>
      <c r="C62" t="s">
        <v>1</v>
      </c>
      <c r="D62" t="s">
        <v>256</v>
      </c>
      <c r="E62">
        <v>54</v>
      </c>
      <c r="F62">
        <v>44</v>
      </c>
      <c r="G62">
        <v>230</v>
      </c>
      <c r="H62" t="s">
        <v>403</v>
      </c>
      <c r="K62" t="s">
        <v>416</v>
      </c>
    </row>
    <row r="63" spans="1:11" x14ac:dyDescent="0.25">
      <c r="A63" s="11" t="str">
        <f t="shared" si="0"/>
        <v>2016-Fa-Fal-68-50-230</v>
      </c>
      <c r="B63">
        <v>2016</v>
      </c>
      <c r="C63" t="s">
        <v>1</v>
      </c>
      <c r="D63" t="s">
        <v>417</v>
      </c>
      <c r="E63">
        <v>68</v>
      </c>
      <c r="F63">
        <v>50</v>
      </c>
      <c r="G63">
        <v>230</v>
      </c>
      <c r="H63" t="s">
        <v>403</v>
      </c>
      <c r="K63" t="s">
        <v>387</v>
      </c>
    </row>
    <row r="64" spans="1:11" x14ac:dyDescent="0.25">
      <c r="A64" s="11" t="str">
        <f t="shared" si="0"/>
        <v>2016-Fa-Fal-79-56-235</v>
      </c>
      <c r="B64">
        <v>2016</v>
      </c>
      <c r="C64" t="s">
        <v>1</v>
      </c>
      <c r="D64" t="s">
        <v>258</v>
      </c>
      <c r="E64">
        <v>79</v>
      </c>
      <c r="F64">
        <v>56</v>
      </c>
      <c r="G64">
        <v>235</v>
      </c>
      <c r="H64" t="s">
        <v>403</v>
      </c>
      <c r="K64" t="s">
        <v>393</v>
      </c>
    </row>
    <row r="65" spans="1:11" x14ac:dyDescent="0.25">
      <c r="A65" s="11" t="str">
        <f t="shared" si="0"/>
        <v>2016-Fa-Fal-90-59-235</v>
      </c>
      <c r="B65">
        <v>2016</v>
      </c>
      <c r="C65" t="s">
        <v>1</v>
      </c>
      <c r="D65" t="s">
        <v>402</v>
      </c>
      <c r="E65">
        <v>90</v>
      </c>
      <c r="F65">
        <v>59</v>
      </c>
      <c r="G65">
        <v>235</v>
      </c>
      <c r="H65" t="s">
        <v>403</v>
      </c>
      <c r="K65" t="s">
        <v>404</v>
      </c>
    </row>
    <row r="66" spans="1:11" x14ac:dyDescent="0.25">
      <c r="A66" s="11" t="str">
        <f t="shared" ref="A66:A129" si="1">_xlfn.CONCAT(B66,"-",LEFT(C66,2),"-",LEFT(D66,3),"-",E66,"-",TRUNC(F66),"-",TRUNC(G66))</f>
        <v>2016-Fa-Fal-99-63-235</v>
      </c>
      <c r="B66">
        <v>2016</v>
      </c>
      <c r="C66" t="s">
        <v>1</v>
      </c>
      <c r="D66" t="s">
        <v>429</v>
      </c>
      <c r="E66">
        <v>99</v>
      </c>
      <c r="F66">
        <v>63</v>
      </c>
      <c r="G66">
        <v>235</v>
      </c>
      <c r="H66" t="s">
        <v>405</v>
      </c>
      <c r="K66" t="s">
        <v>406</v>
      </c>
    </row>
    <row r="67" spans="1:11" x14ac:dyDescent="0.25">
      <c r="A67" s="11" t="str">
        <f t="shared" si="1"/>
        <v>2016-Fa-Fre-106-63-235</v>
      </c>
      <c r="B67">
        <v>2016</v>
      </c>
      <c r="C67" t="s">
        <v>1</v>
      </c>
      <c r="D67" t="s">
        <v>435</v>
      </c>
      <c r="E67">
        <v>106</v>
      </c>
      <c r="F67">
        <v>63.5</v>
      </c>
      <c r="G67">
        <v>235</v>
      </c>
      <c r="H67" t="s">
        <v>382</v>
      </c>
      <c r="K67" t="s">
        <v>383</v>
      </c>
    </row>
    <row r="68" spans="1:11" x14ac:dyDescent="0.25">
      <c r="A68" s="11" t="str">
        <f t="shared" si="1"/>
        <v>2016-Fa-Fre-116-66-236</v>
      </c>
      <c r="B68">
        <v>2016</v>
      </c>
      <c r="C68" t="s">
        <v>1</v>
      </c>
      <c r="D68" t="s">
        <v>436</v>
      </c>
      <c r="E68" s="5">
        <v>116</v>
      </c>
      <c r="F68" s="5">
        <v>66</v>
      </c>
      <c r="G68" s="5">
        <v>236</v>
      </c>
      <c r="H68" s="5" t="s">
        <v>380</v>
      </c>
      <c r="I68" s="5"/>
      <c r="K68" s="5" t="s">
        <v>384</v>
      </c>
    </row>
    <row r="69" spans="1:11" x14ac:dyDescent="0.25">
      <c r="A69" s="11" t="str">
        <f t="shared" si="1"/>
        <v>2016-Fa-Fre-76-56-232</v>
      </c>
      <c r="B69">
        <v>2016</v>
      </c>
      <c r="C69" t="s">
        <v>1</v>
      </c>
      <c r="D69" t="s">
        <v>379</v>
      </c>
      <c r="E69" s="5">
        <v>76</v>
      </c>
      <c r="F69" s="5">
        <v>56</v>
      </c>
      <c r="G69" s="5">
        <v>232</v>
      </c>
      <c r="H69" s="5" t="s">
        <v>380</v>
      </c>
      <c r="I69" s="5"/>
      <c r="K69" s="5" t="s">
        <v>381</v>
      </c>
    </row>
    <row r="70" spans="1:11" x14ac:dyDescent="0.25">
      <c r="A70" s="11" t="str">
        <f t="shared" si="1"/>
        <v>2016-Fa-Fre-86-58-233</v>
      </c>
      <c r="B70">
        <v>2016</v>
      </c>
      <c r="C70" t="s">
        <v>1</v>
      </c>
      <c r="D70" t="s">
        <v>433</v>
      </c>
      <c r="E70" s="5">
        <v>86</v>
      </c>
      <c r="F70" s="5">
        <v>58.5</v>
      </c>
      <c r="G70" s="5">
        <v>233</v>
      </c>
      <c r="H70" s="5" t="s">
        <v>382</v>
      </c>
      <c r="I70" s="5"/>
      <c r="K70" s="5" t="s">
        <v>368</v>
      </c>
    </row>
    <row r="71" spans="1:11" x14ac:dyDescent="0.25">
      <c r="A71" s="11" t="str">
        <f t="shared" si="1"/>
        <v>2016-Fa-Fre-96-61-234</v>
      </c>
      <c r="B71">
        <v>2016</v>
      </c>
      <c r="C71" t="s">
        <v>1</v>
      </c>
      <c r="D71" t="s">
        <v>434</v>
      </c>
      <c r="E71" s="5">
        <v>96</v>
      </c>
      <c r="F71" s="5">
        <v>61</v>
      </c>
      <c r="G71" s="5">
        <v>234</v>
      </c>
      <c r="H71" s="5" t="s">
        <v>382</v>
      </c>
      <c r="I71" s="5"/>
      <c r="K71" s="5" t="s">
        <v>378</v>
      </c>
    </row>
    <row r="72" spans="1:11" x14ac:dyDescent="0.25">
      <c r="A72" s="11" t="str">
        <f t="shared" si="1"/>
        <v>2016-Fa-Gec-105-69-239</v>
      </c>
      <c r="B72">
        <v>2016</v>
      </c>
      <c r="C72" t="s">
        <v>1</v>
      </c>
      <c r="D72" t="s">
        <v>442</v>
      </c>
      <c r="E72">
        <v>105</v>
      </c>
      <c r="F72">
        <v>69</v>
      </c>
      <c r="G72">
        <v>239</v>
      </c>
      <c r="H72" t="s">
        <v>396</v>
      </c>
      <c r="K72" t="s">
        <v>394</v>
      </c>
    </row>
    <row r="73" spans="1:11" x14ac:dyDescent="0.25">
      <c r="A73" s="11" t="str">
        <f t="shared" si="1"/>
        <v>2016-Fa-Gec-112-73-239</v>
      </c>
      <c r="B73">
        <v>2016</v>
      </c>
      <c r="C73" t="s">
        <v>1</v>
      </c>
      <c r="D73" t="s">
        <v>443</v>
      </c>
      <c r="E73">
        <v>112</v>
      </c>
      <c r="F73">
        <v>73</v>
      </c>
      <c r="G73">
        <v>239</v>
      </c>
      <c r="H73" t="s">
        <v>396</v>
      </c>
      <c r="K73" t="s">
        <v>395</v>
      </c>
    </row>
    <row r="74" spans="1:11" x14ac:dyDescent="0.25">
      <c r="A74" s="11" t="str">
        <f t="shared" si="1"/>
        <v>2016-Fa-Gec-120-76-242</v>
      </c>
      <c r="B74">
        <v>2016</v>
      </c>
      <c r="C74" t="s">
        <v>1</v>
      </c>
      <c r="D74" t="s">
        <v>444</v>
      </c>
      <c r="E74">
        <v>120</v>
      </c>
      <c r="F74">
        <v>76</v>
      </c>
      <c r="G74">
        <v>242</v>
      </c>
      <c r="H74" t="s">
        <v>396</v>
      </c>
      <c r="K74" t="s">
        <v>397</v>
      </c>
    </row>
    <row r="75" spans="1:11" x14ac:dyDescent="0.25">
      <c r="A75" s="11" t="str">
        <f t="shared" si="1"/>
        <v>2016-Fa-Gec-133-78-246</v>
      </c>
      <c r="B75">
        <v>2016</v>
      </c>
      <c r="C75" t="s">
        <v>1</v>
      </c>
      <c r="D75" t="s">
        <v>445</v>
      </c>
      <c r="E75">
        <v>133</v>
      </c>
      <c r="F75">
        <v>78</v>
      </c>
      <c r="G75">
        <v>246</v>
      </c>
      <c r="H75" t="s">
        <v>396</v>
      </c>
      <c r="K75" t="s">
        <v>398</v>
      </c>
    </row>
    <row r="76" spans="1:11" x14ac:dyDescent="0.25">
      <c r="A76" s="11" t="str">
        <f t="shared" si="1"/>
        <v>2016-Fa-Gec-146-83-250</v>
      </c>
      <c r="B76">
        <v>2016</v>
      </c>
      <c r="C76" t="s">
        <v>1</v>
      </c>
      <c r="D76" t="s">
        <v>446</v>
      </c>
      <c r="E76">
        <v>146</v>
      </c>
      <c r="F76">
        <v>83</v>
      </c>
      <c r="G76">
        <v>250</v>
      </c>
      <c r="H76" t="s">
        <v>396</v>
      </c>
      <c r="K76" t="s">
        <v>399</v>
      </c>
    </row>
    <row r="77" spans="1:11" x14ac:dyDescent="0.25">
      <c r="A77" s="11" t="str">
        <f t="shared" si="1"/>
        <v>2016-Fa-Gec-156-85-252</v>
      </c>
      <c r="B77">
        <v>2016</v>
      </c>
      <c r="C77" t="s">
        <v>1</v>
      </c>
      <c r="D77" t="s">
        <v>447</v>
      </c>
      <c r="E77">
        <v>156</v>
      </c>
      <c r="F77">
        <v>85</v>
      </c>
      <c r="G77">
        <v>252</v>
      </c>
      <c r="H77" t="s">
        <v>400</v>
      </c>
      <c r="K77" t="s">
        <v>401</v>
      </c>
    </row>
    <row r="78" spans="1:11" x14ac:dyDescent="0.25">
      <c r="A78" s="11" t="str">
        <f t="shared" si="1"/>
        <v>2016-Fa-Gec-98-63-239</v>
      </c>
      <c r="B78">
        <v>2016</v>
      </c>
      <c r="C78" t="s">
        <v>1</v>
      </c>
      <c r="D78" t="s">
        <v>441</v>
      </c>
      <c r="E78" s="5">
        <v>98</v>
      </c>
      <c r="F78" s="5">
        <v>63</v>
      </c>
      <c r="G78" s="5">
        <v>239</v>
      </c>
      <c r="H78" s="5" t="s">
        <v>396</v>
      </c>
      <c r="I78" s="5"/>
      <c r="K78" s="5" t="s">
        <v>393</v>
      </c>
    </row>
    <row r="79" spans="1:11" x14ac:dyDescent="0.25">
      <c r="A79" s="11" t="str">
        <f t="shared" si="1"/>
        <v>2016-Fa-Haw-113-66-241</v>
      </c>
      <c r="B79">
        <v>2016</v>
      </c>
      <c r="C79" t="s">
        <v>1</v>
      </c>
      <c r="D79" t="s">
        <v>439</v>
      </c>
      <c r="E79" s="5">
        <v>113</v>
      </c>
      <c r="F79" s="5">
        <v>66</v>
      </c>
      <c r="G79" s="5">
        <v>241</v>
      </c>
      <c r="H79" s="5" t="s">
        <v>392</v>
      </c>
      <c r="I79" s="5"/>
      <c r="K79" s="5" t="s">
        <v>394</v>
      </c>
    </row>
    <row r="80" spans="1:11" x14ac:dyDescent="0.25">
      <c r="A80" s="11" t="str">
        <f t="shared" si="1"/>
        <v>2016-Fa-Haw-124-70-242</v>
      </c>
      <c r="B80">
        <v>2016</v>
      </c>
      <c r="C80" t="s">
        <v>1</v>
      </c>
      <c r="D80" t="s">
        <v>440</v>
      </c>
      <c r="E80" s="5">
        <v>124</v>
      </c>
      <c r="F80" s="5">
        <v>70</v>
      </c>
      <c r="G80" s="5">
        <v>242</v>
      </c>
      <c r="H80" s="5" t="s">
        <v>392</v>
      </c>
      <c r="I80" s="5"/>
      <c r="K80" s="5" t="s">
        <v>395</v>
      </c>
    </row>
    <row r="81" spans="1:11" x14ac:dyDescent="0.25">
      <c r="A81" s="11" t="str">
        <f t="shared" si="1"/>
        <v>2016-Fa-Haw-99-62-239</v>
      </c>
      <c r="B81">
        <v>2016</v>
      </c>
      <c r="C81" t="s">
        <v>1</v>
      </c>
      <c r="D81" t="s">
        <v>438</v>
      </c>
      <c r="E81">
        <v>99</v>
      </c>
      <c r="F81">
        <v>62</v>
      </c>
      <c r="G81">
        <v>239</v>
      </c>
      <c r="H81" t="s">
        <v>392</v>
      </c>
      <c r="K81" t="s">
        <v>393</v>
      </c>
    </row>
    <row r="82" spans="1:11" x14ac:dyDescent="0.25">
      <c r="A82" s="11" t="str">
        <f t="shared" si="1"/>
        <v>2016-Fa-Qua-69-53-224</v>
      </c>
      <c r="B82">
        <v>2016</v>
      </c>
      <c r="C82" t="s">
        <v>1</v>
      </c>
      <c r="D82" t="s">
        <v>360</v>
      </c>
      <c r="E82" s="5">
        <v>69</v>
      </c>
      <c r="F82" s="5">
        <v>53.5</v>
      </c>
      <c r="G82" s="5">
        <v>224</v>
      </c>
      <c r="H82" s="5" t="s">
        <v>361</v>
      </c>
      <c r="I82" s="5"/>
      <c r="K82" s="5" t="s">
        <v>362</v>
      </c>
    </row>
    <row r="83" spans="1:11" x14ac:dyDescent="0.25">
      <c r="A83" s="11" t="str">
        <f t="shared" si="1"/>
        <v>2016-Fa-Qua-75-55-225</v>
      </c>
      <c r="B83">
        <v>2016</v>
      </c>
      <c r="C83" t="s">
        <v>1</v>
      </c>
      <c r="D83" t="s">
        <v>363</v>
      </c>
      <c r="E83" s="5">
        <v>75</v>
      </c>
      <c r="F83" s="5">
        <v>55.5</v>
      </c>
      <c r="G83" s="5">
        <v>225</v>
      </c>
      <c r="H83" s="5" t="s">
        <v>361</v>
      </c>
      <c r="I83" s="5"/>
      <c r="K83" s="5" t="s">
        <v>364</v>
      </c>
    </row>
    <row r="84" spans="1:11" x14ac:dyDescent="0.25">
      <c r="A84" s="11" t="str">
        <f t="shared" si="1"/>
        <v>2016-Fa-Qua-81-57-226</v>
      </c>
      <c r="B84">
        <v>2016</v>
      </c>
      <c r="C84" t="s">
        <v>1</v>
      </c>
      <c r="D84" t="s">
        <v>365</v>
      </c>
      <c r="E84" s="5">
        <v>81</v>
      </c>
      <c r="F84" s="5">
        <v>57.5</v>
      </c>
      <c r="G84" s="5">
        <v>226</v>
      </c>
      <c r="H84" s="5" t="s">
        <v>361</v>
      </c>
      <c r="I84" s="5"/>
      <c r="K84" s="5" t="s">
        <v>366</v>
      </c>
    </row>
    <row r="85" spans="1:11" x14ac:dyDescent="0.25">
      <c r="A85" s="11" t="str">
        <f t="shared" si="1"/>
        <v>2016-Fa-Qua-90-59-227</v>
      </c>
      <c r="B85">
        <v>2016</v>
      </c>
      <c r="C85" t="s">
        <v>1</v>
      </c>
      <c r="D85" t="s">
        <v>367</v>
      </c>
      <c r="E85" s="5">
        <v>90</v>
      </c>
      <c r="F85" s="5">
        <v>59.5</v>
      </c>
      <c r="G85" s="5">
        <v>227</v>
      </c>
      <c r="H85" s="5" t="s">
        <v>361</v>
      </c>
      <c r="I85" s="5"/>
      <c r="K85" s="5" t="s">
        <v>368</v>
      </c>
    </row>
    <row r="86" spans="1:11" x14ac:dyDescent="0.25">
      <c r="A86" s="11" t="str">
        <f t="shared" si="1"/>
        <v>2016-Fa-Rip-102-69-242</v>
      </c>
      <c r="B86">
        <v>2016</v>
      </c>
      <c r="C86" t="s">
        <v>1</v>
      </c>
      <c r="D86" t="s">
        <v>423</v>
      </c>
      <c r="E86">
        <v>102</v>
      </c>
      <c r="F86">
        <v>69</v>
      </c>
      <c r="G86">
        <v>242</v>
      </c>
      <c r="H86" t="s">
        <v>419</v>
      </c>
      <c r="K86" t="s">
        <v>424</v>
      </c>
    </row>
    <row r="87" spans="1:11" x14ac:dyDescent="0.25">
      <c r="A87" s="11" t="str">
        <f t="shared" si="1"/>
        <v>2016-Fa-Rip-120-69-245</v>
      </c>
      <c r="B87">
        <v>2016</v>
      </c>
      <c r="C87" t="s">
        <v>1</v>
      </c>
      <c r="D87" t="s">
        <v>425</v>
      </c>
      <c r="E87">
        <v>120</v>
      </c>
      <c r="F87">
        <v>69</v>
      </c>
      <c r="G87">
        <v>245</v>
      </c>
      <c r="H87" t="s">
        <v>419</v>
      </c>
      <c r="K87" t="s">
        <v>424</v>
      </c>
    </row>
    <row r="88" spans="1:11" x14ac:dyDescent="0.25">
      <c r="A88" s="11" t="str">
        <f t="shared" si="1"/>
        <v>2016-Fa-Rip-187-73-274</v>
      </c>
      <c r="B88">
        <v>2016</v>
      </c>
      <c r="C88" t="s">
        <v>1</v>
      </c>
      <c r="D88" t="s">
        <v>449</v>
      </c>
      <c r="E88">
        <v>187</v>
      </c>
      <c r="F88">
        <v>73.7</v>
      </c>
      <c r="G88">
        <v>274.3</v>
      </c>
      <c r="H88" t="s">
        <v>426</v>
      </c>
      <c r="K88" t="s">
        <v>428</v>
      </c>
    </row>
    <row r="89" spans="1:11" x14ac:dyDescent="0.25">
      <c r="A89" s="11" t="str">
        <f t="shared" si="1"/>
        <v>2016-Fa-Ska-100-63-235</v>
      </c>
      <c r="B89">
        <v>2016</v>
      </c>
      <c r="C89" t="s">
        <v>1</v>
      </c>
      <c r="D89" t="s">
        <v>389</v>
      </c>
      <c r="E89" s="5">
        <v>100</v>
      </c>
      <c r="F89" s="5">
        <v>63.5</v>
      </c>
      <c r="G89" s="5">
        <v>235</v>
      </c>
      <c r="H89" s="5" t="s">
        <v>390</v>
      </c>
      <c r="I89" s="5"/>
      <c r="K89" s="5" t="s">
        <v>387</v>
      </c>
    </row>
    <row r="90" spans="1:11" x14ac:dyDescent="0.25">
      <c r="A90" s="11" t="str">
        <f t="shared" si="1"/>
        <v>2016-Fa-Ska-100-64-228</v>
      </c>
      <c r="B90">
        <v>2016</v>
      </c>
      <c r="C90" t="s">
        <v>1</v>
      </c>
      <c r="D90" t="s">
        <v>184</v>
      </c>
      <c r="E90">
        <v>100</v>
      </c>
      <c r="F90">
        <v>64</v>
      </c>
      <c r="G90">
        <v>228</v>
      </c>
      <c r="H90" t="s">
        <v>361</v>
      </c>
      <c r="K90" t="s">
        <v>387</v>
      </c>
    </row>
    <row r="91" spans="1:11" x14ac:dyDescent="0.25">
      <c r="A91" s="11" t="str">
        <f t="shared" si="1"/>
        <v>2016-Fa-Ska-108-66-226</v>
      </c>
      <c r="B91">
        <v>2016</v>
      </c>
      <c r="C91" t="s">
        <v>1</v>
      </c>
      <c r="D91" t="s">
        <v>186</v>
      </c>
      <c r="E91" s="5">
        <v>108</v>
      </c>
      <c r="F91" s="5">
        <v>66.5</v>
      </c>
      <c r="G91" s="5">
        <v>226</v>
      </c>
      <c r="H91" s="5" t="s">
        <v>361</v>
      </c>
      <c r="I91" s="5"/>
      <c r="K91" s="5" t="s">
        <v>388</v>
      </c>
    </row>
    <row r="92" spans="1:11" x14ac:dyDescent="0.25">
      <c r="A92" s="11" t="str">
        <f t="shared" si="1"/>
        <v>2016-Fa-Ska-110-66-237</v>
      </c>
      <c r="B92">
        <v>2016</v>
      </c>
      <c r="C92" t="s">
        <v>1</v>
      </c>
      <c r="D92" t="s">
        <v>391</v>
      </c>
      <c r="E92" s="5">
        <v>110</v>
      </c>
      <c r="F92" s="5">
        <v>66.5</v>
      </c>
      <c r="G92" s="5">
        <v>237</v>
      </c>
      <c r="H92" s="5" t="s">
        <v>390</v>
      </c>
      <c r="I92" s="5"/>
      <c r="K92" s="5" t="s">
        <v>388</v>
      </c>
    </row>
    <row r="93" spans="1:11" x14ac:dyDescent="0.25">
      <c r="A93" s="11" t="str">
        <f t="shared" si="1"/>
        <v>2016-Fa-Ska-86-60-228</v>
      </c>
      <c r="B93">
        <v>2016</v>
      </c>
      <c r="C93" t="s">
        <v>1</v>
      </c>
      <c r="D93" t="s">
        <v>178</v>
      </c>
      <c r="E93" s="5">
        <v>86</v>
      </c>
      <c r="F93" s="5">
        <v>60</v>
      </c>
      <c r="G93" s="5">
        <v>228</v>
      </c>
      <c r="H93" s="5" t="s">
        <v>361</v>
      </c>
      <c r="I93" s="5"/>
      <c r="K93" s="5" t="s">
        <v>385</v>
      </c>
    </row>
    <row r="94" spans="1:11" x14ac:dyDescent="0.25">
      <c r="A94" s="11" t="str">
        <f t="shared" si="1"/>
        <v>2016-Fa-Ska-94-62-228</v>
      </c>
      <c r="B94">
        <v>2016</v>
      </c>
      <c r="C94" t="s">
        <v>1</v>
      </c>
      <c r="D94" t="s">
        <v>437</v>
      </c>
      <c r="E94" s="5">
        <v>94</v>
      </c>
      <c r="F94" s="5">
        <v>62</v>
      </c>
      <c r="G94" s="5">
        <v>228</v>
      </c>
      <c r="H94" s="5" t="s">
        <v>361</v>
      </c>
      <c r="I94" s="5"/>
      <c r="K94" s="5" t="s">
        <v>386</v>
      </c>
    </row>
    <row r="95" spans="1:11" x14ac:dyDescent="0.25">
      <c r="A95" s="11" t="str">
        <f t="shared" si="1"/>
        <v>2016-Fa-Stu-77-55-212</v>
      </c>
      <c r="B95">
        <v>2016</v>
      </c>
      <c r="C95" t="s">
        <v>1</v>
      </c>
      <c r="D95" t="s">
        <v>369</v>
      </c>
      <c r="E95" s="5">
        <v>77</v>
      </c>
      <c r="F95" s="5">
        <v>55</v>
      </c>
      <c r="G95" s="5">
        <v>212</v>
      </c>
      <c r="H95" s="5" t="s">
        <v>361</v>
      </c>
      <c r="I95" s="5"/>
      <c r="K95" s="5" t="s">
        <v>370</v>
      </c>
    </row>
    <row r="96" spans="1:11" x14ac:dyDescent="0.25">
      <c r="A96" s="11" t="str">
        <f t="shared" si="1"/>
        <v>2016-Fa-Stu-88-57-215</v>
      </c>
      <c r="B96">
        <v>2016</v>
      </c>
      <c r="C96" t="s">
        <v>1</v>
      </c>
      <c r="D96" t="s">
        <v>371</v>
      </c>
      <c r="E96">
        <v>88</v>
      </c>
      <c r="F96">
        <v>57.5</v>
      </c>
      <c r="G96">
        <v>215</v>
      </c>
      <c r="H96" t="s">
        <v>361</v>
      </c>
      <c r="K96" t="s">
        <v>366</v>
      </c>
    </row>
    <row r="97" spans="1:11" x14ac:dyDescent="0.25">
      <c r="A97" s="11" t="str">
        <f t="shared" si="1"/>
        <v>2016-Fa-Tri-74-56-222</v>
      </c>
      <c r="B97">
        <v>2016</v>
      </c>
      <c r="C97" t="s">
        <v>1</v>
      </c>
      <c r="D97" t="s">
        <v>372</v>
      </c>
      <c r="E97" s="5">
        <v>74</v>
      </c>
      <c r="F97" s="5">
        <v>56</v>
      </c>
      <c r="G97" s="5">
        <v>222</v>
      </c>
      <c r="H97" s="5" t="s">
        <v>361</v>
      </c>
      <c r="I97" s="5"/>
      <c r="K97" s="5" t="s">
        <v>373</v>
      </c>
    </row>
    <row r="98" spans="1:11" x14ac:dyDescent="0.25">
      <c r="A98" s="11" t="str">
        <f t="shared" si="1"/>
        <v>2016-Fa-Tri-82-58-224</v>
      </c>
      <c r="B98">
        <v>2016</v>
      </c>
      <c r="C98" t="s">
        <v>1</v>
      </c>
      <c r="D98" t="s">
        <v>374</v>
      </c>
      <c r="E98" s="5">
        <v>82</v>
      </c>
      <c r="F98" s="5">
        <v>58</v>
      </c>
      <c r="G98" s="5">
        <v>224</v>
      </c>
      <c r="H98" s="5" t="s">
        <v>361</v>
      </c>
      <c r="I98" s="5"/>
      <c r="K98" s="5" t="s">
        <v>366</v>
      </c>
    </row>
    <row r="99" spans="1:11" x14ac:dyDescent="0.25">
      <c r="A99" s="11" t="str">
        <f t="shared" si="1"/>
        <v>2016-Fa-Tri-89-59-227</v>
      </c>
      <c r="B99">
        <v>2016</v>
      </c>
      <c r="C99" t="s">
        <v>1</v>
      </c>
      <c r="D99" t="s">
        <v>375</v>
      </c>
      <c r="E99" s="5">
        <v>89</v>
      </c>
      <c r="F99" s="5">
        <v>59.5</v>
      </c>
      <c r="G99" s="5">
        <v>227</v>
      </c>
      <c r="H99" s="5" t="s">
        <v>361</v>
      </c>
      <c r="I99" s="5"/>
      <c r="K99" s="5" t="s">
        <v>376</v>
      </c>
    </row>
    <row r="100" spans="1:11" x14ac:dyDescent="0.25">
      <c r="A100" s="11" t="str">
        <f t="shared" si="1"/>
        <v>2016-Fa-Tri-99-62-229</v>
      </c>
      <c r="B100">
        <v>2016</v>
      </c>
      <c r="C100" t="s">
        <v>1</v>
      </c>
      <c r="D100" t="s">
        <v>377</v>
      </c>
      <c r="E100">
        <v>99</v>
      </c>
      <c r="F100">
        <v>62</v>
      </c>
      <c r="G100">
        <v>229</v>
      </c>
      <c r="H100" t="s">
        <v>361</v>
      </c>
      <c r="K100" t="s">
        <v>378</v>
      </c>
    </row>
    <row r="101" spans="1:11" x14ac:dyDescent="0.25">
      <c r="A101" s="11" t="str">
        <f t="shared" si="1"/>
        <v>2016-Fa-Vip-150-70-270</v>
      </c>
      <c r="B101">
        <v>2016</v>
      </c>
      <c r="C101" t="s">
        <v>1</v>
      </c>
      <c r="D101" t="s">
        <v>418</v>
      </c>
      <c r="E101">
        <v>150</v>
      </c>
      <c r="F101">
        <v>70</v>
      </c>
      <c r="G101">
        <v>270</v>
      </c>
      <c r="H101" t="s">
        <v>419</v>
      </c>
      <c r="K101" t="s">
        <v>420</v>
      </c>
    </row>
    <row r="102" spans="1:11" x14ac:dyDescent="0.25">
      <c r="A102" s="11" t="str">
        <f t="shared" si="1"/>
        <v>2016-Fa-Vip-160-75-275</v>
      </c>
      <c r="B102">
        <v>2016</v>
      </c>
      <c r="C102" t="s">
        <v>1</v>
      </c>
      <c r="D102" t="s">
        <v>262</v>
      </c>
      <c r="E102">
        <v>160</v>
      </c>
      <c r="F102">
        <v>75</v>
      </c>
      <c r="G102">
        <v>275</v>
      </c>
      <c r="H102" t="s">
        <v>419</v>
      </c>
      <c r="K102" t="s">
        <v>421</v>
      </c>
    </row>
    <row r="103" spans="1:11" x14ac:dyDescent="0.25">
      <c r="A103" s="11" t="str">
        <f t="shared" si="1"/>
        <v>2016-Fa-Vip-190-80-280</v>
      </c>
      <c r="B103">
        <v>2016</v>
      </c>
      <c r="C103" t="s">
        <v>1</v>
      </c>
      <c r="D103" t="s">
        <v>264</v>
      </c>
      <c r="E103">
        <v>190</v>
      </c>
      <c r="F103">
        <v>80</v>
      </c>
      <c r="G103">
        <v>280</v>
      </c>
      <c r="H103" t="s">
        <v>419</v>
      </c>
      <c r="K103" t="s">
        <v>421</v>
      </c>
    </row>
    <row r="104" spans="1:11" x14ac:dyDescent="0.25">
      <c r="A104" s="11" t="str">
        <f t="shared" si="1"/>
        <v>2016-Fa-Vip-220-85-285</v>
      </c>
      <c r="B104">
        <v>2016</v>
      </c>
      <c r="C104" t="s">
        <v>1</v>
      </c>
      <c r="D104" t="s">
        <v>265</v>
      </c>
      <c r="E104">
        <v>220</v>
      </c>
      <c r="F104">
        <v>85</v>
      </c>
      <c r="G104">
        <v>285</v>
      </c>
      <c r="H104" t="s">
        <v>419</v>
      </c>
      <c r="K104" t="s">
        <v>421</v>
      </c>
    </row>
    <row r="105" spans="1:11" x14ac:dyDescent="0.25">
      <c r="A105" s="11" t="str">
        <f t="shared" si="1"/>
        <v>2016-Fa-Vip-240-91-290</v>
      </c>
      <c r="B105">
        <v>2016</v>
      </c>
      <c r="C105" t="s">
        <v>1</v>
      </c>
      <c r="D105" t="s">
        <v>266</v>
      </c>
      <c r="E105">
        <v>240</v>
      </c>
      <c r="F105">
        <v>91</v>
      </c>
      <c r="G105">
        <v>290</v>
      </c>
      <c r="H105" t="s">
        <v>419</v>
      </c>
      <c r="K105" t="s">
        <v>422</v>
      </c>
    </row>
    <row r="106" spans="1:11" x14ac:dyDescent="0.25">
      <c r="A106" s="11" t="str">
        <f t="shared" si="1"/>
        <v>2016-Fa-Vip-315-85-300</v>
      </c>
      <c r="B106">
        <v>2016</v>
      </c>
      <c r="C106" t="s">
        <v>1</v>
      </c>
      <c r="D106" t="s">
        <v>448</v>
      </c>
      <c r="E106">
        <v>315</v>
      </c>
      <c r="F106">
        <v>85.1</v>
      </c>
      <c r="G106">
        <v>300</v>
      </c>
      <c r="H106" t="s">
        <v>426</v>
      </c>
      <c r="K106" t="s">
        <v>427</v>
      </c>
    </row>
    <row r="107" spans="1:11" x14ac:dyDescent="0.25">
      <c r="A107" s="11" t="str">
        <f t="shared" si="1"/>
        <v>2018-AV-Mod-90-58-229</v>
      </c>
      <c r="B107">
        <v>2018</v>
      </c>
      <c r="C107" t="s">
        <v>726</v>
      </c>
      <c r="D107" t="s">
        <v>727</v>
      </c>
      <c r="E107">
        <v>90</v>
      </c>
      <c r="F107">
        <v>58</v>
      </c>
      <c r="G107">
        <v>229</v>
      </c>
      <c r="H107" t="s">
        <v>728</v>
      </c>
      <c r="I107" t="s">
        <v>698</v>
      </c>
    </row>
    <row r="108" spans="1:11" x14ac:dyDescent="0.25">
      <c r="A108" s="11" t="str">
        <f t="shared" si="1"/>
        <v>2018-Fa-Bla-100-62-231</v>
      </c>
      <c r="B108">
        <v>2018</v>
      </c>
      <c r="C108" t="s">
        <v>1</v>
      </c>
      <c r="D108" t="s">
        <v>230</v>
      </c>
      <c r="E108">
        <v>100</v>
      </c>
      <c r="F108">
        <v>62</v>
      </c>
      <c r="G108">
        <v>231</v>
      </c>
      <c r="H108" t="s">
        <v>231</v>
      </c>
      <c r="I108" t="s">
        <v>232</v>
      </c>
      <c r="J108" t="s">
        <v>190</v>
      </c>
      <c r="K108" t="s">
        <v>233</v>
      </c>
    </row>
    <row r="109" spans="1:11" x14ac:dyDescent="0.25">
      <c r="A109" s="11" t="str">
        <f t="shared" si="1"/>
        <v>2018-Fa-Bla-100-62-231</v>
      </c>
      <c r="B109">
        <v>2018</v>
      </c>
      <c r="C109" t="s">
        <v>1</v>
      </c>
      <c r="D109" t="s">
        <v>239</v>
      </c>
      <c r="E109">
        <v>100</v>
      </c>
      <c r="F109">
        <v>62</v>
      </c>
      <c r="G109">
        <v>231</v>
      </c>
      <c r="H109" t="s">
        <v>172</v>
      </c>
      <c r="I109" t="s">
        <v>232</v>
      </c>
      <c r="J109" t="s">
        <v>190</v>
      </c>
      <c r="K109" t="s">
        <v>233</v>
      </c>
    </row>
    <row r="110" spans="1:11" x14ac:dyDescent="0.25">
      <c r="A110" s="11" t="str">
        <f t="shared" si="1"/>
        <v>2018-Fa-Bla-115-66-232</v>
      </c>
      <c r="B110">
        <v>2018</v>
      </c>
      <c r="C110" t="s">
        <v>1</v>
      </c>
      <c r="D110" t="s">
        <v>234</v>
      </c>
      <c r="E110">
        <v>115</v>
      </c>
      <c r="F110">
        <v>66</v>
      </c>
      <c r="G110">
        <v>232</v>
      </c>
      <c r="J110" t="s">
        <v>195</v>
      </c>
      <c r="K110" t="s">
        <v>235</v>
      </c>
    </row>
    <row r="111" spans="1:11" x14ac:dyDescent="0.25">
      <c r="A111" s="11" t="str">
        <f t="shared" si="1"/>
        <v>2018-Fa-Bla-115-66-232</v>
      </c>
      <c r="B111">
        <v>2018</v>
      </c>
      <c r="C111" t="s">
        <v>1</v>
      </c>
      <c r="D111" t="s">
        <v>240</v>
      </c>
      <c r="E111">
        <v>115</v>
      </c>
      <c r="F111">
        <v>66</v>
      </c>
      <c r="G111">
        <v>232</v>
      </c>
      <c r="J111" t="s">
        <v>195</v>
      </c>
      <c r="K111" t="s">
        <v>235</v>
      </c>
    </row>
    <row r="112" spans="1:11" x14ac:dyDescent="0.25">
      <c r="A112" s="11" t="str">
        <f t="shared" si="1"/>
        <v>2018-Fa-Bla-130-70-233</v>
      </c>
      <c r="B112">
        <v>2018</v>
      </c>
      <c r="C112" t="s">
        <v>1</v>
      </c>
      <c r="D112" t="s">
        <v>236</v>
      </c>
      <c r="E112">
        <v>130</v>
      </c>
      <c r="F112">
        <v>70</v>
      </c>
      <c r="G112">
        <v>233</v>
      </c>
      <c r="I112" t="s">
        <v>207</v>
      </c>
      <c r="J112" t="s">
        <v>201</v>
      </c>
      <c r="K112" t="s">
        <v>199</v>
      </c>
    </row>
    <row r="113" spans="1:11" x14ac:dyDescent="0.25">
      <c r="A113" s="11" t="str">
        <f t="shared" si="1"/>
        <v>2018-Fa-Bla-130-70-233</v>
      </c>
      <c r="B113">
        <v>2018</v>
      </c>
      <c r="C113" t="s">
        <v>1</v>
      </c>
      <c r="D113" t="s">
        <v>241</v>
      </c>
      <c r="E113">
        <v>130</v>
      </c>
      <c r="F113">
        <v>70</v>
      </c>
      <c r="G113">
        <v>233</v>
      </c>
      <c r="I113" t="s">
        <v>207</v>
      </c>
      <c r="J113" t="s">
        <v>201</v>
      </c>
      <c r="K113" t="s">
        <v>199</v>
      </c>
    </row>
    <row r="114" spans="1:11" x14ac:dyDescent="0.25">
      <c r="A114" s="11" t="str">
        <f t="shared" si="1"/>
        <v>2018-Fa-Bla-145-77-235</v>
      </c>
      <c r="B114">
        <v>2018</v>
      </c>
      <c r="C114" t="s">
        <v>1</v>
      </c>
      <c r="D114" t="s">
        <v>237</v>
      </c>
      <c r="E114">
        <v>145</v>
      </c>
      <c r="F114">
        <v>77</v>
      </c>
      <c r="G114">
        <v>235</v>
      </c>
      <c r="J114" t="s">
        <v>209</v>
      </c>
      <c r="K114" t="s">
        <v>238</v>
      </c>
    </row>
    <row r="115" spans="1:11" x14ac:dyDescent="0.25">
      <c r="A115" s="11" t="str">
        <f t="shared" si="1"/>
        <v>2018-Fa-Bla-145-77-235</v>
      </c>
      <c r="B115">
        <v>2018</v>
      </c>
      <c r="C115" t="s">
        <v>1</v>
      </c>
      <c r="D115" t="s">
        <v>242</v>
      </c>
      <c r="E115">
        <v>145</v>
      </c>
      <c r="F115">
        <v>77</v>
      </c>
      <c r="G115">
        <v>235</v>
      </c>
      <c r="J115" t="s">
        <v>209</v>
      </c>
      <c r="K115" t="s">
        <v>238</v>
      </c>
    </row>
    <row r="116" spans="1:11" x14ac:dyDescent="0.25">
      <c r="A116" s="11" t="str">
        <f t="shared" si="1"/>
        <v>2018-Fa-Fal-114-71-230</v>
      </c>
      <c r="B116">
        <v>2018</v>
      </c>
      <c r="C116" t="s">
        <v>1</v>
      </c>
      <c r="D116" t="s">
        <v>248</v>
      </c>
      <c r="E116">
        <v>114</v>
      </c>
      <c r="F116">
        <v>71</v>
      </c>
      <c r="G116">
        <v>230</v>
      </c>
      <c r="H116" t="s">
        <v>249</v>
      </c>
      <c r="I116" t="s">
        <v>250</v>
      </c>
      <c r="J116" t="s">
        <v>246</v>
      </c>
      <c r="K116" t="s">
        <v>251</v>
      </c>
    </row>
    <row r="117" spans="1:11" x14ac:dyDescent="0.25">
      <c r="A117" s="11" t="str">
        <f t="shared" si="1"/>
        <v>2018-Fa-Fal-121-75-230</v>
      </c>
      <c r="B117">
        <v>2018</v>
      </c>
      <c r="C117" t="s">
        <v>1</v>
      </c>
      <c r="D117" t="s">
        <v>57</v>
      </c>
      <c r="E117">
        <v>121</v>
      </c>
      <c r="F117">
        <v>75</v>
      </c>
      <c r="G117">
        <v>230</v>
      </c>
      <c r="I117" t="s">
        <v>153</v>
      </c>
      <c r="J117" t="s">
        <v>153</v>
      </c>
      <c r="K117" t="s">
        <v>252</v>
      </c>
    </row>
    <row r="118" spans="1:11" x14ac:dyDescent="0.25">
      <c r="A118" s="11" t="str">
        <f t="shared" si="1"/>
        <v>2018-Fa-Fal-129-80-230</v>
      </c>
      <c r="B118">
        <v>2018</v>
      </c>
      <c r="C118" t="s">
        <v>1</v>
      </c>
      <c r="D118" t="s">
        <v>253</v>
      </c>
      <c r="E118">
        <v>129</v>
      </c>
      <c r="F118">
        <v>80</v>
      </c>
      <c r="G118">
        <v>230</v>
      </c>
      <c r="I118" t="s">
        <v>207</v>
      </c>
      <c r="J118" t="s">
        <v>246</v>
      </c>
      <c r="K118" t="s">
        <v>202</v>
      </c>
    </row>
    <row r="119" spans="1:11" x14ac:dyDescent="0.25">
      <c r="A119" s="11" t="str">
        <f t="shared" si="1"/>
        <v>2018-Fa-Fal-136-85-225</v>
      </c>
      <c r="B119">
        <v>2018</v>
      </c>
      <c r="C119" t="s">
        <v>1</v>
      </c>
      <c r="D119" t="s">
        <v>61</v>
      </c>
      <c r="E119">
        <v>136</v>
      </c>
      <c r="F119">
        <v>85</v>
      </c>
      <c r="G119">
        <v>225</v>
      </c>
      <c r="I119" t="s">
        <v>153</v>
      </c>
      <c r="J119" t="s">
        <v>153</v>
      </c>
      <c r="K119" t="s">
        <v>205</v>
      </c>
    </row>
    <row r="120" spans="1:11" x14ac:dyDescent="0.25">
      <c r="A120" s="11" t="str">
        <f t="shared" si="1"/>
        <v>2018-Fa-Fal-159-90-230</v>
      </c>
      <c r="B120">
        <v>2018</v>
      </c>
      <c r="C120" t="s">
        <v>1</v>
      </c>
      <c r="D120" t="s">
        <v>254</v>
      </c>
      <c r="E120">
        <v>159</v>
      </c>
      <c r="F120">
        <v>90</v>
      </c>
      <c r="G120">
        <v>230</v>
      </c>
      <c r="H120" t="s">
        <v>172</v>
      </c>
      <c r="I120" t="s">
        <v>207</v>
      </c>
      <c r="J120" t="s">
        <v>255</v>
      </c>
      <c r="K120" t="s">
        <v>227</v>
      </c>
    </row>
    <row r="121" spans="1:11" x14ac:dyDescent="0.25">
      <c r="A121" s="11" t="str">
        <f t="shared" si="1"/>
        <v>2018-Fa-Fal-172-100-230</v>
      </c>
      <c r="B121">
        <v>2018</v>
      </c>
      <c r="C121" t="s">
        <v>1</v>
      </c>
      <c r="D121" t="s">
        <v>259</v>
      </c>
      <c r="E121">
        <v>172</v>
      </c>
      <c r="F121">
        <v>100</v>
      </c>
      <c r="G121">
        <v>230</v>
      </c>
      <c r="H121" t="s">
        <v>249</v>
      </c>
      <c r="I121" t="s">
        <v>260</v>
      </c>
      <c r="J121" t="s">
        <v>246</v>
      </c>
      <c r="K121" t="s">
        <v>261</v>
      </c>
    </row>
    <row r="122" spans="1:11" x14ac:dyDescent="0.25">
      <c r="A122" s="11" t="str">
        <f t="shared" si="1"/>
        <v>2018-Fa-Fal-54-44-230</v>
      </c>
      <c r="B122">
        <v>2018</v>
      </c>
      <c r="C122" t="s">
        <v>1</v>
      </c>
      <c r="D122" t="s">
        <v>256</v>
      </c>
      <c r="E122">
        <v>54</v>
      </c>
      <c r="F122">
        <v>44</v>
      </c>
      <c r="G122">
        <v>230</v>
      </c>
      <c r="H122" t="s">
        <v>244</v>
      </c>
      <c r="I122" t="s">
        <v>245</v>
      </c>
      <c r="J122" t="s">
        <v>246</v>
      </c>
      <c r="K122" t="s">
        <v>139</v>
      </c>
    </row>
    <row r="123" spans="1:11" x14ac:dyDescent="0.25">
      <c r="A123" s="11" t="str">
        <f t="shared" si="1"/>
        <v>2018-Fa-Fal-70-52-230</v>
      </c>
      <c r="B123">
        <v>2018</v>
      </c>
      <c r="C123" t="s">
        <v>1</v>
      </c>
      <c r="D123" t="s">
        <v>50</v>
      </c>
      <c r="E123">
        <v>70</v>
      </c>
      <c r="F123">
        <v>52.5</v>
      </c>
      <c r="G123">
        <v>230</v>
      </c>
      <c r="I123" t="s">
        <v>153</v>
      </c>
      <c r="J123" t="s">
        <v>153</v>
      </c>
      <c r="K123" t="s">
        <v>257</v>
      </c>
    </row>
    <row r="124" spans="1:11" x14ac:dyDescent="0.25">
      <c r="A124" s="11" t="str">
        <f t="shared" si="1"/>
        <v>2018-Fa-Fal-79-56-235</v>
      </c>
      <c r="B124">
        <v>2018</v>
      </c>
      <c r="C124" t="s">
        <v>1</v>
      </c>
      <c r="D124" t="s">
        <v>258</v>
      </c>
      <c r="E124">
        <v>79</v>
      </c>
      <c r="F124">
        <v>56</v>
      </c>
      <c r="G124">
        <v>235</v>
      </c>
      <c r="I124" t="s">
        <v>153</v>
      </c>
      <c r="J124" t="s">
        <v>153</v>
      </c>
      <c r="K124" t="s">
        <v>166</v>
      </c>
    </row>
    <row r="125" spans="1:11" x14ac:dyDescent="0.25">
      <c r="A125" s="11" t="str">
        <f t="shared" si="1"/>
        <v>2018-Fa-Fal-89-60-235</v>
      </c>
      <c r="B125">
        <v>2018</v>
      </c>
      <c r="C125" t="s">
        <v>1</v>
      </c>
      <c r="D125" t="s">
        <v>243</v>
      </c>
      <c r="E125">
        <v>89</v>
      </c>
      <c r="F125">
        <v>60</v>
      </c>
      <c r="G125">
        <v>235</v>
      </c>
      <c r="H125" t="s">
        <v>244</v>
      </c>
      <c r="I125" t="s">
        <v>245</v>
      </c>
      <c r="J125" t="s">
        <v>246</v>
      </c>
      <c r="K125" t="s">
        <v>233</v>
      </c>
    </row>
    <row r="126" spans="1:11" x14ac:dyDescent="0.25">
      <c r="A126" s="11" t="str">
        <f t="shared" si="1"/>
        <v>2018-Fa-Fal-98-63-235</v>
      </c>
      <c r="B126">
        <v>2018</v>
      </c>
      <c r="C126" t="s">
        <v>1</v>
      </c>
      <c r="D126" t="s">
        <v>65</v>
      </c>
      <c r="E126">
        <v>98</v>
      </c>
      <c r="F126">
        <v>63</v>
      </c>
      <c r="G126">
        <v>235</v>
      </c>
      <c r="I126" t="s">
        <v>153</v>
      </c>
      <c r="J126" t="s">
        <v>153</v>
      </c>
      <c r="K126" t="s">
        <v>247</v>
      </c>
    </row>
    <row r="127" spans="1:11" x14ac:dyDescent="0.25">
      <c r="A127" s="11" t="str">
        <f t="shared" si="1"/>
        <v>2018-Fa-Fre-105-62-229</v>
      </c>
      <c r="B127">
        <v>2018</v>
      </c>
      <c r="C127" t="s">
        <v>1</v>
      </c>
      <c r="D127" t="s">
        <v>161</v>
      </c>
      <c r="E127">
        <v>105</v>
      </c>
      <c r="F127">
        <v>62.5</v>
      </c>
      <c r="G127">
        <v>229</v>
      </c>
      <c r="J127" t="s">
        <v>162</v>
      </c>
      <c r="K127" t="s">
        <v>163</v>
      </c>
    </row>
    <row r="128" spans="1:11" x14ac:dyDescent="0.25">
      <c r="A128" s="11" t="str">
        <f t="shared" si="1"/>
        <v>2018-Fa-Fre-105-62-229</v>
      </c>
      <c r="B128">
        <v>2018</v>
      </c>
      <c r="C128" t="s">
        <v>1</v>
      </c>
      <c r="D128" t="s">
        <v>169</v>
      </c>
      <c r="E128">
        <v>105</v>
      </c>
      <c r="F128">
        <v>62.5</v>
      </c>
      <c r="G128">
        <v>229</v>
      </c>
      <c r="J128" t="s">
        <v>162</v>
      </c>
      <c r="K128" t="s">
        <v>163</v>
      </c>
    </row>
    <row r="129" spans="1:11" x14ac:dyDescent="0.25">
      <c r="A129" s="11" t="str">
        <f t="shared" si="1"/>
        <v>2018-Fa-Fre-105-62-229</v>
      </c>
      <c r="B129">
        <v>2018</v>
      </c>
      <c r="C129" t="s">
        <v>1</v>
      </c>
      <c r="D129" t="s">
        <v>176</v>
      </c>
      <c r="E129">
        <v>105</v>
      </c>
      <c r="F129">
        <v>62.5</v>
      </c>
      <c r="G129">
        <v>229</v>
      </c>
      <c r="J129" t="s">
        <v>177</v>
      </c>
      <c r="K129" t="s">
        <v>163</v>
      </c>
    </row>
    <row r="130" spans="1:11" x14ac:dyDescent="0.25">
      <c r="A130" s="11" t="str">
        <f t="shared" ref="A130:A193" si="2">_xlfn.CONCAT(B130,"-",LEFT(C130,2),"-",LEFT(D130,3),"-",E130,"-",TRUNC(F130),"-",TRUNC(G130))</f>
        <v>2018-Fa-Fre-115-65-231</v>
      </c>
      <c r="B130">
        <v>2018</v>
      </c>
      <c r="C130" t="s">
        <v>1</v>
      </c>
      <c r="D130" t="s">
        <v>164</v>
      </c>
      <c r="E130">
        <v>115</v>
      </c>
      <c r="F130">
        <v>65</v>
      </c>
      <c r="G130">
        <v>231</v>
      </c>
      <c r="J130" t="s">
        <v>165</v>
      </c>
      <c r="K130" t="s">
        <v>166</v>
      </c>
    </row>
    <row r="131" spans="1:11" x14ac:dyDescent="0.25">
      <c r="A131" s="11" t="str">
        <f t="shared" si="2"/>
        <v>2018-Fa-Fre-115-65-231</v>
      </c>
      <c r="B131">
        <v>2018</v>
      </c>
      <c r="C131" t="s">
        <v>1</v>
      </c>
      <c r="D131" t="s">
        <v>170</v>
      </c>
      <c r="E131">
        <v>115</v>
      </c>
      <c r="F131">
        <v>65</v>
      </c>
      <c r="G131">
        <v>231</v>
      </c>
      <c r="J131" t="s">
        <v>165</v>
      </c>
      <c r="K131" t="s">
        <v>166</v>
      </c>
    </row>
    <row r="132" spans="1:11" x14ac:dyDescent="0.25">
      <c r="A132" s="11" t="str">
        <f t="shared" si="2"/>
        <v>2018-Fa-Fre-85-57-225</v>
      </c>
      <c r="B132">
        <v>2018</v>
      </c>
      <c r="C132" t="s">
        <v>1</v>
      </c>
      <c r="D132" t="s">
        <v>154</v>
      </c>
      <c r="E132">
        <v>85</v>
      </c>
      <c r="F132">
        <v>57.5</v>
      </c>
      <c r="G132">
        <v>225</v>
      </c>
      <c r="H132" t="s">
        <v>155</v>
      </c>
      <c r="I132" t="s">
        <v>156</v>
      </c>
      <c r="J132" t="s">
        <v>157</v>
      </c>
      <c r="K132" t="s">
        <v>158</v>
      </c>
    </row>
    <row r="133" spans="1:11" x14ac:dyDescent="0.25">
      <c r="A133" s="11" t="str">
        <f t="shared" si="2"/>
        <v>2018-Fa-Fre-85-57-225</v>
      </c>
      <c r="B133">
        <v>2018</v>
      </c>
      <c r="C133" t="s">
        <v>1</v>
      </c>
      <c r="D133" t="s">
        <v>167</v>
      </c>
      <c r="E133">
        <v>85</v>
      </c>
      <c r="F133">
        <v>57.5</v>
      </c>
      <c r="G133">
        <v>225</v>
      </c>
      <c r="H133" t="s">
        <v>130</v>
      </c>
      <c r="I133" t="s">
        <v>156</v>
      </c>
      <c r="J133" t="s">
        <v>157</v>
      </c>
      <c r="K133" t="s">
        <v>158</v>
      </c>
    </row>
    <row r="134" spans="1:11" x14ac:dyDescent="0.25">
      <c r="A134" s="11" t="str">
        <f t="shared" si="2"/>
        <v>2018-Fa-Fre-85-57-225</v>
      </c>
      <c r="B134">
        <v>2018</v>
      </c>
      <c r="C134" t="s">
        <v>1</v>
      </c>
      <c r="D134" t="s">
        <v>171</v>
      </c>
      <c r="E134">
        <v>85</v>
      </c>
      <c r="F134">
        <v>57.5</v>
      </c>
      <c r="G134">
        <v>225</v>
      </c>
      <c r="H134" t="s">
        <v>172</v>
      </c>
      <c r="I134" t="s">
        <v>156</v>
      </c>
      <c r="J134" t="s">
        <v>173</v>
      </c>
      <c r="K134" t="s">
        <v>158</v>
      </c>
    </row>
    <row r="135" spans="1:11" x14ac:dyDescent="0.25">
      <c r="A135" s="11" t="str">
        <f t="shared" si="2"/>
        <v>2018-Fa-Fre-95-60-227</v>
      </c>
      <c r="B135">
        <v>2018</v>
      </c>
      <c r="C135" t="s">
        <v>1</v>
      </c>
      <c r="D135" t="s">
        <v>159</v>
      </c>
      <c r="E135">
        <v>95</v>
      </c>
      <c r="F135">
        <v>60</v>
      </c>
      <c r="G135">
        <v>227</v>
      </c>
      <c r="J135" t="s">
        <v>160</v>
      </c>
      <c r="K135" t="s">
        <v>138</v>
      </c>
    </row>
    <row r="136" spans="1:11" x14ac:dyDescent="0.25">
      <c r="A136" s="11" t="str">
        <f t="shared" si="2"/>
        <v>2018-Fa-Fre-95-60-227</v>
      </c>
      <c r="B136">
        <v>2018</v>
      </c>
      <c r="C136" t="s">
        <v>1</v>
      </c>
      <c r="D136" t="s">
        <v>168</v>
      </c>
      <c r="E136">
        <v>95</v>
      </c>
      <c r="F136">
        <v>60</v>
      </c>
      <c r="G136">
        <v>227</v>
      </c>
      <c r="J136" t="s">
        <v>160</v>
      </c>
      <c r="K136" t="s">
        <v>138</v>
      </c>
    </row>
    <row r="137" spans="1:11" x14ac:dyDescent="0.25">
      <c r="A137" s="11" t="str">
        <f t="shared" si="2"/>
        <v>2018-Fa-Fre-95-60-227</v>
      </c>
      <c r="B137">
        <v>2018</v>
      </c>
      <c r="C137" t="s">
        <v>1</v>
      </c>
      <c r="D137" t="s">
        <v>174</v>
      </c>
      <c r="E137">
        <v>95</v>
      </c>
      <c r="F137">
        <v>60</v>
      </c>
      <c r="G137">
        <v>227</v>
      </c>
      <c r="J137" t="s">
        <v>175</v>
      </c>
      <c r="K137" t="s">
        <v>138</v>
      </c>
    </row>
    <row r="138" spans="1:11" x14ac:dyDescent="0.25">
      <c r="A138" s="11" t="str">
        <f t="shared" si="2"/>
        <v>2018-Fa-Gec-105-69-239</v>
      </c>
      <c r="B138">
        <v>2018</v>
      </c>
      <c r="C138" t="s">
        <v>1</v>
      </c>
      <c r="D138" t="s">
        <v>191</v>
      </c>
      <c r="E138">
        <v>105</v>
      </c>
      <c r="F138">
        <v>69</v>
      </c>
      <c r="G138">
        <v>239</v>
      </c>
      <c r="J138" t="s">
        <v>192</v>
      </c>
      <c r="K138" t="s">
        <v>193</v>
      </c>
    </row>
    <row r="139" spans="1:11" x14ac:dyDescent="0.25">
      <c r="A139" s="11" t="str">
        <f t="shared" si="2"/>
        <v>2018-Fa-Gec-105-69-239</v>
      </c>
      <c r="B139">
        <v>2018</v>
      </c>
      <c r="C139" t="s">
        <v>1</v>
      </c>
      <c r="D139" t="s">
        <v>215</v>
      </c>
      <c r="E139">
        <v>105</v>
      </c>
      <c r="F139">
        <v>69</v>
      </c>
      <c r="G139">
        <v>239</v>
      </c>
      <c r="J139" t="s">
        <v>216</v>
      </c>
      <c r="K139" t="s">
        <v>193</v>
      </c>
    </row>
    <row r="140" spans="1:11" x14ac:dyDescent="0.25">
      <c r="A140" s="11" t="str">
        <f t="shared" si="2"/>
        <v>2018-Fa-Gec-112-73-239</v>
      </c>
      <c r="B140">
        <v>2018</v>
      </c>
      <c r="C140" t="s">
        <v>1</v>
      </c>
      <c r="D140" t="s">
        <v>194</v>
      </c>
      <c r="E140">
        <v>112</v>
      </c>
      <c r="F140">
        <v>73</v>
      </c>
      <c r="G140">
        <v>239</v>
      </c>
      <c r="J140" t="s">
        <v>195</v>
      </c>
      <c r="K140" t="s">
        <v>196</v>
      </c>
    </row>
    <row r="141" spans="1:11" x14ac:dyDescent="0.25">
      <c r="A141" s="11" t="str">
        <f t="shared" si="2"/>
        <v>2018-Fa-Gec-112-73-239</v>
      </c>
      <c r="B141">
        <v>2018</v>
      </c>
      <c r="C141" t="s">
        <v>1</v>
      </c>
      <c r="D141" t="s">
        <v>210</v>
      </c>
      <c r="E141">
        <v>112</v>
      </c>
      <c r="F141">
        <v>73</v>
      </c>
      <c r="G141">
        <v>239</v>
      </c>
      <c r="H141" t="s">
        <v>211</v>
      </c>
      <c r="I141" t="s">
        <v>179</v>
      </c>
      <c r="J141" t="s">
        <v>195</v>
      </c>
      <c r="K141" t="s">
        <v>196</v>
      </c>
    </row>
    <row r="142" spans="1:11" x14ac:dyDescent="0.25">
      <c r="A142" s="11" t="str">
        <f t="shared" si="2"/>
        <v>2018-Fa-Gec-112-73-239</v>
      </c>
      <c r="B142">
        <v>2018</v>
      </c>
      <c r="C142" t="s">
        <v>1</v>
      </c>
      <c r="D142" t="s">
        <v>217</v>
      </c>
      <c r="E142">
        <v>112</v>
      </c>
      <c r="F142">
        <v>73</v>
      </c>
      <c r="G142">
        <v>239</v>
      </c>
      <c r="J142" t="s">
        <v>218</v>
      </c>
      <c r="K142" t="s">
        <v>196</v>
      </c>
    </row>
    <row r="143" spans="1:11" x14ac:dyDescent="0.25">
      <c r="A143" s="11" t="str">
        <f t="shared" si="2"/>
        <v>2018-Fa-Gec-120-76-242</v>
      </c>
      <c r="B143">
        <v>2018</v>
      </c>
      <c r="C143" t="s">
        <v>1</v>
      </c>
      <c r="D143" t="s">
        <v>197</v>
      </c>
      <c r="E143">
        <v>120</v>
      </c>
      <c r="F143">
        <v>76</v>
      </c>
      <c r="G143">
        <v>242</v>
      </c>
      <c r="J143" t="s">
        <v>198</v>
      </c>
      <c r="K143" t="s">
        <v>199</v>
      </c>
    </row>
    <row r="144" spans="1:11" x14ac:dyDescent="0.25">
      <c r="A144" s="11" t="str">
        <f t="shared" si="2"/>
        <v>2018-Fa-Gec-120-76-242</v>
      </c>
      <c r="B144">
        <v>2018</v>
      </c>
      <c r="C144" t="s">
        <v>1</v>
      </c>
      <c r="D144" t="s">
        <v>206</v>
      </c>
      <c r="E144">
        <v>120</v>
      </c>
      <c r="F144">
        <v>76</v>
      </c>
      <c r="G144">
        <v>242</v>
      </c>
      <c r="H144" t="s">
        <v>172</v>
      </c>
      <c r="I144" t="s">
        <v>207</v>
      </c>
      <c r="J144" t="s">
        <v>201</v>
      </c>
      <c r="K144" t="s">
        <v>199</v>
      </c>
    </row>
    <row r="145" spans="1:11" x14ac:dyDescent="0.25">
      <c r="A145" s="11" t="str">
        <f t="shared" si="2"/>
        <v>2018-Fa-Gec-120-76-242</v>
      </c>
      <c r="B145">
        <v>2018</v>
      </c>
      <c r="C145" t="s">
        <v>1</v>
      </c>
      <c r="D145" t="s">
        <v>219</v>
      </c>
      <c r="E145">
        <v>120</v>
      </c>
      <c r="F145">
        <v>76</v>
      </c>
      <c r="G145">
        <v>242</v>
      </c>
      <c r="J145" t="s">
        <v>220</v>
      </c>
      <c r="K145" t="s">
        <v>199</v>
      </c>
    </row>
    <row r="146" spans="1:11" x14ac:dyDescent="0.25">
      <c r="A146" s="11" t="str">
        <f t="shared" si="2"/>
        <v>2018-Fa-Gec-133-78-246</v>
      </c>
      <c r="B146">
        <v>2018</v>
      </c>
      <c r="C146" t="s">
        <v>1</v>
      </c>
      <c r="D146" t="s">
        <v>200</v>
      </c>
      <c r="E146">
        <v>133</v>
      </c>
      <c r="F146">
        <v>78</v>
      </c>
      <c r="G146">
        <v>246</v>
      </c>
      <c r="J146" t="s">
        <v>201</v>
      </c>
      <c r="K146" t="s">
        <v>202</v>
      </c>
    </row>
    <row r="147" spans="1:11" x14ac:dyDescent="0.25">
      <c r="A147" s="11" t="str">
        <f t="shared" si="2"/>
        <v>2018-Fa-Gec-133-78-246</v>
      </c>
      <c r="B147">
        <v>2018</v>
      </c>
      <c r="C147" t="s">
        <v>1</v>
      </c>
      <c r="D147" t="s">
        <v>208</v>
      </c>
      <c r="E147">
        <v>133</v>
      </c>
      <c r="F147">
        <v>78</v>
      </c>
      <c r="G147">
        <v>246</v>
      </c>
      <c r="J147" t="s">
        <v>209</v>
      </c>
      <c r="K147" t="s">
        <v>202</v>
      </c>
    </row>
    <row r="148" spans="1:11" x14ac:dyDescent="0.25">
      <c r="A148" s="11" t="str">
        <f t="shared" si="2"/>
        <v>2018-Fa-Gec-133-78-246</v>
      </c>
      <c r="B148">
        <v>2018</v>
      </c>
      <c r="C148" t="s">
        <v>1</v>
      </c>
      <c r="D148" t="s">
        <v>221</v>
      </c>
      <c r="E148">
        <v>133</v>
      </c>
      <c r="F148">
        <v>78</v>
      </c>
      <c r="G148">
        <v>246</v>
      </c>
      <c r="J148" t="s">
        <v>222</v>
      </c>
      <c r="K148" t="s">
        <v>202</v>
      </c>
    </row>
    <row r="149" spans="1:11" x14ac:dyDescent="0.25">
      <c r="A149" s="11" t="str">
        <f t="shared" si="2"/>
        <v>2018-Fa-Gec-146-83-250</v>
      </c>
      <c r="B149">
        <v>2018</v>
      </c>
      <c r="C149" t="s">
        <v>1</v>
      </c>
      <c r="D149" t="s">
        <v>203</v>
      </c>
      <c r="E149">
        <v>146</v>
      </c>
      <c r="F149">
        <v>83</v>
      </c>
      <c r="G149">
        <v>250</v>
      </c>
      <c r="J149" t="s">
        <v>204</v>
      </c>
      <c r="K149" t="s">
        <v>205</v>
      </c>
    </row>
    <row r="150" spans="1:11" x14ac:dyDescent="0.25">
      <c r="A150" s="11" t="str">
        <f t="shared" si="2"/>
        <v>2018-Fa-Gec-146-83-250</v>
      </c>
      <c r="B150">
        <v>2018</v>
      </c>
      <c r="C150" t="s">
        <v>1</v>
      </c>
      <c r="D150" t="s">
        <v>223</v>
      </c>
      <c r="E150">
        <v>146</v>
      </c>
      <c r="F150">
        <v>83</v>
      </c>
      <c r="G150">
        <v>250</v>
      </c>
      <c r="J150" t="s">
        <v>224</v>
      </c>
      <c r="K150" t="s">
        <v>205</v>
      </c>
    </row>
    <row r="151" spans="1:11" x14ac:dyDescent="0.25">
      <c r="A151" s="11" t="str">
        <f t="shared" si="2"/>
        <v>2018-Fa-Gec-156-85-252</v>
      </c>
      <c r="B151">
        <v>2018</v>
      </c>
      <c r="C151" t="s">
        <v>1</v>
      </c>
      <c r="D151" t="s">
        <v>225</v>
      </c>
      <c r="E151">
        <v>156</v>
      </c>
      <c r="F151">
        <v>85</v>
      </c>
      <c r="G151">
        <v>252</v>
      </c>
      <c r="J151" t="s">
        <v>226</v>
      </c>
      <c r="K151" t="s">
        <v>227</v>
      </c>
    </row>
    <row r="152" spans="1:11" x14ac:dyDescent="0.25">
      <c r="A152" s="11" t="str">
        <f t="shared" si="2"/>
        <v>2018-Fa-Gec-156-85-252</v>
      </c>
      <c r="B152">
        <v>2018</v>
      </c>
      <c r="C152" t="s">
        <v>1</v>
      </c>
      <c r="D152" t="s">
        <v>228</v>
      </c>
      <c r="E152">
        <v>156</v>
      </c>
      <c r="F152">
        <v>85</v>
      </c>
      <c r="G152">
        <v>252</v>
      </c>
      <c r="J152" t="s">
        <v>229</v>
      </c>
      <c r="K152" t="s">
        <v>227</v>
      </c>
    </row>
    <row r="153" spans="1:11" x14ac:dyDescent="0.25">
      <c r="A153" s="11" t="str">
        <f t="shared" si="2"/>
        <v>2018-Fa-Gec-98-63-239</v>
      </c>
      <c r="B153">
        <v>2018</v>
      </c>
      <c r="C153" t="s">
        <v>1</v>
      </c>
      <c r="D153" t="s">
        <v>189</v>
      </c>
      <c r="E153">
        <v>98</v>
      </c>
      <c r="F153">
        <v>63</v>
      </c>
      <c r="G153">
        <v>239</v>
      </c>
      <c r="H153" t="s">
        <v>172</v>
      </c>
      <c r="I153" t="s">
        <v>179</v>
      </c>
      <c r="J153" t="s">
        <v>190</v>
      </c>
      <c r="K153" t="s">
        <v>166</v>
      </c>
    </row>
    <row r="154" spans="1:11" x14ac:dyDescent="0.25">
      <c r="A154" s="11" t="str">
        <f t="shared" si="2"/>
        <v>2018-Fa-Gec-98-63-239</v>
      </c>
      <c r="B154">
        <v>2018</v>
      </c>
      <c r="C154" t="s">
        <v>1</v>
      </c>
      <c r="D154" t="s">
        <v>212</v>
      </c>
      <c r="E154">
        <v>98</v>
      </c>
      <c r="F154">
        <v>63</v>
      </c>
      <c r="G154">
        <v>239</v>
      </c>
      <c r="H154" t="s">
        <v>213</v>
      </c>
      <c r="I154" t="s">
        <v>179</v>
      </c>
      <c r="J154" t="s">
        <v>214</v>
      </c>
      <c r="K154" t="s">
        <v>166</v>
      </c>
    </row>
    <row r="155" spans="1:11" x14ac:dyDescent="0.25">
      <c r="A155" s="11" t="str">
        <f t="shared" si="2"/>
        <v>2018-Fa-Gri-68-54-220</v>
      </c>
      <c r="B155">
        <v>2018</v>
      </c>
      <c r="C155" t="s">
        <v>1</v>
      </c>
      <c r="D155" t="s">
        <v>140</v>
      </c>
      <c r="E155">
        <v>68</v>
      </c>
      <c r="F155">
        <v>54</v>
      </c>
      <c r="G155">
        <v>220</v>
      </c>
      <c r="H155" t="s">
        <v>130</v>
      </c>
      <c r="I155" t="s">
        <v>141</v>
      </c>
      <c r="J155" t="s">
        <v>142</v>
      </c>
      <c r="K155" t="s">
        <v>143</v>
      </c>
    </row>
    <row r="156" spans="1:11" x14ac:dyDescent="0.25">
      <c r="A156" s="11" t="str">
        <f t="shared" si="2"/>
        <v>2018-Fa-Gri-76-56-222</v>
      </c>
      <c r="B156">
        <v>2018</v>
      </c>
      <c r="C156" t="s">
        <v>1</v>
      </c>
      <c r="D156" t="s">
        <v>144</v>
      </c>
      <c r="E156">
        <v>76</v>
      </c>
      <c r="F156">
        <v>56</v>
      </c>
      <c r="G156">
        <v>222</v>
      </c>
      <c r="I156" t="s">
        <v>145</v>
      </c>
      <c r="J156" t="s">
        <v>146</v>
      </c>
      <c r="K156" t="s">
        <v>133</v>
      </c>
    </row>
    <row r="157" spans="1:11" x14ac:dyDescent="0.25">
      <c r="A157" s="11" t="str">
        <f t="shared" si="2"/>
        <v>2018-Fa-Gri-82-58-224</v>
      </c>
      <c r="B157">
        <v>2018</v>
      </c>
      <c r="C157" t="s">
        <v>1</v>
      </c>
      <c r="D157" t="s">
        <v>147</v>
      </c>
      <c r="E157">
        <v>82</v>
      </c>
      <c r="F157">
        <v>58</v>
      </c>
      <c r="G157">
        <v>224</v>
      </c>
      <c r="J157" t="s">
        <v>146</v>
      </c>
      <c r="K157" t="s">
        <v>135</v>
      </c>
    </row>
    <row r="158" spans="1:11" x14ac:dyDescent="0.25">
      <c r="A158" s="11" t="str">
        <f t="shared" si="2"/>
        <v>2018-Fa-Gri-89-59-226</v>
      </c>
      <c r="B158">
        <v>2018</v>
      </c>
      <c r="C158" t="s">
        <v>1</v>
      </c>
      <c r="D158" t="s">
        <v>148</v>
      </c>
      <c r="E158">
        <v>89</v>
      </c>
      <c r="F158">
        <v>59.5</v>
      </c>
      <c r="G158">
        <v>226</v>
      </c>
      <c r="J158" t="s">
        <v>149</v>
      </c>
      <c r="K158" t="s">
        <v>138</v>
      </c>
    </row>
    <row r="159" spans="1:11" x14ac:dyDescent="0.25">
      <c r="A159" s="11" t="str">
        <f t="shared" si="2"/>
        <v>2018-Fa-Gri-99-62-229</v>
      </c>
      <c r="B159">
        <v>2018</v>
      </c>
      <c r="C159" t="s">
        <v>1</v>
      </c>
      <c r="D159" t="s">
        <v>150</v>
      </c>
      <c r="E159">
        <v>99</v>
      </c>
      <c r="F159">
        <v>62</v>
      </c>
      <c r="G159">
        <v>229</v>
      </c>
      <c r="H159" t="s">
        <v>151</v>
      </c>
      <c r="I159" t="s">
        <v>152</v>
      </c>
      <c r="J159" t="s">
        <v>139</v>
      </c>
      <c r="K159" t="s">
        <v>153</v>
      </c>
    </row>
    <row r="160" spans="1:11" x14ac:dyDescent="0.25">
      <c r="A160" s="11" t="str">
        <f t="shared" si="2"/>
        <v>2018-Fa-Rip-112-73-239</v>
      </c>
      <c r="B160">
        <v>2018</v>
      </c>
      <c r="C160" t="s">
        <v>1</v>
      </c>
      <c r="D160" t="s">
        <v>274</v>
      </c>
      <c r="E160">
        <v>112</v>
      </c>
      <c r="F160">
        <v>73</v>
      </c>
      <c r="G160">
        <v>239</v>
      </c>
      <c r="H160" t="s">
        <v>213</v>
      </c>
      <c r="I160" t="s">
        <v>179</v>
      </c>
      <c r="J160" t="s">
        <v>275</v>
      </c>
      <c r="K160" t="s">
        <v>193</v>
      </c>
    </row>
    <row r="161" spans="1:11" x14ac:dyDescent="0.25">
      <c r="A161" s="11" t="str">
        <f t="shared" si="2"/>
        <v>2018-Fa-Rip-187-73-274</v>
      </c>
      <c r="B161">
        <v>2018</v>
      </c>
      <c r="C161" t="s">
        <v>1</v>
      </c>
      <c r="D161" t="s">
        <v>276</v>
      </c>
      <c r="E161">
        <v>187</v>
      </c>
      <c r="F161">
        <v>73.7</v>
      </c>
      <c r="G161">
        <v>274.3</v>
      </c>
      <c r="H161" t="s">
        <v>273</v>
      </c>
      <c r="I161" t="s">
        <v>269</v>
      </c>
      <c r="J161" t="s">
        <v>270</v>
      </c>
      <c r="K161" t="s">
        <v>271</v>
      </c>
    </row>
    <row r="162" spans="1:11" x14ac:dyDescent="0.25">
      <c r="A162" s="11" t="str">
        <f t="shared" si="2"/>
        <v>2018-Fa-Ska-100-64-228</v>
      </c>
      <c r="B162">
        <v>2018</v>
      </c>
      <c r="C162" t="s">
        <v>1</v>
      </c>
      <c r="D162" t="s">
        <v>184</v>
      </c>
      <c r="E162">
        <v>100</v>
      </c>
      <c r="F162">
        <v>64</v>
      </c>
      <c r="G162">
        <v>228</v>
      </c>
      <c r="J162" t="s">
        <v>185</v>
      </c>
      <c r="K162" t="s">
        <v>138</v>
      </c>
    </row>
    <row r="163" spans="1:11" x14ac:dyDescent="0.25">
      <c r="A163" s="11" t="str">
        <f t="shared" si="2"/>
        <v>2018-Fa-Ska-108-66-226</v>
      </c>
      <c r="B163">
        <v>2018</v>
      </c>
      <c r="C163" t="s">
        <v>1</v>
      </c>
      <c r="D163" t="s">
        <v>186</v>
      </c>
      <c r="E163">
        <v>108</v>
      </c>
      <c r="F163">
        <v>66.5</v>
      </c>
      <c r="G163">
        <v>226</v>
      </c>
      <c r="J163" t="s">
        <v>187</v>
      </c>
      <c r="K163" t="s">
        <v>188</v>
      </c>
    </row>
    <row r="164" spans="1:11" x14ac:dyDescent="0.25">
      <c r="A164" s="11" t="str">
        <f t="shared" si="2"/>
        <v>2018-Fa-Ska-86-60-228</v>
      </c>
      <c r="B164">
        <v>2018</v>
      </c>
      <c r="C164" t="s">
        <v>1</v>
      </c>
      <c r="D164" t="s">
        <v>178</v>
      </c>
      <c r="E164">
        <v>86</v>
      </c>
      <c r="F164">
        <v>60</v>
      </c>
      <c r="G164">
        <v>228</v>
      </c>
      <c r="H164" t="s">
        <v>130</v>
      </c>
      <c r="I164" t="s">
        <v>179</v>
      </c>
      <c r="J164" t="s">
        <v>180</v>
      </c>
      <c r="K164" t="s">
        <v>133</v>
      </c>
    </row>
    <row r="165" spans="1:11" x14ac:dyDescent="0.25">
      <c r="A165" s="11" t="str">
        <f t="shared" si="2"/>
        <v>2018-Fa-Ska-93-62-225</v>
      </c>
      <c r="B165">
        <v>2018</v>
      </c>
      <c r="C165" t="s">
        <v>1</v>
      </c>
      <c r="D165" t="s">
        <v>181</v>
      </c>
      <c r="E165">
        <v>93</v>
      </c>
      <c r="F165">
        <v>62</v>
      </c>
      <c r="G165">
        <v>225</v>
      </c>
      <c r="J165" t="s">
        <v>182</v>
      </c>
      <c r="K165" t="s">
        <v>183</v>
      </c>
    </row>
    <row r="166" spans="1:11" x14ac:dyDescent="0.25">
      <c r="A166" s="11" t="str">
        <f t="shared" si="2"/>
        <v>2018-Fa-Stu-76-55-212</v>
      </c>
      <c r="B166">
        <v>2018</v>
      </c>
      <c r="C166" t="s">
        <v>1</v>
      </c>
      <c r="D166" t="s">
        <v>129</v>
      </c>
      <c r="E166">
        <v>76</v>
      </c>
      <c r="F166">
        <v>55</v>
      </c>
      <c r="G166">
        <v>212</v>
      </c>
      <c r="H166" t="s">
        <v>130</v>
      </c>
      <c r="I166" t="s">
        <v>131</v>
      </c>
      <c r="J166" t="s">
        <v>132</v>
      </c>
      <c r="K166" t="s">
        <v>133</v>
      </c>
    </row>
    <row r="167" spans="1:11" x14ac:dyDescent="0.25">
      <c r="A167" s="11" t="str">
        <f t="shared" si="2"/>
        <v>2018-Fa-Stu-82-56-214</v>
      </c>
      <c r="B167">
        <v>2018</v>
      </c>
      <c r="C167" t="s">
        <v>1</v>
      </c>
      <c r="D167" t="s">
        <v>134</v>
      </c>
      <c r="E167">
        <v>82</v>
      </c>
      <c r="F167">
        <v>56</v>
      </c>
      <c r="G167">
        <v>214</v>
      </c>
      <c r="J167" t="s">
        <v>132</v>
      </c>
      <c r="K167" t="s">
        <v>135</v>
      </c>
    </row>
    <row r="168" spans="1:11" x14ac:dyDescent="0.25">
      <c r="A168" s="11" t="str">
        <f t="shared" si="2"/>
        <v>2018-Fa-Stu-89-57-215</v>
      </c>
      <c r="B168">
        <v>2018</v>
      </c>
      <c r="C168" t="s">
        <v>1</v>
      </c>
      <c r="D168" t="s">
        <v>136</v>
      </c>
      <c r="E168">
        <v>89</v>
      </c>
      <c r="F168">
        <v>57.5</v>
      </c>
      <c r="G168">
        <v>215</v>
      </c>
      <c r="J168" t="s">
        <v>137</v>
      </c>
      <c r="K168" t="s">
        <v>138</v>
      </c>
    </row>
    <row r="169" spans="1:11" x14ac:dyDescent="0.25">
      <c r="A169" s="11" t="str">
        <f t="shared" si="2"/>
        <v>2018-Fa-Stu-99-60-218</v>
      </c>
      <c r="B169">
        <v>2018</v>
      </c>
      <c r="C169" t="s">
        <v>1</v>
      </c>
      <c r="D169" t="s">
        <v>110</v>
      </c>
      <c r="E169">
        <v>99</v>
      </c>
      <c r="F169">
        <v>60</v>
      </c>
      <c r="G169">
        <v>218</v>
      </c>
      <c r="J169" t="s">
        <v>137</v>
      </c>
      <c r="K169" t="s">
        <v>139</v>
      </c>
    </row>
    <row r="170" spans="1:11" x14ac:dyDescent="0.25">
      <c r="A170" s="11" t="str">
        <f t="shared" si="2"/>
        <v>2018-Fa-Tan-505-86-487</v>
      </c>
      <c r="B170">
        <v>2018</v>
      </c>
      <c r="C170" t="s">
        <v>1</v>
      </c>
      <c r="D170" t="s">
        <v>277</v>
      </c>
      <c r="E170">
        <v>505</v>
      </c>
      <c r="F170">
        <v>86.4</v>
      </c>
      <c r="G170">
        <v>487.6</v>
      </c>
      <c r="H170" t="s">
        <v>268</v>
      </c>
      <c r="I170" t="s">
        <v>269</v>
      </c>
      <c r="J170" t="s">
        <v>278</v>
      </c>
      <c r="K170" t="s">
        <v>271</v>
      </c>
    </row>
    <row r="171" spans="1:11" x14ac:dyDescent="0.25">
      <c r="A171" s="11" t="str">
        <f t="shared" si="2"/>
        <v>2018-Fa-Vip-160-75-275</v>
      </c>
      <c r="B171">
        <v>2018</v>
      </c>
      <c r="C171" t="s">
        <v>1</v>
      </c>
      <c r="D171" t="s">
        <v>262</v>
      </c>
      <c r="E171">
        <v>160</v>
      </c>
      <c r="F171">
        <v>75</v>
      </c>
      <c r="G171">
        <v>275</v>
      </c>
      <c r="H171" t="s">
        <v>213</v>
      </c>
      <c r="I171" t="s">
        <v>179</v>
      </c>
      <c r="J171" t="s">
        <v>263</v>
      </c>
      <c r="K171" t="s">
        <v>205</v>
      </c>
    </row>
    <row r="172" spans="1:11" x14ac:dyDescent="0.25">
      <c r="A172" s="11" t="str">
        <f t="shared" si="2"/>
        <v>2018-Fa-Vip-190-80-280</v>
      </c>
      <c r="B172">
        <v>2018</v>
      </c>
      <c r="C172" t="s">
        <v>1</v>
      </c>
      <c r="D172" t="s">
        <v>264</v>
      </c>
      <c r="E172">
        <v>190</v>
      </c>
      <c r="F172">
        <v>80</v>
      </c>
      <c r="G172">
        <v>280</v>
      </c>
      <c r="H172" t="s">
        <v>153</v>
      </c>
      <c r="I172" t="s">
        <v>153</v>
      </c>
      <c r="J172" t="s">
        <v>153</v>
      </c>
      <c r="K172" t="s">
        <v>153</v>
      </c>
    </row>
    <row r="173" spans="1:11" x14ac:dyDescent="0.25">
      <c r="A173" s="11" t="str">
        <f t="shared" si="2"/>
        <v>2018-Fa-Vip-220-85-285</v>
      </c>
      <c r="B173">
        <v>2018</v>
      </c>
      <c r="C173" t="s">
        <v>1</v>
      </c>
      <c r="D173" t="s">
        <v>265</v>
      </c>
      <c r="E173">
        <v>220</v>
      </c>
      <c r="F173">
        <v>85</v>
      </c>
      <c r="G173">
        <v>285</v>
      </c>
      <c r="H173" t="s">
        <v>153</v>
      </c>
      <c r="I173" t="s">
        <v>153</v>
      </c>
      <c r="J173" t="s">
        <v>153</v>
      </c>
      <c r="K173" t="s">
        <v>153</v>
      </c>
    </row>
    <row r="174" spans="1:11" x14ac:dyDescent="0.25">
      <c r="A174" s="11" t="str">
        <f t="shared" si="2"/>
        <v>2018-Fa-Vip-240-91-290</v>
      </c>
      <c r="B174">
        <v>2018</v>
      </c>
      <c r="C174" t="s">
        <v>1</v>
      </c>
      <c r="D174" t="s">
        <v>266</v>
      </c>
      <c r="E174">
        <v>240</v>
      </c>
      <c r="F174">
        <v>91</v>
      </c>
      <c r="G174">
        <v>290</v>
      </c>
      <c r="H174" t="s">
        <v>153</v>
      </c>
      <c r="I174" t="s">
        <v>153</v>
      </c>
      <c r="J174" t="s">
        <v>153</v>
      </c>
      <c r="K174" t="s">
        <v>153</v>
      </c>
    </row>
    <row r="175" spans="1:11" x14ac:dyDescent="0.25">
      <c r="A175" s="11" t="str">
        <f t="shared" si="2"/>
        <v>2018-Fa-Vip-355-85-335</v>
      </c>
      <c r="B175">
        <v>2018</v>
      </c>
      <c r="C175" t="s">
        <v>1</v>
      </c>
      <c r="D175" t="s">
        <v>267</v>
      </c>
      <c r="E175">
        <v>355</v>
      </c>
      <c r="F175">
        <v>85.1</v>
      </c>
      <c r="G175">
        <v>335.3</v>
      </c>
      <c r="H175" t="s">
        <v>268</v>
      </c>
      <c r="I175" t="s">
        <v>269</v>
      </c>
      <c r="J175" t="s">
        <v>270</v>
      </c>
      <c r="K175" t="s">
        <v>271</v>
      </c>
    </row>
    <row r="176" spans="1:11" x14ac:dyDescent="0.25">
      <c r="A176" s="11" t="str">
        <f t="shared" si="2"/>
        <v>2018-Fa-Vip-355-85-335</v>
      </c>
      <c r="B176">
        <v>2018</v>
      </c>
      <c r="C176" t="s">
        <v>1</v>
      </c>
      <c r="D176" t="s">
        <v>272</v>
      </c>
      <c r="E176">
        <v>355</v>
      </c>
      <c r="F176">
        <v>85.1</v>
      </c>
      <c r="G176">
        <v>335.3</v>
      </c>
      <c r="H176" t="s">
        <v>273</v>
      </c>
      <c r="I176" t="s">
        <v>269</v>
      </c>
      <c r="J176" t="s">
        <v>270</v>
      </c>
      <c r="K176" t="s">
        <v>271</v>
      </c>
    </row>
    <row r="177" spans="1:11" x14ac:dyDescent="0.25">
      <c r="A177" s="11" t="str">
        <f t="shared" si="2"/>
        <v>2020-Fa-Bla-100-62-231</v>
      </c>
      <c r="B177">
        <v>2020</v>
      </c>
      <c r="C177" t="s">
        <v>1</v>
      </c>
      <c r="D177" t="s">
        <v>681</v>
      </c>
      <c r="E177">
        <v>100</v>
      </c>
      <c r="F177">
        <v>62</v>
      </c>
      <c r="G177">
        <v>231</v>
      </c>
      <c r="H177" t="s">
        <v>723</v>
      </c>
      <c r="I177" t="s">
        <v>283</v>
      </c>
      <c r="J177" t="s">
        <v>190</v>
      </c>
      <c r="K177" t="s">
        <v>233</v>
      </c>
    </row>
    <row r="178" spans="1:11" x14ac:dyDescent="0.25">
      <c r="A178" s="11" t="str">
        <f t="shared" si="2"/>
        <v>2020-Fa-Bla-100-62-231</v>
      </c>
      <c r="B178">
        <v>2020</v>
      </c>
      <c r="C178" t="s">
        <v>1</v>
      </c>
      <c r="D178" t="s">
        <v>684</v>
      </c>
      <c r="E178">
        <v>100</v>
      </c>
      <c r="F178">
        <v>62</v>
      </c>
      <c r="G178">
        <v>231</v>
      </c>
      <c r="H178" t="s">
        <v>606</v>
      </c>
      <c r="I178" t="s">
        <v>283</v>
      </c>
      <c r="J178" t="s">
        <v>682</v>
      </c>
      <c r="K178" t="s">
        <v>233</v>
      </c>
    </row>
    <row r="179" spans="1:11" x14ac:dyDescent="0.25">
      <c r="A179" s="11" t="str">
        <f t="shared" si="2"/>
        <v>2020-Fa-Bla-115-66-232</v>
      </c>
      <c r="B179">
        <v>2020</v>
      </c>
      <c r="C179" t="s">
        <v>1</v>
      </c>
      <c r="D179" t="s">
        <v>681</v>
      </c>
      <c r="E179">
        <v>115</v>
      </c>
      <c r="F179">
        <v>66</v>
      </c>
      <c r="G179">
        <v>232</v>
      </c>
      <c r="H179" t="s">
        <v>723</v>
      </c>
      <c r="I179" t="s">
        <v>283</v>
      </c>
      <c r="J179" t="s">
        <v>195</v>
      </c>
      <c r="K179" t="s">
        <v>235</v>
      </c>
    </row>
    <row r="180" spans="1:11" x14ac:dyDescent="0.25">
      <c r="A180" s="11" t="str">
        <f t="shared" si="2"/>
        <v>2020-Fa-Bla-115-66-232</v>
      </c>
      <c r="B180">
        <v>2020</v>
      </c>
      <c r="C180" t="s">
        <v>1</v>
      </c>
      <c r="D180" t="s">
        <v>684</v>
      </c>
      <c r="E180">
        <v>115</v>
      </c>
      <c r="F180">
        <v>66</v>
      </c>
      <c r="G180">
        <v>232</v>
      </c>
      <c r="H180" t="s">
        <v>606</v>
      </c>
      <c r="I180" t="s">
        <v>283</v>
      </c>
      <c r="J180" t="s">
        <v>683</v>
      </c>
      <c r="K180" t="s">
        <v>235</v>
      </c>
    </row>
    <row r="181" spans="1:11" x14ac:dyDescent="0.25">
      <c r="A181" s="11" t="str">
        <f t="shared" si="2"/>
        <v>2020-Fa-Bla-130-70-233</v>
      </c>
      <c r="B181">
        <v>2020</v>
      </c>
      <c r="C181" t="s">
        <v>1</v>
      </c>
      <c r="D181" t="s">
        <v>681</v>
      </c>
      <c r="E181">
        <v>130</v>
      </c>
      <c r="F181">
        <v>70</v>
      </c>
      <c r="G181">
        <v>233</v>
      </c>
      <c r="H181" t="s">
        <v>723</v>
      </c>
      <c r="I181" t="s">
        <v>153</v>
      </c>
      <c r="J181" t="s">
        <v>201</v>
      </c>
      <c r="K181" t="s">
        <v>199</v>
      </c>
    </row>
    <row r="182" spans="1:11" x14ac:dyDescent="0.25">
      <c r="A182" s="11" t="str">
        <f t="shared" si="2"/>
        <v>2020-Fa-Bla-130-70-233</v>
      </c>
      <c r="B182">
        <v>2020</v>
      </c>
      <c r="C182" t="s">
        <v>1</v>
      </c>
      <c r="D182" t="s">
        <v>684</v>
      </c>
      <c r="E182">
        <v>130</v>
      </c>
      <c r="F182">
        <v>70</v>
      </c>
      <c r="G182">
        <v>233</v>
      </c>
      <c r="H182" t="s">
        <v>606</v>
      </c>
      <c r="I182" t="s">
        <v>283</v>
      </c>
      <c r="J182" t="s">
        <v>685</v>
      </c>
      <c r="K182" t="s">
        <v>199</v>
      </c>
    </row>
    <row r="183" spans="1:11" x14ac:dyDescent="0.25">
      <c r="A183" s="11" t="str">
        <f t="shared" si="2"/>
        <v>2020-Fa-Bla-145-77-235</v>
      </c>
      <c r="B183">
        <v>2020</v>
      </c>
      <c r="C183" t="s">
        <v>1</v>
      </c>
      <c r="D183" t="s">
        <v>681</v>
      </c>
      <c r="E183">
        <v>145</v>
      </c>
      <c r="F183">
        <v>77</v>
      </c>
      <c r="G183">
        <v>235</v>
      </c>
      <c r="H183" t="s">
        <v>723</v>
      </c>
      <c r="I183" t="s">
        <v>153</v>
      </c>
      <c r="J183" t="s">
        <v>209</v>
      </c>
      <c r="K183" t="s">
        <v>238</v>
      </c>
    </row>
    <row r="184" spans="1:11" x14ac:dyDescent="0.25">
      <c r="A184" s="11" t="str">
        <f t="shared" si="2"/>
        <v>2020-Fa-Bla-145-77-235</v>
      </c>
      <c r="B184">
        <v>2020</v>
      </c>
      <c r="C184" t="s">
        <v>1</v>
      </c>
      <c r="D184" t="s">
        <v>684</v>
      </c>
      <c r="E184">
        <v>145</v>
      </c>
      <c r="F184">
        <v>77</v>
      </c>
      <c r="G184">
        <v>235</v>
      </c>
      <c r="H184" t="s">
        <v>606</v>
      </c>
      <c r="I184" t="s">
        <v>283</v>
      </c>
      <c r="J184" t="s">
        <v>686</v>
      </c>
      <c r="K184" t="s">
        <v>238</v>
      </c>
    </row>
    <row r="185" spans="1:11" x14ac:dyDescent="0.25">
      <c r="A185" s="11" t="str">
        <f t="shared" si="2"/>
        <v>2020-Fa-Fal-106-68-235</v>
      </c>
      <c r="B185">
        <v>2020</v>
      </c>
      <c r="C185" t="s">
        <v>1</v>
      </c>
      <c r="D185" t="s">
        <v>705</v>
      </c>
      <c r="E185">
        <v>106</v>
      </c>
      <c r="F185">
        <v>68</v>
      </c>
      <c r="G185">
        <v>235</v>
      </c>
      <c r="H185" t="s">
        <v>706</v>
      </c>
      <c r="I185" t="s">
        <v>250</v>
      </c>
      <c r="J185" t="s">
        <v>246</v>
      </c>
      <c r="K185" t="s">
        <v>235</v>
      </c>
    </row>
    <row r="186" spans="1:11" x14ac:dyDescent="0.25">
      <c r="A186" s="11" t="str">
        <f t="shared" si="2"/>
        <v>2020-Fa-Fal-115-71-230</v>
      </c>
      <c r="B186">
        <v>2020</v>
      </c>
      <c r="C186" t="s">
        <v>1</v>
      </c>
      <c r="D186" t="s">
        <v>705</v>
      </c>
      <c r="E186">
        <v>115</v>
      </c>
      <c r="F186">
        <v>71.5</v>
      </c>
      <c r="G186">
        <v>230</v>
      </c>
      <c r="H186" t="s">
        <v>706</v>
      </c>
      <c r="I186" t="s">
        <v>250</v>
      </c>
      <c r="J186" t="s">
        <v>246</v>
      </c>
      <c r="K186" t="s">
        <v>251</v>
      </c>
    </row>
    <row r="187" spans="1:11" x14ac:dyDescent="0.25">
      <c r="A187" s="11" t="str">
        <f t="shared" si="2"/>
        <v>2020-Fa-Fal-121-75-230</v>
      </c>
      <c r="B187">
        <v>2020</v>
      </c>
      <c r="C187" t="s">
        <v>1</v>
      </c>
      <c r="D187" t="s">
        <v>705</v>
      </c>
      <c r="E187">
        <v>121</v>
      </c>
      <c r="F187">
        <v>75</v>
      </c>
      <c r="G187">
        <v>230</v>
      </c>
      <c r="H187" t="s">
        <v>706</v>
      </c>
      <c r="I187" t="s">
        <v>250</v>
      </c>
      <c r="J187" t="s">
        <v>246</v>
      </c>
      <c r="K187" t="s">
        <v>252</v>
      </c>
    </row>
    <row r="188" spans="1:11" x14ac:dyDescent="0.25">
      <c r="A188" s="11" t="str">
        <f t="shared" si="2"/>
        <v>2020-Fa-Fal-130-80-228</v>
      </c>
      <c r="B188">
        <v>2020</v>
      </c>
      <c r="C188" t="s">
        <v>1</v>
      </c>
      <c r="D188" t="s">
        <v>705</v>
      </c>
      <c r="E188">
        <v>130</v>
      </c>
      <c r="F188">
        <v>80</v>
      </c>
      <c r="G188">
        <v>228</v>
      </c>
      <c r="H188" t="s">
        <v>706</v>
      </c>
      <c r="I188" t="s">
        <v>283</v>
      </c>
      <c r="J188" t="s">
        <v>246</v>
      </c>
      <c r="K188" t="s">
        <v>202</v>
      </c>
    </row>
    <row r="189" spans="1:11" x14ac:dyDescent="0.25">
      <c r="A189" s="11" t="str">
        <f t="shared" si="2"/>
        <v>2020-Fa-Fal-140-85-228</v>
      </c>
      <c r="B189">
        <v>2020</v>
      </c>
      <c r="C189" t="s">
        <v>1</v>
      </c>
      <c r="D189" t="s">
        <v>705</v>
      </c>
      <c r="E189">
        <v>140</v>
      </c>
      <c r="F189">
        <v>85</v>
      </c>
      <c r="G189">
        <v>228</v>
      </c>
      <c r="H189" t="s">
        <v>706</v>
      </c>
      <c r="I189" t="s">
        <v>283</v>
      </c>
      <c r="J189" t="s">
        <v>246</v>
      </c>
      <c r="K189" t="s">
        <v>205</v>
      </c>
    </row>
    <row r="190" spans="1:11" x14ac:dyDescent="0.25">
      <c r="A190" s="11" t="str">
        <f t="shared" si="2"/>
        <v>2020-Fa-Fal-159-90-230</v>
      </c>
      <c r="B190">
        <v>2020</v>
      </c>
      <c r="C190" t="s">
        <v>1</v>
      </c>
      <c r="D190" t="s">
        <v>40</v>
      </c>
      <c r="E190">
        <v>159</v>
      </c>
      <c r="F190">
        <v>90</v>
      </c>
      <c r="G190">
        <v>230</v>
      </c>
      <c r="H190" t="s">
        <v>654</v>
      </c>
      <c r="I190" t="s">
        <v>283</v>
      </c>
      <c r="J190" t="s">
        <v>707</v>
      </c>
      <c r="K190" t="s">
        <v>227</v>
      </c>
    </row>
    <row r="191" spans="1:11" x14ac:dyDescent="0.25">
      <c r="A191" s="11" t="str">
        <f t="shared" si="2"/>
        <v>2020-Fa-Fal-180-91-230</v>
      </c>
      <c r="B191">
        <v>2020</v>
      </c>
      <c r="C191" t="s">
        <v>1</v>
      </c>
      <c r="D191" t="s">
        <v>712</v>
      </c>
      <c r="E191">
        <v>180</v>
      </c>
      <c r="F191">
        <v>91</v>
      </c>
      <c r="G191">
        <v>230</v>
      </c>
      <c r="H191" t="s">
        <v>704</v>
      </c>
      <c r="I191" t="s">
        <v>283</v>
      </c>
      <c r="J191" t="s">
        <v>246</v>
      </c>
      <c r="K191" t="s">
        <v>227</v>
      </c>
    </row>
    <row r="192" spans="1:11" x14ac:dyDescent="0.25">
      <c r="A192" s="11" t="str">
        <f t="shared" si="2"/>
        <v>2020-Fa-Fal-54-44-230</v>
      </c>
      <c r="B192">
        <v>2020</v>
      </c>
      <c r="C192" t="s">
        <v>1</v>
      </c>
      <c r="D192" t="s">
        <v>708</v>
      </c>
      <c r="E192">
        <v>54</v>
      </c>
      <c r="F192">
        <v>44</v>
      </c>
      <c r="G192">
        <v>230</v>
      </c>
      <c r="H192" t="s">
        <v>704</v>
      </c>
      <c r="I192" t="s">
        <v>245</v>
      </c>
      <c r="J192" t="s">
        <v>246</v>
      </c>
      <c r="K192" t="s">
        <v>139</v>
      </c>
    </row>
    <row r="193" spans="1:11" x14ac:dyDescent="0.25">
      <c r="A193" s="11" t="str">
        <f t="shared" si="2"/>
        <v>2020-Fa-Fal-70-52-230</v>
      </c>
      <c r="B193">
        <v>2020</v>
      </c>
      <c r="C193" t="s">
        <v>1</v>
      </c>
      <c r="D193" t="s">
        <v>708</v>
      </c>
      <c r="E193">
        <v>70</v>
      </c>
      <c r="F193">
        <v>52.5</v>
      </c>
      <c r="G193">
        <v>230</v>
      </c>
      <c r="H193" t="s">
        <v>704</v>
      </c>
      <c r="I193" t="s">
        <v>245</v>
      </c>
      <c r="J193" t="s">
        <v>246</v>
      </c>
      <c r="K193" t="s">
        <v>257</v>
      </c>
    </row>
    <row r="194" spans="1:11" x14ac:dyDescent="0.25">
      <c r="A194" s="11" t="str">
        <f t="shared" ref="A194:A257" si="3">_xlfn.CONCAT(B194,"-",LEFT(C194,2),"-",LEFT(D194,3),"-",E194,"-",TRUNC(F194),"-",TRUNC(G194))</f>
        <v>2020-Fa-Fal-80-56-233</v>
      </c>
      <c r="B194">
        <v>2020</v>
      </c>
      <c r="C194" t="s">
        <v>1</v>
      </c>
      <c r="D194" t="s">
        <v>705</v>
      </c>
      <c r="E194">
        <v>80</v>
      </c>
      <c r="F194">
        <v>56</v>
      </c>
      <c r="G194">
        <v>233</v>
      </c>
      <c r="H194" t="s">
        <v>704</v>
      </c>
      <c r="I194" t="s">
        <v>245</v>
      </c>
      <c r="J194" t="s">
        <v>246</v>
      </c>
      <c r="K194" t="s">
        <v>166</v>
      </c>
    </row>
    <row r="195" spans="1:11" x14ac:dyDescent="0.25">
      <c r="A195" s="11" t="str">
        <f t="shared" si="3"/>
        <v>2020-Fa-Fal-90-60-233</v>
      </c>
      <c r="B195">
        <v>2020</v>
      </c>
      <c r="C195" t="s">
        <v>1</v>
      </c>
      <c r="D195" t="s">
        <v>705</v>
      </c>
      <c r="E195">
        <v>90</v>
      </c>
      <c r="F195">
        <v>60</v>
      </c>
      <c r="G195">
        <v>233</v>
      </c>
      <c r="H195" t="s">
        <v>704</v>
      </c>
      <c r="I195" t="s">
        <v>245</v>
      </c>
      <c r="J195" t="s">
        <v>246</v>
      </c>
      <c r="K195" t="s">
        <v>233</v>
      </c>
    </row>
    <row r="196" spans="1:11" x14ac:dyDescent="0.25">
      <c r="A196" s="11" t="str">
        <f t="shared" si="3"/>
        <v>2020-Fa-Fal-97-62-233</v>
      </c>
      <c r="B196">
        <v>2020</v>
      </c>
      <c r="C196" t="s">
        <v>1</v>
      </c>
      <c r="D196" t="s">
        <v>705</v>
      </c>
      <c r="E196">
        <v>97</v>
      </c>
      <c r="F196">
        <v>62</v>
      </c>
      <c r="G196">
        <v>233</v>
      </c>
      <c r="H196" t="s">
        <v>704</v>
      </c>
      <c r="I196" t="s">
        <v>245</v>
      </c>
      <c r="J196" t="s">
        <v>246</v>
      </c>
      <c r="K196" t="s">
        <v>247</v>
      </c>
    </row>
    <row r="197" spans="1:11" x14ac:dyDescent="0.25">
      <c r="A197" s="11" t="str">
        <f t="shared" si="3"/>
        <v>2020-Fa-Fre-105-63-231</v>
      </c>
      <c r="B197">
        <v>2020</v>
      </c>
      <c r="C197" t="s">
        <v>1</v>
      </c>
      <c r="D197" t="s">
        <v>664</v>
      </c>
      <c r="E197">
        <v>105</v>
      </c>
      <c r="F197">
        <v>63</v>
      </c>
      <c r="G197">
        <v>231</v>
      </c>
      <c r="H197" t="s">
        <v>666</v>
      </c>
      <c r="I197" t="s">
        <v>665</v>
      </c>
      <c r="J197" t="s">
        <v>667</v>
      </c>
      <c r="K197" t="s">
        <v>163</v>
      </c>
    </row>
    <row r="198" spans="1:11" x14ac:dyDescent="0.25">
      <c r="A198" s="11" t="str">
        <f t="shared" si="3"/>
        <v>2020-Fa-Fre-105-63-231</v>
      </c>
      <c r="B198">
        <v>2020</v>
      </c>
      <c r="C198" t="s">
        <v>1</v>
      </c>
      <c r="D198" t="s">
        <v>669</v>
      </c>
      <c r="E198">
        <v>105</v>
      </c>
      <c r="F198">
        <v>63</v>
      </c>
      <c r="G198">
        <v>231</v>
      </c>
      <c r="H198" t="s">
        <v>658</v>
      </c>
      <c r="I198" t="s">
        <v>665</v>
      </c>
      <c r="J198" t="s">
        <v>667</v>
      </c>
      <c r="K198" t="s">
        <v>163</v>
      </c>
    </row>
    <row r="199" spans="1:11" x14ac:dyDescent="0.25">
      <c r="A199" s="11" t="str">
        <f t="shared" si="3"/>
        <v>2020-Fa-Fre-105-63-231</v>
      </c>
      <c r="B199">
        <v>2020</v>
      </c>
      <c r="C199" t="s">
        <v>1</v>
      </c>
      <c r="D199" t="s">
        <v>72</v>
      </c>
      <c r="E199">
        <v>105</v>
      </c>
      <c r="F199">
        <v>63</v>
      </c>
      <c r="G199">
        <v>231</v>
      </c>
      <c r="H199" t="s">
        <v>723</v>
      </c>
      <c r="I199" t="s">
        <v>665</v>
      </c>
      <c r="J199" t="s">
        <v>675</v>
      </c>
      <c r="K199" t="s">
        <v>163</v>
      </c>
    </row>
    <row r="200" spans="1:11" x14ac:dyDescent="0.25">
      <c r="A200" s="11" t="str">
        <f t="shared" si="3"/>
        <v>2020-Fa-Fre-115-65-232</v>
      </c>
      <c r="B200">
        <v>2020</v>
      </c>
      <c r="C200" t="s">
        <v>1</v>
      </c>
      <c r="D200" t="s">
        <v>664</v>
      </c>
      <c r="E200">
        <v>115</v>
      </c>
      <c r="F200">
        <v>65</v>
      </c>
      <c r="G200">
        <v>232</v>
      </c>
      <c r="H200" t="s">
        <v>153</v>
      </c>
      <c r="I200" t="s">
        <v>665</v>
      </c>
      <c r="J200" t="s">
        <v>668</v>
      </c>
      <c r="K200" t="s">
        <v>166</v>
      </c>
    </row>
    <row r="201" spans="1:11" x14ac:dyDescent="0.25">
      <c r="A201" s="11" t="str">
        <f t="shared" si="3"/>
        <v>2020-Fa-Fre-115-65-232</v>
      </c>
      <c r="B201">
        <v>2020</v>
      </c>
      <c r="C201" t="s">
        <v>1</v>
      </c>
      <c r="D201" t="s">
        <v>669</v>
      </c>
      <c r="E201">
        <v>115</v>
      </c>
      <c r="F201">
        <v>65</v>
      </c>
      <c r="G201">
        <v>232</v>
      </c>
      <c r="H201" t="s">
        <v>658</v>
      </c>
      <c r="I201" t="s">
        <v>665</v>
      </c>
      <c r="J201" t="s">
        <v>668</v>
      </c>
      <c r="K201" t="s">
        <v>166</v>
      </c>
    </row>
    <row r="202" spans="1:11" x14ac:dyDescent="0.25">
      <c r="A202" s="11" t="str">
        <f t="shared" si="3"/>
        <v>2020-Fa-Fre-75-56-228</v>
      </c>
      <c r="B202">
        <v>2020</v>
      </c>
      <c r="C202" t="s">
        <v>1</v>
      </c>
      <c r="D202" t="s">
        <v>669</v>
      </c>
      <c r="E202">
        <v>75</v>
      </c>
      <c r="F202">
        <v>56</v>
      </c>
      <c r="G202">
        <v>228</v>
      </c>
      <c r="H202" t="s">
        <v>658</v>
      </c>
      <c r="I202" t="s">
        <v>665</v>
      </c>
      <c r="J202" t="s">
        <v>157</v>
      </c>
      <c r="K202" t="s">
        <v>135</v>
      </c>
    </row>
    <row r="203" spans="1:11" x14ac:dyDescent="0.25">
      <c r="A203" s="11" t="str">
        <f t="shared" si="3"/>
        <v>2020-Fa-Fre-75-56-228</v>
      </c>
      <c r="B203">
        <v>2020</v>
      </c>
      <c r="C203" t="s">
        <v>1</v>
      </c>
      <c r="D203" t="s">
        <v>72</v>
      </c>
      <c r="E203">
        <v>75</v>
      </c>
      <c r="F203">
        <v>56</v>
      </c>
      <c r="G203">
        <v>228</v>
      </c>
      <c r="H203" t="s">
        <v>723</v>
      </c>
      <c r="I203" t="s">
        <v>665</v>
      </c>
      <c r="J203" t="s">
        <v>670</v>
      </c>
      <c r="K203" t="s">
        <v>135</v>
      </c>
    </row>
    <row r="204" spans="1:11" x14ac:dyDescent="0.25">
      <c r="A204" s="11" t="str">
        <f t="shared" si="3"/>
        <v>2020-Fa-Fre-85-58-229</v>
      </c>
      <c r="B204">
        <v>2020</v>
      </c>
      <c r="C204" t="s">
        <v>1</v>
      </c>
      <c r="D204" t="s">
        <v>664</v>
      </c>
      <c r="E204">
        <v>85</v>
      </c>
      <c r="F204">
        <v>58.5</v>
      </c>
      <c r="G204">
        <v>229</v>
      </c>
      <c r="H204" t="s">
        <v>663</v>
      </c>
      <c r="I204" t="s">
        <v>665</v>
      </c>
      <c r="J204" t="s">
        <v>160</v>
      </c>
      <c r="K204" t="s">
        <v>158</v>
      </c>
    </row>
    <row r="205" spans="1:11" x14ac:dyDescent="0.25">
      <c r="A205" s="11" t="str">
        <f t="shared" si="3"/>
        <v>2020-Fa-Fre-85-58-229</v>
      </c>
      <c r="B205">
        <v>2020</v>
      </c>
      <c r="C205" t="s">
        <v>1</v>
      </c>
      <c r="D205" t="s">
        <v>669</v>
      </c>
      <c r="E205">
        <v>85</v>
      </c>
      <c r="F205">
        <v>58.5</v>
      </c>
      <c r="G205">
        <v>229</v>
      </c>
      <c r="H205" t="s">
        <v>658</v>
      </c>
      <c r="I205" t="s">
        <v>665</v>
      </c>
      <c r="J205" t="s">
        <v>160</v>
      </c>
      <c r="K205" t="s">
        <v>158</v>
      </c>
    </row>
    <row r="206" spans="1:11" x14ac:dyDescent="0.25">
      <c r="A206" s="11" t="str">
        <f t="shared" si="3"/>
        <v>2020-Fa-Fre-85-58-229</v>
      </c>
      <c r="B206">
        <v>2020</v>
      </c>
      <c r="C206" t="s">
        <v>1</v>
      </c>
      <c r="D206" t="s">
        <v>72</v>
      </c>
      <c r="E206">
        <v>85</v>
      </c>
      <c r="F206">
        <v>58.5</v>
      </c>
      <c r="G206">
        <v>229</v>
      </c>
      <c r="H206" t="s">
        <v>723</v>
      </c>
      <c r="I206" t="s">
        <v>665</v>
      </c>
      <c r="J206" t="s">
        <v>672</v>
      </c>
      <c r="K206" t="s">
        <v>158</v>
      </c>
    </row>
    <row r="207" spans="1:11" x14ac:dyDescent="0.25">
      <c r="A207" s="11" t="str">
        <f t="shared" si="3"/>
        <v>2020-Fa-Fre-95-61-230</v>
      </c>
      <c r="B207">
        <v>2020</v>
      </c>
      <c r="C207" t="s">
        <v>1</v>
      </c>
      <c r="D207" t="s">
        <v>664</v>
      </c>
      <c r="E207">
        <v>95</v>
      </c>
      <c r="F207">
        <v>61</v>
      </c>
      <c r="G207">
        <v>230</v>
      </c>
      <c r="H207" t="s">
        <v>663</v>
      </c>
      <c r="I207" t="s">
        <v>665</v>
      </c>
      <c r="J207" t="s">
        <v>162</v>
      </c>
      <c r="K207" t="s">
        <v>138</v>
      </c>
    </row>
    <row r="208" spans="1:11" x14ac:dyDescent="0.25">
      <c r="A208" s="11" t="str">
        <f t="shared" si="3"/>
        <v>2020-Fa-Fre-95-61-230</v>
      </c>
      <c r="B208">
        <v>2020</v>
      </c>
      <c r="C208" t="s">
        <v>1</v>
      </c>
      <c r="D208" t="s">
        <v>669</v>
      </c>
      <c r="E208">
        <v>95</v>
      </c>
      <c r="F208">
        <v>61</v>
      </c>
      <c r="G208">
        <v>230</v>
      </c>
      <c r="H208" t="s">
        <v>658</v>
      </c>
      <c r="I208" t="s">
        <v>665</v>
      </c>
      <c r="J208" t="s">
        <v>162</v>
      </c>
      <c r="K208" t="s">
        <v>138</v>
      </c>
    </row>
    <row r="209" spans="1:11" x14ac:dyDescent="0.25">
      <c r="A209" s="11" t="str">
        <f t="shared" si="3"/>
        <v>2020-Fa-Fre-95-61-230</v>
      </c>
      <c r="B209">
        <v>2020</v>
      </c>
      <c r="C209" t="s">
        <v>1</v>
      </c>
      <c r="D209" t="s">
        <v>72</v>
      </c>
      <c r="E209">
        <v>95</v>
      </c>
      <c r="F209">
        <v>61</v>
      </c>
      <c r="G209">
        <v>230</v>
      </c>
      <c r="H209" t="s">
        <v>723</v>
      </c>
      <c r="I209" t="s">
        <v>665</v>
      </c>
      <c r="J209" t="s">
        <v>674</v>
      </c>
      <c r="K209" t="s">
        <v>138</v>
      </c>
    </row>
    <row r="210" spans="1:11" x14ac:dyDescent="0.25">
      <c r="A210" s="11" t="str">
        <f t="shared" si="3"/>
        <v>2020-Fa-Gec-100-66-239</v>
      </c>
      <c r="B210">
        <v>2020</v>
      </c>
      <c r="C210" t="s">
        <v>1</v>
      </c>
      <c r="D210" t="s">
        <v>687</v>
      </c>
      <c r="E210">
        <v>100</v>
      </c>
      <c r="F210">
        <v>66</v>
      </c>
      <c r="G210">
        <v>239</v>
      </c>
      <c r="H210" t="s">
        <v>723</v>
      </c>
      <c r="I210" t="s">
        <v>179</v>
      </c>
      <c r="J210" t="s">
        <v>192</v>
      </c>
      <c r="K210" t="s">
        <v>193</v>
      </c>
    </row>
    <row r="211" spans="1:11" x14ac:dyDescent="0.25">
      <c r="A211" s="11" t="str">
        <f t="shared" si="3"/>
        <v>2020-Fa-Gec-100-66-239</v>
      </c>
      <c r="B211">
        <v>2020</v>
      </c>
      <c r="C211" t="s">
        <v>1</v>
      </c>
      <c r="D211" t="s">
        <v>691</v>
      </c>
      <c r="E211">
        <v>100</v>
      </c>
      <c r="F211">
        <v>66</v>
      </c>
      <c r="G211">
        <v>239</v>
      </c>
      <c r="H211" t="s">
        <v>606</v>
      </c>
      <c r="I211" t="s">
        <v>179</v>
      </c>
      <c r="J211" t="s">
        <v>689</v>
      </c>
      <c r="K211" t="s">
        <v>193</v>
      </c>
    </row>
    <row r="212" spans="1:11" x14ac:dyDescent="0.25">
      <c r="A212" s="11" t="str">
        <f t="shared" si="3"/>
        <v>2020-Fa-Gec-110-72-239</v>
      </c>
      <c r="B212">
        <v>2020</v>
      </c>
      <c r="C212" t="s">
        <v>1</v>
      </c>
      <c r="D212" t="s">
        <v>687</v>
      </c>
      <c r="E212">
        <v>110</v>
      </c>
      <c r="F212">
        <v>72</v>
      </c>
      <c r="G212">
        <v>239</v>
      </c>
      <c r="H212" t="s">
        <v>723</v>
      </c>
      <c r="I212" t="s">
        <v>179</v>
      </c>
      <c r="J212" t="s">
        <v>195</v>
      </c>
      <c r="K212" t="s">
        <v>196</v>
      </c>
    </row>
    <row r="213" spans="1:11" x14ac:dyDescent="0.25">
      <c r="A213" s="11" t="str">
        <f t="shared" si="3"/>
        <v>2020-Fa-Gec-110-72-239</v>
      </c>
      <c r="B213">
        <v>2020</v>
      </c>
      <c r="C213" t="s">
        <v>1</v>
      </c>
      <c r="D213" t="s">
        <v>688</v>
      </c>
      <c r="E213">
        <v>110</v>
      </c>
      <c r="F213">
        <v>72</v>
      </c>
      <c r="G213">
        <v>239</v>
      </c>
      <c r="H213" t="s">
        <v>722</v>
      </c>
      <c r="I213" t="s">
        <v>179</v>
      </c>
      <c r="J213" t="s">
        <v>195</v>
      </c>
      <c r="K213" t="s">
        <v>196</v>
      </c>
    </row>
    <row r="214" spans="1:11" x14ac:dyDescent="0.25">
      <c r="A214" s="11" t="str">
        <f t="shared" si="3"/>
        <v>2020-Fa-Gec-110-72-239</v>
      </c>
      <c r="B214">
        <v>2020</v>
      </c>
      <c r="C214" t="s">
        <v>1</v>
      </c>
      <c r="D214" t="s">
        <v>691</v>
      </c>
      <c r="E214">
        <v>110</v>
      </c>
      <c r="F214">
        <v>72</v>
      </c>
      <c r="G214">
        <v>239</v>
      </c>
      <c r="H214" t="s">
        <v>606</v>
      </c>
      <c r="I214" t="s">
        <v>179</v>
      </c>
      <c r="J214" t="s">
        <v>683</v>
      </c>
      <c r="K214" t="s">
        <v>196</v>
      </c>
    </row>
    <row r="215" spans="1:11" x14ac:dyDescent="0.25">
      <c r="A215" s="11" t="str">
        <f t="shared" si="3"/>
        <v>2020-Fa-Gec-122-77-242</v>
      </c>
      <c r="B215">
        <v>2020</v>
      </c>
      <c r="C215" t="s">
        <v>1</v>
      </c>
      <c r="D215" t="s">
        <v>687</v>
      </c>
      <c r="E215">
        <v>122</v>
      </c>
      <c r="F215">
        <v>77</v>
      </c>
      <c r="G215">
        <v>242</v>
      </c>
      <c r="H215" t="s">
        <v>723</v>
      </c>
      <c r="I215" t="s">
        <v>179</v>
      </c>
      <c r="J215" t="s">
        <v>198</v>
      </c>
      <c r="K215" t="s">
        <v>199</v>
      </c>
    </row>
    <row r="216" spans="1:11" x14ac:dyDescent="0.25">
      <c r="A216" s="11" t="str">
        <f t="shared" si="3"/>
        <v>2020-Fa-Gec-122-77-242</v>
      </c>
      <c r="B216">
        <v>2020</v>
      </c>
      <c r="C216" t="s">
        <v>1</v>
      </c>
      <c r="D216" t="s">
        <v>688</v>
      </c>
      <c r="E216">
        <v>122</v>
      </c>
      <c r="F216">
        <v>77</v>
      </c>
      <c r="G216">
        <v>242</v>
      </c>
      <c r="H216" t="s">
        <v>722</v>
      </c>
      <c r="I216" t="s">
        <v>179</v>
      </c>
      <c r="J216" t="s">
        <v>198</v>
      </c>
      <c r="K216" t="s">
        <v>199</v>
      </c>
    </row>
    <row r="217" spans="1:11" x14ac:dyDescent="0.25">
      <c r="A217" s="11" t="str">
        <f t="shared" si="3"/>
        <v>2020-Fa-Gec-122-77-242</v>
      </c>
      <c r="B217">
        <v>2020</v>
      </c>
      <c r="C217" t="s">
        <v>1</v>
      </c>
      <c r="D217" t="s">
        <v>691</v>
      </c>
      <c r="E217">
        <v>122</v>
      </c>
      <c r="F217">
        <v>77</v>
      </c>
      <c r="G217">
        <v>242</v>
      </c>
      <c r="H217" t="s">
        <v>606</v>
      </c>
      <c r="I217" t="s">
        <v>179</v>
      </c>
      <c r="J217" t="s">
        <v>690</v>
      </c>
      <c r="K217" t="s">
        <v>199</v>
      </c>
    </row>
    <row r="218" spans="1:11" x14ac:dyDescent="0.25">
      <c r="A218" s="11" t="str">
        <f t="shared" si="3"/>
        <v>2020-Fa-Gec-135-79-246</v>
      </c>
      <c r="B218">
        <v>2020</v>
      </c>
      <c r="C218" t="s">
        <v>1</v>
      </c>
      <c r="D218" t="s">
        <v>687</v>
      </c>
      <c r="E218">
        <v>135</v>
      </c>
      <c r="F218">
        <v>79</v>
      </c>
      <c r="G218">
        <v>246</v>
      </c>
      <c r="H218" t="s">
        <v>723</v>
      </c>
      <c r="I218" t="s">
        <v>179</v>
      </c>
      <c r="J218" t="s">
        <v>201</v>
      </c>
      <c r="K218" t="s">
        <v>202</v>
      </c>
    </row>
    <row r="219" spans="1:11" x14ac:dyDescent="0.25">
      <c r="A219" s="11" t="str">
        <f t="shared" si="3"/>
        <v>2020-Fa-Gec-135-79-246</v>
      </c>
      <c r="B219">
        <v>2020</v>
      </c>
      <c r="C219" t="s">
        <v>1</v>
      </c>
      <c r="D219" t="s">
        <v>688</v>
      </c>
      <c r="E219">
        <v>135</v>
      </c>
      <c r="F219">
        <v>79</v>
      </c>
      <c r="G219">
        <v>246</v>
      </c>
      <c r="H219" t="s">
        <v>722</v>
      </c>
      <c r="I219" t="s">
        <v>179</v>
      </c>
      <c r="J219" t="s">
        <v>201</v>
      </c>
      <c r="K219" t="s">
        <v>202</v>
      </c>
    </row>
    <row r="220" spans="1:11" x14ac:dyDescent="0.25">
      <c r="A220" s="11" t="str">
        <f t="shared" si="3"/>
        <v>2020-Fa-Gec-135-79-246</v>
      </c>
      <c r="B220">
        <v>2020</v>
      </c>
      <c r="C220" t="s">
        <v>1</v>
      </c>
      <c r="D220" t="s">
        <v>691</v>
      </c>
      <c r="E220">
        <v>135</v>
      </c>
      <c r="F220">
        <v>79</v>
      </c>
      <c r="G220">
        <v>246</v>
      </c>
      <c r="H220" t="s">
        <v>606</v>
      </c>
      <c r="I220" t="s">
        <v>179</v>
      </c>
      <c r="J220" t="s">
        <v>685</v>
      </c>
      <c r="K220" t="s">
        <v>202</v>
      </c>
    </row>
    <row r="221" spans="1:11" x14ac:dyDescent="0.25">
      <c r="A221" s="11" t="str">
        <f t="shared" si="3"/>
        <v>2020-Fa-Gec-135-79-246</v>
      </c>
      <c r="B221">
        <v>2020</v>
      </c>
      <c r="C221" t="s">
        <v>1</v>
      </c>
      <c r="D221" t="s">
        <v>696</v>
      </c>
      <c r="E221">
        <v>135</v>
      </c>
      <c r="F221">
        <v>79</v>
      </c>
      <c r="G221">
        <v>246</v>
      </c>
      <c r="H221" t="s">
        <v>654</v>
      </c>
      <c r="I221" t="s">
        <v>283</v>
      </c>
      <c r="J221" t="s">
        <v>209</v>
      </c>
      <c r="K221" t="s">
        <v>202</v>
      </c>
    </row>
    <row r="222" spans="1:11" x14ac:dyDescent="0.25">
      <c r="A222" s="11" t="str">
        <f t="shared" si="3"/>
        <v>2020-Fa-Gec-135-79-246</v>
      </c>
      <c r="B222">
        <v>2020</v>
      </c>
      <c r="C222" t="s">
        <v>1</v>
      </c>
      <c r="D222" t="s">
        <v>697</v>
      </c>
      <c r="E222">
        <v>135</v>
      </c>
      <c r="F222">
        <v>79</v>
      </c>
      <c r="G222">
        <v>246</v>
      </c>
      <c r="H222" t="s">
        <v>606</v>
      </c>
      <c r="I222" t="s">
        <v>283</v>
      </c>
      <c r="J222" t="s">
        <v>686</v>
      </c>
      <c r="K222" t="s">
        <v>202</v>
      </c>
    </row>
    <row r="223" spans="1:11" x14ac:dyDescent="0.25">
      <c r="A223" s="11" t="str">
        <f t="shared" si="3"/>
        <v>2020-Fa-Gec-148-83-250</v>
      </c>
      <c r="B223">
        <v>2020</v>
      </c>
      <c r="C223" t="s">
        <v>1</v>
      </c>
      <c r="D223" t="s">
        <v>687</v>
      </c>
      <c r="E223">
        <v>148</v>
      </c>
      <c r="F223">
        <v>83</v>
      </c>
      <c r="G223">
        <v>250</v>
      </c>
      <c r="H223" t="s">
        <v>723</v>
      </c>
      <c r="I223" t="s">
        <v>179</v>
      </c>
      <c r="J223" t="s">
        <v>204</v>
      </c>
      <c r="K223" t="s">
        <v>205</v>
      </c>
    </row>
    <row r="224" spans="1:11" x14ac:dyDescent="0.25">
      <c r="A224" s="11" t="str">
        <f t="shared" si="3"/>
        <v>2020-Fa-Gec-148-83-250</v>
      </c>
      <c r="B224">
        <v>2020</v>
      </c>
      <c r="C224" t="s">
        <v>1</v>
      </c>
      <c r="D224" t="s">
        <v>691</v>
      </c>
      <c r="E224">
        <v>148</v>
      </c>
      <c r="F224">
        <v>83</v>
      </c>
      <c r="G224">
        <v>250</v>
      </c>
      <c r="H224" t="s">
        <v>606</v>
      </c>
      <c r="I224" t="s">
        <v>179</v>
      </c>
      <c r="J224" t="s">
        <v>692</v>
      </c>
      <c r="K224" t="s">
        <v>205</v>
      </c>
    </row>
    <row r="225" spans="1:11" x14ac:dyDescent="0.25">
      <c r="A225" s="11" t="str">
        <f t="shared" si="3"/>
        <v>2020-Fa-Gec-156-85-252</v>
      </c>
      <c r="B225">
        <v>2020</v>
      </c>
      <c r="C225" t="s">
        <v>1</v>
      </c>
      <c r="D225" t="s">
        <v>691</v>
      </c>
      <c r="E225">
        <v>156</v>
      </c>
      <c r="F225">
        <v>85</v>
      </c>
      <c r="G225">
        <v>252</v>
      </c>
      <c r="H225" t="s">
        <v>606</v>
      </c>
      <c r="I225" t="s">
        <v>179</v>
      </c>
      <c r="J225" t="s">
        <v>693</v>
      </c>
      <c r="K225" t="s">
        <v>227</v>
      </c>
    </row>
    <row r="226" spans="1:11" x14ac:dyDescent="0.25">
      <c r="A226" s="11" t="str">
        <f t="shared" si="3"/>
        <v>2020-Fa-Gec-156-85-252</v>
      </c>
      <c r="B226">
        <v>2020</v>
      </c>
      <c r="C226" t="s">
        <v>1</v>
      </c>
      <c r="D226" t="s">
        <v>691</v>
      </c>
      <c r="E226">
        <v>156</v>
      </c>
      <c r="F226">
        <v>85</v>
      </c>
      <c r="G226">
        <v>252</v>
      </c>
      <c r="H226" t="s">
        <v>694</v>
      </c>
      <c r="I226" t="s">
        <v>179</v>
      </c>
      <c r="J226" t="s">
        <v>695</v>
      </c>
      <c r="K226" t="s">
        <v>227</v>
      </c>
    </row>
    <row r="227" spans="1:11" x14ac:dyDescent="0.25">
      <c r="A227" s="11" t="str">
        <f t="shared" si="3"/>
        <v>2020-Fa-Gri-102-61-228</v>
      </c>
      <c r="B227">
        <v>2020</v>
      </c>
      <c r="C227" t="s">
        <v>1</v>
      </c>
      <c r="D227" t="s">
        <v>657</v>
      </c>
      <c r="E227">
        <v>102</v>
      </c>
      <c r="F227">
        <v>61</v>
      </c>
      <c r="G227">
        <v>228</v>
      </c>
      <c r="H227" t="s">
        <v>658</v>
      </c>
      <c r="I227" t="s">
        <v>145</v>
      </c>
      <c r="J227" t="s">
        <v>160</v>
      </c>
      <c r="K227" t="s">
        <v>139</v>
      </c>
    </row>
    <row r="228" spans="1:11" x14ac:dyDescent="0.25">
      <c r="A228" s="11" t="str">
        <f t="shared" si="3"/>
        <v>2020-Fa-Gri-60-52-218</v>
      </c>
      <c r="B228">
        <v>2020</v>
      </c>
      <c r="C228" t="s">
        <v>1</v>
      </c>
      <c r="D228" t="s">
        <v>653</v>
      </c>
      <c r="E228">
        <v>60</v>
      </c>
      <c r="F228">
        <v>52</v>
      </c>
      <c r="G228">
        <v>218</v>
      </c>
      <c r="H228" t="s">
        <v>654</v>
      </c>
      <c r="I228" t="s">
        <v>141</v>
      </c>
      <c r="J228" t="s">
        <v>655</v>
      </c>
      <c r="K228" t="s">
        <v>656</v>
      </c>
    </row>
    <row r="229" spans="1:11" x14ac:dyDescent="0.25">
      <c r="A229" s="11" t="str">
        <f t="shared" si="3"/>
        <v>2020-Fa-Gri-68-54-220</v>
      </c>
      <c r="B229">
        <v>2020</v>
      </c>
      <c r="C229" t="s">
        <v>1</v>
      </c>
      <c r="D229" t="s">
        <v>657</v>
      </c>
      <c r="E229">
        <v>68</v>
      </c>
      <c r="F229">
        <v>54</v>
      </c>
      <c r="G229">
        <v>220</v>
      </c>
      <c r="H229" t="s">
        <v>658</v>
      </c>
      <c r="I229" t="s">
        <v>141</v>
      </c>
      <c r="J229" t="s">
        <v>655</v>
      </c>
      <c r="K229" t="s">
        <v>143</v>
      </c>
    </row>
    <row r="230" spans="1:11" x14ac:dyDescent="0.25">
      <c r="A230" s="11" t="str">
        <f t="shared" si="3"/>
        <v>2020-Fa-Gri-75-56-222</v>
      </c>
      <c r="B230">
        <v>2020</v>
      </c>
      <c r="C230" t="s">
        <v>1</v>
      </c>
      <c r="D230" t="s">
        <v>657</v>
      </c>
      <c r="E230">
        <v>75</v>
      </c>
      <c r="F230">
        <v>56</v>
      </c>
      <c r="G230">
        <v>222</v>
      </c>
      <c r="H230" t="s">
        <v>658</v>
      </c>
      <c r="I230" t="s">
        <v>145</v>
      </c>
      <c r="J230" t="s">
        <v>153</v>
      </c>
      <c r="K230" t="s">
        <v>133</v>
      </c>
    </row>
    <row r="231" spans="1:11" x14ac:dyDescent="0.25">
      <c r="A231" s="11" t="str">
        <f t="shared" si="3"/>
        <v>2020-Fa-Gri-82-58-224</v>
      </c>
      <c r="B231">
        <v>2020</v>
      </c>
      <c r="C231" t="s">
        <v>1</v>
      </c>
      <c r="D231" t="s">
        <v>657</v>
      </c>
      <c r="E231">
        <v>82</v>
      </c>
      <c r="F231">
        <v>58</v>
      </c>
      <c r="G231">
        <v>224</v>
      </c>
      <c r="H231" t="s">
        <v>658</v>
      </c>
      <c r="I231" t="s">
        <v>145</v>
      </c>
      <c r="J231" t="s">
        <v>146</v>
      </c>
      <c r="K231" t="s">
        <v>135</v>
      </c>
    </row>
    <row r="232" spans="1:11" x14ac:dyDescent="0.25">
      <c r="A232" s="11" t="str">
        <f t="shared" si="3"/>
        <v>2020-Fa-Gri-86-58-225</v>
      </c>
      <c r="B232">
        <v>2020</v>
      </c>
      <c r="C232" t="s">
        <v>1</v>
      </c>
      <c r="D232" t="s">
        <v>657</v>
      </c>
      <c r="E232">
        <v>86</v>
      </c>
      <c r="F232">
        <v>58.5</v>
      </c>
      <c r="G232">
        <v>225</v>
      </c>
      <c r="H232" t="s">
        <v>658</v>
      </c>
      <c r="I232" t="s">
        <v>145</v>
      </c>
      <c r="J232" t="s">
        <v>153</v>
      </c>
      <c r="K232" t="s">
        <v>158</v>
      </c>
    </row>
    <row r="233" spans="1:11" x14ac:dyDescent="0.25">
      <c r="A233" s="11" t="str">
        <f t="shared" si="3"/>
        <v>2020-Fa-Gri-92-59-226</v>
      </c>
      <c r="B233">
        <v>2020</v>
      </c>
      <c r="C233" t="s">
        <v>1</v>
      </c>
      <c r="D233" t="s">
        <v>657</v>
      </c>
      <c r="E233">
        <v>92</v>
      </c>
      <c r="F233">
        <v>59.5</v>
      </c>
      <c r="G233">
        <v>226</v>
      </c>
      <c r="H233" t="s">
        <v>658</v>
      </c>
      <c r="I233" t="s">
        <v>145</v>
      </c>
      <c r="J233" t="s">
        <v>149</v>
      </c>
      <c r="K233" t="s">
        <v>138</v>
      </c>
    </row>
    <row r="234" spans="1:11" x14ac:dyDescent="0.25">
      <c r="A234" s="11" t="str">
        <f t="shared" si="3"/>
        <v>2020-Fa-Jag-108-69-235</v>
      </c>
      <c r="B234">
        <v>2020</v>
      </c>
      <c r="C234" t="s">
        <v>1</v>
      </c>
      <c r="D234" t="s">
        <v>701</v>
      </c>
      <c r="E234">
        <v>108</v>
      </c>
      <c r="F234">
        <v>69</v>
      </c>
      <c r="G234">
        <v>235</v>
      </c>
      <c r="H234" t="s">
        <v>723</v>
      </c>
      <c r="I234" t="s">
        <v>283</v>
      </c>
      <c r="J234" t="s">
        <v>700</v>
      </c>
      <c r="K234" t="s">
        <v>196</v>
      </c>
    </row>
    <row r="235" spans="1:11" x14ac:dyDescent="0.25">
      <c r="A235" s="11" t="str">
        <f t="shared" si="3"/>
        <v>2020-Fa-Jag-125-75-235</v>
      </c>
      <c r="B235">
        <v>2020</v>
      </c>
      <c r="C235" t="s">
        <v>1</v>
      </c>
      <c r="D235" t="s">
        <v>701</v>
      </c>
      <c r="E235">
        <v>125</v>
      </c>
      <c r="F235">
        <v>75</v>
      </c>
      <c r="G235">
        <v>235</v>
      </c>
      <c r="H235" t="s">
        <v>723</v>
      </c>
      <c r="I235" t="s">
        <v>283</v>
      </c>
      <c r="J235" t="s">
        <v>702</v>
      </c>
      <c r="K235" t="s">
        <v>252</v>
      </c>
    </row>
    <row r="236" spans="1:11" x14ac:dyDescent="0.25">
      <c r="A236" s="11" t="str">
        <f t="shared" si="3"/>
        <v>2020-Fa-Jag-135-82-235</v>
      </c>
      <c r="B236">
        <v>2020</v>
      </c>
      <c r="C236" t="s">
        <v>1</v>
      </c>
      <c r="D236" t="s">
        <v>701</v>
      </c>
      <c r="E236">
        <v>135</v>
      </c>
      <c r="F236">
        <v>82</v>
      </c>
      <c r="G236">
        <v>235</v>
      </c>
      <c r="H236" t="s">
        <v>723</v>
      </c>
      <c r="I236" t="s">
        <v>283</v>
      </c>
      <c r="J236" t="s">
        <v>703</v>
      </c>
      <c r="K236" t="s">
        <v>205</v>
      </c>
    </row>
    <row r="237" spans="1:11" x14ac:dyDescent="0.25">
      <c r="A237" s="11" t="str">
        <f t="shared" si="3"/>
        <v>2020-Fa-Jag-94-61-235</v>
      </c>
      <c r="B237">
        <v>2020</v>
      </c>
      <c r="C237" t="s">
        <v>1</v>
      </c>
      <c r="D237" t="s">
        <v>701</v>
      </c>
      <c r="E237">
        <v>94</v>
      </c>
      <c r="F237">
        <v>61</v>
      </c>
      <c r="G237">
        <v>235</v>
      </c>
      <c r="H237" t="s">
        <v>723</v>
      </c>
      <c r="I237" t="s">
        <v>698</v>
      </c>
      <c r="J237" t="s">
        <v>699</v>
      </c>
      <c r="K237" t="s">
        <v>247</v>
      </c>
    </row>
    <row r="238" spans="1:11" x14ac:dyDescent="0.25">
      <c r="A238" s="11" t="str">
        <f t="shared" si="3"/>
        <v>2020-Fa-Rip-112-73-239</v>
      </c>
      <c r="B238">
        <v>2020</v>
      </c>
      <c r="C238" t="s">
        <v>1</v>
      </c>
      <c r="D238" t="s">
        <v>714</v>
      </c>
      <c r="E238">
        <v>112</v>
      </c>
      <c r="F238">
        <v>73</v>
      </c>
      <c r="G238">
        <v>239</v>
      </c>
      <c r="H238" t="s">
        <v>713</v>
      </c>
      <c r="I238" t="s">
        <v>179</v>
      </c>
      <c r="J238" t="s">
        <v>715</v>
      </c>
      <c r="K238" t="s">
        <v>193</v>
      </c>
    </row>
    <row r="239" spans="1:11" x14ac:dyDescent="0.25">
      <c r="A239" s="11" t="str">
        <f t="shared" si="3"/>
        <v>2020-Fa-Rip-187-73-274</v>
      </c>
      <c r="B239">
        <v>2020</v>
      </c>
      <c r="C239" t="s">
        <v>1</v>
      </c>
      <c r="D239" t="s">
        <v>721</v>
      </c>
      <c r="E239">
        <v>187</v>
      </c>
      <c r="F239">
        <v>73.7</v>
      </c>
      <c r="G239">
        <v>274.3</v>
      </c>
      <c r="H239" t="s">
        <v>720</v>
      </c>
      <c r="I239" t="s">
        <v>269</v>
      </c>
      <c r="J239" t="s">
        <v>717</v>
      </c>
      <c r="K239" t="s">
        <v>718</v>
      </c>
    </row>
    <row r="240" spans="1:11" x14ac:dyDescent="0.25">
      <c r="A240" s="11" t="str">
        <f t="shared" si="3"/>
        <v>2020-Fa-Ska-108-66-226</v>
      </c>
      <c r="B240">
        <v>2020</v>
      </c>
      <c r="C240" t="s">
        <v>1</v>
      </c>
      <c r="D240" t="s">
        <v>678</v>
      </c>
      <c r="E240">
        <v>108</v>
      </c>
      <c r="F240">
        <v>66.5</v>
      </c>
      <c r="G240">
        <v>226</v>
      </c>
      <c r="H240" t="s">
        <v>658</v>
      </c>
      <c r="I240" t="s">
        <v>179</v>
      </c>
      <c r="J240" t="s">
        <v>680</v>
      </c>
      <c r="K240" t="s">
        <v>188</v>
      </c>
    </row>
    <row r="241" spans="1:11" x14ac:dyDescent="0.25">
      <c r="A241" s="11" t="str">
        <f t="shared" si="3"/>
        <v>2020-Fa-Ska-85-60-225</v>
      </c>
      <c r="B241">
        <v>2020</v>
      </c>
      <c r="C241" t="s">
        <v>1</v>
      </c>
      <c r="D241" t="s">
        <v>678</v>
      </c>
      <c r="E241">
        <v>85</v>
      </c>
      <c r="F241">
        <v>60</v>
      </c>
      <c r="G241">
        <v>225</v>
      </c>
      <c r="H241" t="s">
        <v>658</v>
      </c>
      <c r="I241" t="s">
        <v>179</v>
      </c>
      <c r="J241" t="s">
        <v>676</v>
      </c>
      <c r="K241" t="s">
        <v>133</v>
      </c>
    </row>
    <row r="242" spans="1:11" x14ac:dyDescent="0.25">
      <c r="A242" s="11" t="str">
        <f t="shared" si="3"/>
        <v>2020-Fa-Ska-92-62-220</v>
      </c>
      <c r="B242">
        <v>2020</v>
      </c>
      <c r="C242" t="s">
        <v>1</v>
      </c>
      <c r="D242" t="s">
        <v>678</v>
      </c>
      <c r="E242">
        <v>92</v>
      </c>
      <c r="F242">
        <v>62</v>
      </c>
      <c r="G242">
        <v>220</v>
      </c>
      <c r="H242" t="s">
        <v>658</v>
      </c>
      <c r="I242" t="s">
        <v>179</v>
      </c>
      <c r="J242" t="s">
        <v>677</v>
      </c>
      <c r="K242" t="s">
        <v>183</v>
      </c>
    </row>
    <row r="243" spans="1:11" x14ac:dyDescent="0.25">
      <c r="A243" s="11" t="str">
        <f t="shared" si="3"/>
        <v>2020-Fa-Ska-99-65-225</v>
      </c>
      <c r="B243">
        <v>2020</v>
      </c>
      <c r="C243" t="s">
        <v>1</v>
      </c>
      <c r="D243" t="s">
        <v>678</v>
      </c>
      <c r="E243">
        <v>99</v>
      </c>
      <c r="F243">
        <v>65</v>
      </c>
      <c r="G243">
        <v>225</v>
      </c>
      <c r="H243" t="s">
        <v>658</v>
      </c>
      <c r="I243" t="s">
        <v>179</v>
      </c>
      <c r="J243" t="s">
        <v>679</v>
      </c>
      <c r="K243" t="s">
        <v>138</v>
      </c>
    </row>
    <row r="244" spans="1:11" x14ac:dyDescent="0.25">
      <c r="A244" s="11" t="str">
        <f t="shared" si="3"/>
        <v>2020-Fa-Sti-110-65-215</v>
      </c>
      <c r="B244">
        <v>2020</v>
      </c>
      <c r="C244" t="s">
        <v>1</v>
      </c>
      <c r="D244" t="s">
        <v>709</v>
      </c>
      <c r="E244">
        <v>110</v>
      </c>
      <c r="F244">
        <v>65</v>
      </c>
      <c r="G244">
        <v>215</v>
      </c>
      <c r="H244" t="s">
        <v>671</v>
      </c>
      <c r="I244" t="s">
        <v>710</v>
      </c>
      <c r="J244" t="s">
        <v>246</v>
      </c>
      <c r="K244" t="s">
        <v>193</v>
      </c>
    </row>
    <row r="245" spans="1:11" x14ac:dyDescent="0.25">
      <c r="A245" s="11" t="str">
        <f t="shared" si="3"/>
        <v>2020-Fa-Sti-125-75-228</v>
      </c>
      <c r="B245">
        <v>2020</v>
      </c>
      <c r="C245" t="s">
        <v>1</v>
      </c>
      <c r="D245" t="s">
        <v>709</v>
      </c>
      <c r="E245">
        <v>125</v>
      </c>
      <c r="F245">
        <v>75</v>
      </c>
      <c r="G245">
        <v>228</v>
      </c>
      <c r="H245" t="s">
        <v>673</v>
      </c>
      <c r="I245" t="s">
        <v>710</v>
      </c>
      <c r="J245" t="s">
        <v>246</v>
      </c>
      <c r="K245" t="s">
        <v>199</v>
      </c>
    </row>
    <row r="246" spans="1:11" x14ac:dyDescent="0.25">
      <c r="A246" s="11" t="str">
        <f t="shared" si="3"/>
        <v>2020-Fa-Sti-125-75-228</v>
      </c>
      <c r="B246">
        <v>2020</v>
      </c>
      <c r="C246" t="s">
        <v>1</v>
      </c>
      <c r="D246" t="s">
        <v>711</v>
      </c>
      <c r="E246">
        <v>125</v>
      </c>
      <c r="F246">
        <v>75</v>
      </c>
      <c r="G246">
        <v>228</v>
      </c>
      <c r="H246" t="s">
        <v>606</v>
      </c>
      <c r="I246" t="s">
        <v>710</v>
      </c>
      <c r="J246" t="s">
        <v>246</v>
      </c>
      <c r="K246" t="s">
        <v>199</v>
      </c>
    </row>
    <row r="247" spans="1:11" x14ac:dyDescent="0.25">
      <c r="A247" s="11" t="str">
        <f t="shared" si="3"/>
        <v>2020-Fa-Sti-140-85-228</v>
      </c>
      <c r="B247">
        <v>2020</v>
      </c>
      <c r="C247" t="s">
        <v>1</v>
      </c>
      <c r="D247" t="s">
        <v>709</v>
      </c>
      <c r="E247">
        <v>140</v>
      </c>
      <c r="F247">
        <v>85</v>
      </c>
      <c r="G247">
        <v>228</v>
      </c>
      <c r="H247" t="s">
        <v>673</v>
      </c>
      <c r="I247" t="s">
        <v>710</v>
      </c>
      <c r="J247" t="s">
        <v>246</v>
      </c>
      <c r="K247" t="s">
        <v>238</v>
      </c>
    </row>
    <row r="248" spans="1:11" x14ac:dyDescent="0.25">
      <c r="A248" s="11" t="str">
        <f t="shared" si="3"/>
        <v>2020-Fa-Sti-140-85-228</v>
      </c>
      <c r="B248">
        <v>2020</v>
      </c>
      <c r="C248" t="s">
        <v>1</v>
      </c>
      <c r="D248" t="s">
        <v>711</v>
      </c>
      <c r="E248">
        <v>140</v>
      </c>
      <c r="F248">
        <v>85</v>
      </c>
      <c r="G248">
        <v>228</v>
      </c>
      <c r="H248" t="s">
        <v>606</v>
      </c>
      <c r="I248" t="s">
        <v>710</v>
      </c>
      <c r="J248" t="s">
        <v>246</v>
      </c>
      <c r="K248" t="s">
        <v>238</v>
      </c>
    </row>
    <row r="249" spans="1:11" x14ac:dyDescent="0.25">
      <c r="A249" s="11" t="str">
        <f t="shared" si="3"/>
        <v>2020-Fa-Stu-76-55-212</v>
      </c>
      <c r="B249">
        <v>2020</v>
      </c>
      <c r="C249" t="s">
        <v>1</v>
      </c>
      <c r="D249" t="s">
        <v>660</v>
      </c>
      <c r="E249">
        <v>76</v>
      </c>
      <c r="F249">
        <v>55</v>
      </c>
      <c r="G249">
        <v>212</v>
      </c>
      <c r="H249" t="s">
        <v>658</v>
      </c>
      <c r="I249" t="s">
        <v>661</v>
      </c>
      <c r="J249" t="s">
        <v>659</v>
      </c>
      <c r="K249" t="s">
        <v>133</v>
      </c>
    </row>
    <row r="250" spans="1:11" x14ac:dyDescent="0.25">
      <c r="A250" s="11" t="str">
        <f t="shared" si="3"/>
        <v>2020-Fa-Stu-82-56-214</v>
      </c>
      <c r="B250">
        <v>2020</v>
      </c>
      <c r="C250" t="s">
        <v>1</v>
      </c>
      <c r="D250" t="s">
        <v>660</v>
      </c>
      <c r="E250">
        <v>82</v>
      </c>
      <c r="F250">
        <v>56</v>
      </c>
      <c r="G250">
        <v>214</v>
      </c>
      <c r="H250" t="s">
        <v>658</v>
      </c>
      <c r="I250" t="s">
        <v>661</v>
      </c>
      <c r="J250" t="s">
        <v>659</v>
      </c>
      <c r="K250" t="s">
        <v>135</v>
      </c>
    </row>
    <row r="251" spans="1:11" x14ac:dyDescent="0.25">
      <c r="A251" s="11" t="str">
        <f t="shared" si="3"/>
        <v>2020-Fa-Stu-89-57-215</v>
      </c>
      <c r="B251">
        <v>2020</v>
      </c>
      <c r="C251" t="s">
        <v>1</v>
      </c>
      <c r="D251" t="s">
        <v>660</v>
      </c>
      <c r="E251">
        <v>89</v>
      </c>
      <c r="F251">
        <v>57.5</v>
      </c>
      <c r="G251">
        <v>215</v>
      </c>
      <c r="H251" t="s">
        <v>658</v>
      </c>
      <c r="I251" t="s">
        <v>661</v>
      </c>
      <c r="J251" t="s">
        <v>662</v>
      </c>
      <c r="K251" t="s">
        <v>138</v>
      </c>
    </row>
    <row r="252" spans="1:11" x14ac:dyDescent="0.25">
      <c r="A252" s="11" t="str">
        <f t="shared" si="3"/>
        <v>2020-Fa-Stu-99-60-218</v>
      </c>
      <c r="B252">
        <v>2020</v>
      </c>
      <c r="C252" t="s">
        <v>1</v>
      </c>
      <c r="D252" t="s">
        <v>660</v>
      </c>
      <c r="E252">
        <v>99</v>
      </c>
      <c r="F252">
        <v>60</v>
      </c>
      <c r="G252">
        <v>218</v>
      </c>
      <c r="H252" t="s">
        <v>658</v>
      </c>
      <c r="I252" t="s">
        <v>661</v>
      </c>
      <c r="J252" t="s">
        <v>662</v>
      </c>
      <c r="K252" t="s">
        <v>139</v>
      </c>
    </row>
    <row r="253" spans="1:11" x14ac:dyDescent="0.25">
      <c r="A253" s="11" t="str">
        <f t="shared" si="3"/>
        <v>2020-Fa-Tan-505-86-487</v>
      </c>
      <c r="B253">
        <v>2020</v>
      </c>
      <c r="C253" t="s">
        <v>1</v>
      </c>
      <c r="D253" t="s">
        <v>277</v>
      </c>
      <c r="E253">
        <v>505</v>
      </c>
      <c r="F253">
        <v>86.4</v>
      </c>
      <c r="G253">
        <v>487.6</v>
      </c>
      <c r="H253" t="s">
        <v>426</v>
      </c>
      <c r="I253" t="s">
        <v>269</v>
      </c>
      <c r="J253" t="s">
        <v>717</v>
      </c>
      <c r="K253" t="s">
        <v>718</v>
      </c>
    </row>
    <row r="254" spans="1:11" x14ac:dyDescent="0.25">
      <c r="A254" s="11" t="str">
        <f t="shared" si="3"/>
        <v>2020-Fa-Vip-160-75-275</v>
      </c>
      <c r="B254">
        <v>2020</v>
      </c>
      <c r="C254" t="s">
        <v>1</v>
      </c>
      <c r="D254" t="s">
        <v>113</v>
      </c>
      <c r="E254">
        <v>160</v>
      </c>
      <c r="F254">
        <v>75</v>
      </c>
      <c r="G254">
        <v>275</v>
      </c>
      <c r="H254" t="s">
        <v>713</v>
      </c>
      <c r="I254" t="s">
        <v>179</v>
      </c>
      <c r="J254" t="s">
        <v>695</v>
      </c>
      <c r="K254" t="s">
        <v>205</v>
      </c>
    </row>
    <row r="255" spans="1:11" x14ac:dyDescent="0.25">
      <c r="A255" s="11" t="str">
        <f t="shared" si="3"/>
        <v>2020-Fa-Vip-190-80-280</v>
      </c>
      <c r="B255">
        <v>2020</v>
      </c>
      <c r="C255" t="s">
        <v>1</v>
      </c>
      <c r="D255" t="s">
        <v>113</v>
      </c>
      <c r="E255">
        <v>190</v>
      </c>
      <c r="F255">
        <v>80</v>
      </c>
      <c r="G255">
        <v>280</v>
      </c>
      <c r="H255" t="s">
        <v>713</v>
      </c>
      <c r="I255" t="s">
        <v>179</v>
      </c>
      <c r="J255" t="s">
        <v>695</v>
      </c>
      <c r="K255" t="s">
        <v>205</v>
      </c>
    </row>
    <row r="256" spans="1:11" x14ac:dyDescent="0.25">
      <c r="A256" s="11" t="str">
        <f t="shared" si="3"/>
        <v>2020-Fa-Vip-220-85-285</v>
      </c>
      <c r="B256">
        <v>2020</v>
      </c>
      <c r="C256" t="s">
        <v>1</v>
      </c>
      <c r="D256" t="s">
        <v>113</v>
      </c>
      <c r="E256">
        <v>220</v>
      </c>
      <c r="F256">
        <v>85</v>
      </c>
      <c r="G256">
        <v>285</v>
      </c>
      <c r="H256" t="s">
        <v>713</v>
      </c>
      <c r="I256" t="s">
        <v>179</v>
      </c>
      <c r="J256" t="s">
        <v>695</v>
      </c>
      <c r="K256" t="s">
        <v>205</v>
      </c>
    </row>
    <row r="257" spans="1:11" x14ac:dyDescent="0.25">
      <c r="A257" s="11" t="str">
        <f t="shared" si="3"/>
        <v>2020-Fa-Vip-240-91-290</v>
      </c>
      <c r="B257">
        <v>2020</v>
      </c>
      <c r="C257" t="s">
        <v>1</v>
      </c>
      <c r="D257" t="s">
        <v>113</v>
      </c>
      <c r="E257">
        <v>240</v>
      </c>
      <c r="F257">
        <v>91</v>
      </c>
      <c r="G257">
        <v>290</v>
      </c>
      <c r="H257" t="s">
        <v>713</v>
      </c>
      <c r="I257" t="s">
        <v>179</v>
      </c>
      <c r="J257" t="s">
        <v>695</v>
      </c>
      <c r="K257" t="s">
        <v>205</v>
      </c>
    </row>
    <row r="258" spans="1:11" x14ac:dyDescent="0.25">
      <c r="A258" s="11" t="str">
        <f t="shared" ref="A258:A321" si="4">_xlfn.CONCAT(B258,"-",LEFT(C258,2),"-",LEFT(D258,3),"-",E258,"-",TRUNC(F258),"-",TRUNC(G258))</f>
        <v>2020-Fa-Vip-355-85-335</v>
      </c>
      <c r="B258">
        <v>2020</v>
      </c>
      <c r="C258" t="s">
        <v>1</v>
      </c>
      <c r="D258" t="s">
        <v>716</v>
      </c>
      <c r="E258">
        <v>355</v>
      </c>
      <c r="F258">
        <v>85.1</v>
      </c>
      <c r="G258">
        <v>335.3</v>
      </c>
      <c r="H258" t="s">
        <v>426</v>
      </c>
      <c r="I258" t="s">
        <v>269</v>
      </c>
      <c r="J258" t="s">
        <v>717</v>
      </c>
      <c r="K258" t="s">
        <v>718</v>
      </c>
    </row>
    <row r="259" spans="1:11" x14ac:dyDescent="0.25">
      <c r="A259" s="11" t="str">
        <f t="shared" si="4"/>
        <v>2020-Fa-Vip-355-85-335</v>
      </c>
      <c r="B259">
        <v>2020</v>
      </c>
      <c r="C259" t="s">
        <v>1</v>
      </c>
      <c r="D259" t="s">
        <v>719</v>
      </c>
      <c r="E259">
        <v>355</v>
      </c>
      <c r="F259">
        <v>85.1</v>
      </c>
      <c r="G259">
        <v>335.3</v>
      </c>
      <c r="H259" t="s">
        <v>720</v>
      </c>
      <c r="I259" t="s">
        <v>269</v>
      </c>
      <c r="J259" t="s">
        <v>717</v>
      </c>
      <c r="K259" t="s">
        <v>718</v>
      </c>
    </row>
    <row r="260" spans="1:11" x14ac:dyDescent="0.25">
      <c r="A260" s="11" t="str">
        <f t="shared" si="4"/>
        <v>2020-FM-Inv-74-52-225</v>
      </c>
      <c r="B260">
        <v>2020</v>
      </c>
      <c r="C260" t="s">
        <v>724</v>
      </c>
      <c r="D260" t="s">
        <v>725</v>
      </c>
      <c r="E260">
        <v>74</v>
      </c>
      <c r="F260">
        <v>52</v>
      </c>
      <c r="G260">
        <v>225</v>
      </c>
      <c r="I260" t="s">
        <v>698</v>
      </c>
    </row>
    <row r="261" spans="1:11" x14ac:dyDescent="0.25">
      <c r="A261" s="11" t="str">
        <f t="shared" si="4"/>
        <v>2023-Fa-Bla-100-62-231</v>
      </c>
      <c r="B261">
        <v>2023</v>
      </c>
      <c r="C261" t="s">
        <v>1</v>
      </c>
      <c r="D261" t="s">
        <v>303</v>
      </c>
      <c r="E261">
        <v>100</v>
      </c>
      <c r="F261">
        <v>62</v>
      </c>
      <c r="G261">
        <v>231</v>
      </c>
      <c r="I261" t="s">
        <v>283</v>
      </c>
    </row>
    <row r="262" spans="1:11" x14ac:dyDescent="0.25">
      <c r="A262" s="11" t="str">
        <f t="shared" si="4"/>
        <v>2023-Fa-Bla-117-66-232</v>
      </c>
      <c r="B262">
        <v>2023</v>
      </c>
      <c r="C262" t="s">
        <v>1</v>
      </c>
      <c r="D262" t="s">
        <v>304</v>
      </c>
      <c r="E262">
        <v>117</v>
      </c>
      <c r="F262">
        <v>66</v>
      </c>
      <c r="G262">
        <v>232</v>
      </c>
      <c r="I262" t="s">
        <v>283</v>
      </c>
    </row>
    <row r="263" spans="1:11" x14ac:dyDescent="0.25">
      <c r="A263" s="11" t="str">
        <f t="shared" si="4"/>
        <v>2023-Fa-Bla-132-70-234</v>
      </c>
      <c r="B263">
        <v>2023</v>
      </c>
      <c r="C263" t="s">
        <v>1</v>
      </c>
      <c r="D263" t="s">
        <v>305</v>
      </c>
      <c r="E263">
        <v>132</v>
      </c>
      <c r="F263">
        <v>70</v>
      </c>
      <c r="G263">
        <v>234</v>
      </c>
      <c r="I263" t="s">
        <v>283</v>
      </c>
    </row>
    <row r="264" spans="1:11" x14ac:dyDescent="0.25">
      <c r="A264" s="11" t="str">
        <f t="shared" si="4"/>
        <v>2023-Fa-Bla-147-77-236</v>
      </c>
      <c r="B264">
        <v>2023</v>
      </c>
      <c r="C264" t="s">
        <v>1</v>
      </c>
      <c r="D264" t="s">
        <v>306</v>
      </c>
      <c r="E264">
        <v>147</v>
      </c>
      <c r="F264">
        <v>77</v>
      </c>
      <c r="G264">
        <v>236</v>
      </c>
      <c r="I264" t="s">
        <v>283</v>
      </c>
    </row>
    <row r="265" spans="1:11" x14ac:dyDescent="0.25">
      <c r="A265" s="11" t="str">
        <f t="shared" si="4"/>
        <v>2023-Fa-Eag-130-70-248</v>
      </c>
      <c r="B265">
        <v>2023</v>
      </c>
      <c r="C265" t="s">
        <v>1</v>
      </c>
      <c r="D265" t="s">
        <v>313</v>
      </c>
      <c r="E265">
        <v>130</v>
      </c>
      <c r="F265">
        <v>70</v>
      </c>
      <c r="G265">
        <v>248</v>
      </c>
      <c r="I265" t="s">
        <v>179</v>
      </c>
    </row>
    <row r="266" spans="1:11" x14ac:dyDescent="0.25">
      <c r="A266" s="11" t="str">
        <f t="shared" si="4"/>
        <v>2023-Fa-Eag-150-75-250</v>
      </c>
      <c r="B266">
        <v>2023</v>
      </c>
      <c r="C266" t="s">
        <v>1</v>
      </c>
      <c r="D266" t="s">
        <v>314</v>
      </c>
      <c r="E266">
        <v>150</v>
      </c>
      <c r="F266">
        <v>75</v>
      </c>
      <c r="G266">
        <v>250</v>
      </c>
      <c r="I266" t="s">
        <v>179</v>
      </c>
    </row>
    <row r="267" spans="1:11" x14ac:dyDescent="0.25">
      <c r="A267" s="11" t="str">
        <f t="shared" si="4"/>
        <v>2023-Fa-Fal-107-69-230</v>
      </c>
      <c r="B267">
        <v>2023</v>
      </c>
      <c r="C267" t="s">
        <v>1</v>
      </c>
      <c r="D267" t="s">
        <v>323</v>
      </c>
      <c r="E267">
        <v>107</v>
      </c>
      <c r="F267">
        <v>69</v>
      </c>
      <c r="G267">
        <v>230</v>
      </c>
      <c r="I267" t="s">
        <v>283</v>
      </c>
    </row>
    <row r="268" spans="1:11" x14ac:dyDescent="0.25">
      <c r="A268" s="11" t="str">
        <f t="shared" si="4"/>
        <v>2023-Fa-Fal-116-71-230</v>
      </c>
      <c r="B268">
        <v>2023</v>
      </c>
      <c r="C268" t="s">
        <v>1</v>
      </c>
      <c r="D268" t="s">
        <v>324</v>
      </c>
      <c r="E268">
        <v>116</v>
      </c>
      <c r="F268">
        <v>71</v>
      </c>
      <c r="G268">
        <v>230</v>
      </c>
      <c r="I268" t="s">
        <v>283</v>
      </c>
    </row>
    <row r="269" spans="1:11" x14ac:dyDescent="0.25">
      <c r="A269" s="11" t="str">
        <f t="shared" si="4"/>
        <v>2023-Fa-Fal-121-77-230</v>
      </c>
      <c r="B269">
        <v>2023</v>
      </c>
      <c r="C269" t="s">
        <v>1</v>
      </c>
      <c r="D269" t="s">
        <v>57</v>
      </c>
      <c r="E269">
        <v>121</v>
      </c>
      <c r="F269">
        <v>77</v>
      </c>
      <c r="G269">
        <v>230</v>
      </c>
      <c r="I269" t="s">
        <v>283</v>
      </c>
    </row>
    <row r="270" spans="1:11" x14ac:dyDescent="0.25">
      <c r="A270" s="11" t="str">
        <f t="shared" si="4"/>
        <v>2023-Fa-Fal-130-80-228</v>
      </c>
      <c r="B270">
        <v>2023</v>
      </c>
      <c r="C270" t="s">
        <v>1</v>
      </c>
      <c r="D270" t="s">
        <v>325</v>
      </c>
      <c r="E270">
        <v>130</v>
      </c>
      <c r="F270">
        <v>80</v>
      </c>
      <c r="G270">
        <v>228</v>
      </c>
      <c r="I270" t="s">
        <v>283</v>
      </c>
    </row>
    <row r="271" spans="1:11" x14ac:dyDescent="0.25">
      <c r="A271" s="11" t="str">
        <f t="shared" si="4"/>
        <v>2023-Fa-Fal-140-80-215</v>
      </c>
      <c r="B271">
        <v>2023</v>
      </c>
      <c r="C271" t="s">
        <v>1</v>
      </c>
      <c r="D271" t="s">
        <v>329</v>
      </c>
      <c r="E271">
        <v>140</v>
      </c>
      <c r="F271">
        <v>80</v>
      </c>
      <c r="G271">
        <v>215</v>
      </c>
      <c r="I271" t="s">
        <v>283</v>
      </c>
    </row>
    <row r="272" spans="1:11" x14ac:dyDescent="0.25">
      <c r="A272" s="11" t="str">
        <f t="shared" si="4"/>
        <v>2023-Fa-Fal-140-85-228</v>
      </c>
      <c r="B272">
        <v>2023</v>
      </c>
      <c r="C272" t="s">
        <v>1</v>
      </c>
      <c r="D272" t="s">
        <v>326</v>
      </c>
      <c r="E272">
        <v>140</v>
      </c>
      <c r="F272">
        <v>85</v>
      </c>
      <c r="G272">
        <v>228</v>
      </c>
      <c r="I272" t="s">
        <v>283</v>
      </c>
    </row>
    <row r="273" spans="1:9" x14ac:dyDescent="0.25">
      <c r="A273" s="11" t="str">
        <f t="shared" si="4"/>
        <v>2023-Fa-Fal-170-85-220</v>
      </c>
      <c r="B273">
        <v>2023</v>
      </c>
      <c r="C273" t="s">
        <v>1</v>
      </c>
      <c r="D273" t="s">
        <v>330</v>
      </c>
      <c r="E273">
        <v>170</v>
      </c>
      <c r="F273">
        <v>85</v>
      </c>
      <c r="G273">
        <v>220</v>
      </c>
      <c r="I273" t="s">
        <v>283</v>
      </c>
    </row>
    <row r="274" spans="1:9" x14ac:dyDescent="0.25">
      <c r="A274" s="11" t="str">
        <f t="shared" si="4"/>
        <v>2023-Fa-Fal-180-91-220</v>
      </c>
      <c r="B274">
        <v>2023</v>
      </c>
      <c r="C274" t="s">
        <v>1</v>
      </c>
      <c r="D274" t="s">
        <v>331</v>
      </c>
      <c r="E274">
        <v>180</v>
      </c>
      <c r="F274">
        <v>91</v>
      </c>
      <c r="G274">
        <v>220</v>
      </c>
      <c r="I274" t="s">
        <v>283</v>
      </c>
    </row>
    <row r="275" spans="1:9" x14ac:dyDescent="0.25">
      <c r="A275" s="11" t="str">
        <f t="shared" si="4"/>
        <v>2023-Fa-Fal-80-58-235</v>
      </c>
      <c r="B275">
        <v>2023</v>
      </c>
      <c r="C275" t="s">
        <v>1</v>
      </c>
      <c r="D275" t="s">
        <v>320</v>
      </c>
      <c r="E275">
        <v>80</v>
      </c>
      <c r="F275">
        <v>58</v>
      </c>
      <c r="G275">
        <v>235</v>
      </c>
      <c r="I275" t="s">
        <v>232</v>
      </c>
    </row>
    <row r="276" spans="1:9" x14ac:dyDescent="0.25">
      <c r="A276" s="11" t="str">
        <f t="shared" si="4"/>
        <v>2023-Fa-Fal-90-62-235</v>
      </c>
      <c r="B276">
        <v>2023</v>
      </c>
      <c r="C276" t="s">
        <v>1</v>
      </c>
      <c r="D276" t="s">
        <v>321</v>
      </c>
      <c r="E276">
        <v>90</v>
      </c>
      <c r="F276">
        <v>62</v>
      </c>
      <c r="G276">
        <v>235</v>
      </c>
      <c r="I276" t="s">
        <v>232</v>
      </c>
    </row>
    <row r="277" spans="1:9" x14ac:dyDescent="0.25">
      <c r="A277" s="11" t="str">
        <f t="shared" si="4"/>
        <v>2023-Fa-Fal-97-63-235</v>
      </c>
      <c r="B277">
        <v>2023</v>
      </c>
      <c r="C277" t="s">
        <v>1</v>
      </c>
      <c r="D277" t="s">
        <v>322</v>
      </c>
      <c r="E277">
        <v>97</v>
      </c>
      <c r="F277">
        <v>63</v>
      </c>
      <c r="G277">
        <v>235</v>
      </c>
      <c r="I277" t="s">
        <v>232</v>
      </c>
    </row>
    <row r="278" spans="1:9" x14ac:dyDescent="0.25">
      <c r="A278" s="11" t="str">
        <f t="shared" si="4"/>
        <v>2023-Fa-Fre-105-63-231</v>
      </c>
      <c r="B278">
        <v>2023</v>
      </c>
      <c r="C278" t="s">
        <v>1</v>
      </c>
      <c r="D278" t="s">
        <v>300</v>
      </c>
      <c r="E278">
        <v>105</v>
      </c>
      <c r="F278">
        <v>63</v>
      </c>
      <c r="G278">
        <v>231</v>
      </c>
      <c r="I278" t="s">
        <v>282</v>
      </c>
    </row>
    <row r="279" spans="1:9" x14ac:dyDescent="0.25">
      <c r="A279" s="11" t="str">
        <f t="shared" si="4"/>
        <v>2023-Fa-Fre-115-65-232</v>
      </c>
      <c r="B279">
        <v>2023</v>
      </c>
      <c r="C279" t="s">
        <v>1</v>
      </c>
      <c r="D279" t="s">
        <v>301</v>
      </c>
      <c r="E279">
        <v>115</v>
      </c>
      <c r="F279">
        <v>65.5</v>
      </c>
      <c r="G279">
        <v>232</v>
      </c>
      <c r="I279" t="s">
        <v>282</v>
      </c>
    </row>
    <row r="280" spans="1:9" x14ac:dyDescent="0.25">
      <c r="A280" s="11" t="str">
        <f t="shared" si="4"/>
        <v>2023-Fa-Fre-125-68-234</v>
      </c>
      <c r="B280">
        <v>2023</v>
      </c>
      <c r="C280" t="s">
        <v>1</v>
      </c>
      <c r="D280" t="s">
        <v>302</v>
      </c>
      <c r="E280">
        <v>125</v>
      </c>
      <c r="F280">
        <v>68</v>
      </c>
      <c r="G280">
        <v>234</v>
      </c>
      <c r="I280" t="s">
        <v>282</v>
      </c>
    </row>
    <row r="281" spans="1:9" x14ac:dyDescent="0.25">
      <c r="A281" s="11" t="str">
        <f t="shared" si="4"/>
        <v>2023-Fa-Fre-75-56-228</v>
      </c>
      <c r="B281">
        <v>2023</v>
      </c>
      <c r="C281" t="s">
        <v>1</v>
      </c>
      <c r="D281" t="s">
        <v>297</v>
      </c>
      <c r="E281">
        <v>75</v>
      </c>
      <c r="F281">
        <v>56</v>
      </c>
      <c r="G281">
        <v>228</v>
      </c>
      <c r="I281" t="s">
        <v>282</v>
      </c>
    </row>
    <row r="282" spans="1:9" x14ac:dyDescent="0.25">
      <c r="A282" s="11" t="str">
        <f t="shared" si="4"/>
        <v>2023-Fa-Fre-85-58-229</v>
      </c>
      <c r="B282">
        <v>2023</v>
      </c>
      <c r="C282" t="s">
        <v>1</v>
      </c>
      <c r="D282" t="s">
        <v>298</v>
      </c>
      <c r="E282">
        <v>85</v>
      </c>
      <c r="F282">
        <v>58.5</v>
      </c>
      <c r="G282">
        <v>229</v>
      </c>
      <c r="I282" t="s">
        <v>282</v>
      </c>
    </row>
    <row r="283" spans="1:9" x14ac:dyDescent="0.25">
      <c r="A283" s="11" t="str">
        <f t="shared" si="4"/>
        <v>2023-Fa-Fre-95-61-230</v>
      </c>
      <c r="B283">
        <v>2023</v>
      </c>
      <c r="C283" t="s">
        <v>1</v>
      </c>
      <c r="D283" t="s">
        <v>299</v>
      </c>
      <c r="E283">
        <v>95</v>
      </c>
      <c r="F283">
        <v>61</v>
      </c>
      <c r="G283">
        <v>230</v>
      </c>
      <c r="I283" t="s">
        <v>282</v>
      </c>
    </row>
    <row r="284" spans="1:9" x14ac:dyDescent="0.25">
      <c r="A284" s="11" t="str">
        <f t="shared" si="4"/>
        <v>2023-Fa-Gec-100-66-239</v>
      </c>
      <c r="B284">
        <v>2023</v>
      </c>
      <c r="C284" t="s">
        <v>1</v>
      </c>
      <c r="D284" t="s">
        <v>307</v>
      </c>
      <c r="E284">
        <v>100</v>
      </c>
      <c r="F284">
        <v>66</v>
      </c>
      <c r="G284">
        <v>239</v>
      </c>
      <c r="I284" t="s">
        <v>179</v>
      </c>
    </row>
    <row r="285" spans="1:9" x14ac:dyDescent="0.25">
      <c r="A285" s="11" t="str">
        <f t="shared" si="4"/>
        <v>2023-Fa-Gec-110-69-239</v>
      </c>
      <c r="B285">
        <v>2023</v>
      </c>
      <c r="C285" t="s">
        <v>1</v>
      </c>
      <c r="D285" t="s">
        <v>308</v>
      </c>
      <c r="E285">
        <v>110</v>
      </c>
      <c r="F285">
        <v>69</v>
      </c>
      <c r="G285">
        <v>239</v>
      </c>
      <c r="I285" t="s">
        <v>179</v>
      </c>
    </row>
    <row r="286" spans="1:9" x14ac:dyDescent="0.25">
      <c r="A286" s="11" t="str">
        <f t="shared" si="4"/>
        <v>2023-Fa-Gec-122-76-242</v>
      </c>
      <c r="B286">
        <v>2023</v>
      </c>
      <c r="C286" t="s">
        <v>1</v>
      </c>
      <c r="D286" t="s">
        <v>309</v>
      </c>
      <c r="E286">
        <v>122</v>
      </c>
      <c r="F286">
        <v>76</v>
      </c>
      <c r="G286">
        <v>242</v>
      </c>
      <c r="I286" t="s">
        <v>179</v>
      </c>
    </row>
    <row r="287" spans="1:9" x14ac:dyDescent="0.25">
      <c r="A287" s="11" t="str">
        <f t="shared" si="4"/>
        <v>2023-Fa-Gec-135-79-246</v>
      </c>
      <c r="B287">
        <v>2023</v>
      </c>
      <c r="C287" t="s">
        <v>1</v>
      </c>
      <c r="D287" t="s">
        <v>310</v>
      </c>
      <c r="E287">
        <v>135</v>
      </c>
      <c r="F287">
        <v>79</v>
      </c>
      <c r="G287">
        <v>246</v>
      </c>
      <c r="I287" t="s">
        <v>179</v>
      </c>
    </row>
    <row r="288" spans="1:9" x14ac:dyDescent="0.25">
      <c r="A288" s="11" t="str">
        <f t="shared" si="4"/>
        <v>2023-Fa-Gec-148-83-250</v>
      </c>
      <c r="B288">
        <v>2023</v>
      </c>
      <c r="C288" t="s">
        <v>1</v>
      </c>
      <c r="D288" t="s">
        <v>311</v>
      </c>
      <c r="E288">
        <v>148</v>
      </c>
      <c r="F288">
        <v>83</v>
      </c>
      <c r="G288">
        <v>250</v>
      </c>
      <c r="I288" t="s">
        <v>179</v>
      </c>
    </row>
    <row r="289" spans="1:9" x14ac:dyDescent="0.25">
      <c r="A289" s="11" t="str">
        <f t="shared" si="4"/>
        <v>2023-Fa-Gec-156-85-252</v>
      </c>
      <c r="B289">
        <v>2023</v>
      </c>
      <c r="C289" t="s">
        <v>1</v>
      </c>
      <c r="D289" t="s">
        <v>312</v>
      </c>
      <c r="E289">
        <v>156</v>
      </c>
      <c r="F289">
        <v>85</v>
      </c>
      <c r="G289">
        <v>252</v>
      </c>
      <c r="I289" t="s">
        <v>179</v>
      </c>
    </row>
    <row r="290" spans="1:9" x14ac:dyDescent="0.25">
      <c r="A290" s="11" t="str">
        <f t="shared" si="4"/>
        <v>2023-Fa-Gri-107-64-230</v>
      </c>
      <c r="B290">
        <v>2023</v>
      </c>
      <c r="C290" t="s">
        <v>1</v>
      </c>
      <c r="D290" t="s">
        <v>289</v>
      </c>
      <c r="E290">
        <v>107</v>
      </c>
      <c r="F290">
        <v>64</v>
      </c>
      <c r="G290">
        <v>230</v>
      </c>
      <c r="I290" t="s">
        <v>280</v>
      </c>
    </row>
    <row r="291" spans="1:9" x14ac:dyDescent="0.25">
      <c r="A291" s="11" t="str">
        <f t="shared" si="4"/>
        <v>2023-Fa-Gri-69-54-220</v>
      </c>
      <c r="B291">
        <v>2023</v>
      </c>
      <c r="C291" t="s">
        <v>1</v>
      </c>
      <c r="D291" t="s">
        <v>285</v>
      </c>
      <c r="E291">
        <v>69</v>
      </c>
      <c r="F291">
        <v>54</v>
      </c>
      <c r="G291">
        <v>220</v>
      </c>
      <c r="I291" t="s">
        <v>280</v>
      </c>
    </row>
    <row r="292" spans="1:9" x14ac:dyDescent="0.25">
      <c r="A292" s="11" t="str">
        <f t="shared" si="4"/>
        <v>2023-Fa-Gri-76-56-223</v>
      </c>
      <c r="B292">
        <v>2023</v>
      </c>
      <c r="C292" t="s">
        <v>1</v>
      </c>
      <c r="D292" t="s">
        <v>144</v>
      </c>
      <c r="E292">
        <v>76</v>
      </c>
      <c r="F292">
        <v>56</v>
      </c>
      <c r="G292">
        <v>223</v>
      </c>
      <c r="I292" t="s">
        <v>280</v>
      </c>
    </row>
    <row r="293" spans="1:9" x14ac:dyDescent="0.25">
      <c r="A293" s="11" t="str">
        <f t="shared" si="4"/>
        <v>2023-Fa-Gri-81-57-224</v>
      </c>
      <c r="B293">
        <v>2023</v>
      </c>
      <c r="C293" t="s">
        <v>1</v>
      </c>
      <c r="D293" t="s">
        <v>286</v>
      </c>
      <c r="E293">
        <v>81</v>
      </c>
      <c r="F293">
        <v>57.5</v>
      </c>
      <c r="G293">
        <v>224</v>
      </c>
      <c r="I293" t="s">
        <v>280</v>
      </c>
    </row>
    <row r="294" spans="1:9" x14ac:dyDescent="0.25">
      <c r="A294" s="11" t="str">
        <f t="shared" si="4"/>
        <v>2023-Fa-Gri-87-59-225</v>
      </c>
      <c r="B294">
        <v>2023</v>
      </c>
      <c r="C294" t="s">
        <v>1</v>
      </c>
      <c r="D294" t="s">
        <v>287</v>
      </c>
      <c r="E294">
        <v>87</v>
      </c>
      <c r="F294">
        <v>59</v>
      </c>
      <c r="G294">
        <v>225</v>
      </c>
      <c r="I294" t="s">
        <v>280</v>
      </c>
    </row>
    <row r="295" spans="1:9" x14ac:dyDescent="0.25">
      <c r="A295" s="11" t="str">
        <f t="shared" si="4"/>
        <v>2023-Fa-Gri-93-60-226</v>
      </c>
      <c r="B295">
        <v>2023</v>
      </c>
      <c r="C295" t="s">
        <v>1</v>
      </c>
      <c r="D295" t="s">
        <v>288</v>
      </c>
      <c r="E295">
        <v>93</v>
      </c>
      <c r="F295">
        <v>60</v>
      </c>
      <c r="G295">
        <v>226</v>
      </c>
      <c r="I295" t="s">
        <v>280</v>
      </c>
    </row>
    <row r="296" spans="1:9" x14ac:dyDescent="0.25">
      <c r="A296" s="11" t="str">
        <f t="shared" si="4"/>
        <v>2023-Fa-Gri-99-62-227</v>
      </c>
      <c r="B296">
        <v>2023</v>
      </c>
      <c r="C296" t="s">
        <v>1</v>
      </c>
      <c r="D296" t="s">
        <v>150</v>
      </c>
      <c r="E296">
        <v>99</v>
      </c>
      <c r="F296">
        <v>62</v>
      </c>
      <c r="G296">
        <v>227</v>
      </c>
      <c r="I296" t="s">
        <v>280</v>
      </c>
    </row>
    <row r="297" spans="1:9" x14ac:dyDescent="0.25">
      <c r="A297" s="11" t="str">
        <f t="shared" si="4"/>
        <v>2023-Fa-Jag-110-70-230</v>
      </c>
      <c r="B297">
        <v>2023</v>
      </c>
      <c r="C297" t="s">
        <v>1</v>
      </c>
      <c r="D297" t="s">
        <v>316</v>
      </c>
      <c r="E297">
        <v>110</v>
      </c>
      <c r="F297">
        <v>70</v>
      </c>
      <c r="G297">
        <v>230</v>
      </c>
      <c r="I297" t="s">
        <v>283</v>
      </c>
    </row>
    <row r="298" spans="1:9" x14ac:dyDescent="0.25">
      <c r="A298" s="11" t="str">
        <f t="shared" si="4"/>
        <v>2023-Fa-Jag-128-80-232</v>
      </c>
      <c r="B298">
        <v>2023</v>
      </c>
      <c r="C298" t="s">
        <v>1</v>
      </c>
      <c r="D298" t="s">
        <v>317</v>
      </c>
      <c r="E298">
        <v>128</v>
      </c>
      <c r="F298">
        <v>80</v>
      </c>
      <c r="G298">
        <v>232</v>
      </c>
      <c r="I298" t="s">
        <v>283</v>
      </c>
    </row>
    <row r="299" spans="1:9" x14ac:dyDescent="0.25">
      <c r="A299" s="11" t="str">
        <f t="shared" si="4"/>
        <v>2023-Fa-Jag-138-85-232</v>
      </c>
      <c r="B299">
        <v>2023</v>
      </c>
      <c r="C299" t="s">
        <v>1</v>
      </c>
      <c r="D299" t="s">
        <v>318</v>
      </c>
      <c r="E299">
        <v>138</v>
      </c>
      <c r="F299">
        <v>85</v>
      </c>
      <c r="G299">
        <v>232</v>
      </c>
      <c r="I299" t="s">
        <v>283</v>
      </c>
    </row>
    <row r="300" spans="1:9" x14ac:dyDescent="0.25">
      <c r="A300" s="11" t="str">
        <f t="shared" si="4"/>
        <v>2023-Fa-Jag-158-90-235</v>
      </c>
      <c r="B300">
        <v>2023</v>
      </c>
      <c r="C300" t="s">
        <v>1</v>
      </c>
      <c r="D300" t="s">
        <v>319</v>
      </c>
      <c r="E300">
        <v>158</v>
      </c>
      <c r="F300">
        <v>90</v>
      </c>
      <c r="G300">
        <v>235</v>
      </c>
      <c r="I300" t="s">
        <v>283</v>
      </c>
    </row>
    <row r="301" spans="1:9" x14ac:dyDescent="0.25">
      <c r="A301" s="11" t="str">
        <f t="shared" si="4"/>
        <v>2023-Fa-Jag-94-61-230</v>
      </c>
      <c r="B301">
        <v>2023</v>
      </c>
      <c r="C301" t="s">
        <v>1</v>
      </c>
      <c r="D301" t="s">
        <v>315</v>
      </c>
      <c r="E301">
        <v>94</v>
      </c>
      <c r="F301">
        <v>61</v>
      </c>
      <c r="G301">
        <v>230</v>
      </c>
      <c r="I301" t="s">
        <v>232</v>
      </c>
    </row>
    <row r="302" spans="1:9" x14ac:dyDescent="0.25">
      <c r="A302" s="11" t="str">
        <f t="shared" si="4"/>
        <v>2023-Fa-Mam-104-62-224</v>
      </c>
      <c r="B302">
        <v>2023</v>
      </c>
      <c r="C302" t="s">
        <v>1</v>
      </c>
      <c r="D302" t="s">
        <v>293</v>
      </c>
      <c r="E302">
        <v>104</v>
      </c>
      <c r="F302">
        <v>62</v>
      </c>
      <c r="G302">
        <v>224</v>
      </c>
      <c r="I302" t="s">
        <v>281</v>
      </c>
    </row>
    <row r="303" spans="1:9" x14ac:dyDescent="0.25">
      <c r="A303" s="11" t="str">
        <f t="shared" si="4"/>
        <v>2023-Fa-Mam-78-56-218</v>
      </c>
      <c r="B303">
        <v>2023</v>
      </c>
      <c r="C303" t="s">
        <v>1</v>
      </c>
      <c r="D303" t="s">
        <v>290</v>
      </c>
      <c r="E303">
        <v>78</v>
      </c>
      <c r="F303">
        <v>56</v>
      </c>
      <c r="G303">
        <v>218</v>
      </c>
      <c r="I303" t="s">
        <v>281</v>
      </c>
    </row>
    <row r="304" spans="1:9" x14ac:dyDescent="0.25">
      <c r="A304" s="11" t="str">
        <f t="shared" si="4"/>
        <v>2023-Fa-Mam-84-57-220</v>
      </c>
      <c r="B304">
        <v>2023</v>
      </c>
      <c r="C304" t="s">
        <v>1</v>
      </c>
      <c r="D304" t="s">
        <v>291</v>
      </c>
      <c r="E304">
        <v>84</v>
      </c>
      <c r="F304">
        <v>57.5</v>
      </c>
      <c r="G304">
        <v>220</v>
      </c>
      <c r="I304" t="s">
        <v>281</v>
      </c>
    </row>
    <row r="305" spans="1:11" x14ac:dyDescent="0.25">
      <c r="A305" s="11" t="str">
        <f t="shared" si="4"/>
        <v>2023-Fa-Mam-94-60-222</v>
      </c>
      <c r="B305">
        <v>2023</v>
      </c>
      <c r="C305" t="s">
        <v>1</v>
      </c>
      <c r="D305" t="s">
        <v>292</v>
      </c>
      <c r="E305">
        <v>94</v>
      </c>
      <c r="F305">
        <v>60</v>
      </c>
      <c r="G305">
        <v>222</v>
      </c>
      <c r="I305" t="s">
        <v>281</v>
      </c>
    </row>
    <row r="306" spans="1:11" x14ac:dyDescent="0.25">
      <c r="A306" s="11" t="str">
        <f t="shared" si="4"/>
        <v>2023-Fa-Ska-108-67-226</v>
      </c>
      <c r="B306">
        <v>2023</v>
      </c>
      <c r="C306" t="s">
        <v>1</v>
      </c>
      <c r="D306" t="s">
        <v>186</v>
      </c>
      <c r="E306">
        <v>108</v>
      </c>
      <c r="F306">
        <v>67</v>
      </c>
      <c r="G306">
        <v>226</v>
      </c>
      <c r="I306" t="s">
        <v>179</v>
      </c>
    </row>
    <row r="307" spans="1:11" x14ac:dyDescent="0.25">
      <c r="A307" s="11" t="str">
        <f t="shared" si="4"/>
        <v>2023-Fa-Ska-85-60-220</v>
      </c>
      <c r="B307">
        <v>2023</v>
      </c>
      <c r="C307" t="s">
        <v>1</v>
      </c>
      <c r="D307" t="s">
        <v>294</v>
      </c>
      <c r="E307">
        <v>85</v>
      </c>
      <c r="F307">
        <v>60</v>
      </c>
      <c r="G307">
        <v>220</v>
      </c>
      <c r="I307" t="s">
        <v>179</v>
      </c>
    </row>
    <row r="308" spans="1:11" x14ac:dyDescent="0.25">
      <c r="A308" s="11" t="str">
        <f t="shared" si="4"/>
        <v>2023-Fa-Ska-91-62-216</v>
      </c>
      <c r="B308">
        <v>2023</v>
      </c>
      <c r="C308" t="s">
        <v>1</v>
      </c>
      <c r="D308" t="s">
        <v>295</v>
      </c>
      <c r="E308">
        <v>91</v>
      </c>
      <c r="F308">
        <v>62</v>
      </c>
      <c r="G308">
        <v>216</v>
      </c>
      <c r="I308" t="s">
        <v>179</v>
      </c>
    </row>
    <row r="309" spans="1:11" x14ac:dyDescent="0.25">
      <c r="A309" s="11" t="str">
        <f t="shared" si="4"/>
        <v>2023-Fa-Ska-99-65-225</v>
      </c>
      <c r="B309">
        <v>2023</v>
      </c>
      <c r="C309" t="s">
        <v>1</v>
      </c>
      <c r="D309" t="s">
        <v>296</v>
      </c>
      <c r="E309">
        <v>99</v>
      </c>
      <c r="F309">
        <v>65</v>
      </c>
      <c r="G309">
        <v>225</v>
      </c>
      <c r="I309" t="s">
        <v>179</v>
      </c>
    </row>
    <row r="310" spans="1:11" x14ac:dyDescent="0.25">
      <c r="A310" s="11" t="str">
        <f t="shared" si="4"/>
        <v>2023-Fa-Sti-115-70-204</v>
      </c>
      <c r="B310">
        <v>2023</v>
      </c>
      <c r="C310" t="s">
        <v>1</v>
      </c>
      <c r="D310" t="s">
        <v>327</v>
      </c>
      <c r="E310">
        <v>115</v>
      </c>
      <c r="F310">
        <v>70</v>
      </c>
      <c r="G310">
        <v>204</v>
      </c>
      <c r="I310" t="s">
        <v>284</v>
      </c>
    </row>
    <row r="311" spans="1:11" x14ac:dyDescent="0.25">
      <c r="A311" s="11" t="str">
        <f t="shared" si="4"/>
        <v>2023-Fa-Sti-130-75-211</v>
      </c>
      <c r="B311">
        <v>2023</v>
      </c>
      <c r="C311" t="s">
        <v>1</v>
      </c>
      <c r="D311" t="s">
        <v>328</v>
      </c>
      <c r="E311">
        <v>130</v>
      </c>
      <c r="F311">
        <v>75</v>
      </c>
      <c r="G311">
        <v>211</v>
      </c>
      <c r="I311" t="s">
        <v>284</v>
      </c>
    </row>
    <row r="312" spans="1:11" x14ac:dyDescent="0.25">
      <c r="A312" s="11" t="str">
        <f t="shared" si="4"/>
        <v>2024-JP-Sla-117-72-228</v>
      </c>
      <c r="B312">
        <v>2024</v>
      </c>
      <c r="C312" t="s">
        <v>345</v>
      </c>
      <c r="D312" t="s">
        <v>343</v>
      </c>
      <c r="E312">
        <v>117</v>
      </c>
      <c r="F312">
        <v>72</v>
      </c>
      <c r="G312">
        <v>228</v>
      </c>
      <c r="I312" t="s">
        <v>336</v>
      </c>
      <c r="K312" t="s">
        <v>337</v>
      </c>
    </row>
    <row r="313" spans="1:11" x14ac:dyDescent="0.25">
      <c r="A313" s="11" t="str">
        <f t="shared" si="4"/>
        <v>2024-JP-Sla-139-85-228</v>
      </c>
      <c r="B313">
        <v>2024</v>
      </c>
      <c r="C313" t="s">
        <v>345</v>
      </c>
      <c r="D313" t="s">
        <v>344</v>
      </c>
      <c r="E313">
        <v>139</v>
      </c>
      <c r="F313">
        <v>85</v>
      </c>
      <c r="G313">
        <v>228</v>
      </c>
      <c r="I313" t="s">
        <v>336</v>
      </c>
      <c r="K313" t="s">
        <v>338</v>
      </c>
    </row>
    <row r="314" spans="1:11" x14ac:dyDescent="0.25">
      <c r="A314" s="11" t="str">
        <f t="shared" si="4"/>
        <v>2024-JP-Sla-78-55-233</v>
      </c>
      <c r="B314">
        <v>2024</v>
      </c>
      <c r="C314" t="s">
        <v>345</v>
      </c>
      <c r="D314" t="s">
        <v>341</v>
      </c>
      <c r="E314">
        <v>78</v>
      </c>
      <c r="F314">
        <v>55</v>
      </c>
      <c r="G314">
        <v>233</v>
      </c>
      <c r="I314" t="s">
        <v>333</v>
      </c>
      <c r="K314" t="s">
        <v>334</v>
      </c>
    </row>
    <row r="315" spans="1:11" x14ac:dyDescent="0.25">
      <c r="A315" s="11" t="str">
        <f t="shared" si="4"/>
        <v>2024-JP-Sla-97-62-233</v>
      </c>
      <c r="B315">
        <v>2024</v>
      </c>
      <c r="C315" t="s">
        <v>345</v>
      </c>
      <c r="D315" t="s">
        <v>342</v>
      </c>
      <c r="E315">
        <v>97</v>
      </c>
      <c r="F315">
        <v>62.5</v>
      </c>
      <c r="G315">
        <v>233</v>
      </c>
      <c r="I315" t="s">
        <v>333</v>
      </c>
      <c r="K315" t="s">
        <v>335</v>
      </c>
    </row>
    <row r="316" spans="1:11" x14ac:dyDescent="0.25">
      <c r="A316" s="11" t="str">
        <f t="shared" si="4"/>
        <v>2026-JP-Sla-105-66-230</v>
      </c>
      <c r="B316">
        <v>2026</v>
      </c>
      <c r="C316" t="s">
        <v>345</v>
      </c>
      <c r="D316" t="s">
        <v>352</v>
      </c>
      <c r="E316">
        <v>105</v>
      </c>
      <c r="F316">
        <v>66</v>
      </c>
      <c r="G316">
        <v>230</v>
      </c>
      <c r="H316" t="s">
        <v>346</v>
      </c>
      <c r="I316" t="s">
        <v>333</v>
      </c>
      <c r="J316" t="s">
        <v>271</v>
      </c>
      <c r="K316" t="s">
        <v>348</v>
      </c>
    </row>
    <row r="317" spans="1:11" x14ac:dyDescent="0.25">
      <c r="A317" s="11" t="str">
        <f t="shared" si="4"/>
        <v>2026-JP-Sla-117-72-228</v>
      </c>
      <c r="B317">
        <v>2026</v>
      </c>
      <c r="C317" t="s">
        <v>345</v>
      </c>
      <c r="D317" t="s">
        <v>343</v>
      </c>
      <c r="E317">
        <v>117</v>
      </c>
      <c r="F317">
        <v>72</v>
      </c>
      <c r="G317">
        <v>228</v>
      </c>
      <c r="H317" t="s">
        <v>346</v>
      </c>
      <c r="I317" t="s">
        <v>333</v>
      </c>
      <c r="J317" t="s">
        <v>271</v>
      </c>
      <c r="K317" t="s">
        <v>349</v>
      </c>
    </row>
    <row r="318" spans="1:11" x14ac:dyDescent="0.25">
      <c r="A318" s="11" t="str">
        <f t="shared" si="4"/>
        <v>2026-JP-Sla-125-76-228</v>
      </c>
      <c r="B318">
        <v>2026</v>
      </c>
      <c r="C318" t="s">
        <v>345</v>
      </c>
      <c r="D318" t="s">
        <v>353</v>
      </c>
      <c r="E318">
        <v>125</v>
      </c>
      <c r="F318">
        <v>76</v>
      </c>
      <c r="G318">
        <v>228</v>
      </c>
      <c r="H318" t="s">
        <v>346</v>
      </c>
      <c r="I318" t="s">
        <v>333</v>
      </c>
      <c r="J318" t="s">
        <v>271</v>
      </c>
      <c r="K318" t="s">
        <v>350</v>
      </c>
    </row>
    <row r="319" spans="1:11" x14ac:dyDescent="0.25">
      <c r="A319" s="11" t="str">
        <f t="shared" si="4"/>
        <v>2026-JP-Sla-139-85-228</v>
      </c>
      <c r="B319">
        <v>2026</v>
      </c>
      <c r="C319" t="s">
        <v>345</v>
      </c>
      <c r="D319" t="s">
        <v>344</v>
      </c>
      <c r="E319">
        <v>139</v>
      </c>
      <c r="F319">
        <v>85</v>
      </c>
      <c r="G319">
        <v>228</v>
      </c>
      <c r="H319" t="s">
        <v>346</v>
      </c>
      <c r="I319" t="s">
        <v>333</v>
      </c>
      <c r="J319" t="s">
        <v>271</v>
      </c>
      <c r="K319" t="s">
        <v>351</v>
      </c>
    </row>
    <row r="320" spans="1:11" x14ac:dyDescent="0.25">
      <c r="A320" s="11" t="str">
        <f t="shared" si="4"/>
        <v>2026-JP-Sla-97-62-230</v>
      </c>
      <c r="B320">
        <v>2026</v>
      </c>
      <c r="C320" t="s">
        <v>345</v>
      </c>
      <c r="D320" t="s">
        <v>342</v>
      </c>
      <c r="E320">
        <v>97</v>
      </c>
      <c r="F320">
        <v>62.5</v>
      </c>
      <c r="G320">
        <v>230</v>
      </c>
      <c r="H320" t="s">
        <v>346</v>
      </c>
      <c r="I320" t="s">
        <v>333</v>
      </c>
      <c r="J320" t="s">
        <v>271</v>
      </c>
      <c r="K320" t="s">
        <v>347</v>
      </c>
    </row>
    <row r="321" spans="1:10" x14ac:dyDescent="0.25">
      <c r="A321" s="11" t="str">
        <f t="shared" si="4"/>
        <v>2007and08-Fa-AW -72-54-232</v>
      </c>
      <c r="B321" t="s">
        <v>532</v>
      </c>
      <c r="C321" t="s">
        <v>1</v>
      </c>
      <c r="D321" t="s">
        <v>468</v>
      </c>
      <c r="E321">
        <v>72</v>
      </c>
      <c r="F321">
        <v>54</v>
      </c>
      <c r="G321">
        <v>232</v>
      </c>
      <c r="H321" t="s">
        <v>469</v>
      </c>
      <c r="J321" t="s">
        <v>470</v>
      </c>
    </row>
    <row r="322" spans="1:10" x14ac:dyDescent="0.25">
      <c r="A322" s="11" t="str">
        <f t="shared" ref="A322:A385" si="5">_xlfn.CONCAT(B322,"-",LEFT(C322,2),"-",LEFT(D322,3),"-",E322,"-",TRUNC(F322),"-",TRUNC(G322))</f>
        <v>2007and08-Fa-AW -82-57-233</v>
      </c>
      <c r="B322" t="s">
        <v>532</v>
      </c>
      <c r="C322" t="s">
        <v>1</v>
      </c>
      <c r="D322" t="s">
        <v>471</v>
      </c>
      <c r="E322">
        <v>82</v>
      </c>
      <c r="F322">
        <v>57</v>
      </c>
      <c r="G322">
        <v>233</v>
      </c>
      <c r="H322" t="s">
        <v>469</v>
      </c>
      <c r="J322" t="s">
        <v>472</v>
      </c>
    </row>
    <row r="323" spans="1:10" x14ac:dyDescent="0.25">
      <c r="A323" s="11" t="str">
        <f t="shared" si="5"/>
        <v>2007and08-Fa-AW -92-60-235</v>
      </c>
      <c r="B323" t="s">
        <v>532</v>
      </c>
      <c r="C323" t="s">
        <v>1</v>
      </c>
      <c r="D323" t="s">
        <v>473</v>
      </c>
      <c r="E323">
        <v>92</v>
      </c>
      <c r="F323">
        <v>60</v>
      </c>
      <c r="G323">
        <v>235</v>
      </c>
      <c r="H323" t="s">
        <v>469</v>
      </c>
      <c r="J323" t="s">
        <v>474</v>
      </c>
    </row>
    <row r="324" spans="1:10" x14ac:dyDescent="0.25">
      <c r="A324" s="11" t="str">
        <f t="shared" si="5"/>
        <v>2007and08-Fa-EAG-100-63-245</v>
      </c>
      <c r="B324" t="s">
        <v>532</v>
      </c>
      <c r="C324" t="s">
        <v>1</v>
      </c>
      <c r="D324" t="s">
        <v>498</v>
      </c>
      <c r="E324">
        <v>100</v>
      </c>
      <c r="F324">
        <v>63</v>
      </c>
      <c r="G324">
        <v>245</v>
      </c>
      <c r="H324" t="s">
        <v>492</v>
      </c>
      <c r="J324" t="s">
        <v>499</v>
      </c>
    </row>
    <row r="325" spans="1:10" x14ac:dyDescent="0.25">
      <c r="A325" s="11" t="str">
        <f t="shared" si="5"/>
        <v>2007and08-Fa-EAG-113-66-246</v>
      </c>
      <c r="B325" t="s">
        <v>532</v>
      </c>
      <c r="C325" t="s">
        <v>1</v>
      </c>
      <c r="D325" t="s">
        <v>500</v>
      </c>
      <c r="E325">
        <v>113</v>
      </c>
      <c r="F325">
        <v>66</v>
      </c>
      <c r="G325">
        <v>246</v>
      </c>
      <c r="H325" t="s">
        <v>492</v>
      </c>
      <c r="J325" t="s">
        <v>501</v>
      </c>
    </row>
    <row r="326" spans="1:10" x14ac:dyDescent="0.25">
      <c r="A326" s="11" t="str">
        <f t="shared" si="5"/>
        <v>2007and08-Fa-EAG-126-69-249</v>
      </c>
      <c r="B326" t="s">
        <v>532</v>
      </c>
      <c r="C326" t="s">
        <v>1</v>
      </c>
      <c r="D326" t="s">
        <v>502</v>
      </c>
      <c r="E326">
        <v>126</v>
      </c>
      <c r="F326">
        <v>69</v>
      </c>
      <c r="G326">
        <v>249</v>
      </c>
      <c r="H326" t="s">
        <v>492</v>
      </c>
      <c r="J326" t="s">
        <v>503</v>
      </c>
    </row>
    <row r="327" spans="1:10" x14ac:dyDescent="0.25">
      <c r="A327" s="11" t="str">
        <f t="shared" si="5"/>
        <v>2007and08-Fa-FAL-145-85-245</v>
      </c>
      <c r="B327" t="s">
        <v>532</v>
      </c>
      <c r="C327" t="s">
        <v>1</v>
      </c>
      <c r="D327" t="s">
        <v>523</v>
      </c>
      <c r="E327">
        <v>145</v>
      </c>
      <c r="F327">
        <v>85</v>
      </c>
      <c r="G327">
        <v>245</v>
      </c>
      <c r="H327" t="s">
        <v>516</v>
      </c>
      <c r="J327" t="s">
        <v>524</v>
      </c>
    </row>
    <row r="328" spans="1:10" x14ac:dyDescent="0.25">
      <c r="A328" s="11" t="str">
        <f t="shared" si="5"/>
        <v>2007and08-Fa-FAL-68-48-242</v>
      </c>
      <c r="B328" t="s">
        <v>532</v>
      </c>
      <c r="C328" t="s">
        <v>1</v>
      </c>
      <c r="D328" t="s">
        <v>515</v>
      </c>
      <c r="E328">
        <v>68</v>
      </c>
      <c r="F328">
        <v>48</v>
      </c>
      <c r="G328">
        <v>242</v>
      </c>
      <c r="H328" t="s">
        <v>516</v>
      </c>
      <c r="J328" t="s">
        <v>517</v>
      </c>
    </row>
    <row r="329" spans="1:10" x14ac:dyDescent="0.25">
      <c r="A329" s="11" t="str">
        <f t="shared" si="5"/>
        <v>2007and08-Fa-FW -104-63-241</v>
      </c>
      <c r="B329" t="s">
        <v>532</v>
      </c>
      <c r="C329" t="s">
        <v>1</v>
      </c>
      <c r="D329" t="s">
        <v>481</v>
      </c>
      <c r="E329">
        <v>104</v>
      </c>
      <c r="F329">
        <v>63.5</v>
      </c>
      <c r="G329">
        <v>241</v>
      </c>
      <c r="H329" t="s">
        <v>458</v>
      </c>
      <c r="J329" t="s">
        <v>482</v>
      </c>
    </row>
    <row r="330" spans="1:10" x14ac:dyDescent="0.25">
      <c r="A330" s="11" t="str">
        <f t="shared" si="5"/>
        <v>2007and08-Fa-FW -77-56-237</v>
      </c>
      <c r="B330" t="s">
        <v>532</v>
      </c>
      <c r="C330" t="s">
        <v>1</v>
      </c>
      <c r="D330" t="s">
        <v>475</v>
      </c>
      <c r="E330">
        <v>77</v>
      </c>
      <c r="F330">
        <v>56</v>
      </c>
      <c r="G330">
        <v>237</v>
      </c>
      <c r="H330" t="s">
        <v>458</v>
      </c>
      <c r="J330" t="s">
        <v>476</v>
      </c>
    </row>
    <row r="331" spans="1:10" x14ac:dyDescent="0.25">
      <c r="A331" s="11" t="str">
        <f t="shared" si="5"/>
        <v>2007and08-Fa-FW -86-58-239</v>
      </c>
      <c r="B331" t="s">
        <v>532</v>
      </c>
      <c r="C331" t="s">
        <v>1</v>
      </c>
      <c r="D331" t="s">
        <v>477</v>
      </c>
      <c r="E331">
        <v>86</v>
      </c>
      <c r="F331">
        <v>58.5</v>
      </c>
      <c r="G331">
        <v>239</v>
      </c>
      <c r="H331" t="s">
        <v>458</v>
      </c>
      <c r="J331" t="s">
        <v>478</v>
      </c>
    </row>
    <row r="332" spans="1:10" x14ac:dyDescent="0.25">
      <c r="A332" s="11" t="str">
        <f t="shared" si="5"/>
        <v>2007and08-Fa-FW -95-61-241</v>
      </c>
      <c r="B332" t="s">
        <v>532</v>
      </c>
      <c r="C332" t="s">
        <v>1</v>
      </c>
      <c r="D332" t="s">
        <v>479</v>
      </c>
      <c r="E332">
        <v>95</v>
      </c>
      <c r="F332">
        <v>61</v>
      </c>
      <c r="G332">
        <v>241</v>
      </c>
      <c r="H332" t="s">
        <v>458</v>
      </c>
      <c r="J332" t="s">
        <v>480</v>
      </c>
    </row>
    <row r="333" spans="1:10" x14ac:dyDescent="0.25">
      <c r="A333" s="11" t="str">
        <f t="shared" si="5"/>
        <v>2007and08-Fa-HAW-108-62-247</v>
      </c>
      <c r="B333" t="s">
        <v>532</v>
      </c>
      <c r="C333" t="s">
        <v>1</v>
      </c>
      <c r="D333" t="s">
        <v>494</v>
      </c>
      <c r="E333">
        <v>108</v>
      </c>
      <c r="F333">
        <v>62</v>
      </c>
      <c r="G333">
        <v>247</v>
      </c>
      <c r="H333" t="s">
        <v>492</v>
      </c>
      <c r="J333" t="s">
        <v>495</v>
      </c>
    </row>
    <row r="334" spans="1:10" x14ac:dyDescent="0.25">
      <c r="A334" s="11" t="str">
        <f t="shared" si="5"/>
        <v>2007and08-Fa-HAW-123-66-249</v>
      </c>
      <c r="B334" t="s">
        <v>532</v>
      </c>
      <c r="C334" t="s">
        <v>1</v>
      </c>
      <c r="D334" t="s">
        <v>496</v>
      </c>
      <c r="E334">
        <v>123</v>
      </c>
      <c r="F334">
        <v>66</v>
      </c>
      <c r="G334">
        <v>249</v>
      </c>
      <c r="H334" t="s">
        <v>492</v>
      </c>
      <c r="J334" t="s">
        <v>497</v>
      </c>
    </row>
    <row r="335" spans="1:10" x14ac:dyDescent="0.25">
      <c r="A335" s="11" t="str">
        <f t="shared" si="5"/>
        <v>2007and08-Fa-HAW-93-58-245</v>
      </c>
      <c r="B335" t="s">
        <v>532</v>
      </c>
      <c r="C335" t="s">
        <v>1</v>
      </c>
      <c r="D335" t="s">
        <v>491</v>
      </c>
      <c r="E335">
        <v>93</v>
      </c>
      <c r="F335">
        <v>58</v>
      </c>
      <c r="G335">
        <v>245</v>
      </c>
      <c r="H335" t="s">
        <v>492</v>
      </c>
      <c r="J335" t="s">
        <v>493</v>
      </c>
    </row>
    <row r="336" spans="1:10" x14ac:dyDescent="0.25">
      <c r="A336" s="11" t="str">
        <f t="shared" si="5"/>
        <v>2007and08-Fa-NW -69-52-237</v>
      </c>
      <c r="B336" t="s">
        <v>532</v>
      </c>
      <c r="C336" t="s">
        <v>1</v>
      </c>
      <c r="D336" t="s">
        <v>457</v>
      </c>
      <c r="E336">
        <v>69</v>
      </c>
      <c r="F336">
        <v>52.5</v>
      </c>
      <c r="G336">
        <v>237</v>
      </c>
      <c r="H336" t="s">
        <v>458</v>
      </c>
      <c r="J336" t="s">
        <v>459</v>
      </c>
    </row>
    <row r="337" spans="1:10" x14ac:dyDescent="0.25">
      <c r="A337" s="11" t="str">
        <f t="shared" si="5"/>
        <v>2007and08-Fa-NW -69-52-237</v>
      </c>
      <c r="B337" t="s">
        <v>532</v>
      </c>
      <c r="C337" t="s">
        <v>1</v>
      </c>
      <c r="D337" t="s">
        <v>464</v>
      </c>
      <c r="E337">
        <v>69</v>
      </c>
      <c r="F337">
        <v>52.5</v>
      </c>
      <c r="G337">
        <v>237</v>
      </c>
      <c r="H337" t="s">
        <v>465</v>
      </c>
      <c r="J337" t="s">
        <v>459</v>
      </c>
    </row>
    <row r="338" spans="1:10" x14ac:dyDescent="0.25">
      <c r="A338" s="11" t="str">
        <f t="shared" si="5"/>
        <v>2007and08-Fa-NW -75-54-238</v>
      </c>
      <c r="B338" t="s">
        <v>532</v>
      </c>
      <c r="C338" t="s">
        <v>1</v>
      </c>
      <c r="D338" t="s">
        <v>460</v>
      </c>
      <c r="E338">
        <v>75</v>
      </c>
      <c r="F338">
        <v>54.5</v>
      </c>
      <c r="G338">
        <v>238</v>
      </c>
      <c r="H338" t="s">
        <v>458</v>
      </c>
      <c r="J338" t="s">
        <v>461</v>
      </c>
    </row>
    <row r="339" spans="1:10" x14ac:dyDescent="0.25">
      <c r="A339" s="11" t="str">
        <f t="shared" si="5"/>
        <v>2007and08-Fa-NW -75-54-238</v>
      </c>
      <c r="B339" t="s">
        <v>532</v>
      </c>
      <c r="C339" t="s">
        <v>1</v>
      </c>
      <c r="D339" t="s">
        <v>466</v>
      </c>
      <c r="E339">
        <v>75</v>
      </c>
      <c r="F339">
        <v>54.5</v>
      </c>
      <c r="G339">
        <v>238</v>
      </c>
      <c r="H339" t="s">
        <v>465</v>
      </c>
      <c r="J339" t="s">
        <v>461</v>
      </c>
    </row>
    <row r="340" spans="1:10" x14ac:dyDescent="0.25">
      <c r="A340" s="11" t="str">
        <f t="shared" si="5"/>
        <v>2007and08-Fa-NW -81-56-240</v>
      </c>
      <c r="B340" t="s">
        <v>532</v>
      </c>
      <c r="C340" t="s">
        <v>1</v>
      </c>
      <c r="D340" t="s">
        <v>462</v>
      </c>
      <c r="E340">
        <v>81</v>
      </c>
      <c r="F340">
        <v>56.5</v>
      </c>
      <c r="G340">
        <v>240</v>
      </c>
      <c r="H340" t="s">
        <v>458</v>
      </c>
      <c r="J340" t="s">
        <v>463</v>
      </c>
    </row>
    <row r="341" spans="1:10" x14ac:dyDescent="0.25">
      <c r="A341" s="11" t="str">
        <f t="shared" si="5"/>
        <v>2007and08-Fa-NW -81-56-240</v>
      </c>
      <c r="B341" t="s">
        <v>532</v>
      </c>
      <c r="C341" t="s">
        <v>1</v>
      </c>
      <c r="D341" t="s">
        <v>467</v>
      </c>
      <c r="E341">
        <v>81</v>
      </c>
      <c r="F341">
        <v>56.5</v>
      </c>
      <c r="G341">
        <v>240</v>
      </c>
      <c r="H341" t="s">
        <v>465</v>
      </c>
      <c r="J341" t="s">
        <v>463</v>
      </c>
    </row>
    <row r="342" spans="1:10" x14ac:dyDescent="0.25">
      <c r="A342" s="11" t="str">
        <f t="shared" si="5"/>
        <v>2007and08-Fa-RIP-102-69-239</v>
      </c>
      <c r="B342" t="s">
        <v>532</v>
      </c>
      <c r="C342" t="s">
        <v>1</v>
      </c>
      <c r="D342" t="s">
        <v>530</v>
      </c>
      <c r="E342">
        <v>102</v>
      </c>
      <c r="F342">
        <v>69.5</v>
      </c>
      <c r="G342">
        <v>239</v>
      </c>
      <c r="H342" t="s">
        <v>526</v>
      </c>
      <c r="J342" t="s">
        <v>531</v>
      </c>
    </row>
    <row r="343" spans="1:10" x14ac:dyDescent="0.25">
      <c r="A343" s="11" t="str">
        <f t="shared" si="5"/>
        <v>2007and08-Fa-SHA-130-70-258</v>
      </c>
      <c r="B343" t="s">
        <v>532</v>
      </c>
      <c r="C343" t="s">
        <v>1</v>
      </c>
      <c r="D343" t="s">
        <v>504</v>
      </c>
      <c r="E343">
        <v>130</v>
      </c>
      <c r="F343">
        <v>70</v>
      </c>
      <c r="G343">
        <v>258</v>
      </c>
      <c r="H343" t="s">
        <v>492</v>
      </c>
      <c r="J343" t="s">
        <v>505</v>
      </c>
    </row>
    <row r="344" spans="1:10" x14ac:dyDescent="0.25">
      <c r="A344" s="11" t="str">
        <f t="shared" si="5"/>
        <v>2007and08-Fa-SHA-130-70-258</v>
      </c>
      <c r="B344" t="s">
        <v>532</v>
      </c>
      <c r="C344" t="s">
        <v>1</v>
      </c>
      <c r="D344" t="s">
        <v>508</v>
      </c>
      <c r="E344">
        <v>130</v>
      </c>
      <c r="F344">
        <v>70</v>
      </c>
      <c r="G344">
        <v>258</v>
      </c>
      <c r="H344" t="s">
        <v>509</v>
      </c>
      <c r="J344" t="s">
        <v>510</v>
      </c>
    </row>
    <row r="345" spans="1:10" x14ac:dyDescent="0.25">
      <c r="A345" s="11" t="str">
        <f t="shared" si="5"/>
        <v>2007and08-Fa-SHA-145-75-263</v>
      </c>
      <c r="B345" t="s">
        <v>532</v>
      </c>
      <c r="C345" t="s">
        <v>1</v>
      </c>
      <c r="D345" t="s">
        <v>506</v>
      </c>
      <c r="E345">
        <v>145</v>
      </c>
      <c r="F345">
        <v>75</v>
      </c>
      <c r="G345">
        <v>263</v>
      </c>
      <c r="H345" t="s">
        <v>492</v>
      </c>
      <c r="J345" t="s">
        <v>507</v>
      </c>
    </row>
    <row r="346" spans="1:10" x14ac:dyDescent="0.25">
      <c r="A346" s="11" t="str">
        <f t="shared" si="5"/>
        <v>2007and08-Fa-SHA-145-75-263</v>
      </c>
      <c r="B346" t="s">
        <v>532</v>
      </c>
      <c r="C346" t="s">
        <v>1</v>
      </c>
      <c r="D346" t="s">
        <v>511</v>
      </c>
      <c r="E346">
        <v>145</v>
      </c>
      <c r="F346">
        <v>75</v>
      </c>
      <c r="G346">
        <v>263</v>
      </c>
      <c r="H346" t="s">
        <v>509</v>
      </c>
      <c r="J346" t="s">
        <v>512</v>
      </c>
    </row>
    <row r="347" spans="1:10" x14ac:dyDescent="0.25">
      <c r="A347" s="11" t="str">
        <f t="shared" si="5"/>
        <v>2007and08-Fa-SHA-160-80-268</v>
      </c>
      <c r="B347" t="s">
        <v>532</v>
      </c>
      <c r="C347" t="s">
        <v>1</v>
      </c>
      <c r="D347" t="s">
        <v>513</v>
      </c>
      <c r="E347">
        <v>160</v>
      </c>
      <c r="F347">
        <v>80</v>
      </c>
      <c r="G347">
        <v>268</v>
      </c>
      <c r="H347" t="s">
        <v>509</v>
      </c>
      <c r="J347" t="s">
        <v>514</v>
      </c>
    </row>
    <row r="348" spans="1:10" x14ac:dyDescent="0.25">
      <c r="A348" s="11" t="str">
        <f t="shared" si="5"/>
        <v>2007and08-Fa-SKA-107-65-239</v>
      </c>
      <c r="B348" t="s">
        <v>532</v>
      </c>
      <c r="C348" t="s">
        <v>1</v>
      </c>
      <c r="D348" t="s">
        <v>486</v>
      </c>
      <c r="E348">
        <v>107</v>
      </c>
      <c r="F348">
        <v>65</v>
      </c>
      <c r="G348">
        <v>239</v>
      </c>
      <c r="H348" t="s">
        <v>484</v>
      </c>
      <c r="J348" t="s">
        <v>487</v>
      </c>
    </row>
    <row r="349" spans="1:10" x14ac:dyDescent="0.25">
      <c r="A349" s="11" t="str">
        <f t="shared" si="5"/>
        <v>2007and08-Fa-SKA-107-65-239</v>
      </c>
      <c r="B349" t="s">
        <v>532</v>
      </c>
      <c r="C349" t="s">
        <v>1</v>
      </c>
      <c r="D349" t="s">
        <v>490</v>
      </c>
      <c r="E349">
        <v>107</v>
      </c>
      <c r="F349">
        <v>65</v>
      </c>
      <c r="G349">
        <v>239</v>
      </c>
      <c r="H349" t="s">
        <v>489</v>
      </c>
      <c r="J349" t="s">
        <v>487</v>
      </c>
    </row>
    <row r="350" spans="1:10" x14ac:dyDescent="0.25">
      <c r="A350" s="11" t="str">
        <f t="shared" si="5"/>
        <v>2007and08-Fa-SKA-97-63-237</v>
      </c>
      <c r="B350" t="s">
        <v>532</v>
      </c>
      <c r="C350" t="s">
        <v>1</v>
      </c>
      <c r="D350" t="s">
        <v>483</v>
      </c>
      <c r="E350">
        <v>97</v>
      </c>
      <c r="F350">
        <v>63</v>
      </c>
      <c r="G350">
        <v>237</v>
      </c>
      <c r="H350" t="s">
        <v>484</v>
      </c>
      <c r="J350" t="s">
        <v>485</v>
      </c>
    </row>
    <row r="351" spans="1:10" x14ac:dyDescent="0.25">
      <c r="A351" s="11" t="str">
        <f t="shared" si="5"/>
        <v>2007and08-Fa-SKA-97-63-237</v>
      </c>
      <c r="B351" t="s">
        <v>532</v>
      </c>
      <c r="C351" t="s">
        <v>1</v>
      </c>
      <c r="D351" t="s">
        <v>488</v>
      </c>
      <c r="E351">
        <v>97</v>
      </c>
      <c r="F351">
        <v>63</v>
      </c>
      <c r="G351">
        <v>237</v>
      </c>
      <c r="H351" t="s">
        <v>489</v>
      </c>
      <c r="J351" t="s">
        <v>485</v>
      </c>
    </row>
    <row r="352" spans="1:10" x14ac:dyDescent="0.25">
      <c r="A352" s="11" t="str">
        <f t="shared" si="5"/>
        <v>2007and08-Fa-VIP-160-75-275</v>
      </c>
      <c r="B352" t="s">
        <v>532</v>
      </c>
      <c r="C352" t="s">
        <v>1</v>
      </c>
      <c r="D352" t="s">
        <v>525</v>
      </c>
      <c r="E352">
        <v>160</v>
      </c>
      <c r="F352">
        <v>75</v>
      </c>
      <c r="G352">
        <v>275</v>
      </c>
      <c r="H352" t="s">
        <v>526</v>
      </c>
      <c r="J352" t="s">
        <v>527</v>
      </c>
    </row>
    <row r="353" spans="1:10" x14ac:dyDescent="0.25">
      <c r="A353" s="11" t="str">
        <f t="shared" si="5"/>
        <v>2007and08-Fa-VIP-190-80-280</v>
      </c>
      <c r="B353" t="s">
        <v>532</v>
      </c>
      <c r="C353" t="s">
        <v>1</v>
      </c>
      <c r="D353" t="s">
        <v>528</v>
      </c>
      <c r="E353">
        <v>190</v>
      </c>
      <c r="F353">
        <v>80</v>
      </c>
      <c r="G353">
        <v>280</v>
      </c>
      <c r="H353" t="s">
        <v>526</v>
      </c>
      <c r="J353" t="s">
        <v>527</v>
      </c>
    </row>
    <row r="354" spans="1:10" x14ac:dyDescent="0.25">
      <c r="A354" s="11" t="str">
        <f t="shared" si="5"/>
        <v>2007and08-Fa-VIP-220-85-285</v>
      </c>
      <c r="B354" t="s">
        <v>532</v>
      </c>
      <c r="C354" t="s">
        <v>1</v>
      </c>
      <c r="D354" t="s">
        <v>529</v>
      </c>
      <c r="E354">
        <v>220</v>
      </c>
      <c r="F354">
        <v>85</v>
      </c>
      <c r="G354">
        <v>285</v>
      </c>
      <c r="H354" t="s">
        <v>526</v>
      </c>
      <c r="J354" t="s">
        <v>527</v>
      </c>
    </row>
    <row r="355" spans="1:10" x14ac:dyDescent="0.25">
      <c r="A355" s="11" t="e">
        <f t="shared" si="5"/>
        <v>#VALUE!</v>
      </c>
      <c r="B355" s="14" t="s">
        <v>532</v>
      </c>
      <c r="C355" s="14" t="s">
        <v>1</v>
      </c>
      <c r="D355" s="14" t="s">
        <v>518</v>
      </c>
      <c r="E355" s="14">
        <v>79</v>
      </c>
      <c r="F355" s="14" t="s">
        <v>519</v>
      </c>
      <c r="G355" s="14" t="s">
        <v>519</v>
      </c>
      <c r="H355" t="s">
        <v>516</v>
      </c>
      <c r="J355" s="14" t="s">
        <v>519</v>
      </c>
    </row>
    <row r="356" spans="1:10" x14ac:dyDescent="0.25">
      <c r="A356" s="11" t="e">
        <f t="shared" si="5"/>
        <v>#VALUE!</v>
      </c>
      <c r="B356" s="14" t="s">
        <v>532</v>
      </c>
      <c r="C356" s="14" t="s">
        <v>1</v>
      </c>
      <c r="D356" s="14" t="s">
        <v>520</v>
      </c>
      <c r="E356" s="14">
        <v>89</v>
      </c>
      <c r="F356" s="14" t="s">
        <v>519</v>
      </c>
      <c r="G356" s="14" t="s">
        <v>519</v>
      </c>
      <c r="H356" t="s">
        <v>516</v>
      </c>
      <c r="J356" s="14" t="s">
        <v>519</v>
      </c>
    </row>
    <row r="357" spans="1:10" x14ac:dyDescent="0.25">
      <c r="A357" s="11" t="e">
        <f t="shared" si="5"/>
        <v>#VALUE!</v>
      </c>
      <c r="B357" s="14" t="s">
        <v>532</v>
      </c>
      <c r="C357" s="14" t="s">
        <v>1</v>
      </c>
      <c r="D357" s="14" t="s">
        <v>521</v>
      </c>
      <c r="E357" s="14">
        <v>104</v>
      </c>
      <c r="F357" s="14" t="s">
        <v>519</v>
      </c>
      <c r="G357" s="14" t="s">
        <v>519</v>
      </c>
      <c r="H357" t="s">
        <v>516</v>
      </c>
      <c r="J357" s="14" t="s">
        <v>519</v>
      </c>
    </row>
    <row r="358" spans="1:10" x14ac:dyDescent="0.25">
      <c r="A358" s="11" t="e">
        <f t="shared" si="5"/>
        <v>#VALUE!</v>
      </c>
      <c r="B358" s="14" t="s">
        <v>532</v>
      </c>
      <c r="C358" s="14" t="s">
        <v>1</v>
      </c>
      <c r="D358" s="14" t="s">
        <v>522</v>
      </c>
      <c r="E358" s="14">
        <v>124</v>
      </c>
      <c r="F358" s="14" t="s">
        <v>519</v>
      </c>
      <c r="G358" s="14" t="s">
        <v>519</v>
      </c>
      <c r="H358" t="s">
        <v>516</v>
      </c>
      <c r="J358" s="14" t="s">
        <v>519</v>
      </c>
    </row>
  </sheetData>
  <autoFilter ref="A1:K1" xr:uid="{C43EE7DF-6394-4A61-9462-EC4D65F15DB9}">
    <sortState xmlns:xlrd2="http://schemas.microsoft.com/office/spreadsheetml/2017/richdata2" ref="A2:K358">
      <sortCondition ref="B1"/>
    </sortState>
  </autoFilter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Q34"/>
  <sheetViews>
    <sheetView zoomScale="70" zoomScaleNormal="70" workbookViewId="0">
      <selection activeCell="P1" sqref="P1:Q3"/>
    </sheetView>
  </sheetViews>
  <sheetFormatPr defaultRowHeight="15" outlineLevelCol="1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3.140625" bestFit="1" customWidth="1"/>
    <col min="9" max="9" width="18.42578125" bestFit="1" customWidth="1"/>
    <col min="10" max="10" width="6.28515625" customWidth="1"/>
    <col min="11" max="11" width="33" customWidth="1"/>
    <col min="12" max="14" width="9.140625" customWidth="1" outlineLevel="1"/>
    <col min="15" max="15" width="4.7109375" customWidth="1"/>
    <col min="17" max="17" width="24.140625" style="10" bestFit="1" customWidth="1"/>
  </cols>
  <sheetData>
    <row r="1" spans="1:17" ht="43.5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0</v>
      </c>
      <c r="G1" s="1" t="s">
        <v>7</v>
      </c>
      <c r="H1" s="1" t="s">
        <v>8</v>
      </c>
      <c r="I1" s="2" t="s">
        <v>456</v>
      </c>
      <c r="K1" s="7" t="s">
        <v>354</v>
      </c>
      <c r="L1" s="7" t="s">
        <v>357</v>
      </c>
      <c r="M1" s="8" t="s">
        <v>356</v>
      </c>
      <c r="N1" s="8" t="s">
        <v>355</v>
      </c>
      <c r="P1" s="8" t="s">
        <v>358</v>
      </c>
      <c r="Q1" s="9" t="s">
        <v>359</v>
      </c>
    </row>
    <row r="2" spans="1:17" x14ac:dyDescent="0.25">
      <c r="A2">
        <v>10455</v>
      </c>
      <c r="B2" t="s">
        <v>1</v>
      </c>
      <c r="C2" t="s">
        <v>12</v>
      </c>
      <c r="D2" t="s">
        <v>13</v>
      </c>
      <c r="E2" t="s">
        <v>14</v>
      </c>
      <c r="F2">
        <v>2018</v>
      </c>
      <c r="G2" t="s">
        <v>11</v>
      </c>
      <c r="H2" t="s">
        <v>15</v>
      </c>
      <c r="I2" s="3"/>
      <c r="K2" s="11" t="str">
        <f>_xlfn.CONCAT(F2,"-",LEFT(B2,2),"-",LEFT(C2,3),"-",L2,"-",M2,"-",N2)</f>
        <v>2018-Fa-Bla-100-62-231</v>
      </c>
      <c r="L2">
        <f>_xlfn.REGEXREPLACE(E2,"[^0-9.]","")+0</f>
        <v>100</v>
      </c>
      <c r="M2" t="str">
        <f>LEFT(D2, FIND(" x", D2)-1)</f>
        <v>62</v>
      </c>
      <c r="N2" t="str">
        <f>MID(D2, FIND("x ", D2)+2, FIND(" cm", D2)-FIND("x ", D2)-2)</f>
        <v>231</v>
      </c>
      <c r="P2" s="12">
        <f>_xlfn.IFNA(_xlfn.XMATCH(K2,'Boards Catalogue'!A:A),-1)</f>
        <v>108</v>
      </c>
      <c r="Q2" s="13" t="str">
        <f>_xlfn.XLOOKUP(K2,'Boards Catalogue'!A:A,'Boards Catalogue'!A:A,,-1)</f>
        <v>2018-Fa-Bla-100-62-231</v>
      </c>
    </row>
    <row r="3" spans="1:17" x14ac:dyDescent="0.25">
      <c r="A3">
        <v>13502</v>
      </c>
      <c r="B3" t="s">
        <v>1</v>
      </c>
      <c r="C3" t="s">
        <v>450</v>
      </c>
      <c r="D3" t="s">
        <v>9</v>
      </c>
      <c r="E3" t="s">
        <v>10</v>
      </c>
      <c r="F3">
        <v>2018</v>
      </c>
      <c r="G3" t="s">
        <v>11</v>
      </c>
      <c r="H3" t="s">
        <v>451</v>
      </c>
      <c r="I3" s="3"/>
      <c r="K3" s="11" t="str">
        <f t="shared" ref="K3:K34" si="0">_xlfn.CONCAT(F3,"-",LEFT(B3,2),"-",LEFT(C3,3),"-",L3,"-",M3,"-",N3)</f>
        <v>2018-Fa-Bla-115-66-232</v>
      </c>
      <c r="L3">
        <f t="shared" ref="L3:L34" si="1">_xlfn.REGEXREPLACE(E3,"[^0-9.]","")+0</f>
        <v>115</v>
      </c>
      <c r="M3" t="str">
        <f t="shared" ref="M3:M34" si="2">LEFT(D3, FIND(" x", D3)-1)</f>
        <v>66</v>
      </c>
      <c r="N3" t="str">
        <f t="shared" ref="N3:N34" si="3">MID(D3, FIND("x ", D3)+2, FIND(" cm", D3)-FIND("x ", D3)-2)</f>
        <v>232</v>
      </c>
      <c r="P3" s="12">
        <f>_xlfn.IFNA(_xlfn.XMATCH(K3,'Boards Catalogue'!A:A),-1)</f>
        <v>110</v>
      </c>
      <c r="Q3" s="13" t="str">
        <f>_xlfn.XLOOKUP(K3,'Boards Catalogue'!A:A,'Boards Catalogue'!A:A,,-1)</f>
        <v>2018-Fa-Bla-115-66-232</v>
      </c>
    </row>
    <row r="4" spans="1:17" x14ac:dyDescent="0.25">
      <c r="A4">
        <v>9740</v>
      </c>
      <c r="B4" t="s">
        <v>1</v>
      </c>
      <c r="C4" t="s">
        <v>16</v>
      </c>
      <c r="D4" t="s">
        <v>9</v>
      </c>
      <c r="E4" t="s">
        <v>10</v>
      </c>
      <c r="F4">
        <v>2018</v>
      </c>
      <c r="G4" t="s">
        <v>11</v>
      </c>
      <c r="H4" t="s">
        <v>17</v>
      </c>
      <c r="I4" s="3"/>
      <c r="K4" s="11" t="str">
        <f t="shared" si="0"/>
        <v>2018-Fa-Bla-115-66-232</v>
      </c>
      <c r="L4">
        <f t="shared" si="1"/>
        <v>115</v>
      </c>
      <c r="M4" t="str">
        <f t="shared" si="2"/>
        <v>66</v>
      </c>
      <c r="N4" t="str">
        <f t="shared" si="3"/>
        <v>232</v>
      </c>
      <c r="P4" s="12">
        <f>_xlfn.IFNA(_xlfn.XMATCH(K4,'Boards Catalogue'!A:A),-1)</f>
        <v>110</v>
      </c>
      <c r="Q4" s="13" t="str">
        <f>_xlfn.XLOOKUP(K4,'Boards Catalogue'!A:A,'Boards Catalogue'!A:A,,-1)</f>
        <v>2018-Fa-Bla-115-66-232</v>
      </c>
    </row>
    <row r="5" spans="1:17" x14ac:dyDescent="0.25">
      <c r="A5">
        <v>10388</v>
      </c>
      <c r="B5" t="s">
        <v>1</v>
      </c>
      <c r="C5" t="s">
        <v>18</v>
      </c>
      <c r="D5" t="s">
        <v>19</v>
      </c>
      <c r="E5" t="s">
        <v>20</v>
      </c>
      <c r="F5">
        <v>2018</v>
      </c>
      <c r="G5" t="s">
        <v>21</v>
      </c>
      <c r="H5" t="s">
        <v>22</v>
      </c>
      <c r="I5" s="3"/>
      <c r="K5" s="11" t="str">
        <f t="shared" si="0"/>
        <v>2018-Fa-Bla-130-70-233</v>
      </c>
      <c r="L5">
        <f t="shared" si="1"/>
        <v>130</v>
      </c>
      <c r="M5" t="str">
        <f t="shared" si="2"/>
        <v>70</v>
      </c>
      <c r="N5" t="str">
        <f t="shared" si="3"/>
        <v>233</v>
      </c>
      <c r="P5" s="12">
        <f>_xlfn.IFNA(_xlfn.XMATCH(K5,'Boards Catalogue'!A:A),-1)</f>
        <v>112</v>
      </c>
      <c r="Q5" s="13" t="str">
        <f>_xlfn.XLOOKUP(K5,'Boards Catalogue'!A:A,'Boards Catalogue'!A:A,,-1)</f>
        <v>2018-Fa-Bla-130-70-233</v>
      </c>
    </row>
    <row r="6" spans="1:17" x14ac:dyDescent="0.25">
      <c r="A6">
        <v>12165</v>
      </c>
      <c r="B6" t="s">
        <v>1</v>
      </c>
      <c r="C6" t="s">
        <v>18</v>
      </c>
      <c r="D6" t="s">
        <v>19</v>
      </c>
      <c r="E6" t="s">
        <v>20</v>
      </c>
      <c r="F6">
        <v>2018</v>
      </c>
      <c r="G6" t="s">
        <v>21</v>
      </c>
      <c r="H6" t="s">
        <v>22</v>
      </c>
      <c r="I6" s="3"/>
      <c r="K6" s="11" t="str">
        <f t="shared" si="0"/>
        <v>2018-Fa-Bla-130-70-233</v>
      </c>
      <c r="L6">
        <f t="shared" si="1"/>
        <v>130</v>
      </c>
      <c r="M6" t="str">
        <f t="shared" si="2"/>
        <v>70</v>
      </c>
      <c r="N6" t="str">
        <f t="shared" si="3"/>
        <v>233</v>
      </c>
      <c r="P6" s="12">
        <f>_xlfn.IFNA(_xlfn.XMATCH(K6,'Boards Catalogue'!A:A),-1)</f>
        <v>112</v>
      </c>
      <c r="Q6" s="13" t="str">
        <f>_xlfn.XLOOKUP(K6,'Boards Catalogue'!A:A,'Boards Catalogue'!A:A,,-1)</f>
        <v>2018-Fa-Bla-130-70-233</v>
      </c>
    </row>
    <row r="7" spans="1:17" x14ac:dyDescent="0.25">
      <c r="A7">
        <v>11191</v>
      </c>
      <c r="B7" t="s">
        <v>1</v>
      </c>
      <c r="C7" t="s">
        <v>23</v>
      </c>
      <c r="D7" t="s">
        <v>24</v>
      </c>
      <c r="E7" t="s">
        <v>25</v>
      </c>
      <c r="F7">
        <v>2018</v>
      </c>
      <c r="G7" t="s">
        <v>11</v>
      </c>
      <c r="H7" t="s">
        <v>26</v>
      </c>
      <c r="I7" s="3"/>
      <c r="K7" s="11" t="str">
        <f t="shared" si="0"/>
        <v>2018-Fa-Bla-145-77-235</v>
      </c>
      <c r="L7">
        <f t="shared" si="1"/>
        <v>145</v>
      </c>
      <c r="M7" t="str">
        <f t="shared" si="2"/>
        <v>77</v>
      </c>
      <c r="N7" t="str">
        <f t="shared" si="3"/>
        <v>235</v>
      </c>
      <c r="P7" s="12">
        <f>_xlfn.IFNA(_xlfn.XMATCH(K7,'Boards Catalogue'!A:A),-1)</f>
        <v>114</v>
      </c>
      <c r="Q7" s="13" t="str">
        <f>_xlfn.XLOOKUP(K7,'Boards Catalogue'!A:A,'Boards Catalogue'!A:A,,-1)</f>
        <v>2018-Fa-Bla-145-77-235</v>
      </c>
    </row>
    <row r="8" spans="1:17" x14ac:dyDescent="0.25">
      <c r="A8">
        <v>10662</v>
      </c>
      <c r="B8" t="s">
        <v>1</v>
      </c>
      <c r="C8" t="s">
        <v>27</v>
      </c>
      <c r="D8" t="s">
        <v>28</v>
      </c>
      <c r="E8" t="s">
        <v>29</v>
      </c>
      <c r="F8">
        <v>2018</v>
      </c>
      <c r="G8" t="s">
        <v>11</v>
      </c>
      <c r="H8" t="s">
        <v>30</v>
      </c>
      <c r="I8" s="3"/>
      <c r="K8" s="11" t="str">
        <f t="shared" si="0"/>
        <v>2018-Fa-Fal-114-71-230</v>
      </c>
      <c r="L8">
        <f t="shared" si="1"/>
        <v>114</v>
      </c>
      <c r="M8" t="str">
        <f t="shared" si="2"/>
        <v>71</v>
      </c>
      <c r="N8" t="str">
        <f t="shared" si="3"/>
        <v>230</v>
      </c>
      <c r="P8" s="12">
        <f>_xlfn.IFNA(_xlfn.XMATCH(K8,'Boards Catalogue'!A:A),-1)</f>
        <v>116</v>
      </c>
      <c r="Q8" s="13" t="str">
        <f>_xlfn.XLOOKUP(K8,'Boards Catalogue'!A:A,'Boards Catalogue'!A:A,,-1)</f>
        <v>2018-Fa-Fal-114-71-230</v>
      </c>
    </row>
    <row r="9" spans="1:17" x14ac:dyDescent="0.25">
      <c r="A9">
        <v>10391</v>
      </c>
      <c r="B9" t="s">
        <v>1</v>
      </c>
      <c r="C9" t="s">
        <v>31</v>
      </c>
      <c r="D9" t="s">
        <v>32</v>
      </c>
      <c r="E9" t="s">
        <v>33</v>
      </c>
      <c r="F9">
        <v>2018</v>
      </c>
      <c r="G9" t="s">
        <v>21</v>
      </c>
      <c r="H9" t="s">
        <v>34</v>
      </c>
      <c r="I9" s="3"/>
      <c r="K9" s="11" t="str">
        <f t="shared" si="0"/>
        <v>2018-Fa-Fal-129-80-230</v>
      </c>
      <c r="L9">
        <f t="shared" si="1"/>
        <v>129</v>
      </c>
      <c r="M9" t="str">
        <f t="shared" si="2"/>
        <v>80</v>
      </c>
      <c r="N9" t="str">
        <f t="shared" si="3"/>
        <v>230</v>
      </c>
      <c r="P9" s="12">
        <f>_xlfn.IFNA(_xlfn.XMATCH(K9,'Boards Catalogue'!A:A),-1)</f>
        <v>118</v>
      </c>
      <c r="Q9" s="13" t="str">
        <f>_xlfn.XLOOKUP(K9,'Boards Catalogue'!A:A,'Boards Catalogue'!A:A,,-1)</f>
        <v>2018-Fa-Fal-129-80-230</v>
      </c>
    </row>
    <row r="10" spans="1:17" x14ac:dyDescent="0.25">
      <c r="A10">
        <v>10650</v>
      </c>
      <c r="B10" t="s">
        <v>1</v>
      </c>
      <c r="C10" t="s">
        <v>35</v>
      </c>
      <c r="D10" t="s">
        <v>36</v>
      </c>
      <c r="E10" t="s">
        <v>37</v>
      </c>
      <c r="F10">
        <v>2018</v>
      </c>
      <c r="G10" t="s">
        <v>38</v>
      </c>
      <c r="H10" t="s">
        <v>39</v>
      </c>
      <c r="I10" s="3"/>
      <c r="K10" s="11" t="str">
        <f t="shared" si="0"/>
        <v>2018-Fa-Fal-89-60-235</v>
      </c>
      <c r="L10">
        <f t="shared" si="1"/>
        <v>89</v>
      </c>
      <c r="M10" t="str">
        <f t="shared" si="2"/>
        <v>60</v>
      </c>
      <c r="N10" t="str">
        <f t="shared" si="3"/>
        <v>235</v>
      </c>
      <c r="P10" s="12">
        <f>_xlfn.IFNA(_xlfn.XMATCH(K10,'Boards Catalogue'!A:A),-1)</f>
        <v>125</v>
      </c>
      <c r="Q10" s="13" t="str">
        <f>_xlfn.XLOOKUP(K10,'Boards Catalogue'!A:A,'Boards Catalogue'!A:A,,-1)</f>
        <v>2018-Fa-Fal-89-60-235</v>
      </c>
    </row>
    <row r="11" spans="1:17" x14ac:dyDescent="0.25">
      <c r="A11">
        <v>10419</v>
      </c>
      <c r="B11" t="s">
        <v>1</v>
      </c>
      <c r="C11" t="s">
        <v>40</v>
      </c>
      <c r="D11" t="s">
        <v>41</v>
      </c>
      <c r="E11" t="s">
        <v>42</v>
      </c>
      <c r="F11">
        <v>2018</v>
      </c>
      <c r="G11" t="s">
        <v>43</v>
      </c>
      <c r="H11" t="s">
        <v>44</v>
      </c>
      <c r="I11" s="3"/>
      <c r="K11" s="11" t="str">
        <f t="shared" si="0"/>
        <v>2018-Fa-Fal-159-90-230</v>
      </c>
      <c r="L11">
        <f t="shared" si="1"/>
        <v>159</v>
      </c>
      <c r="M11" t="str">
        <f t="shared" si="2"/>
        <v>90</v>
      </c>
      <c r="N11" t="str">
        <f t="shared" si="3"/>
        <v>230</v>
      </c>
      <c r="P11" s="12">
        <f>_xlfn.IFNA(_xlfn.XMATCH(K11,'Boards Catalogue'!A:A),-1)</f>
        <v>120</v>
      </c>
      <c r="Q11" s="13" t="str">
        <f>_xlfn.XLOOKUP(K11,'Boards Catalogue'!A:A,'Boards Catalogue'!A:A,,-1)</f>
        <v>2018-Fa-Fal-159-90-230</v>
      </c>
    </row>
    <row r="12" spans="1:17" x14ac:dyDescent="0.25">
      <c r="A12">
        <v>10683</v>
      </c>
      <c r="B12" t="s">
        <v>1</v>
      </c>
      <c r="C12" t="s">
        <v>45</v>
      </c>
      <c r="D12" t="s">
        <v>46</v>
      </c>
      <c r="E12" t="s">
        <v>47</v>
      </c>
      <c r="F12">
        <v>2018</v>
      </c>
      <c r="G12" t="s">
        <v>48</v>
      </c>
      <c r="H12" t="s">
        <v>49</v>
      </c>
      <c r="I12" s="3"/>
      <c r="K12" s="11" t="str">
        <f t="shared" si="0"/>
        <v>2018-Fa-Fal-55-40-228</v>
      </c>
      <c r="L12">
        <f t="shared" si="1"/>
        <v>55</v>
      </c>
      <c r="M12" t="str">
        <f t="shared" si="2"/>
        <v>40</v>
      </c>
      <c r="N12" t="str">
        <f t="shared" si="3"/>
        <v>228</v>
      </c>
      <c r="P12" s="12">
        <f>_xlfn.IFNA(_xlfn.XMATCH(K12,'Boards Catalogue'!A:A),-1)</f>
        <v>-1</v>
      </c>
      <c r="Q12" s="13" t="str">
        <f>_xlfn.XLOOKUP(K12,'Boards Catalogue'!A:A,'Boards Catalogue'!A:A,,-1)</f>
        <v>2018-Fa-Fal-54-44-230</v>
      </c>
    </row>
    <row r="13" spans="1:17" x14ac:dyDescent="0.25">
      <c r="A13">
        <v>10290</v>
      </c>
      <c r="B13" t="s">
        <v>1</v>
      </c>
      <c r="C13" t="s">
        <v>50</v>
      </c>
      <c r="D13" t="s">
        <v>51</v>
      </c>
      <c r="E13" t="s">
        <v>52</v>
      </c>
      <c r="F13">
        <v>2018</v>
      </c>
      <c r="G13" t="s">
        <v>38</v>
      </c>
      <c r="H13" t="s">
        <v>53</v>
      </c>
      <c r="I13" s="3"/>
      <c r="K13" s="11" t="str">
        <f t="shared" si="0"/>
        <v>2018-Fa-Fal-70-525-235</v>
      </c>
      <c r="L13">
        <f t="shared" si="1"/>
        <v>70</v>
      </c>
      <c r="M13" t="str">
        <f t="shared" si="2"/>
        <v>525</v>
      </c>
      <c r="N13" t="str">
        <f t="shared" si="3"/>
        <v>235</v>
      </c>
      <c r="P13" s="12">
        <f>_xlfn.IFNA(_xlfn.XMATCH(K13,'Boards Catalogue'!A:A),-1)</f>
        <v>-1</v>
      </c>
      <c r="Q13" s="13" t="str">
        <f>_xlfn.XLOOKUP(K13,'Boards Catalogue'!A:A,'Boards Catalogue'!A:A,,-1)</f>
        <v>2018-Fa-Fal-70-52-230</v>
      </c>
    </row>
    <row r="14" spans="1:17" x14ac:dyDescent="0.25">
      <c r="A14">
        <v>10147</v>
      </c>
      <c r="B14" t="s">
        <v>1</v>
      </c>
      <c r="C14" t="s">
        <v>54</v>
      </c>
      <c r="D14" t="s">
        <v>55</v>
      </c>
      <c r="E14" t="s">
        <v>52</v>
      </c>
      <c r="F14">
        <v>2018</v>
      </c>
      <c r="G14" t="s">
        <v>48</v>
      </c>
      <c r="H14" t="s">
        <v>56</v>
      </c>
      <c r="I14" s="3"/>
      <c r="K14" s="11" t="str">
        <f t="shared" si="0"/>
        <v>2018-Fa-FAL-70-52-230</v>
      </c>
      <c r="L14">
        <f t="shared" si="1"/>
        <v>70</v>
      </c>
      <c r="M14" t="str">
        <f t="shared" si="2"/>
        <v>52</v>
      </c>
      <c r="N14" t="str">
        <f t="shared" si="3"/>
        <v>230</v>
      </c>
      <c r="P14" s="12">
        <f>_xlfn.IFNA(_xlfn.XMATCH(K14,'Boards Catalogue'!A:A),-1)</f>
        <v>123</v>
      </c>
      <c r="Q14" s="13" t="str">
        <f>_xlfn.XLOOKUP(K14,'Boards Catalogue'!A:A,'Boards Catalogue'!A:A,,-1)</f>
        <v>2018-Fa-Fal-70-52-230</v>
      </c>
    </row>
    <row r="15" spans="1:17" x14ac:dyDescent="0.25">
      <c r="A15">
        <v>10859</v>
      </c>
      <c r="B15" t="s">
        <v>1</v>
      </c>
      <c r="C15" t="s">
        <v>57</v>
      </c>
      <c r="D15" t="s">
        <v>58</v>
      </c>
      <c r="E15" t="s">
        <v>59</v>
      </c>
      <c r="F15">
        <v>2018</v>
      </c>
      <c r="G15" t="s">
        <v>11</v>
      </c>
      <c r="H15" t="s">
        <v>60</v>
      </c>
      <c r="I15" s="3"/>
      <c r="K15" s="11" t="str">
        <f t="shared" si="0"/>
        <v>2018-Fa-Fal-121-75-230</v>
      </c>
      <c r="L15">
        <f t="shared" si="1"/>
        <v>121</v>
      </c>
      <c r="M15" t="str">
        <f t="shared" si="2"/>
        <v>75</v>
      </c>
      <c r="N15" t="str">
        <f t="shared" si="3"/>
        <v>230</v>
      </c>
      <c r="P15" s="12">
        <f>_xlfn.IFNA(_xlfn.XMATCH(K15,'Boards Catalogue'!A:A),-1)</f>
        <v>117</v>
      </c>
      <c r="Q15" s="13" t="str">
        <f>_xlfn.XLOOKUP(K15,'Boards Catalogue'!A:A,'Boards Catalogue'!A:A,,-1)</f>
        <v>2018-Fa-Fal-121-75-230</v>
      </c>
    </row>
    <row r="16" spans="1:17" x14ac:dyDescent="0.25">
      <c r="A16">
        <v>10899</v>
      </c>
      <c r="B16" t="s">
        <v>1</v>
      </c>
      <c r="C16" t="s">
        <v>61</v>
      </c>
      <c r="D16" t="s">
        <v>62</v>
      </c>
      <c r="E16" t="s">
        <v>63</v>
      </c>
      <c r="F16">
        <v>2018</v>
      </c>
      <c r="G16" t="s">
        <v>21</v>
      </c>
      <c r="H16" t="s">
        <v>64</v>
      </c>
      <c r="I16" s="3"/>
      <c r="K16" s="11" t="str">
        <f t="shared" si="0"/>
        <v>2018-Fa-Fal-136-85-225</v>
      </c>
      <c r="L16">
        <f t="shared" si="1"/>
        <v>136</v>
      </c>
      <c r="M16" t="str">
        <f t="shared" si="2"/>
        <v>85</v>
      </c>
      <c r="N16" t="str">
        <f t="shared" si="3"/>
        <v>225</v>
      </c>
      <c r="P16" s="12">
        <f>_xlfn.IFNA(_xlfn.XMATCH(K16,'Boards Catalogue'!A:A),-1)</f>
        <v>119</v>
      </c>
      <c r="Q16" s="13" t="str">
        <f>_xlfn.XLOOKUP(K16,'Boards Catalogue'!A:A,'Boards Catalogue'!A:A,,-1)</f>
        <v>2018-Fa-Fal-136-85-225</v>
      </c>
    </row>
    <row r="17" spans="1:17" x14ac:dyDescent="0.25">
      <c r="A17">
        <v>12250</v>
      </c>
      <c r="B17" t="s">
        <v>1</v>
      </c>
      <c r="C17" t="s">
        <v>65</v>
      </c>
      <c r="D17" t="s">
        <v>69</v>
      </c>
      <c r="E17" t="s">
        <v>66</v>
      </c>
      <c r="F17">
        <v>2018</v>
      </c>
      <c r="G17" t="s">
        <v>11</v>
      </c>
      <c r="H17" t="s">
        <v>67</v>
      </c>
      <c r="I17" s="3"/>
      <c r="K17" s="11" t="str">
        <f t="shared" si="0"/>
        <v>2018-Fa-Fal-98-63-235</v>
      </c>
      <c r="L17">
        <f t="shared" si="1"/>
        <v>98</v>
      </c>
      <c r="M17" t="str">
        <f t="shared" si="2"/>
        <v>63</v>
      </c>
      <c r="N17" t="str">
        <f t="shared" si="3"/>
        <v>235</v>
      </c>
      <c r="P17" s="12">
        <f>_xlfn.IFNA(_xlfn.XMATCH(K17,'Boards Catalogue'!A:A),-1)</f>
        <v>126</v>
      </c>
      <c r="Q17" s="13" t="str">
        <f>_xlfn.XLOOKUP(K17,'Boards Catalogue'!A:A,'Boards Catalogue'!A:A,,-1)</f>
        <v>2018-Fa-Fal-98-63-235</v>
      </c>
    </row>
    <row r="18" spans="1:17" x14ac:dyDescent="0.25">
      <c r="A18">
        <v>10668</v>
      </c>
      <c r="B18" t="s">
        <v>1</v>
      </c>
      <c r="C18" t="s">
        <v>68</v>
      </c>
      <c r="D18" t="s">
        <v>69</v>
      </c>
      <c r="E18" t="s">
        <v>70</v>
      </c>
      <c r="F18">
        <v>2018</v>
      </c>
      <c r="G18" t="s">
        <v>38</v>
      </c>
      <c r="H18" t="s">
        <v>71</v>
      </c>
      <c r="I18" s="3"/>
      <c r="K18" s="11" t="str">
        <f t="shared" si="0"/>
        <v>2018-Fa-Fal-99-63-235</v>
      </c>
      <c r="L18">
        <f t="shared" si="1"/>
        <v>99</v>
      </c>
      <c r="M18" t="str">
        <f t="shared" si="2"/>
        <v>63</v>
      </c>
      <c r="N18" t="str">
        <f t="shared" si="3"/>
        <v>235</v>
      </c>
      <c r="P18" s="12">
        <f>_xlfn.IFNA(_xlfn.XMATCH(K18,'Boards Catalogue'!A:A),-1)</f>
        <v>-1</v>
      </c>
      <c r="Q18" s="13" t="str">
        <f>_xlfn.XLOOKUP(K18,'Boards Catalogue'!A:A,'Boards Catalogue'!A:A,,-1)</f>
        <v>2018-Fa-Fal-98-63-235</v>
      </c>
    </row>
    <row r="19" spans="1:17" x14ac:dyDescent="0.25">
      <c r="A19">
        <v>10688</v>
      </c>
      <c r="B19" t="s">
        <v>1</v>
      </c>
      <c r="C19" t="s">
        <v>72</v>
      </c>
      <c r="D19" t="s">
        <v>73</v>
      </c>
      <c r="E19" t="s">
        <v>74</v>
      </c>
      <c r="F19">
        <v>2018</v>
      </c>
      <c r="G19" t="s">
        <v>75</v>
      </c>
      <c r="H19" t="s">
        <v>76</v>
      </c>
      <c r="I19" s="3"/>
      <c r="K19" s="11" t="str">
        <f t="shared" si="0"/>
        <v>2018-Fa-Fre-116-66-235</v>
      </c>
      <c r="L19">
        <f t="shared" si="1"/>
        <v>116</v>
      </c>
      <c r="M19" t="str">
        <f t="shared" si="2"/>
        <v>66</v>
      </c>
      <c r="N19" t="str">
        <f t="shared" si="3"/>
        <v>235</v>
      </c>
      <c r="P19" s="12">
        <f>_xlfn.IFNA(_xlfn.XMATCH(K19,'Boards Catalogue'!A:A),-1)</f>
        <v>-1</v>
      </c>
      <c r="Q19" s="13" t="str">
        <f>_xlfn.XLOOKUP(K19,'Boards Catalogue'!A:A,'Boards Catalogue'!A:A,,-1)</f>
        <v>2018-Fa-Fre-115-65-231</v>
      </c>
    </row>
    <row r="20" spans="1:17" x14ac:dyDescent="0.25">
      <c r="A20">
        <v>10689</v>
      </c>
      <c r="B20" t="s">
        <v>1</v>
      </c>
      <c r="C20" t="s">
        <v>72</v>
      </c>
      <c r="D20" t="s">
        <v>69</v>
      </c>
      <c r="E20" t="s">
        <v>77</v>
      </c>
      <c r="F20">
        <v>2018</v>
      </c>
      <c r="G20" t="s">
        <v>75</v>
      </c>
      <c r="H20" t="s">
        <v>76</v>
      </c>
      <c r="I20" s="3"/>
      <c r="K20" s="11" t="str">
        <f t="shared" si="0"/>
        <v>2018-Fa-Fre-106-63-235</v>
      </c>
      <c r="L20">
        <f t="shared" si="1"/>
        <v>106</v>
      </c>
      <c r="M20" t="str">
        <f t="shared" si="2"/>
        <v>63</v>
      </c>
      <c r="N20" t="str">
        <f t="shared" si="3"/>
        <v>235</v>
      </c>
      <c r="P20" s="12">
        <f>_xlfn.IFNA(_xlfn.XMATCH(K20,'Boards Catalogue'!A:A),-1)</f>
        <v>-1</v>
      </c>
      <c r="Q20" s="13" t="str">
        <f>_xlfn.XLOOKUP(K20,'Boards Catalogue'!A:A,'Boards Catalogue'!A:A,,-1)</f>
        <v>2018-Fa-Fre-105-62-229</v>
      </c>
    </row>
    <row r="21" spans="1:17" x14ac:dyDescent="0.25">
      <c r="A21">
        <v>11893</v>
      </c>
      <c r="B21" t="s">
        <v>1</v>
      </c>
      <c r="C21" t="s">
        <v>171</v>
      </c>
      <c r="D21" t="s">
        <v>78</v>
      </c>
      <c r="E21" t="s">
        <v>79</v>
      </c>
      <c r="F21">
        <v>2018</v>
      </c>
      <c r="G21" t="s">
        <v>75</v>
      </c>
      <c r="H21" t="s">
        <v>452</v>
      </c>
      <c r="I21" s="3"/>
      <c r="K21" s="11" t="str">
        <f t="shared" si="0"/>
        <v>2018-Fa-Fre-85-58-225</v>
      </c>
      <c r="L21">
        <f t="shared" si="1"/>
        <v>85</v>
      </c>
      <c r="M21" t="str">
        <f t="shared" si="2"/>
        <v>58</v>
      </c>
      <c r="N21" t="str">
        <f t="shared" si="3"/>
        <v>225</v>
      </c>
      <c r="P21" s="12">
        <f>_xlfn.IFNA(_xlfn.XMATCH(K21,'Boards Catalogue'!A:A),-1)</f>
        <v>-1</v>
      </c>
      <c r="Q21" s="13" t="str">
        <f>_xlfn.XLOOKUP(K21,'Boards Catalogue'!A:A,'Boards Catalogue'!A:A,,-1)</f>
        <v>2018-Fa-Fre-85-57-225</v>
      </c>
    </row>
    <row r="22" spans="1:17" x14ac:dyDescent="0.25">
      <c r="A22">
        <v>11871</v>
      </c>
      <c r="B22" t="s">
        <v>1</v>
      </c>
      <c r="C22" t="s">
        <v>80</v>
      </c>
      <c r="D22" t="s">
        <v>81</v>
      </c>
      <c r="E22" t="s">
        <v>82</v>
      </c>
      <c r="F22">
        <v>2018</v>
      </c>
      <c r="G22" t="s">
        <v>75</v>
      </c>
      <c r="H22" t="s">
        <v>83</v>
      </c>
      <c r="I22" s="3"/>
      <c r="K22" s="11" t="str">
        <f t="shared" si="0"/>
        <v>2018-Fa-Gec-133-78-246</v>
      </c>
      <c r="L22">
        <f t="shared" si="1"/>
        <v>133</v>
      </c>
      <c r="M22" t="str">
        <f t="shared" si="2"/>
        <v>78</v>
      </c>
      <c r="N22" t="str">
        <f t="shared" si="3"/>
        <v>246</v>
      </c>
      <c r="P22" s="12">
        <f>_xlfn.IFNA(_xlfn.XMATCH(K22,'Boards Catalogue'!A:A),-1)</f>
        <v>146</v>
      </c>
      <c r="Q22" s="13" t="str">
        <f>_xlfn.XLOOKUP(K22,'Boards Catalogue'!A:A,'Boards Catalogue'!A:A,,-1)</f>
        <v>2018-Fa-Gec-133-78-246</v>
      </c>
    </row>
    <row r="23" spans="1:17" x14ac:dyDescent="0.25">
      <c r="A23">
        <v>11049</v>
      </c>
      <c r="B23" t="s">
        <v>1</v>
      </c>
      <c r="C23" t="s">
        <v>444</v>
      </c>
      <c r="D23" t="s">
        <v>84</v>
      </c>
      <c r="E23" t="s">
        <v>85</v>
      </c>
      <c r="F23">
        <v>2018</v>
      </c>
      <c r="H23" t="s">
        <v>453</v>
      </c>
      <c r="I23" s="3"/>
      <c r="K23" s="11" t="str">
        <f t="shared" si="0"/>
        <v>2018-Fa-Gec-120-76-242</v>
      </c>
      <c r="L23">
        <f t="shared" si="1"/>
        <v>120</v>
      </c>
      <c r="M23" t="str">
        <f t="shared" si="2"/>
        <v>76</v>
      </c>
      <c r="N23" t="str">
        <f t="shared" si="3"/>
        <v>242</v>
      </c>
      <c r="P23" s="12">
        <f>_xlfn.IFNA(_xlfn.XMATCH(K23,'Boards Catalogue'!A:A),-1)</f>
        <v>143</v>
      </c>
      <c r="Q23" s="13" t="str">
        <f>_xlfn.XLOOKUP(K23,'Boards Catalogue'!A:A,'Boards Catalogue'!A:A,,-1)</f>
        <v>2018-Fa-Gec-120-76-242</v>
      </c>
    </row>
    <row r="24" spans="1:17" x14ac:dyDescent="0.25">
      <c r="A24">
        <v>10203</v>
      </c>
      <c r="B24" t="s">
        <v>1</v>
      </c>
      <c r="C24" t="s">
        <v>86</v>
      </c>
      <c r="D24" t="s">
        <v>87</v>
      </c>
      <c r="E24" t="s">
        <v>85</v>
      </c>
      <c r="F24">
        <v>2018</v>
      </c>
      <c r="G24" t="s">
        <v>21</v>
      </c>
      <c r="H24" t="s">
        <v>88</v>
      </c>
      <c r="I24" s="3"/>
      <c r="K24" s="11" t="str">
        <f t="shared" si="0"/>
        <v>2018-Fa-Gec-120-76-245</v>
      </c>
      <c r="L24">
        <f t="shared" si="1"/>
        <v>120</v>
      </c>
      <c r="M24" t="str">
        <f t="shared" si="2"/>
        <v>76</v>
      </c>
      <c r="N24" t="str">
        <f t="shared" si="3"/>
        <v>245</v>
      </c>
      <c r="P24" s="12">
        <f>_xlfn.IFNA(_xlfn.XMATCH(K24,'Boards Catalogue'!A:A),-1)</f>
        <v>-1</v>
      </c>
      <c r="Q24" s="13" t="str">
        <f>_xlfn.XLOOKUP(K24,'Boards Catalogue'!A:A,'Boards Catalogue'!A:A,,-1)</f>
        <v>2018-Fa-Gec-120-76-242</v>
      </c>
    </row>
    <row r="25" spans="1:17" x14ac:dyDescent="0.25">
      <c r="A25">
        <v>10545</v>
      </c>
      <c r="B25" t="s">
        <v>1</v>
      </c>
      <c r="C25" t="s">
        <v>454</v>
      </c>
      <c r="D25" t="s">
        <v>89</v>
      </c>
      <c r="E25" t="s">
        <v>90</v>
      </c>
      <c r="F25">
        <v>2018</v>
      </c>
      <c r="G25" t="s">
        <v>75</v>
      </c>
      <c r="H25" t="s">
        <v>455</v>
      </c>
      <c r="I25" s="3"/>
      <c r="K25" s="11" t="str">
        <f t="shared" si="0"/>
        <v>2018-Fa-Gri-82-58-224</v>
      </c>
      <c r="L25">
        <f t="shared" si="1"/>
        <v>82</v>
      </c>
      <c r="M25" t="str">
        <f t="shared" si="2"/>
        <v>58</v>
      </c>
      <c r="N25" t="str">
        <f t="shared" si="3"/>
        <v>224</v>
      </c>
      <c r="P25" s="12">
        <f>_xlfn.IFNA(_xlfn.XMATCH(K25,'Boards Catalogue'!A:A),-1)</f>
        <v>157</v>
      </c>
      <c r="Q25" s="13" t="str">
        <f>_xlfn.XLOOKUP(K25,'Boards Catalogue'!A:A,'Boards Catalogue'!A:A,,-1)</f>
        <v>2018-Fa-Gri-82-58-224</v>
      </c>
    </row>
    <row r="26" spans="1:17" x14ac:dyDescent="0.25">
      <c r="A26">
        <v>11188</v>
      </c>
      <c r="B26" t="s">
        <v>1</v>
      </c>
      <c r="C26" t="s">
        <v>91</v>
      </c>
      <c r="D26" t="s">
        <v>92</v>
      </c>
      <c r="E26" t="s">
        <v>70</v>
      </c>
      <c r="F26">
        <v>2018</v>
      </c>
      <c r="G26" t="s">
        <v>43</v>
      </c>
      <c r="H26" t="s">
        <v>93</v>
      </c>
      <c r="I26" s="3"/>
      <c r="K26" s="11" t="str">
        <f t="shared" si="0"/>
        <v>2018-Fa-Gri-99-62-229</v>
      </c>
      <c r="L26">
        <f t="shared" si="1"/>
        <v>99</v>
      </c>
      <c r="M26" t="str">
        <f t="shared" si="2"/>
        <v>62</v>
      </c>
      <c r="N26" t="str">
        <f t="shared" si="3"/>
        <v>229</v>
      </c>
      <c r="P26" s="12">
        <f>_xlfn.IFNA(_xlfn.XMATCH(K26,'Boards Catalogue'!A:A),-1)</f>
        <v>159</v>
      </c>
      <c r="Q26" s="13" t="str">
        <f>_xlfn.XLOOKUP(K26,'Boards Catalogue'!A:A,'Boards Catalogue'!A:A,,-1)</f>
        <v>2018-Fa-Gri-99-62-229</v>
      </c>
    </row>
    <row r="27" spans="1:17" x14ac:dyDescent="0.25">
      <c r="A27">
        <v>10563</v>
      </c>
      <c r="B27" t="s">
        <v>1</v>
      </c>
      <c r="C27" t="s">
        <v>94</v>
      </c>
      <c r="D27" t="s">
        <v>95</v>
      </c>
      <c r="E27" t="s">
        <v>96</v>
      </c>
      <c r="F27">
        <v>2018</v>
      </c>
      <c r="G27" t="s">
        <v>21</v>
      </c>
      <c r="H27" t="s">
        <v>97</v>
      </c>
      <c r="I27" s="3"/>
      <c r="K27" s="11" t="str">
        <f t="shared" si="0"/>
        <v>2018-Fa-Jag-125-75-235</v>
      </c>
      <c r="L27">
        <f t="shared" si="1"/>
        <v>125</v>
      </c>
      <c r="M27" t="str">
        <f t="shared" si="2"/>
        <v>75</v>
      </c>
      <c r="N27" t="str">
        <f t="shared" si="3"/>
        <v>235</v>
      </c>
      <c r="P27" s="12">
        <f>_xlfn.IFNA(_xlfn.XMATCH(K27,'Boards Catalogue'!A:A),-1)</f>
        <v>-1</v>
      </c>
      <c r="Q27" s="13" t="str">
        <f>_xlfn.XLOOKUP(K27,'Boards Catalogue'!A:A,'Boards Catalogue'!A:A,,-1)</f>
        <v>2018-Fa-Gri-99-62-229</v>
      </c>
    </row>
    <row r="28" spans="1:17" x14ac:dyDescent="0.25">
      <c r="A28">
        <v>10291</v>
      </c>
      <c r="B28" t="s">
        <v>1</v>
      </c>
      <c r="C28" t="s">
        <v>98</v>
      </c>
      <c r="D28" t="s">
        <v>99</v>
      </c>
      <c r="E28" t="s">
        <v>100</v>
      </c>
      <c r="F28">
        <v>2018</v>
      </c>
      <c r="G28" t="s">
        <v>48</v>
      </c>
      <c r="H28" t="s">
        <v>101</v>
      </c>
      <c r="I28" s="3"/>
      <c r="K28" s="11" t="str">
        <f t="shared" si="0"/>
        <v>2018-Fa-Lüd-50-44-230</v>
      </c>
      <c r="L28">
        <f t="shared" si="1"/>
        <v>50</v>
      </c>
      <c r="M28" t="str">
        <f t="shared" si="2"/>
        <v>44</v>
      </c>
      <c r="N28" t="str">
        <f t="shared" si="3"/>
        <v>230</v>
      </c>
      <c r="P28" s="12">
        <f>_xlfn.IFNA(_xlfn.XMATCH(K28,'Boards Catalogue'!A:A),-1)</f>
        <v>-1</v>
      </c>
      <c r="Q28" s="13" t="str">
        <f>_xlfn.XLOOKUP(K28,'Boards Catalogue'!A:A,'Boards Catalogue'!A:A,,-1)</f>
        <v>2018-Fa-Gri-99-62-229</v>
      </c>
    </row>
    <row r="29" spans="1:17" x14ac:dyDescent="0.25">
      <c r="A29">
        <v>740</v>
      </c>
      <c r="B29" t="s">
        <v>1</v>
      </c>
      <c r="C29" t="s">
        <v>102</v>
      </c>
      <c r="D29" t="s">
        <v>103</v>
      </c>
      <c r="E29" t="s">
        <v>96</v>
      </c>
      <c r="F29">
        <v>2018</v>
      </c>
      <c r="G29" t="s">
        <v>43</v>
      </c>
      <c r="H29" t="s">
        <v>104</v>
      </c>
      <c r="I29" s="3"/>
      <c r="K29" s="11" t="str">
        <f t="shared" si="0"/>
        <v>2018-Fa-Sha-125-70-295</v>
      </c>
      <c r="L29">
        <f t="shared" si="1"/>
        <v>125</v>
      </c>
      <c r="M29" t="str">
        <f t="shared" si="2"/>
        <v>70</v>
      </c>
      <c r="N29" t="str">
        <f t="shared" si="3"/>
        <v>295</v>
      </c>
      <c r="P29" s="12">
        <f>_xlfn.IFNA(_xlfn.XMATCH(K29,'Boards Catalogue'!A:A),-1)</f>
        <v>-1</v>
      </c>
      <c r="Q29" s="13" t="str">
        <f>_xlfn.XLOOKUP(K29,'Boards Catalogue'!A:A,'Boards Catalogue'!A:A,,-1)</f>
        <v>2018-Fa-Rip-187-73-274</v>
      </c>
    </row>
    <row r="30" spans="1:17" x14ac:dyDescent="0.25">
      <c r="A30">
        <v>10240</v>
      </c>
      <c r="B30" t="s">
        <v>1</v>
      </c>
      <c r="C30" t="s">
        <v>105</v>
      </c>
      <c r="D30" t="s">
        <v>106</v>
      </c>
      <c r="E30" t="s">
        <v>63</v>
      </c>
      <c r="F30">
        <v>2018</v>
      </c>
      <c r="G30" t="s">
        <v>21</v>
      </c>
      <c r="H30" t="s">
        <v>107</v>
      </c>
      <c r="I30" s="3"/>
      <c r="K30" s="11" t="str">
        <f t="shared" si="0"/>
        <v>2018-Fa-Sla-136-85-235</v>
      </c>
      <c r="L30">
        <f t="shared" si="1"/>
        <v>136</v>
      </c>
      <c r="M30" t="str">
        <f t="shared" si="2"/>
        <v>85</v>
      </c>
      <c r="N30" t="str">
        <f t="shared" si="3"/>
        <v>235</v>
      </c>
      <c r="P30" s="12">
        <f>_xlfn.IFNA(_xlfn.XMATCH(K30,'Boards Catalogue'!A:A),-1)</f>
        <v>-1</v>
      </c>
      <c r="Q30" s="13" t="str">
        <f>_xlfn.XLOOKUP(K30,'Boards Catalogue'!A:A,'Boards Catalogue'!A:A,,-1)</f>
        <v>2018-Fa-Ska-93-62-225</v>
      </c>
    </row>
    <row r="31" spans="1:17" x14ac:dyDescent="0.25">
      <c r="A31">
        <v>10237</v>
      </c>
      <c r="B31" t="s">
        <v>1</v>
      </c>
      <c r="C31" t="s">
        <v>108</v>
      </c>
      <c r="D31" t="s">
        <v>69</v>
      </c>
      <c r="E31" t="s">
        <v>66</v>
      </c>
      <c r="F31">
        <v>2018</v>
      </c>
      <c r="G31" t="s">
        <v>11</v>
      </c>
      <c r="H31" t="s">
        <v>109</v>
      </c>
      <c r="I31" s="3"/>
      <c r="K31" s="11" t="str">
        <f t="shared" si="0"/>
        <v>2018-Fa-Sla-98-63-235</v>
      </c>
      <c r="L31">
        <f t="shared" si="1"/>
        <v>98</v>
      </c>
      <c r="M31" t="str">
        <f t="shared" si="2"/>
        <v>63</v>
      </c>
      <c r="N31" t="str">
        <f t="shared" si="3"/>
        <v>235</v>
      </c>
      <c r="P31" s="12">
        <f>_xlfn.IFNA(_xlfn.XMATCH(K31,'Boards Catalogue'!A:A),-1)</f>
        <v>-1</v>
      </c>
      <c r="Q31" s="13" t="str">
        <f>_xlfn.XLOOKUP(K31,'Boards Catalogue'!A:A,'Boards Catalogue'!A:A,,-1)</f>
        <v>2018-Fa-Ska-93-62-225</v>
      </c>
    </row>
    <row r="32" spans="1:17" x14ac:dyDescent="0.25">
      <c r="A32">
        <v>10219</v>
      </c>
      <c r="B32" t="s">
        <v>1</v>
      </c>
      <c r="C32" t="s">
        <v>110</v>
      </c>
      <c r="D32" t="s">
        <v>111</v>
      </c>
      <c r="E32" t="s">
        <v>70</v>
      </c>
      <c r="F32">
        <v>2018</v>
      </c>
      <c r="G32" t="s">
        <v>75</v>
      </c>
      <c r="H32" t="s">
        <v>112</v>
      </c>
      <c r="I32" s="3"/>
      <c r="K32" s="11" t="str">
        <f t="shared" si="0"/>
        <v>2018-Fa-Stu-99-60-218</v>
      </c>
      <c r="L32">
        <f t="shared" si="1"/>
        <v>99</v>
      </c>
      <c r="M32" t="str">
        <f t="shared" si="2"/>
        <v>60</v>
      </c>
      <c r="N32" t="str">
        <f t="shared" si="3"/>
        <v>218</v>
      </c>
      <c r="P32" s="12">
        <f>_xlfn.IFNA(_xlfn.XMATCH(K32,'Boards Catalogue'!A:A),-1)</f>
        <v>169</v>
      </c>
      <c r="Q32" s="13" t="str">
        <f>_xlfn.XLOOKUP(K32,'Boards Catalogue'!A:A,'Boards Catalogue'!A:A,,-1)</f>
        <v>2018-Fa-Stu-99-60-218</v>
      </c>
    </row>
    <row r="33" spans="1:17" x14ac:dyDescent="0.25">
      <c r="A33">
        <v>12906</v>
      </c>
      <c r="B33" t="s">
        <v>1</v>
      </c>
      <c r="C33" t="s">
        <v>113</v>
      </c>
      <c r="D33" t="s">
        <v>114</v>
      </c>
      <c r="E33" t="s">
        <v>115</v>
      </c>
      <c r="F33">
        <v>2018</v>
      </c>
      <c r="G33" t="s">
        <v>43</v>
      </c>
      <c r="H33" t="s">
        <v>116</v>
      </c>
      <c r="I33" s="3"/>
      <c r="K33" s="11" t="str">
        <f t="shared" si="0"/>
        <v>2018-Fa-Vip-220-85-285</v>
      </c>
      <c r="L33">
        <f t="shared" si="1"/>
        <v>220</v>
      </c>
      <c r="M33" t="str">
        <f t="shared" si="2"/>
        <v>85</v>
      </c>
      <c r="N33" t="str">
        <f t="shared" si="3"/>
        <v>285</v>
      </c>
      <c r="P33" s="12">
        <f>_xlfn.IFNA(_xlfn.XMATCH(K33,'Boards Catalogue'!A:A),-1)</f>
        <v>173</v>
      </c>
      <c r="Q33" s="13" t="str">
        <f>_xlfn.XLOOKUP(K33,'Boards Catalogue'!A:A,'Boards Catalogue'!A:A,,-1)</f>
        <v>2018-Fa-Vip-220-85-285</v>
      </c>
    </row>
    <row r="34" spans="1:17" x14ac:dyDescent="0.25">
      <c r="A34">
        <v>13285</v>
      </c>
      <c r="B34" t="s">
        <v>1</v>
      </c>
      <c r="C34" t="s">
        <v>117</v>
      </c>
      <c r="D34" t="s">
        <v>118</v>
      </c>
      <c r="E34" t="s">
        <v>119</v>
      </c>
      <c r="F34">
        <v>2018</v>
      </c>
      <c r="G34" t="s">
        <v>75</v>
      </c>
      <c r="H34" t="s">
        <v>120</v>
      </c>
      <c r="I34" s="3"/>
      <c r="K34" s="11" t="str">
        <f t="shared" si="0"/>
        <v>2018-Fa-Wav-103-64-232</v>
      </c>
      <c r="L34">
        <f t="shared" si="1"/>
        <v>103</v>
      </c>
      <c r="M34" t="str">
        <f t="shared" si="2"/>
        <v>64</v>
      </c>
      <c r="N34" t="str">
        <f t="shared" si="3"/>
        <v>232</v>
      </c>
      <c r="P34" s="12">
        <f>_xlfn.IFNA(_xlfn.XMATCH(K34,'Boards Catalogue'!A:A),-1)</f>
        <v>-1</v>
      </c>
      <c r="Q34" s="13" t="str">
        <f>_xlfn.XLOOKUP(K34,'Boards Catalogue'!A:A,'Boards Catalogue'!A:A,,-1)</f>
        <v>2018-Fa-Vip-355-85-335</v>
      </c>
    </row>
  </sheetData>
  <autoFilter ref="A1:I1" xr:uid="{00000000-0001-0000-0000-000000000000}"/>
  <conditionalFormatting sqref="A1:A1048576 P1:Q1048576">
    <cfRule type="expression" dxfId="0" priority="1">
      <formula>$P1=-1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sheetPr>
    <tabColor theme="4"/>
  </sheetPr>
  <dimension ref="A2:J4"/>
  <sheetViews>
    <sheetView zoomScale="70" zoomScaleNormal="70" workbookViewId="0">
      <selection activeCell="G71" sqref="G71"/>
    </sheetView>
  </sheetViews>
  <sheetFormatPr defaultColWidth="72.28515625" defaultRowHeight="15" x14ac:dyDescent="0.25"/>
  <cols>
    <col min="1" max="1" width="12.42578125" bestFit="1" customWidth="1"/>
    <col min="2" max="2" width="8.5703125" bestFit="1" customWidth="1"/>
    <col min="3" max="3" width="17.140625" bestFit="1" customWidth="1"/>
    <col min="4" max="4" width="14.85546875" bestFit="1" customWidth="1"/>
    <col min="6" max="6" width="14.42578125" bestFit="1" customWidth="1"/>
    <col min="8" max="8" width="39.5703125" customWidth="1"/>
    <col min="9" max="9" width="37.28515625" bestFit="1" customWidth="1"/>
    <col min="10" max="10" width="20.7109375" bestFit="1" customWidth="1"/>
  </cols>
  <sheetData>
    <row r="2" spans="1:10" x14ac:dyDescent="0.25">
      <c r="A2" s="4" t="s">
        <v>279</v>
      </c>
      <c r="B2" s="4" t="s">
        <v>3</v>
      </c>
      <c r="C2" s="4" t="s">
        <v>121</v>
      </c>
      <c r="D2" s="4" t="s">
        <v>122</v>
      </c>
      <c r="E2" s="4" t="s">
        <v>123</v>
      </c>
      <c r="F2" s="4" t="s">
        <v>124</v>
      </c>
      <c r="G2" s="4" t="s">
        <v>125</v>
      </c>
      <c r="H2" s="4" t="s">
        <v>126</v>
      </c>
      <c r="I2" s="4" t="s">
        <v>127</v>
      </c>
      <c r="J2" s="4" t="s">
        <v>128</v>
      </c>
    </row>
    <row r="3" spans="1:10" x14ac:dyDescent="0.25">
      <c r="D3" s="6"/>
      <c r="E3" s="6"/>
      <c r="F3" s="6"/>
      <c r="G3" s="6"/>
      <c r="H3" s="6"/>
      <c r="J3" s="6"/>
    </row>
    <row r="4" spans="1:10" x14ac:dyDescent="0.25">
      <c r="D4" s="5"/>
      <c r="E4" s="5"/>
      <c r="F4" s="5"/>
      <c r="G4" s="5"/>
      <c r="H4" s="5"/>
      <c r="J4" s="5"/>
    </row>
  </sheetData>
  <phoneticPr fontId="5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96F94-05D8-41A4-AD8E-FCC365B39F79}">
  <sheetPr>
    <tabColor theme="4"/>
  </sheetPr>
  <dimension ref="A1:S84"/>
  <sheetViews>
    <sheetView zoomScaleNormal="100" workbookViewId="0">
      <selection activeCell="M1" sqref="M1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20.7109375" bestFit="1" customWidth="1"/>
    <col min="4" max="4" width="11.5703125" bestFit="1" customWidth="1"/>
    <col min="6" max="6" width="11.140625" bestFit="1" customWidth="1"/>
    <col min="7" max="7" width="31.7109375" bestFit="1" customWidth="1"/>
    <col min="8" max="8" width="27.42578125" bestFit="1" customWidth="1"/>
    <col min="9" max="9" width="37.85546875" bestFit="1" customWidth="1"/>
    <col min="10" max="10" width="20.7109375" bestFit="1" customWidth="1"/>
    <col min="25" max="25" width="34.140625" bestFit="1" customWidth="1"/>
  </cols>
  <sheetData>
    <row r="1" spans="1:19" ht="109.5" customHeight="1" x14ac:dyDescent="0.25">
      <c r="A1" s="4" t="s">
        <v>279</v>
      </c>
      <c r="B1" s="4" t="s">
        <v>3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</row>
    <row r="2" spans="1:19" x14ac:dyDescent="0.25">
      <c r="A2">
        <v>2020</v>
      </c>
      <c r="B2" t="s">
        <v>1</v>
      </c>
      <c r="C2" t="s">
        <v>653</v>
      </c>
      <c r="D2">
        <v>60</v>
      </c>
      <c r="E2">
        <v>52</v>
      </c>
      <c r="F2">
        <v>218</v>
      </c>
      <c r="G2" t="s">
        <v>654</v>
      </c>
      <c r="H2" t="s">
        <v>141</v>
      </c>
      <c r="I2" t="s">
        <v>655</v>
      </c>
      <c r="J2" t="s">
        <v>656</v>
      </c>
      <c r="M2" s="17">
        <f t="shared" ref="M2" si="0">_xlfn.REGEXREPLACE(D2,"[^0-9.]","")+0</f>
        <v>60</v>
      </c>
      <c r="N2" s="17">
        <f t="shared" ref="N2" si="1">_xlfn.REGEXREPLACE(E2,"[^0-9.]","")+0</f>
        <v>52</v>
      </c>
      <c r="O2" s="17">
        <f t="shared" ref="O2" si="2">_xlfn.REGEXREPLACE(F2,"[^0-9.]","")+0</f>
        <v>218</v>
      </c>
      <c r="Q2">
        <v>60</v>
      </c>
      <c r="R2">
        <v>52</v>
      </c>
      <c r="S2">
        <v>218</v>
      </c>
    </row>
    <row r="3" spans="1:19" x14ac:dyDescent="0.25">
      <c r="A3">
        <v>2020</v>
      </c>
      <c r="B3" t="s">
        <v>1</v>
      </c>
      <c r="C3" t="s">
        <v>657</v>
      </c>
      <c r="D3">
        <v>68</v>
      </c>
      <c r="E3">
        <v>54</v>
      </c>
      <c r="F3">
        <v>220</v>
      </c>
      <c r="G3" t="s">
        <v>658</v>
      </c>
      <c r="H3" t="s">
        <v>141</v>
      </c>
      <c r="I3" t="s">
        <v>655</v>
      </c>
      <c r="J3" t="s">
        <v>143</v>
      </c>
      <c r="M3" s="17">
        <f t="shared" ref="M3:M66" si="3">_xlfn.REGEXREPLACE(D3,"[^0-9.]","")+0</f>
        <v>68</v>
      </c>
      <c r="N3" s="17">
        <f t="shared" ref="N3:N66" si="4">_xlfn.REGEXREPLACE(E3,"[^0-9.]","")+0</f>
        <v>54</v>
      </c>
      <c r="O3" s="17">
        <f t="shared" ref="O3:O66" si="5">_xlfn.REGEXREPLACE(F3,"[^0-9.]","")+0</f>
        <v>220</v>
      </c>
      <c r="Q3">
        <v>68</v>
      </c>
      <c r="R3">
        <v>54</v>
      </c>
      <c r="S3">
        <v>220</v>
      </c>
    </row>
    <row r="4" spans="1:19" x14ac:dyDescent="0.25">
      <c r="A4">
        <v>2020</v>
      </c>
      <c r="B4" t="s">
        <v>1</v>
      </c>
      <c r="C4" t="s">
        <v>657</v>
      </c>
      <c r="D4">
        <v>75</v>
      </c>
      <c r="E4">
        <v>56</v>
      </c>
      <c r="F4">
        <v>222</v>
      </c>
      <c r="G4" t="s">
        <v>658</v>
      </c>
      <c r="H4" t="s">
        <v>145</v>
      </c>
      <c r="I4" t="s">
        <v>153</v>
      </c>
      <c r="J4" t="s">
        <v>133</v>
      </c>
      <c r="M4" s="17">
        <f t="shared" si="3"/>
        <v>75</v>
      </c>
      <c r="N4" s="17">
        <f t="shared" si="4"/>
        <v>56</v>
      </c>
      <c r="O4" s="17">
        <f t="shared" si="5"/>
        <v>222</v>
      </c>
      <c r="Q4">
        <v>75</v>
      </c>
      <c r="R4">
        <v>56</v>
      </c>
      <c r="S4">
        <v>222</v>
      </c>
    </row>
    <row r="5" spans="1:19" x14ac:dyDescent="0.25">
      <c r="A5">
        <v>2020</v>
      </c>
      <c r="B5" t="s">
        <v>1</v>
      </c>
      <c r="C5" t="s">
        <v>657</v>
      </c>
      <c r="D5">
        <v>82</v>
      </c>
      <c r="E5">
        <v>58</v>
      </c>
      <c r="F5">
        <v>224</v>
      </c>
      <c r="G5" t="s">
        <v>658</v>
      </c>
      <c r="H5" t="s">
        <v>145</v>
      </c>
      <c r="I5" t="s">
        <v>146</v>
      </c>
      <c r="J5" t="s">
        <v>135</v>
      </c>
      <c r="M5" s="17">
        <f t="shared" si="3"/>
        <v>82</v>
      </c>
      <c r="N5" s="17">
        <f t="shared" si="4"/>
        <v>58</v>
      </c>
      <c r="O5" s="17">
        <f t="shared" si="5"/>
        <v>224</v>
      </c>
      <c r="Q5">
        <v>82</v>
      </c>
      <c r="R5">
        <v>58</v>
      </c>
      <c r="S5">
        <v>224</v>
      </c>
    </row>
    <row r="6" spans="1:19" x14ac:dyDescent="0.25">
      <c r="A6">
        <v>2020</v>
      </c>
      <c r="B6" t="s">
        <v>1</v>
      </c>
      <c r="C6" t="s">
        <v>657</v>
      </c>
      <c r="D6">
        <v>86</v>
      </c>
      <c r="E6">
        <v>58.5</v>
      </c>
      <c r="F6">
        <v>225</v>
      </c>
      <c r="G6" t="s">
        <v>658</v>
      </c>
      <c r="H6" t="s">
        <v>145</v>
      </c>
      <c r="I6" t="s">
        <v>153</v>
      </c>
      <c r="J6" t="s">
        <v>158</v>
      </c>
      <c r="M6" s="17">
        <f t="shared" si="3"/>
        <v>86</v>
      </c>
      <c r="N6" s="17">
        <f t="shared" si="4"/>
        <v>58.5</v>
      </c>
      <c r="O6" s="17">
        <f t="shared" si="5"/>
        <v>225</v>
      </c>
      <c r="Q6">
        <v>86</v>
      </c>
      <c r="R6">
        <v>58.5</v>
      </c>
      <c r="S6">
        <v>225</v>
      </c>
    </row>
    <row r="7" spans="1:19" x14ac:dyDescent="0.25">
      <c r="A7">
        <v>2020</v>
      </c>
      <c r="B7" t="s">
        <v>1</v>
      </c>
      <c r="C7" t="s">
        <v>657</v>
      </c>
      <c r="D7">
        <v>92</v>
      </c>
      <c r="E7">
        <v>59.5</v>
      </c>
      <c r="F7">
        <v>226</v>
      </c>
      <c r="G7" t="s">
        <v>658</v>
      </c>
      <c r="H7" t="s">
        <v>145</v>
      </c>
      <c r="I7" t="s">
        <v>149</v>
      </c>
      <c r="J7" t="s">
        <v>138</v>
      </c>
      <c r="M7" s="17">
        <f t="shared" si="3"/>
        <v>92</v>
      </c>
      <c r="N7" s="17">
        <f t="shared" si="4"/>
        <v>59.5</v>
      </c>
      <c r="O7" s="17">
        <f t="shared" si="5"/>
        <v>226</v>
      </c>
      <c r="Q7">
        <v>92</v>
      </c>
      <c r="R7">
        <v>59.5</v>
      </c>
      <c r="S7">
        <v>226</v>
      </c>
    </row>
    <row r="8" spans="1:19" x14ac:dyDescent="0.25">
      <c r="A8">
        <v>2020</v>
      </c>
      <c r="B8" t="s">
        <v>1</v>
      </c>
      <c r="C8" t="s">
        <v>657</v>
      </c>
      <c r="D8">
        <v>102</v>
      </c>
      <c r="E8">
        <v>61</v>
      </c>
      <c r="F8">
        <v>228</v>
      </c>
      <c r="G8" t="s">
        <v>658</v>
      </c>
      <c r="H8" t="s">
        <v>145</v>
      </c>
      <c r="I8" t="s">
        <v>160</v>
      </c>
      <c r="J8" t="s">
        <v>139</v>
      </c>
      <c r="M8" s="17">
        <f t="shared" si="3"/>
        <v>102</v>
      </c>
      <c r="N8" s="17">
        <f t="shared" si="4"/>
        <v>61</v>
      </c>
      <c r="O8" s="17">
        <f t="shared" si="5"/>
        <v>228</v>
      </c>
      <c r="Q8">
        <v>102</v>
      </c>
      <c r="R8">
        <v>61</v>
      </c>
      <c r="S8">
        <v>228</v>
      </c>
    </row>
    <row r="9" spans="1:19" x14ac:dyDescent="0.25">
      <c r="A9">
        <v>2020</v>
      </c>
      <c r="B9" t="s">
        <v>1</v>
      </c>
      <c r="C9" t="s">
        <v>660</v>
      </c>
      <c r="D9">
        <v>76</v>
      </c>
      <c r="E9">
        <v>55</v>
      </c>
      <c r="F9">
        <v>212</v>
      </c>
      <c r="G9" t="s">
        <v>658</v>
      </c>
      <c r="H9" t="s">
        <v>661</v>
      </c>
      <c r="I9" t="s">
        <v>659</v>
      </c>
      <c r="J9" t="s">
        <v>133</v>
      </c>
      <c r="M9" s="17">
        <f t="shared" si="3"/>
        <v>76</v>
      </c>
      <c r="N9" s="17">
        <f t="shared" si="4"/>
        <v>55</v>
      </c>
      <c r="O9" s="17">
        <f t="shared" si="5"/>
        <v>212</v>
      </c>
      <c r="Q9">
        <v>76</v>
      </c>
      <c r="R9">
        <v>55</v>
      </c>
      <c r="S9">
        <v>212</v>
      </c>
    </row>
    <row r="10" spans="1:19" x14ac:dyDescent="0.25">
      <c r="A10">
        <v>2020</v>
      </c>
      <c r="B10" t="s">
        <v>1</v>
      </c>
      <c r="C10" t="s">
        <v>660</v>
      </c>
      <c r="D10">
        <v>82</v>
      </c>
      <c r="E10">
        <v>56</v>
      </c>
      <c r="F10">
        <v>214</v>
      </c>
      <c r="G10" t="s">
        <v>658</v>
      </c>
      <c r="H10" t="s">
        <v>661</v>
      </c>
      <c r="I10" t="s">
        <v>659</v>
      </c>
      <c r="J10" t="s">
        <v>135</v>
      </c>
      <c r="M10" s="17">
        <f t="shared" si="3"/>
        <v>82</v>
      </c>
      <c r="N10" s="17">
        <f t="shared" si="4"/>
        <v>56</v>
      </c>
      <c r="O10" s="17">
        <f t="shared" si="5"/>
        <v>214</v>
      </c>
      <c r="Q10">
        <v>82</v>
      </c>
      <c r="R10">
        <v>56</v>
      </c>
      <c r="S10">
        <v>214</v>
      </c>
    </row>
    <row r="11" spans="1:19" x14ac:dyDescent="0.25">
      <c r="A11">
        <v>2020</v>
      </c>
      <c r="B11" t="s">
        <v>1</v>
      </c>
      <c r="C11" t="s">
        <v>660</v>
      </c>
      <c r="D11">
        <v>89</v>
      </c>
      <c r="E11">
        <v>57.5</v>
      </c>
      <c r="F11">
        <v>215</v>
      </c>
      <c r="G11" t="s">
        <v>658</v>
      </c>
      <c r="H11" t="s">
        <v>661</v>
      </c>
      <c r="I11" t="s">
        <v>662</v>
      </c>
      <c r="J11" t="s">
        <v>138</v>
      </c>
      <c r="M11" s="17">
        <f t="shared" si="3"/>
        <v>89</v>
      </c>
      <c r="N11" s="17">
        <f t="shared" si="4"/>
        <v>57.5</v>
      </c>
      <c r="O11" s="17">
        <f t="shared" si="5"/>
        <v>215</v>
      </c>
      <c r="Q11">
        <v>89</v>
      </c>
      <c r="R11">
        <v>57.5</v>
      </c>
      <c r="S11">
        <v>215</v>
      </c>
    </row>
    <row r="12" spans="1:19" x14ac:dyDescent="0.25">
      <c r="A12">
        <v>2020</v>
      </c>
      <c r="B12" t="s">
        <v>1</v>
      </c>
      <c r="C12" t="s">
        <v>660</v>
      </c>
      <c r="D12">
        <v>99</v>
      </c>
      <c r="E12">
        <v>60</v>
      </c>
      <c r="F12">
        <v>218</v>
      </c>
      <c r="G12" t="s">
        <v>658</v>
      </c>
      <c r="H12" t="s">
        <v>661</v>
      </c>
      <c r="I12" t="s">
        <v>662</v>
      </c>
      <c r="J12" t="s">
        <v>139</v>
      </c>
      <c r="M12" s="17">
        <f t="shared" si="3"/>
        <v>99</v>
      </c>
      <c r="N12" s="17">
        <f t="shared" si="4"/>
        <v>60</v>
      </c>
      <c r="O12" s="17">
        <f t="shared" si="5"/>
        <v>218</v>
      </c>
      <c r="Q12">
        <v>99</v>
      </c>
      <c r="R12">
        <v>60</v>
      </c>
      <c r="S12">
        <v>218</v>
      </c>
    </row>
    <row r="13" spans="1:19" x14ac:dyDescent="0.25">
      <c r="A13" s="16">
        <v>2020</v>
      </c>
      <c r="B13" s="16" t="s">
        <v>1</v>
      </c>
      <c r="C13" s="16" t="s">
        <v>664</v>
      </c>
      <c r="D13" s="16">
        <v>85</v>
      </c>
      <c r="E13" s="16">
        <v>58.5</v>
      </c>
      <c r="F13" s="16">
        <v>229</v>
      </c>
      <c r="G13" s="16" t="s">
        <v>663</v>
      </c>
      <c r="H13" s="16" t="s">
        <v>665</v>
      </c>
      <c r="I13" s="16" t="s">
        <v>160</v>
      </c>
      <c r="J13" s="16" t="s">
        <v>158</v>
      </c>
      <c r="K13" s="16"/>
      <c r="L13" s="16"/>
      <c r="M13" s="17">
        <f t="shared" si="3"/>
        <v>85</v>
      </c>
      <c r="N13" s="17">
        <f t="shared" si="4"/>
        <v>58.5</v>
      </c>
      <c r="O13" s="17">
        <f t="shared" si="5"/>
        <v>229</v>
      </c>
      <c r="Q13">
        <v>85</v>
      </c>
      <c r="R13">
        <v>58.5</v>
      </c>
      <c r="S13">
        <v>229</v>
      </c>
    </row>
    <row r="14" spans="1:19" x14ac:dyDescent="0.25">
      <c r="A14" s="16">
        <v>2020</v>
      </c>
      <c r="B14" s="16" t="s">
        <v>1</v>
      </c>
      <c r="C14" s="16" t="s">
        <v>664</v>
      </c>
      <c r="D14" s="16">
        <v>95</v>
      </c>
      <c r="E14" s="16">
        <v>61</v>
      </c>
      <c r="F14" s="16">
        <v>230</v>
      </c>
      <c r="G14" s="16" t="s">
        <v>663</v>
      </c>
      <c r="H14" s="16" t="s">
        <v>665</v>
      </c>
      <c r="I14" s="16" t="s">
        <v>162</v>
      </c>
      <c r="J14" s="16" t="s">
        <v>138</v>
      </c>
      <c r="K14" s="16"/>
      <c r="L14" s="16"/>
      <c r="M14" s="17">
        <f t="shared" si="3"/>
        <v>95</v>
      </c>
      <c r="N14" s="17">
        <f t="shared" si="4"/>
        <v>61</v>
      </c>
      <c r="O14" s="17">
        <f t="shared" si="5"/>
        <v>230</v>
      </c>
      <c r="Q14">
        <v>95</v>
      </c>
      <c r="R14">
        <v>61</v>
      </c>
      <c r="S14">
        <v>230</v>
      </c>
    </row>
    <row r="15" spans="1:19" x14ac:dyDescent="0.25">
      <c r="A15" s="16">
        <v>2020</v>
      </c>
      <c r="B15" s="16" t="s">
        <v>1</v>
      </c>
      <c r="C15" s="16" t="s">
        <v>664</v>
      </c>
      <c r="D15" s="16">
        <v>105</v>
      </c>
      <c r="E15" s="16">
        <v>63</v>
      </c>
      <c r="F15" s="16">
        <v>231</v>
      </c>
      <c r="G15" s="16" t="s">
        <v>666</v>
      </c>
      <c r="H15" s="16" t="s">
        <v>665</v>
      </c>
      <c r="I15" s="16" t="s">
        <v>667</v>
      </c>
      <c r="J15" s="16" t="s">
        <v>163</v>
      </c>
      <c r="K15" s="16"/>
      <c r="L15" s="16"/>
      <c r="M15" s="17">
        <f t="shared" si="3"/>
        <v>105</v>
      </c>
      <c r="N15" s="17">
        <f t="shared" si="4"/>
        <v>63</v>
      </c>
      <c r="O15" s="17">
        <f t="shared" si="5"/>
        <v>231</v>
      </c>
      <c r="Q15">
        <v>105</v>
      </c>
      <c r="R15">
        <v>63</v>
      </c>
      <c r="S15">
        <v>231</v>
      </c>
    </row>
    <row r="16" spans="1:19" x14ac:dyDescent="0.25">
      <c r="A16" s="16">
        <v>2020</v>
      </c>
      <c r="B16" s="16" t="s">
        <v>1</v>
      </c>
      <c r="C16" s="16" t="s">
        <v>664</v>
      </c>
      <c r="D16" s="16">
        <v>115</v>
      </c>
      <c r="E16" s="16">
        <v>65</v>
      </c>
      <c r="F16" s="16">
        <v>232</v>
      </c>
      <c r="G16" s="16" t="s">
        <v>153</v>
      </c>
      <c r="H16" s="16" t="s">
        <v>665</v>
      </c>
      <c r="I16" s="16" t="s">
        <v>668</v>
      </c>
      <c r="J16" s="16" t="s">
        <v>166</v>
      </c>
      <c r="K16" s="16"/>
      <c r="L16" s="16"/>
      <c r="M16" s="17">
        <f t="shared" si="3"/>
        <v>115</v>
      </c>
      <c r="N16" s="17">
        <f t="shared" si="4"/>
        <v>65</v>
      </c>
      <c r="O16" s="17">
        <f t="shared" si="5"/>
        <v>232</v>
      </c>
      <c r="Q16">
        <v>115</v>
      </c>
      <c r="R16">
        <v>65</v>
      </c>
      <c r="S16">
        <v>232</v>
      </c>
    </row>
    <row r="17" spans="1:19" x14ac:dyDescent="0.25">
      <c r="A17">
        <v>2020</v>
      </c>
      <c r="B17" t="s">
        <v>1</v>
      </c>
      <c r="C17" t="s">
        <v>669</v>
      </c>
      <c r="D17">
        <v>75</v>
      </c>
      <c r="E17">
        <v>56</v>
      </c>
      <c r="F17">
        <v>228</v>
      </c>
      <c r="G17" t="s">
        <v>658</v>
      </c>
      <c r="H17" t="s">
        <v>665</v>
      </c>
      <c r="I17" t="s">
        <v>157</v>
      </c>
      <c r="J17" t="s">
        <v>135</v>
      </c>
      <c r="M17" s="17">
        <f t="shared" si="3"/>
        <v>75</v>
      </c>
      <c r="N17" s="17">
        <f t="shared" si="4"/>
        <v>56</v>
      </c>
      <c r="O17" s="17">
        <f t="shared" si="5"/>
        <v>228</v>
      </c>
      <c r="Q17">
        <v>75</v>
      </c>
      <c r="R17">
        <v>56</v>
      </c>
      <c r="S17">
        <v>228</v>
      </c>
    </row>
    <row r="18" spans="1:19" x14ac:dyDescent="0.25">
      <c r="A18">
        <v>2020</v>
      </c>
      <c r="B18" t="s">
        <v>1</v>
      </c>
      <c r="C18" t="s">
        <v>669</v>
      </c>
      <c r="D18">
        <v>85</v>
      </c>
      <c r="E18">
        <v>58.5</v>
      </c>
      <c r="F18">
        <v>229</v>
      </c>
      <c r="G18" t="s">
        <v>658</v>
      </c>
      <c r="H18" t="s">
        <v>665</v>
      </c>
      <c r="I18" t="s">
        <v>160</v>
      </c>
      <c r="J18" t="s">
        <v>158</v>
      </c>
      <c r="M18" s="17">
        <f t="shared" si="3"/>
        <v>85</v>
      </c>
      <c r="N18" s="17">
        <f t="shared" si="4"/>
        <v>58.5</v>
      </c>
      <c r="O18" s="17">
        <f t="shared" si="5"/>
        <v>229</v>
      </c>
      <c r="Q18">
        <v>85</v>
      </c>
      <c r="R18">
        <v>58.5</v>
      </c>
      <c r="S18">
        <v>229</v>
      </c>
    </row>
    <row r="19" spans="1:19" x14ac:dyDescent="0.25">
      <c r="A19">
        <v>2020</v>
      </c>
      <c r="B19" t="s">
        <v>1</v>
      </c>
      <c r="C19" t="s">
        <v>669</v>
      </c>
      <c r="D19">
        <v>95</v>
      </c>
      <c r="E19">
        <v>61</v>
      </c>
      <c r="F19">
        <v>230</v>
      </c>
      <c r="G19" t="s">
        <v>658</v>
      </c>
      <c r="H19" t="s">
        <v>665</v>
      </c>
      <c r="I19" t="s">
        <v>162</v>
      </c>
      <c r="J19" t="s">
        <v>138</v>
      </c>
      <c r="M19" s="17">
        <f t="shared" si="3"/>
        <v>95</v>
      </c>
      <c r="N19" s="17">
        <f t="shared" si="4"/>
        <v>61</v>
      </c>
      <c r="O19" s="17">
        <f t="shared" si="5"/>
        <v>230</v>
      </c>
      <c r="Q19">
        <v>95</v>
      </c>
      <c r="R19">
        <v>61</v>
      </c>
      <c r="S19">
        <v>230</v>
      </c>
    </row>
    <row r="20" spans="1:19" x14ac:dyDescent="0.25">
      <c r="A20">
        <v>2020</v>
      </c>
      <c r="B20" t="s">
        <v>1</v>
      </c>
      <c r="C20" t="s">
        <v>669</v>
      </c>
      <c r="D20">
        <v>105</v>
      </c>
      <c r="E20">
        <v>63</v>
      </c>
      <c r="F20">
        <v>231</v>
      </c>
      <c r="G20" t="s">
        <v>658</v>
      </c>
      <c r="H20" t="s">
        <v>665</v>
      </c>
      <c r="I20" t="s">
        <v>667</v>
      </c>
      <c r="J20" t="s">
        <v>163</v>
      </c>
      <c r="M20" s="17">
        <f t="shared" si="3"/>
        <v>105</v>
      </c>
      <c r="N20" s="17">
        <f t="shared" si="4"/>
        <v>63</v>
      </c>
      <c r="O20" s="17">
        <f t="shared" si="5"/>
        <v>231</v>
      </c>
      <c r="Q20">
        <v>105</v>
      </c>
      <c r="R20">
        <v>63</v>
      </c>
      <c r="S20">
        <v>231</v>
      </c>
    </row>
    <row r="21" spans="1:19" x14ac:dyDescent="0.25">
      <c r="A21">
        <v>2020</v>
      </c>
      <c r="B21" t="s">
        <v>1</v>
      </c>
      <c r="C21" t="s">
        <v>669</v>
      </c>
      <c r="D21">
        <v>115</v>
      </c>
      <c r="E21">
        <v>65</v>
      </c>
      <c r="F21">
        <v>232</v>
      </c>
      <c r="G21" t="s">
        <v>658</v>
      </c>
      <c r="H21" t="s">
        <v>665</v>
      </c>
      <c r="I21" t="s">
        <v>668</v>
      </c>
      <c r="J21" t="s">
        <v>166</v>
      </c>
      <c r="M21" s="17">
        <f t="shared" si="3"/>
        <v>115</v>
      </c>
      <c r="N21" s="17">
        <f t="shared" si="4"/>
        <v>65</v>
      </c>
      <c r="O21" s="17">
        <f t="shared" si="5"/>
        <v>232</v>
      </c>
      <c r="Q21">
        <v>115</v>
      </c>
      <c r="R21">
        <v>65</v>
      </c>
      <c r="S21">
        <v>232</v>
      </c>
    </row>
    <row r="22" spans="1:19" x14ac:dyDescent="0.25">
      <c r="A22" s="16">
        <v>2020</v>
      </c>
      <c r="B22" s="16" t="s">
        <v>1</v>
      </c>
      <c r="C22" s="16" t="s">
        <v>72</v>
      </c>
      <c r="D22" s="16">
        <v>75</v>
      </c>
      <c r="E22" s="16">
        <v>56</v>
      </c>
      <c r="F22" s="16">
        <v>228</v>
      </c>
      <c r="G22" s="16" t="s">
        <v>723</v>
      </c>
      <c r="H22" s="16" t="s">
        <v>665</v>
      </c>
      <c r="I22" s="16" t="s">
        <v>670</v>
      </c>
      <c r="J22" s="16" t="s">
        <v>135</v>
      </c>
      <c r="K22" s="16"/>
      <c r="L22" s="16"/>
      <c r="M22" s="17">
        <f t="shared" si="3"/>
        <v>75</v>
      </c>
      <c r="N22" s="17">
        <f t="shared" si="4"/>
        <v>56</v>
      </c>
      <c r="O22" s="17">
        <f t="shared" si="5"/>
        <v>228</v>
      </c>
      <c r="Q22">
        <v>75</v>
      </c>
      <c r="R22">
        <v>56</v>
      </c>
      <c r="S22">
        <v>228</v>
      </c>
    </row>
    <row r="23" spans="1:19" x14ac:dyDescent="0.25">
      <c r="A23" s="16">
        <v>2020</v>
      </c>
      <c r="B23" s="16" t="s">
        <v>1</v>
      </c>
      <c r="C23" s="16" t="s">
        <v>72</v>
      </c>
      <c r="D23" s="16">
        <v>85</v>
      </c>
      <c r="E23" s="16">
        <v>58.5</v>
      </c>
      <c r="F23" s="16">
        <v>229</v>
      </c>
      <c r="G23" s="16" t="s">
        <v>723</v>
      </c>
      <c r="H23" s="16" t="s">
        <v>665</v>
      </c>
      <c r="I23" s="16" t="s">
        <v>672</v>
      </c>
      <c r="J23" s="16" t="s">
        <v>158</v>
      </c>
      <c r="K23" s="16"/>
      <c r="L23" s="16"/>
      <c r="M23" s="17">
        <f t="shared" si="3"/>
        <v>85</v>
      </c>
      <c r="N23" s="17">
        <f t="shared" si="4"/>
        <v>58.5</v>
      </c>
      <c r="O23" s="17">
        <f t="shared" si="5"/>
        <v>229</v>
      </c>
      <c r="Q23">
        <v>85</v>
      </c>
      <c r="R23">
        <v>58.5</v>
      </c>
      <c r="S23">
        <v>229</v>
      </c>
    </row>
    <row r="24" spans="1:19" x14ac:dyDescent="0.25">
      <c r="A24" s="16">
        <v>2020</v>
      </c>
      <c r="B24" s="16" t="s">
        <v>1</v>
      </c>
      <c r="C24" s="16" t="s">
        <v>72</v>
      </c>
      <c r="D24" s="16">
        <v>95</v>
      </c>
      <c r="E24" s="16">
        <v>61</v>
      </c>
      <c r="F24" s="16">
        <v>230</v>
      </c>
      <c r="G24" s="16" t="s">
        <v>723</v>
      </c>
      <c r="H24" s="16" t="s">
        <v>665</v>
      </c>
      <c r="I24" s="16" t="s">
        <v>674</v>
      </c>
      <c r="J24" s="16" t="s">
        <v>138</v>
      </c>
      <c r="K24" s="16"/>
      <c r="L24" s="16"/>
      <c r="M24" s="17">
        <f t="shared" si="3"/>
        <v>95</v>
      </c>
      <c r="N24" s="17">
        <f t="shared" si="4"/>
        <v>61</v>
      </c>
      <c r="O24" s="17">
        <f t="shared" si="5"/>
        <v>230</v>
      </c>
      <c r="Q24">
        <v>95</v>
      </c>
      <c r="R24">
        <v>61</v>
      </c>
      <c r="S24">
        <v>230</v>
      </c>
    </row>
    <row r="25" spans="1:19" x14ac:dyDescent="0.25">
      <c r="A25" s="16">
        <v>2020</v>
      </c>
      <c r="B25" s="16" t="s">
        <v>1</v>
      </c>
      <c r="C25" s="16" t="s">
        <v>72</v>
      </c>
      <c r="D25" s="16">
        <v>105</v>
      </c>
      <c r="E25" s="16">
        <v>63</v>
      </c>
      <c r="F25" s="16">
        <v>231</v>
      </c>
      <c r="G25" s="16" t="s">
        <v>723</v>
      </c>
      <c r="H25" s="16" t="s">
        <v>665</v>
      </c>
      <c r="I25" s="16" t="s">
        <v>675</v>
      </c>
      <c r="J25" s="16" t="s">
        <v>163</v>
      </c>
      <c r="K25" s="16"/>
      <c r="L25" s="16"/>
      <c r="M25" s="17">
        <f t="shared" si="3"/>
        <v>105</v>
      </c>
      <c r="N25" s="17">
        <f t="shared" si="4"/>
        <v>63</v>
      </c>
      <c r="O25" s="17">
        <f t="shared" si="5"/>
        <v>231</v>
      </c>
      <c r="Q25">
        <v>105</v>
      </c>
      <c r="R25">
        <v>63</v>
      </c>
      <c r="S25">
        <v>231</v>
      </c>
    </row>
    <row r="26" spans="1:19" x14ac:dyDescent="0.25">
      <c r="A26">
        <v>2020</v>
      </c>
      <c r="B26" t="s">
        <v>1</v>
      </c>
      <c r="C26" t="s">
        <v>678</v>
      </c>
      <c r="D26">
        <v>85</v>
      </c>
      <c r="E26">
        <v>60</v>
      </c>
      <c r="F26">
        <v>225</v>
      </c>
      <c r="G26" t="s">
        <v>658</v>
      </c>
      <c r="H26" t="s">
        <v>179</v>
      </c>
      <c r="I26" t="s">
        <v>676</v>
      </c>
      <c r="J26" t="s">
        <v>133</v>
      </c>
      <c r="M26" s="17">
        <f t="shared" si="3"/>
        <v>85</v>
      </c>
      <c r="N26" s="17">
        <f t="shared" si="4"/>
        <v>60</v>
      </c>
      <c r="O26" s="17">
        <f t="shared" si="5"/>
        <v>225</v>
      </c>
      <c r="Q26">
        <v>85</v>
      </c>
      <c r="R26">
        <v>60</v>
      </c>
      <c r="S26">
        <v>225</v>
      </c>
    </row>
    <row r="27" spans="1:19" x14ac:dyDescent="0.25">
      <c r="A27">
        <v>2020</v>
      </c>
      <c r="B27" t="s">
        <v>1</v>
      </c>
      <c r="C27" t="s">
        <v>678</v>
      </c>
      <c r="D27">
        <v>92</v>
      </c>
      <c r="E27">
        <v>62</v>
      </c>
      <c r="F27">
        <v>220</v>
      </c>
      <c r="G27" t="s">
        <v>658</v>
      </c>
      <c r="H27" t="s">
        <v>179</v>
      </c>
      <c r="I27" t="s">
        <v>677</v>
      </c>
      <c r="J27" t="s">
        <v>183</v>
      </c>
      <c r="M27" s="17">
        <f t="shared" si="3"/>
        <v>92</v>
      </c>
      <c r="N27" s="17">
        <f t="shared" si="4"/>
        <v>62</v>
      </c>
      <c r="O27" s="17">
        <f t="shared" si="5"/>
        <v>220</v>
      </c>
      <c r="Q27">
        <v>92</v>
      </c>
      <c r="R27">
        <v>62</v>
      </c>
      <c r="S27">
        <v>220</v>
      </c>
    </row>
    <row r="28" spans="1:19" x14ac:dyDescent="0.25">
      <c r="A28">
        <v>2020</v>
      </c>
      <c r="B28" t="s">
        <v>1</v>
      </c>
      <c r="C28" t="s">
        <v>678</v>
      </c>
      <c r="D28">
        <v>99</v>
      </c>
      <c r="E28">
        <v>65</v>
      </c>
      <c r="F28">
        <v>225</v>
      </c>
      <c r="G28" t="s">
        <v>658</v>
      </c>
      <c r="H28" t="s">
        <v>179</v>
      </c>
      <c r="I28" t="s">
        <v>679</v>
      </c>
      <c r="J28" t="s">
        <v>138</v>
      </c>
      <c r="M28" s="17">
        <f t="shared" si="3"/>
        <v>99</v>
      </c>
      <c r="N28" s="17">
        <f t="shared" si="4"/>
        <v>65</v>
      </c>
      <c r="O28" s="17">
        <f t="shared" si="5"/>
        <v>225</v>
      </c>
      <c r="Q28">
        <v>99</v>
      </c>
      <c r="R28">
        <v>65</v>
      </c>
      <c r="S28">
        <v>225</v>
      </c>
    </row>
    <row r="29" spans="1:19" x14ac:dyDescent="0.25">
      <c r="A29">
        <v>2020</v>
      </c>
      <c r="B29" t="s">
        <v>1</v>
      </c>
      <c r="C29" t="s">
        <v>678</v>
      </c>
      <c r="D29">
        <v>108</v>
      </c>
      <c r="E29">
        <v>66.5</v>
      </c>
      <c r="F29">
        <v>226</v>
      </c>
      <c r="G29" t="s">
        <v>658</v>
      </c>
      <c r="H29" t="s">
        <v>179</v>
      </c>
      <c r="I29" t="s">
        <v>680</v>
      </c>
      <c r="J29" t="s">
        <v>188</v>
      </c>
      <c r="M29" s="17">
        <f t="shared" si="3"/>
        <v>108</v>
      </c>
      <c r="N29" s="17">
        <f t="shared" si="4"/>
        <v>66.5</v>
      </c>
      <c r="O29" s="17">
        <f t="shared" si="5"/>
        <v>226</v>
      </c>
      <c r="Q29">
        <v>108</v>
      </c>
      <c r="R29">
        <v>66.5</v>
      </c>
      <c r="S29">
        <v>226</v>
      </c>
    </row>
    <row r="30" spans="1:19" x14ac:dyDescent="0.25">
      <c r="A30" s="16">
        <v>2020</v>
      </c>
      <c r="B30" s="16" t="s">
        <v>1</v>
      </c>
      <c r="C30" s="16" t="s">
        <v>681</v>
      </c>
      <c r="D30" s="16">
        <v>100</v>
      </c>
      <c r="E30" s="16">
        <v>62</v>
      </c>
      <c r="F30" s="16">
        <v>231</v>
      </c>
      <c r="G30" s="16" t="s">
        <v>723</v>
      </c>
      <c r="H30" s="16" t="s">
        <v>283</v>
      </c>
      <c r="I30" s="16" t="s">
        <v>190</v>
      </c>
      <c r="J30" s="16" t="s">
        <v>233</v>
      </c>
      <c r="K30" s="16"/>
      <c r="L30" s="16"/>
      <c r="M30" s="17">
        <f t="shared" si="3"/>
        <v>100</v>
      </c>
      <c r="N30" s="17">
        <f t="shared" si="4"/>
        <v>62</v>
      </c>
      <c r="O30" s="17">
        <f t="shared" si="5"/>
        <v>231</v>
      </c>
      <c r="Q30">
        <v>100</v>
      </c>
      <c r="R30">
        <v>62</v>
      </c>
      <c r="S30">
        <v>231</v>
      </c>
    </row>
    <row r="31" spans="1:19" x14ac:dyDescent="0.25">
      <c r="A31" s="16">
        <v>2020</v>
      </c>
      <c r="B31" s="16" t="s">
        <v>1</v>
      </c>
      <c r="C31" s="16" t="s">
        <v>681</v>
      </c>
      <c r="D31" s="16">
        <v>115</v>
      </c>
      <c r="E31" s="16">
        <v>66</v>
      </c>
      <c r="F31" s="16">
        <v>232</v>
      </c>
      <c r="G31" s="16" t="s">
        <v>723</v>
      </c>
      <c r="H31" s="16" t="s">
        <v>283</v>
      </c>
      <c r="I31" s="16" t="s">
        <v>195</v>
      </c>
      <c r="J31" s="16" t="s">
        <v>235</v>
      </c>
      <c r="K31" s="16"/>
      <c r="L31" s="16"/>
      <c r="M31" s="17">
        <f t="shared" si="3"/>
        <v>115</v>
      </c>
      <c r="N31" s="17">
        <f t="shared" si="4"/>
        <v>66</v>
      </c>
      <c r="O31" s="17">
        <f t="shared" si="5"/>
        <v>232</v>
      </c>
      <c r="Q31">
        <v>115</v>
      </c>
      <c r="R31">
        <v>66</v>
      </c>
      <c r="S31">
        <v>232</v>
      </c>
    </row>
    <row r="32" spans="1:19" x14ac:dyDescent="0.25">
      <c r="A32" s="16">
        <v>2020</v>
      </c>
      <c r="B32" s="16" t="s">
        <v>1</v>
      </c>
      <c r="C32" s="16" t="s">
        <v>681</v>
      </c>
      <c r="D32" s="16">
        <v>130</v>
      </c>
      <c r="E32" s="16">
        <v>70</v>
      </c>
      <c r="F32" s="16">
        <v>233</v>
      </c>
      <c r="G32" s="16" t="s">
        <v>723</v>
      </c>
      <c r="H32" s="16" t="s">
        <v>153</v>
      </c>
      <c r="I32" s="16" t="s">
        <v>201</v>
      </c>
      <c r="J32" s="16" t="s">
        <v>199</v>
      </c>
      <c r="K32" s="16"/>
      <c r="L32" s="16"/>
      <c r="M32" s="17">
        <f t="shared" si="3"/>
        <v>130</v>
      </c>
      <c r="N32" s="17">
        <f t="shared" si="4"/>
        <v>70</v>
      </c>
      <c r="O32" s="17">
        <f t="shared" si="5"/>
        <v>233</v>
      </c>
      <c r="Q32">
        <v>130</v>
      </c>
      <c r="R32">
        <v>70</v>
      </c>
      <c r="S32">
        <v>233</v>
      </c>
    </row>
    <row r="33" spans="1:19" x14ac:dyDescent="0.25">
      <c r="A33" s="16">
        <v>2020</v>
      </c>
      <c r="B33" s="16" t="s">
        <v>1</v>
      </c>
      <c r="C33" s="16" t="s">
        <v>681</v>
      </c>
      <c r="D33" s="16">
        <v>145</v>
      </c>
      <c r="E33" s="16">
        <v>77</v>
      </c>
      <c r="F33" s="16">
        <v>235</v>
      </c>
      <c r="G33" s="16" t="s">
        <v>723</v>
      </c>
      <c r="H33" s="16" t="s">
        <v>153</v>
      </c>
      <c r="I33" s="16" t="s">
        <v>209</v>
      </c>
      <c r="J33" s="16" t="s">
        <v>238</v>
      </c>
      <c r="K33" s="16"/>
      <c r="L33" s="16"/>
      <c r="M33" s="17">
        <f t="shared" si="3"/>
        <v>145</v>
      </c>
      <c r="N33" s="17">
        <f t="shared" si="4"/>
        <v>77</v>
      </c>
      <c r="O33" s="17">
        <f t="shared" si="5"/>
        <v>235</v>
      </c>
      <c r="Q33">
        <v>145</v>
      </c>
      <c r="R33">
        <v>77</v>
      </c>
      <c r="S33">
        <v>235</v>
      </c>
    </row>
    <row r="34" spans="1:19" x14ac:dyDescent="0.25">
      <c r="A34">
        <v>2020</v>
      </c>
      <c r="B34" t="s">
        <v>1</v>
      </c>
      <c r="C34" t="s">
        <v>684</v>
      </c>
      <c r="D34">
        <v>100</v>
      </c>
      <c r="E34">
        <v>62</v>
      </c>
      <c r="F34">
        <v>231</v>
      </c>
      <c r="G34" t="s">
        <v>606</v>
      </c>
      <c r="H34" t="s">
        <v>283</v>
      </c>
      <c r="I34" t="s">
        <v>682</v>
      </c>
      <c r="J34" t="s">
        <v>233</v>
      </c>
      <c r="M34" s="17">
        <f t="shared" si="3"/>
        <v>100</v>
      </c>
      <c r="N34" s="17">
        <f t="shared" si="4"/>
        <v>62</v>
      </c>
      <c r="O34" s="17">
        <f t="shared" si="5"/>
        <v>231</v>
      </c>
      <c r="Q34">
        <v>100</v>
      </c>
      <c r="R34">
        <v>62</v>
      </c>
      <c r="S34">
        <v>231</v>
      </c>
    </row>
    <row r="35" spans="1:19" x14ac:dyDescent="0.25">
      <c r="A35">
        <v>2020</v>
      </c>
      <c r="B35" t="s">
        <v>1</v>
      </c>
      <c r="C35" t="s">
        <v>684</v>
      </c>
      <c r="D35">
        <v>115</v>
      </c>
      <c r="E35">
        <v>66</v>
      </c>
      <c r="F35">
        <v>232</v>
      </c>
      <c r="G35" t="s">
        <v>606</v>
      </c>
      <c r="H35" t="s">
        <v>283</v>
      </c>
      <c r="I35" t="s">
        <v>683</v>
      </c>
      <c r="J35" t="s">
        <v>235</v>
      </c>
      <c r="M35" s="17">
        <f t="shared" si="3"/>
        <v>115</v>
      </c>
      <c r="N35" s="17">
        <f t="shared" si="4"/>
        <v>66</v>
      </c>
      <c r="O35" s="17">
        <f t="shared" si="5"/>
        <v>232</v>
      </c>
      <c r="Q35">
        <v>115</v>
      </c>
      <c r="R35">
        <v>66</v>
      </c>
      <c r="S35">
        <v>232</v>
      </c>
    </row>
    <row r="36" spans="1:19" x14ac:dyDescent="0.25">
      <c r="A36">
        <v>2020</v>
      </c>
      <c r="B36" t="s">
        <v>1</v>
      </c>
      <c r="C36" t="s">
        <v>684</v>
      </c>
      <c r="D36">
        <v>130</v>
      </c>
      <c r="E36">
        <v>70</v>
      </c>
      <c r="F36">
        <v>233</v>
      </c>
      <c r="G36" t="s">
        <v>606</v>
      </c>
      <c r="H36" t="s">
        <v>283</v>
      </c>
      <c r="I36" t="s">
        <v>685</v>
      </c>
      <c r="J36" t="s">
        <v>199</v>
      </c>
      <c r="M36" s="17">
        <f t="shared" si="3"/>
        <v>130</v>
      </c>
      <c r="N36" s="17">
        <f t="shared" si="4"/>
        <v>70</v>
      </c>
      <c r="O36" s="17">
        <f t="shared" si="5"/>
        <v>233</v>
      </c>
      <c r="Q36">
        <v>130</v>
      </c>
      <c r="R36">
        <v>70</v>
      </c>
      <c r="S36">
        <v>233</v>
      </c>
    </row>
    <row r="37" spans="1:19" x14ac:dyDescent="0.25">
      <c r="A37">
        <v>2020</v>
      </c>
      <c r="B37" t="s">
        <v>1</v>
      </c>
      <c r="C37" t="s">
        <v>684</v>
      </c>
      <c r="D37">
        <v>145</v>
      </c>
      <c r="E37">
        <v>77</v>
      </c>
      <c r="F37">
        <v>235</v>
      </c>
      <c r="G37" t="s">
        <v>606</v>
      </c>
      <c r="H37" t="s">
        <v>283</v>
      </c>
      <c r="I37" t="s">
        <v>686</v>
      </c>
      <c r="J37" t="s">
        <v>238</v>
      </c>
      <c r="M37" s="17">
        <f t="shared" si="3"/>
        <v>145</v>
      </c>
      <c r="N37" s="17">
        <f t="shared" si="4"/>
        <v>77</v>
      </c>
      <c r="O37" s="17">
        <f t="shared" si="5"/>
        <v>235</v>
      </c>
      <c r="Q37">
        <v>145</v>
      </c>
      <c r="R37">
        <v>77</v>
      </c>
      <c r="S37">
        <v>235</v>
      </c>
    </row>
    <row r="38" spans="1:19" x14ac:dyDescent="0.25">
      <c r="A38" s="16">
        <v>2020</v>
      </c>
      <c r="B38" s="16" t="s">
        <v>1</v>
      </c>
      <c r="C38" s="16" t="s">
        <v>687</v>
      </c>
      <c r="D38" s="16">
        <v>100</v>
      </c>
      <c r="E38" s="16">
        <v>66</v>
      </c>
      <c r="F38" s="16">
        <v>239</v>
      </c>
      <c r="G38" s="16" t="s">
        <v>723</v>
      </c>
      <c r="H38" s="16" t="s">
        <v>179</v>
      </c>
      <c r="I38" s="16" t="s">
        <v>192</v>
      </c>
      <c r="J38" s="16" t="s">
        <v>193</v>
      </c>
      <c r="K38" s="16"/>
      <c r="L38" s="16"/>
      <c r="M38" s="17">
        <f t="shared" si="3"/>
        <v>100</v>
      </c>
      <c r="N38" s="17">
        <f t="shared" si="4"/>
        <v>66</v>
      </c>
      <c r="O38" s="17">
        <f t="shared" si="5"/>
        <v>239</v>
      </c>
      <c r="Q38">
        <v>100</v>
      </c>
      <c r="R38">
        <v>66</v>
      </c>
      <c r="S38">
        <v>239</v>
      </c>
    </row>
    <row r="39" spans="1:19" x14ac:dyDescent="0.25">
      <c r="A39" s="16">
        <v>2020</v>
      </c>
      <c r="B39" s="16" t="s">
        <v>1</v>
      </c>
      <c r="C39" s="16" t="s">
        <v>687</v>
      </c>
      <c r="D39" s="16">
        <v>110</v>
      </c>
      <c r="E39" s="16">
        <v>72</v>
      </c>
      <c r="F39" s="16">
        <v>239</v>
      </c>
      <c r="G39" s="16" t="s">
        <v>723</v>
      </c>
      <c r="H39" s="16" t="s">
        <v>179</v>
      </c>
      <c r="I39" s="16" t="s">
        <v>195</v>
      </c>
      <c r="J39" s="16" t="s">
        <v>196</v>
      </c>
      <c r="K39" s="16"/>
      <c r="L39" s="16"/>
      <c r="M39" s="17">
        <f t="shared" si="3"/>
        <v>110</v>
      </c>
      <c r="N39" s="17">
        <f t="shared" si="4"/>
        <v>72</v>
      </c>
      <c r="O39" s="17">
        <f t="shared" si="5"/>
        <v>239</v>
      </c>
      <c r="Q39">
        <v>110</v>
      </c>
      <c r="R39">
        <v>72</v>
      </c>
      <c r="S39">
        <v>239</v>
      </c>
    </row>
    <row r="40" spans="1:19" x14ac:dyDescent="0.25">
      <c r="A40" s="16">
        <v>2020</v>
      </c>
      <c r="B40" s="16" t="s">
        <v>1</v>
      </c>
      <c r="C40" s="16" t="s">
        <v>687</v>
      </c>
      <c r="D40" s="16">
        <v>122</v>
      </c>
      <c r="E40" s="16">
        <v>77</v>
      </c>
      <c r="F40" s="16">
        <v>242</v>
      </c>
      <c r="G40" s="16" t="s">
        <v>723</v>
      </c>
      <c r="H40" s="16" t="s">
        <v>179</v>
      </c>
      <c r="I40" s="16" t="s">
        <v>198</v>
      </c>
      <c r="J40" s="16" t="s">
        <v>199</v>
      </c>
      <c r="K40" s="16"/>
      <c r="L40" s="16"/>
      <c r="M40" s="17">
        <f t="shared" si="3"/>
        <v>122</v>
      </c>
      <c r="N40" s="17">
        <f t="shared" si="4"/>
        <v>77</v>
      </c>
      <c r="O40" s="17">
        <f t="shared" si="5"/>
        <v>242</v>
      </c>
      <c r="Q40">
        <v>122</v>
      </c>
      <c r="R40">
        <v>77</v>
      </c>
      <c r="S40">
        <v>242</v>
      </c>
    </row>
    <row r="41" spans="1:19" x14ac:dyDescent="0.25">
      <c r="A41" s="16">
        <v>2020</v>
      </c>
      <c r="B41" s="16" t="s">
        <v>1</v>
      </c>
      <c r="C41" s="16" t="s">
        <v>687</v>
      </c>
      <c r="D41" s="16">
        <v>135</v>
      </c>
      <c r="E41" s="16">
        <v>79</v>
      </c>
      <c r="F41" s="16">
        <v>246</v>
      </c>
      <c r="G41" s="16" t="s">
        <v>723</v>
      </c>
      <c r="H41" s="16" t="s">
        <v>179</v>
      </c>
      <c r="I41" s="16" t="s">
        <v>201</v>
      </c>
      <c r="J41" s="16" t="s">
        <v>202</v>
      </c>
      <c r="K41" s="16"/>
      <c r="L41" s="16"/>
      <c r="M41" s="17">
        <f t="shared" si="3"/>
        <v>135</v>
      </c>
      <c r="N41" s="17">
        <f t="shared" si="4"/>
        <v>79</v>
      </c>
      <c r="O41" s="17">
        <f t="shared" si="5"/>
        <v>246</v>
      </c>
      <c r="Q41">
        <v>135</v>
      </c>
      <c r="R41">
        <v>79</v>
      </c>
      <c r="S41">
        <v>246</v>
      </c>
    </row>
    <row r="42" spans="1:19" x14ac:dyDescent="0.25">
      <c r="A42" s="16">
        <v>2020</v>
      </c>
      <c r="B42" s="16" t="s">
        <v>1</v>
      </c>
      <c r="C42" s="16" t="s">
        <v>687</v>
      </c>
      <c r="D42" s="16">
        <v>148</v>
      </c>
      <c r="E42" s="16">
        <v>83</v>
      </c>
      <c r="F42" s="16">
        <v>250</v>
      </c>
      <c r="G42" s="16" t="s">
        <v>723</v>
      </c>
      <c r="H42" s="16" t="s">
        <v>179</v>
      </c>
      <c r="I42" s="16" t="s">
        <v>204</v>
      </c>
      <c r="J42" s="16" t="s">
        <v>205</v>
      </c>
      <c r="K42" s="16"/>
      <c r="L42" s="16"/>
      <c r="M42" s="17">
        <f t="shared" si="3"/>
        <v>148</v>
      </c>
      <c r="N42" s="17">
        <f t="shared" si="4"/>
        <v>83</v>
      </c>
      <c r="O42" s="17">
        <f t="shared" si="5"/>
        <v>250</v>
      </c>
      <c r="Q42">
        <v>148</v>
      </c>
      <c r="R42">
        <v>83</v>
      </c>
      <c r="S42">
        <v>250</v>
      </c>
    </row>
    <row r="43" spans="1:19" x14ac:dyDescent="0.25">
      <c r="A43">
        <v>2020</v>
      </c>
      <c r="B43" t="s">
        <v>1</v>
      </c>
      <c r="C43" t="s">
        <v>688</v>
      </c>
      <c r="D43">
        <v>110</v>
      </c>
      <c r="E43">
        <v>72</v>
      </c>
      <c r="F43">
        <v>239</v>
      </c>
      <c r="G43" t="s">
        <v>722</v>
      </c>
      <c r="H43" t="s">
        <v>179</v>
      </c>
      <c r="I43" t="s">
        <v>195</v>
      </c>
      <c r="J43" t="s">
        <v>196</v>
      </c>
      <c r="M43" s="17">
        <f t="shared" si="3"/>
        <v>110</v>
      </c>
      <c r="N43" s="17">
        <f t="shared" si="4"/>
        <v>72</v>
      </c>
      <c r="O43" s="17">
        <f t="shared" si="5"/>
        <v>239</v>
      </c>
      <c r="Q43">
        <v>110</v>
      </c>
      <c r="R43">
        <v>72</v>
      </c>
      <c r="S43">
        <v>239</v>
      </c>
    </row>
    <row r="44" spans="1:19" x14ac:dyDescent="0.25">
      <c r="A44">
        <v>2020</v>
      </c>
      <c r="B44" t="s">
        <v>1</v>
      </c>
      <c r="C44" t="s">
        <v>688</v>
      </c>
      <c r="D44">
        <v>122</v>
      </c>
      <c r="E44">
        <v>77</v>
      </c>
      <c r="F44">
        <v>242</v>
      </c>
      <c r="G44" t="s">
        <v>722</v>
      </c>
      <c r="H44" t="s">
        <v>179</v>
      </c>
      <c r="I44" t="s">
        <v>198</v>
      </c>
      <c r="J44" t="s">
        <v>199</v>
      </c>
      <c r="M44" s="17">
        <f t="shared" si="3"/>
        <v>122</v>
      </c>
      <c r="N44" s="17">
        <f t="shared" si="4"/>
        <v>77</v>
      </c>
      <c r="O44" s="17">
        <f t="shared" si="5"/>
        <v>242</v>
      </c>
      <c r="Q44">
        <v>122</v>
      </c>
      <c r="R44">
        <v>77</v>
      </c>
      <c r="S44">
        <v>242</v>
      </c>
    </row>
    <row r="45" spans="1:19" x14ac:dyDescent="0.25">
      <c r="A45">
        <v>2020</v>
      </c>
      <c r="B45" t="s">
        <v>1</v>
      </c>
      <c r="C45" t="s">
        <v>688</v>
      </c>
      <c r="D45">
        <v>135</v>
      </c>
      <c r="E45">
        <v>79</v>
      </c>
      <c r="F45">
        <v>246</v>
      </c>
      <c r="G45" t="s">
        <v>722</v>
      </c>
      <c r="H45" t="s">
        <v>179</v>
      </c>
      <c r="I45" t="s">
        <v>201</v>
      </c>
      <c r="J45" t="s">
        <v>202</v>
      </c>
      <c r="M45" s="17">
        <f t="shared" si="3"/>
        <v>135</v>
      </c>
      <c r="N45" s="17">
        <f t="shared" si="4"/>
        <v>79</v>
      </c>
      <c r="O45" s="17">
        <f t="shared" si="5"/>
        <v>246</v>
      </c>
      <c r="Q45">
        <v>135</v>
      </c>
      <c r="R45">
        <v>79</v>
      </c>
      <c r="S45">
        <v>246</v>
      </c>
    </row>
    <row r="46" spans="1:19" x14ac:dyDescent="0.25">
      <c r="A46" s="16">
        <v>2020</v>
      </c>
      <c r="B46" s="16" t="s">
        <v>1</v>
      </c>
      <c r="C46" s="16" t="s">
        <v>691</v>
      </c>
      <c r="D46" s="16">
        <v>100</v>
      </c>
      <c r="E46" s="16">
        <v>66</v>
      </c>
      <c r="F46" s="16">
        <v>239</v>
      </c>
      <c r="G46" s="16" t="s">
        <v>606</v>
      </c>
      <c r="H46" s="16" t="s">
        <v>179</v>
      </c>
      <c r="I46" s="16" t="s">
        <v>689</v>
      </c>
      <c r="J46" s="16" t="s">
        <v>193</v>
      </c>
      <c r="K46" s="16"/>
      <c r="L46" s="16"/>
      <c r="M46" s="17">
        <f t="shared" si="3"/>
        <v>100</v>
      </c>
      <c r="N46" s="17">
        <f t="shared" si="4"/>
        <v>66</v>
      </c>
      <c r="O46" s="17">
        <f t="shared" si="5"/>
        <v>239</v>
      </c>
      <c r="Q46">
        <v>100</v>
      </c>
      <c r="R46">
        <v>66</v>
      </c>
      <c r="S46">
        <v>239</v>
      </c>
    </row>
    <row r="47" spans="1:19" x14ac:dyDescent="0.25">
      <c r="A47" s="16">
        <v>2020</v>
      </c>
      <c r="B47" s="16" t="s">
        <v>1</v>
      </c>
      <c r="C47" s="16" t="s">
        <v>691</v>
      </c>
      <c r="D47" s="16">
        <v>110</v>
      </c>
      <c r="E47" s="16">
        <v>72</v>
      </c>
      <c r="F47" s="16">
        <v>239</v>
      </c>
      <c r="G47" s="16" t="s">
        <v>606</v>
      </c>
      <c r="H47" s="16" t="s">
        <v>179</v>
      </c>
      <c r="I47" s="16" t="s">
        <v>683</v>
      </c>
      <c r="J47" s="16" t="s">
        <v>196</v>
      </c>
      <c r="K47" s="16"/>
      <c r="L47" s="16"/>
      <c r="M47" s="17">
        <f t="shared" si="3"/>
        <v>110</v>
      </c>
      <c r="N47" s="17">
        <f t="shared" si="4"/>
        <v>72</v>
      </c>
      <c r="O47" s="17">
        <f t="shared" si="5"/>
        <v>239</v>
      </c>
      <c r="Q47">
        <v>110</v>
      </c>
      <c r="R47">
        <v>72</v>
      </c>
      <c r="S47">
        <v>239</v>
      </c>
    </row>
    <row r="48" spans="1:19" x14ac:dyDescent="0.25">
      <c r="A48" s="16">
        <v>2020</v>
      </c>
      <c r="B48" s="16" t="s">
        <v>1</v>
      </c>
      <c r="C48" s="16" t="s">
        <v>691</v>
      </c>
      <c r="D48" s="16">
        <v>122</v>
      </c>
      <c r="E48" s="16">
        <v>77</v>
      </c>
      <c r="F48" s="16">
        <v>242</v>
      </c>
      <c r="G48" s="16" t="s">
        <v>606</v>
      </c>
      <c r="H48" s="16" t="s">
        <v>179</v>
      </c>
      <c r="I48" s="16" t="s">
        <v>690</v>
      </c>
      <c r="J48" s="16" t="s">
        <v>199</v>
      </c>
      <c r="K48" s="16"/>
      <c r="L48" s="16"/>
      <c r="M48" s="17">
        <f t="shared" si="3"/>
        <v>122</v>
      </c>
      <c r="N48" s="17">
        <f t="shared" si="4"/>
        <v>77</v>
      </c>
      <c r="O48" s="17">
        <f t="shared" si="5"/>
        <v>242</v>
      </c>
      <c r="Q48">
        <v>122</v>
      </c>
      <c r="R48">
        <v>77</v>
      </c>
      <c r="S48">
        <v>242</v>
      </c>
    </row>
    <row r="49" spans="1:19" x14ac:dyDescent="0.25">
      <c r="A49" s="16">
        <v>2020</v>
      </c>
      <c r="B49" s="16" t="s">
        <v>1</v>
      </c>
      <c r="C49" s="16" t="s">
        <v>691</v>
      </c>
      <c r="D49" s="16">
        <v>135</v>
      </c>
      <c r="E49" s="16">
        <v>79</v>
      </c>
      <c r="F49" s="16">
        <v>246</v>
      </c>
      <c r="G49" s="16" t="s">
        <v>606</v>
      </c>
      <c r="H49" s="16" t="s">
        <v>179</v>
      </c>
      <c r="I49" s="16" t="s">
        <v>685</v>
      </c>
      <c r="J49" s="16" t="s">
        <v>202</v>
      </c>
      <c r="K49" s="16"/>
      <c r="L49" s="16"/>
      <c r="M49" s="17">
        <f t="shared" si="3"/>
        <v>135</v>
      </c>
      <c r="N49" s="17">
        <f t="shared" si="4"/>
        <v>79</v>
      </c>
      <c r="O49" s="17">
        <f t="shared" si="5"/>
        <v>246</v>
      </c>
      <c r="Q49">
        <v>135</v>
      </c>
      <c r="R49">
        <v>79</v>
      </c>
      <c r="S49">
        <v>246</v>
      </c>
    </row>
    <row r="50" spans="1:19" x14ac:dyDescent="0.25">
      <c r="A50" s="16">
        <v>2020</v>
      </c>
      <c r="B50" s="16" t="s">
        <v>1</v>
      </c>
      <c r="C50" s="16" t="s">
        <v>691</v>
      </c>
      <c r="D50" s="16">
        <v>148</v>
      </c>
      <c r="E50" s="16">
        <v>83</v>
      </c>
      <c r="F50" s="16">
        <v>250</v>
      </c>
      <c r="G50" s="16" t="s">
        <v>606</v>
      </c>
      <c r="H50" s="16" t="s">
        <v>179</v>
      </c>
      <c r="I50" s="16" t="s">
        <v>692</v>
      </c>
      <c r="J50" s="16" t="s">
        <v>205</v>
      </c>
      <c r="K50" s="16"/>
      <c r="L50" s="16"/>
      <c r="M50" s="17">
        <f t="shared" si="3"/>
        <v>148</v>
      </c>
      <c r="N50" s="17">
        <f t="shared" si="4"/>
        <v>83</v>
      </c>
      <c r="O50" s="17">
        <f t="shared" si="5"/>
        <v>250</v>
      </c>
      <c r="Q50">
        <v>148</v>
      </c>
      <c r="R50">
        <v>83</v>
      </c>
      <c r="S50">
        <v>250</v>
      </c>
    </row>
    <row r="51" spans="1:19" x14ac:dyDescent="0.25">
      <c r="A51" s="16">
        <v>2020</v>
      </c>
      <c r="B51" s="16" t="s">
        <v>1</v>
      </c>
      <c r="C51" s="16" t="s">
        <v>691</v>
      </c>
      <c r="D51" s="16">
        <v>156</v>
      </c>
      <c r="E51" s="16">
        <v>85</v>
      </c>
      <c r="F51" s="16">
        <v>252</v>
      </c>
      <c r="G51" s="16" t="s">
        <v>606</v>
      </c>
      <c r="H51" s="16" t="s">
        <v>179</v>
      </c>
      <c r="I51" s="16" t="s">
        <v>693</v>
      </c>
      <c r="J51" s="16" t="s">
        <v>227</v>
      </c>
      <c r="K51" s="16"/>
      <c r="L51" s="16"/>
      <c r="M51" s="17">
        <f t="shared" si="3"/>
        <v>156</v>
      </c>
      <c r="N51" s="17">
        <f t="shared" si="4"/>
        <v>85</v>
      </c>
      <c r="O51" s="17">
        <f t="shared" si="5"/>
        <v>252</v>
      </c>
      <c r="Q51">
        <v>156</v>
      </c>
      <c r="R51">
        <v>85</v>
      </c>
      <c r="S51">
        <v>252</v>
      </c>
    </row>
    <row r="52" spans="1:19" x14ac:dyDescent="0.25">
      <c r="A52" s="16">
        <v>2020</v>
      </c>
      <c r="B52" s="16" t="s">
        <v>1</v>
      </c>
      <c r="C52" s="16" t="s">
        <v>691</v>
      </c>
      <c r="D52" s="16">
        <v>156</v>
      </c>
      <c r="E52" s="16">
        <v>85</v>
      </c>
      <c r="F52" s="16">
        <v>252</v>
      </c>
      <c r="G52" s="16" t="s">
        <v>694</v>
      </c>
      <c r="H52" s="16" t="s">
        <v>179</v>
      </c>
      <c r="I52" s="16" t="s">
        <v>695</v>
      </c>
      <c r="J52" s="16" t="s">
        <v>227</v>
      </c>
      <c r="K52" s="16"/>
      <c r="L52" s="16"/>
      <c r="M52" s="17">
        <f t="shared" si="3"/>
        <v>156</v>
      </c>
      <c r="N52" s="17">
        <f t="shared" si="4"/>
        <v>85</v>
      </c>
      <c r="O52" s="17">
        <f t="shared" si="5"/>
        <v>252</v>
      </c>
      <c r="Q52">
        <v>156</v>
      </c>
      <c r="R52">
        <v>85</v>
      </c>
      <c r="S52">
        <v>252</v>
      </c>
    </row>
    <row r="53" spans="1:19" x14ac:dyDescent="0.25">
      <c r="A53">
        <v>2020</v>
      </c>
      <c r="B53" t="s">
        <v>1</v>
      </c>
      <c r="C53" t="s">
        <v>696</v>
      </c>
      <c r="D53">
        <v>135</v>
      </c>
      <c r="E53">
        <v>79</v>
      </c>
      <c r="F53">
        <v>246</v>
      </c>
      <c r="G53" t="s">
        <v>654</v>
      </c>
      <c r="H53" t="s">
        <v>283</v>
      </c>
      <c r="I53" t="s">
        <v>209</v>
      </c>
      <c r="J53" t="s">
        <v>202</v>
      </c>
      <c r="M53" s="17">
        <f t="shared" si="3"/>
        <v>135</v>
      </c>
      <c r="N53" s="17">
        <f t="shared" si="4"/>
        <v>79</v>
      </c>
      <c r="O53" s="17">
        <f t="shared" si="5"/>
        <v>246</v>
      </c>
      <c r="Q53">
        <v>135</v>
      </c>
      <c r="R53">
        <v>79</v>
      </c>
      <c r="S53">
        <v>246</v>
      </c>
    </row>
    <row r="54" spans="1:19" x14ac:dyDescent="0.25">
      <c r="A54">
        <v>2020</v>
      </c>
      <c r="B54" t="s">
        <v>1</v>
      </c>
      <c r="C54" t="s">
        <v>697</v>
      </c>
      <c r="D54">
        <v>135</v>
      </c>
      <c r="E54">
        <v>79</v>
      </c>
      <c r="F54">
        <v>246</v>
      </c>
      <c r="G54" t="s">
        <v>606</v>
      </c>
      <c r="H54" t="s">
        <v>283</v>
      </c>
      <c r="I54" t="s">
        <v>686</v>
      </c>
      <c r="J54" t="s">
        <v>202</v>
      </c>
      <c r="M54" s="17">
        <f t="shared" si="3"/>
        <v>135</v>
      </c>
      <c r="N54" s="17">
        <f t="shared" si="4"/>
        <v>79</v>
      </c>
      <c r="O54" s="17">
        <f t="shared" si="5"/>
        <v>246</v>
      </c>
      <c r="Q54">
        <v>135</v>
      </c>
      <c r="R54">
        <v>79</v>
      </c>
      <c r="S54">
        <v>246</v>
      </c>
    </row>
    <row r="55" spans="1:19" x14ac:dyDescent="0.25">
      <c r="A55">
        <v>2020</v>
      </c>
      <c r="B55" t="s">
        <v>1</v>
      </c>
      <c r="C55" t="s">
        <v>701</v>
      </c>
      <c r="D55">
        <v>94</v>
      </c>
      <c r="E55">
        <v>61</v>
      </c>
      <c r="F55">
        <v>235</v>
      </c>
      <c r="G55" t="s">
        <v>723</v>
      </c>
      <c r="H55" t="s">
        <v>698</v>
      </c>
      <c r="I55" t="s">
        <v>699</v>
      </c>
      <c r="J55" t="s">
        <v>247</v>
      </c>
      <c r="M55" s="17">
        <f t="shared" si="3"/>
        <v>94</v>
      </c>
      <c r="N55" s="17">
        <f t="shared" si="4"/>
        <v>61</v>
      </c>
      <c r="O55" s="17">
        <f t="shared" si="5"/>
        <v>235</v>
      </c>
      <c r="Q55">
        <v>94</v>
      </c>
      <c r="R55">
        <v>61</v>
      </c>
      <c r="S55">
        <v>235</v>
      </c>
    </row>
    <row r="56" spans="1:19" x14ac:dyDescent="0.25">
      <c r="A56">
        <v>2020</v>
      </c>
      <c r="B56" t="s">
        <v>1</v>
      </c>
      <c r="C56" t="s">
        <v>701</v>
      </c>
      <c r="D56">
        <v>108</v>
      </c>
      <c r="E56">
        <v>69</v>
      </c>
      <c r="F56">
        <v>235</v>
      </c>
      <c r="G56" t="s">
        <v>723</v>
      </c>
      <c r="H56" t="s">
        <v>283</v>
      </c>
      <c r="I56" t="s">
        <v>700</v>
      </c>
      <c r="J56" t="s">
        <v>196</v>
      </c>
      <c r="M56" s="17">
        <f t="shared" si="3"/>
        <v>108</v>
      </c>
      <c r="N56" s="17">
        <f t="shared" si="4"/>
        <v>69</v>
      </c>
      <c r="O56" s="17">
        <f t="shared" si="5"/>
        <v>235</v>
      </c>
      <c r="Q56">
        <v>108</v>
      </c>
      <c r="R56">
        <v>69</v>
      </c>
      <c r="S56">
        <v>235</v>
      </c>
    </row>
    <row r="57" spans="1:19" x14ac:dyDescent="0.25">
      <c r="A57">
        <v>2020</v>
      </c>
      <c r="B57" t="s">
        <v>1</v>
      </c>
      <c r="C57" t="s">
        <v>701</v>
      </c>
      <c r="D57">
        <v>125</v>
      </c>
      <c r="E57">
        <v>75</v>
      </c>
      <c r="F57">
        <v>235</v>
      </c>
      <c r="G57" t="s">
        <v>723</v>
      </c>
      <c r="H57" t="s">
        <v>283</v>
      </c>
      <c r="I57" t="s">
        <v>702</v>
      </c>
      <c r="J57" t="s">
        <v>252</v>
      </c>
      <c r="M57" s="17">
        <f t="shared" si="3"/>
        <v>125</v>
      </c>
      <c r="N57" s="17">
        <f t="shared" si="4"/>
        <v>75</v>
      </c>
      <c r="O57" s="17">
        <f t="shared" si="5"/>
        <v>235</v>
      </c>
      <c r="Q57">
        <v>125</v>
      </c>
      <c r="R57">
        <v>75</v>
      </c>
      <c r="S57">
        <v>235</v>
      </c>
    </row>
    <row r="58" spans="1:19" x14ac:dyDescent="0.25">
      <c r="A58">
        <v>2020</v>
      </c>
      <c r="B58" t="s">
        <v>1</v>
      </c>
      <c r="C58" t="s">
        <v>701</v>
      </c>
      <c r="D58">
        <v>135</v>
      </c>
      <c r="E58">
        <v>82</v>
      </c>
      <c r="F58">
        <v>235</v>
      </c>
      <c r="G58" t="s">
        <v>723</v>
      </c>
      <c r="H58" t="s">
        <v>283</v>
      </c>
      <c r="I58" t="s">
        <v>703</v>
      </c>
      <c r="J58" t="s">
        <v>205</v>
      </c>
      <c r="M58" s="17">
        <f t="shared" si="3"/>
        <v>135</v>
      </c>
      <c r="N58" s="17">
        <f t="shared" si="4"/>
        <v>82</v>
      </c>
      <c r="O58" s="17">
        <f t="shared" si="5"/>
        <v>235</v>
      </c>
      <c r="Q58">
        <v>135</v>
      </c>
      <c r="R58">
        <v>82</v>
      </c>
      <c r="S58">
        <v>235</v>
      </c>
    </row>
    <row r="59" spans="1:19" x14ac:dyDescent="0.25">
      <c r="A59">
        <v>2020</v>
      </c>
      <c r="B59" t="s">
        <v>1</v>
      </c>
      <c r="C59" t="s">
        <v>705</v>
      </c>
      <c r="D59">
        <v>80</v>
      </c>
      <c r="E59">
        <v>56</v>
      </c>
      <c r="F59">
        <v>233</v>
      </c>
      <c r="G59" t="s">
        <v>704</v>
      </c>
      <c r="H59" t="s">
        <v>245</v>
      </c>
      <c r="I59" t="s">
        <v>246</v>
      </c>
      <c r="J59" t="s">
        <v>166</v>
      </c>
      <c r="M59" s="17">
        <f t="shared" si="3"/>
        <v>80</v>
      </c>
      <c r="N59" s="17">
        <f t="shared" si="4"/>
        <v>56</v>
      </c>
      <c r="O59" s="17">
        <f t="shared" si="5"/>
        <v>233</v>
      </c>
      <c r="Q59">
        <v>80</v>
      </c>
      <c r="R59">
        <v>56</v>
      </c>
      <c r="S59">
        <v>233</v>
      </c>
    </row>
    <row r="60" spans="1:19" x14ac:dyDescent="0.25">
      <c r="A60">
        <v>2020</v>
      </c>
      <c r="B60" t="s">
        <v>1</v>
      </c>
      <c r="C60" t="s">
        <v>705</v>
      </c>
      <c r="D60">
        <v>90</v>
      </c>
      <c r="E60">
        <v>60</v>
      </c>
      <c r="F60">
        <v>233</v>
      </c>
      <c r="G60" t="s">
        <v>704</v>
      </c>
      <c r="H60" t="s">
        <v>245</v>
      </c>
      <c r="I60" t="s">
        <v>246</v>
      </c>
      <c r="J60" t="s">
        <v>233</v>
      </c>
      <c r="M60" s="17">
        <f t="shared" si="3"/>
        <v>90</v>
      </c>
      <c r="N60" s="17">
        <f t="shared" si="4"/>
        <v>60</v>
      </c>
      <c r="O60" s="17">
        <f t="shared" si="5"/>
        <v>233</v>
      </c>
      <c r="Q60">
        <v>90</v>
      </c>
      <c r="R60">
        <v>60</v>
      </c>
      <c r="S60">
        <v>233</v>
      </c>
    </row>
    <row r="61" spans="1:19" x14ac:dyDescent="0.25">
      <c r="A61">
        <v>2020</v>
      </c>
      <c r="B61" t="s">
        <v>1</v>
      </c>
      <c r="C61" t="s">
        <v>705</v>
      </c>
      <c r="D61">
        <v>97</v>
      </c>
      <c r="E61">
        <v>62</v>
      </c>
      <c r="F61">
        <v>233</v>
      </c>
      <c r="G61" t="s">
        <v>704</v>
      </c>
      <c r="H61" t="s">
        <v>245</v>
      </c>
      <c r="I61" t="s">
        <v>246</v>
      </c>
      <c r="J61" t="s">
        <v>247</v>
      </c>
      <c r="M61" s="17">
        <f t="shared" si="3"/>
        <v>97</v>
      </c>
      <c r="N61" s="17">
        <f t="shared" si="4"/>
        <v>62</v>
      </c>
      <c r="O61" s="17">
        <f t="shared" si="5"/>
        <v>233</v>
      </c>
      <c r="Q61">
        <v>97</v>
      </c>
      <c r="R61">
        <v>62</v>
      </c>
      <c r="S61">
        <v>233</v>
      </c>
    </row>
    <row r="62" spans="1:19" x14ac:dyDescent="0.25">
      <c r="A62">
        <v>2020</v>
      </c>
      <c r="B62" t="s">
        <v>1</v>
      </c>
      <c r="C62" t="s">
        <v>705</v>
      </c>
      <c r="D62">
        <v>106</v>
      </c>
      <c r="E62">
        <v>68</v>
      </c>
      <c r="F62">
        <v>235</v>
      </c>
      <c r="G62" t="s">
        <v>706</v>
      </c>
      <c r="H62" t="s">
        <v>250</v>
      </c>
      <c r="I62" t="s">
        <v>246</v>
      </c>
      <c r="J62" t="s">
        <v>235</v>
      </c>
      <c r="M62" s="17">
        <f t="shared" si="3"/>
        <v>106</v>
      </c>
      <c r="N62" s="17">
        <f t="shared" si="4"/>
        <v>68</v>
      </c>
      <c r="O62" s="17">
        <f t="shared" si="5"/>
        <v>235</v>
      </c>
      <c r="Q62">
        <v>106</v>
      </c>
      <c r="R62">
        <v>68</v>
      </c>
      <c r="S62">
        <v>235</v>
      </c>
    </row>
    <row r="63" spans="1:19" x14ac:dyDescent="0.25">
      <c r="A63">
        <v>2020</v>
      </c>
      <c r="B63" t="s">
        <v>1</v>
      </c>
      <c r="C63" t="s">
        <v>705</v>
      </c>
      <c r="D63">
        <v>115</v>
      </c>
      <c r="E63">
        <v>71.5</v>
      </c>
      <c r="F63">
        <v>230</v>
      </c>
      <c r="G63" t="s">
        <v>706</v>
      </c>
      <c r="H63" t="s">
        <v>250</v>
      </c>
      <c r="I63" t="s">
        <v>246</v>
      </c>
      <c r="J63" t="s">
        <v>251</v>
      </c>
      <c r="M63" s="17">
        <f t="shared" si="3"/>
        <v>115</v>
      </c>
      <c r="N63" s="17">
        <f t="shared" si="4"/>
        <v>71.5</v>
      </c>
      <c r="O63" s="17">
        <f t="shared" si="5"/>
        <v>230</v>
      </c>
      <c r="Q63">
        <v>115</v>
      </c>
      <c r="R63">
        <v>71.5</v>
      </c>
      <c r="S63">
        <v>230</v>
      </c>
    </row>
    <row r="64" spans="1:19" x14ac:dyDescent="0.25">
      <c r="A64">
        <v>2020</v>
      </c>
      <c r="B64" t="s">
        <v>1</v>
      </c>
      <c r="C64" t="s">
        <v>705</v>
      </c>
      <c r="D64">
        <v>121</v>
      </c>
      <c r="E64">
        <v>75</v>
      </c>
      <c r="F64">
        <v>230</v>
      </c>
      <c r="G64" t="s">
        <v>706</v>
      </c>
      <c r="H64" t="s">
        <v>250</v>
      </c>
      <c r="I64" t="s">
        <v>246</v>
      </c>
      <c r="J64" t="s">
        <v>252</v>
      </c>
      <c r="M64" s="17">
        <f t="shared" si="3"/>
        <v>121</v>
      </c>
      <c r="N64" s="17">
        <f t="shared" si="4"/>
        <v>75</v>
      </c>
      <c r="O64" s="17">
        <f t="shared" si="5"/>
        <v>230</v>
      </c>
      <c r="Q64">
        <v>121</v>
      </c>
      <c r="R64">
        <v>75</v>
      </c>
      <c r="S64">
        <v>230</v>
      </c>
    </row>
    <row r="65" spans="1:19" x14ac:dyDescent="0.25">
      <c r="A65">
        <v>2020</v>
      </c>
      <c r="B65" t="s">
        <v>1</v>
      </c>
      <c r="C65" t="s">
        <v>705</v>
      </c>
      <c r="D65">
        <v>130</v>
      </c>
      <c r="E65">
        <v>80</v>
      </c>
      <c r="F65">
        <v>228</v>
      </c>
      <c r="G65" t="s">
        <v>706</v>
      </c>
      <c r="H65" t="s">
        <v>283</v>
      </c>
      <c r="I65" t="s">
        <v>246</v>
      </c>
      <c r="J65" t="s">
        <v>202</v>
      </c>
      <c r="M65" s="17">
        <f t="shared" si="3"/>
        <v>130</v>
      </c>
      <c r="N65" s="17">
        <f t="shared" si="4"/>
        <v>80</v>
      </c>
      <c r="O65" s="17">
        <f t="shared" si="5"/>
        <v>228</v>
      </c>
      <c r="Q65">
        <v>130</v>
      </c>
      <c r="R65">
        <v>80</v>
      </c>
      <c r="S65">
        <v>228</v>
      </c>
    </row>
    <row r="66" spans="1:19" x14ac:dyDescent="0.25">
      <c r="A66">
        <v>2020</v>
      </c>
      <c r="B66" t="s">
        <v>1</v>
      </c>
      <c r="C66" t="s">
        <v>705</v>
      </c>
      <c r="D66">
        <v>140</v>
      </c>
      <c r="E66">
        <v>85</v>
      </c>
      <c r="F66">
        <v>228</v>
      </c>
      <c r="G66" t="s">
        <v>706</v>
      </c>
      <c r="H66" t="s">
        <v>283</v>
      </c>
      <c r="I66" t="s">
        <v>246</v>
      </c>
      <c r="J66" t="s">
        <v>205</v>
      </c>
      <c r="M66" s="17">
        <f t="shared" si="3"/>
        <v>140</v>
      </c>
      <c r="N66" s="17">
        <f t="shared" si="4"/>
        <v>85</v>
      </c>
      <c r="O66" s="17">
        <f t="shared" si="5"/>
        <v>228</v>
      </c>
      <c r="Q66">
        <v>140</v>
      </c>
      <c r="R66">
        <v>85</v>
      </c>
      <c r="S66">
        <v>228</v>
      </c>
    </row>
    <row r="67" spans="1:19" x14ac:dyDescent="0.25">
      <c r="A67">
        <v>2020</v>
      </c>
      <c r="B67" t="s">
        <v>1</v>
      </c>
      <c r="C67" t="s">
        <v>40</v>
      </c>
      <c r="D67">
        <v>159</v>
      </c>
      <c r="E67">
        <v>90</v>
      </c>
      <c r="F67">
        <v>230</v>
      </c>
      <c r="G67" t="s">
        <v>654</v>
      </c>
      <c r="H67" t="s">
        <v>283</v>
      </c>
      <c r="I67" t="s">
        <v>707</v>
      </c>
      <c r="J67" t="s">
        <v>227</v>
      </c>
      <c r="M67" s="17">
        <f t="shared" ref="M67:M84" si="6">_xlfn.REGEXREPLACE(D67,"[^0-9.]","")+0</f>
        <v>159</v>
      </c>
      <c r="N67" s="17">
        <f t="shared" ref="N67:N84" si="7">_xlfn.REGEXREPLACE(E67,"[^0-9.]","")+0</f>
        <v>90</v>
      </c>
      <c r="O67" s="17">
        <f t="shared" ref="O67:O84" si="8">_xlfn.REGEXREPLACE(F67,"[^0-9.]","")+0</f>
        <v>230</v>
      </c>
      <c r="Q67">
        <v>159</v>
      </c>
      <c r="R67">
        <v>90</v>
      </c>
      <c r="S67">
        <v>230</v>
      </c>
    </row>
    <row r="68" spans="1:19" x14ac:dyDescent="0.25">
      <c r="A68">
        <v>2020</v>
      </c>
      <c r="B68" t="s">
        <v>1</v>
      </c>
      <c r="C68" t="s">
        <v>708</v>
      </c>
      <c r="D68">
        <v>54</v>
      </c>
      <c r="E68">
        <v>44</v>
      </c>
      <c r="F68">
        <v>230</v>
      </c>
      <c r="G68" t="s">
        <v>704</v>
      </c>
      <c r="H68" t="s">
        <v>245</v>
      </c>
      <c r="I68" t="s">
        <v>246</v>
      </c>
      <c r="J68" t="s">
        <v>139</v>
      </c>
      <c r="M68" s="17">
        <f t="shared" si="6"/>
        <v>54</v>
      </c>
      <c r="N68" s="17">
        <f t="shared" si="7"/>
        <v>44</v>
      </c>
      <c r="O68" s="17">
        <f t="shared" si="8"/>
        <v>230</v>
      </c>
      <c r="Q68">
        <v>54</v>
      </c>
      <c r="R68">
        <v>44</v>
      </c>
      <c r="S68">
        <v>230</v>
      </c>
    </row>
    <row r="69" spans="1:19" x14ac:dyDescent="0.25">
      <c r="A69">
        <v>2020</v>
      </c>
      <c r="B69" t="s">
        <v>1</v>
      </c>
      <c r="C69" t="s">
        <v>708</v>
      </c>
      <c r="D69">
        <v>70</v>
      </c>
      <c r="E69">
        <v>52.5</v>
      </c>
      <c r="F69">
        <v>230</v>
      </c>
      <c r="G69" t="s">
        <v>704</v>
      </c>
      <c r="H69" t="s">
        <v>245</v>
      </c>
      <c r="I69" t="s">
        <v>246</v>
      </c>
      <c r="J69" t="s">
        <v>257</v>
      </c>
      <c r="M69" s="17">
        <f t="shared" si="6"/>
        <v>70</v>
      </c>
      <c r="N69" s="17">
        <f t="shared" si="7"/>
        <v>52.5</v>
      </c>
      <c r="O69" s="17">
        <f t="shared" si="8"/>
        <v>230</v>
      </c>
      <c r="Q69">
        <v>70</v>
      </c>
      <c r="R69">
        <v>52.5</v>
      </c>
      <c r="S69">
        <v>230</v>
      </c>
    </row>
    <row r="70" spans="1:19" x14ac:dyDescent="0.25">
      <c r="A70">
        <v>2020</v>
      </c>
      <c r="B70" t="s">
        <v>1</v>
      </c>
      <c r="C70" t="s">
        <v>709</v>
      </c>
      <c r="D70">
        <v>110</v>
      </c>
      <c r="E70">
        <v>65</v>
      </c>
      <c r="F70">
        <v>215</v>
      </c>
      <c r="G70" t="s">
        <v>671</v>
      </c>
      <c r="H70" t="s">
        <v>710</v>
      </c>
      <c r="I70" t="s">
        <v>246</v>
      </c>
      <c r="J70" t="s">
        <v>193</v>
      </c>
      <c r="M70" s="17">
        <f t="shared" si="6"/>
        <v>110</v>
      </c>
      <c r="N70" s="17">
        <f t="shared" si="7"/>
        <v>65</v>
      </c>
      <c r="O70" s="17">
        <f t="shared" si="8"/>
        <v>215</v>
      </c>
      <c r="Q70">
        <v>110</v>
      </c>
      <c r="R70">
        <v>65</v>
      </c>
      <c r="S70">
        <v>215</v>
      </c>
    </row>
    <row r="71" spans="1:19" x14ac:dyDescent="0.25">
      <c r="A71">
        <v>2020</v>
      </c>
      <c r="B71" t="s">
        <v>1</v>
      </c>
      <c r="C71" t="s">
        <v>709</v>
      </c>
      <c r="D71">
        <v>125</v>
      </c>
      <c r="E71">
        <v>75</v>
      </c>
      <c r="F71">
        <v>228</v>
      </c>
      <c r="G71" t="s">
        <v>673</v>
      </c>
      <c r="H71" t="s">
        <v>710</v>
      </c>
      <c r="I71" t="s">
        <v>246</v>
      </c>
      <c r="J71" t="s">
        <v>199</v>
      </c>
      <c r="M71" s="17">
        <f t="shared" si="6"/>
        <v>125</v>
      </c>
      <c r="N71" s="17">
        <f t="shared" si="7"/>
        <v>75</v>
      </c>
      <c r="O71" s="17">
        <f t="shared" si="8"/>
        <v>228</v>
      </c>
      <c r="Q71">
        <v>125</v>
      </c>
      <c r="R71">
        <v>75</v>
      </c>
      <c r="S71">
        <v>228</v>
      </c>
    </row>
    <row r="72" spans="1:19" x14ac:dyDescent="0.25">
      <c r="A72">
        <v>2020</v>
      </c>
      <c r="B72" t="s">
        <v>1</v>
      </c>
      <c r="C72" t="s">
        <v>709</v>
      </c>
      <c r="D72">
        <v>140</v>
      </c>
      <c r="E72">
        <v>85</v>
      </c>
      <c r="F72">
        <v>228</v>
      </c>
      <c r="G72" t="s">
        <v>673</v>
      </c>
      <c r="H72" t="s">
        <v>710</v>
      </c>
      <c r="I72" t="s">
        <v>246</v>
      </c>
      <c r="J72" t="s">
        <v>238</v>
      </c>
      <c r="M72" s="17">
        <f t="shared" si="6"/>
        <v>140</v>
      </c>
      <c r="N72" s="17">
        <f t="shared" si="7"/>
        <v>85</v>
      </c>
      <c r="O72" s="17">
        <f t="shared" si="8"/>
        <v>228</v>
      </c>
      <c r="Q72">
        <v>140</v>
      </c>
      <c r="R72">
        <v>85</v>
      </c>
      <c r="S72">
        <v>228</v>
      </c>
    </row>
    <row r="73" spans="1:19" x14ac:dyDescent="0.25">
      <c r="A73">
        <v>2020</v>
      </c>
      <c r="B73" t="s">
        <v>1</v>
      </c>
      <c r="C73" t="s">
        <v>711</v>
      </c>
      <c r="D73">
        <v>125</v>
      </c>
      <c r="E73">
        <v>75</v>
      </c>
      <c r="F73">
        <v>228</v>
      </c>
      <c r="G73" t="s">
        <v>606</v>
      </c>
      <c r="H73" t="s">
        <v>710</v>
      </c>
      <c r="I73" t="s">
        <v>246</v>
      </c>
      <c r="J73" t="s">
        <v>199</v>
      </c>
      <c r="M73" s="17">
        <f t="shared" si="6"/>
        <v>125</v>
      </c>
      <c r="N73" s="17">
        <f t="shared" si="7"/>
        <v>75</v>
      </c>
      <c r="O73" s="17">
        <f t="shared" si="8"/>
        <v>228</v>
      </c>
      <c r="Q73">
        <v>125</v>
      </c>
      <c r="R73">
        <v>75</v>
      </c>
      <c r="S73">
        <v>228</v>
      </c>
    </row>
    <row r="74" spans="1:19" x14ac:dyDescent="0.25">
      <c r="A74">
        <v>2020</v>
      </c>
      <c r="B74" t="s">
        <v>1</v>
      </c>
      <c r="C74" t="s">
        <v>711</v>
      </c>
      <c r="D74">
        <v>140</v>
      </c>
      <c r="E74">
        <v>85</v>
      </c>
      <c r="F74">
        <v>228</v>
      </c>
      <c r="G74" t="s">
        <v>606</v>
      </c>
      <c r="H74" t="s">
        <v>710</v>
      </c>
      <c r="I74" t="s">
        <v>246</v>
      </c>
      <c r="J74" t="s">
        <v>238</v>
      </c>
      <c r="M74" s="17">
        <f t="shared" si="6"/>
        <v>140</v>
      </c>
      <c r="N74" s="17">
        <f t="shared" si="7"/>
        <v>85</v>
      </c>
      <c r="O74" s="17">
        <f t="shared" si="8"/>
        <v>228</v>
      </c>
      <c r="Q74">
        <v>140</v>
      </c>
      <c r="R74">
        <v>85</v>
      </c>
      <c r="S74">
        <v>228</v>
      </c>
    </row>
    <row r="75" spans="1:19" x14ac:dyDescent="0.25">
      <c r="A75">
        <v>2020</v>
      </c>
      <c r="B75" t="s">
        <v>1</v>
      </c>
      <c r="C75" t="s">
        <v>712</v>
      </c>
      <c r="D75">
        <v>180</v>
      </c>
      <c r="E75">
        <v>91</v>
      </c>
      <c r="F75">
        <v>230</v>
      </c>
      <c r="G75" t="s">
        <v>704</v>
      </c>
      <c r="H75" t="s">
        <v>283</v>
      </c>
      <c r="I75" t="s">
        <v>246</v>
      </c>
      <c r="J75" t="s">
        <v>227</v>
      </c>
      <c r="M75" s="17">
        <f t="shared" si="6"/>
        <v>180</v>
      </c>
      <c r="N75" s="17">
        <f t="shared" si="7"/>
        <v>91</v>
      </c>
      <c r="O75" s="17">
        <f t="shared" si="8"/>
        <v>230</v>
      </c>
      <c r="Q75">
        <v>180</v>
      </c>
      <c r="R75">
        <v>91</v>
      </c>
      <c r="S75">
        <v>230</v>
      </c>
    </row>
    <row r="76" spans="1:19" x14ac:dyDescent="0.25">
      <c r="A76">
        <v>2020</v>
      </c>
      <c r="B76" t="s">
        <v>1</v>
      </c>
      <c r="C76" t="s">
        <v>113</v>
      </c>
      <c r="D76">
        <v>160</v>
      </c>
      <c r="E76">
        <v>75</v>
      </c>
      <c r="F76">
        <v>275</v>
      </c>
      <c r="G76" t="s">
        <v>713</v>
      </c>
      <c r="H76" t="s">
        <v>179</v>
      </c>
      <c r="I76" t="s">
        <v>695</v>
      </c>
      <c r="J76" t="s">
        <v>205</v>
      </c>
      <c r="M76" s="17">
        <f t="shared" si="6"/>
        <v>160</v>
      </c>
      <c r="N76" s="17">
        <f t="shared" si="7"/>
        <v>75</v>
      </c>
      <c r="O76" s="17">
        <f t="shared" si="8"/>
        <v>275</v>
      </c>
      <c r="Q76">
        <v>160</v>
      </c>
      <c r="R76">
        <v>75</v>
      </c>
      <c r="S76">
        <v>275</v>
      </c>
    </row>
    <row r="77" spans="1:19" x14ac:dyDescent="0.25">
      <c r="A77">
        <v>2020</v>
      </c>
      <c r="B77" t="s">
        <v>1</v>
      </c>
      <c r="C77" t="s">
        <v>113</v>
      </c>
      <c r="D77">
        <v>190</v>
      </c>
      <c r="E77">
        <v>80</v>
      </c>
      <c r="F77">
        <v>280</v>
      </c>
      <c r="G77" t="s">
        <v>713</v>
      </c>
      <c r="H77" t="s">
        <v>179</v>
      </c>
      <c r="I77" t="s">
        <v>695</v>
      </c>
      <c r="J77" t="s">
        <v>205</v>
      </c>
      <c r="M77" s="17">
        <f t="shared" si="6"/>
        <v>190</v>
      </c>
      <c r="N77" s="17">
        <f t="shared" si="7"/>
        <v>80</v>
      </c>
      <c r="O77" s="17">
        <f t="shared" si="8"/>
        <v>280</v>
      </c>
      <c r="Q77">
        <v>190</v>
      </c>
      <c r="R77">
        <v>80</v>
      </c>
      <c r="S77">
        <v>280</v>
      </c>
    </row>
    <row r="78" spans="1:19" x14ac:dyDescent="0.25">
      <c r="A78">
        <v>2020</v>
      </c>
      <c r="B78" t="s">
        <v>1</v>
      </c>
      <c r="C78" t="s">
        <v>113</v>
      </c>
      <c r="D78">
        <v>220</v>
      </c>
      <c r="E78">
        <v>85</v>
      </c>
      <c r="F78">
        <v>285</v>
      </c>
      <c r="G78" t="s">
        <v>713</v>
      </c>
      <c r="H78" t="s">
        <v>179</v>
      </c>
      <c r="I78" t="s">
        <v>695</v>
      </c>
      <c r="J78" t="s">
        <v>205</v>
      </c>
      <c r="M78" s="17">
        <f t="shared" si="6"/>
        <v>220</v>
      </c>
      <c r="N78" s="17">
        <f t="shared" si="7"/>
        <v>85</v>
      </c>
      <c r="O78" s="17">
        <f t="shared" si="8"/>
        <v>285</v>
      </c>
      <c r="Q78">
        <v>220</v>
      </c>
      <c r="R78">
        <v>85</v>
      </c>
      <c r="S78">
        <v>285</v>
      </c>
    </row>
    <row r="79" spans="1:19" x14ac:dyDescent="0.25">
      <c r="A79">
        <v>2020</v>
      </c>
      <c r="B79" t="s">
        <v>1</v>
      </c>
      <c r="C79" t="s">
        <v>113</v>
      </c>
      <c r="D79">
        <v>240</v>
      </c>
      <c r="E79">
        <v>91</v>
      </c>
      <c r="F79">
        <v>290</v>
      </c>
      <c r="G79" t="s">
        <v>713</v>
      </c>
      <c r="H79" t="s">
        <v>179</v>
      </c>
      <c r="I79" t="s">
        <v>695</v>
      </c>
      <c r="J79" t="s">
        <v>205</v>
      </c>
      <c r="M79" s="17">
        <f t="shared" si="6"/>
        <v>240</v>
      </c>
      <c r="N79" s="17">
        <f t="shared" si="7"/>
        <v>91</v>
      </c>
      <c r="O79" s="17">
        <f t="shared" si="8"/>
        <v>290</v>
      </c>
      <c r="Q79">
        <v>240</v>
      </c>
      <c r="R79">
        <v>91</v>
      </c>
      <c r="S79">
        <v>290</v>
      </c>
    </row>
    <row r="80" spans="1:19" x14ac:dyDescent="0.25">
      <c r="A80">
        <v>2020</v>
      </c>
      <c r="B80" t="s">
        <v>1</v>
      </c>
      <c r="C80" t="s">
        <v>714</v>
      </c>
      <c r="D80">
        <v>112</v>
      </c>
      <c r="E80">
        <v>73</v>
      </c>
      <c r="F80">
        <v>239</v>
      </c>
      <c r="G80" t="s">
        <v>713</v>
      </c>
      <c r="H80" t="s">
        <v>179</v>
      </c>
      <c r="I80" t="s">
        <v>715</v>
      </c>
      <c r="J80" t="s">
        <v>193</v>
      </c>
      <c r="M80" s="17">
        <f t="shared" si="6"/>
        <v>112</v>
      </c>
      <c r="N80" s="17">
        <f t="shared" si="7"/>
        <v>73</v>
      </c>
      <c r="O80" s="17">
        <f t="shared" si="8"/>
        <v>239</v>
      </c>
      <c r="Q80">
        <v>112</v>
      </c>
      <c r="R80">
        <v>73</v>
      </c>
      <c r="S80">
        <v>239</v>
      </c>
    </row>
    <row r="81" spans="1:19" x14ac:dyDescent="0.25">
      <c r="A81">
        <v>2020</v>
      </c>
      <c r="B81" t="s">
        <v>1</v>
      </c>
      <c r="C81" t="s">
        <v>716</v>
      </c>
      <c r="D81">
        <v>355</v>
      </c>
      <c r="E81">
        <v>85.1</v>
      </c>
      <c r="F81">
        <v>335.3</v>
      </c>
      <c r="G81" t="s">
        <v>426</v>
      </c>
      <c r="H81" t="s">
        <v>269</v>
      </c>
      <c r="I81" t="s">
        <v>717</v>
      </c>
      <c r="J81" t="s">
        <v>718</v>
      </c>
      <c r="M81" s="17">
        <f t="shared" si="6"/>
        <v>355</v>
      </c>
      <c r="N81" s="17">
        <f t="shared" si="7"/>
        <v>85.1</v>
      </c>
      <c r="O81" s="17">
        <f t="shared" si="8"/>
        <v>335.3</v>
      </c>
      <c r="Q81">
        <v>355</v>
      </c>
      <c r="R81">
        <v>85.1</v>
      </c>
      <c r="S81">
        <v>335.3</v>
      </c>
    </row>
    <row r="82" spans="1:19" x14ac:dyDescent="0.25">
      <c r="A82">
        <v>2020</v>
      </c>
      <c r="B82" t="s">
        <v>1</v>
      </c>
      <c r="C82" t="s">
        <v>719</v>
      </c>
      <c r="D82">
        <v>355</v>
      </c>
      <c r="E82">
        <v>85.1</v>
      </c>
      <c r="F82">
        <v>335.3</v>
      </c>
      <c r="G82" t="s">
        <v>720</v>
      </c>
      <c r="H82" t="s">
        <v>269</v>
      </c>
      <c r="I82" t="s">
        <v>717</v>
      </c>
      <c r="J82" t="s">
        <v>718</v>
      </c>
      <c r="M82" s="17">
        <f t="shared" si="6"/>
        <v>355</v>
      </c>
      <c r="N82" s="17">
        <f t="shared" si="7"/>
        <v>85.1</v>
      </c>
      <c r="O82" s="17">
        <f t="shared" si="8"/>
        <v>335.3</v>
      </c>
      <c r="Q82">
        <v>355</v>
      </c>
      <c r="R82">
        <v>85.1</v>
      </c>
      <c r="S82">
        <v>335.3</v>
      </c>
    </row>
    <row r="83" spans="1:19" x14ac:dyDescent="0.25">
      <c r="A83">
        <v>2020</v>
      </c>
      <c r="B83" t="s">
        <v>1</v>
      </c>
      <c r="C83" t="s">
        <v>721</v>
      </c>
      <c r="D83">
        <v>187</v>
      </c>
      <c r="E83">
        <v>73.7</v>
      </c>
      <c r="F83">
        <v>274.3</v>
      </c>
      <c r="G83" t="s">
        <v>720</v>
      </c>
      <c r="H83" t="s">
        <v>269</v>
      </c>
      <c r="I83" t="s">
        <v>717</v>
      </c>
      <c r="J83" t="s">
        <v>718</v>
      </c>
      <c r="M83" s="17">
        <f t="shared" si="6"/>
        <v>187</v>
      </c>
      <c r="N83" s="17">
        <f t="shared" si="7"/>
        <v>73.7</v>
      </c>
      <c r="O83" s="17">
        <f t="shared" si="8"/>
        <v>274.3</v>
      </c>
      <c r="Q83">
        <v>187</v>
      </c>
      <c r="R83">
        <v>73.7</v>
      </c>
      <c r="S83">
        <v>274.3</v>
      </c>
    </row>
    <row r="84" spans="1:19" x14ac:dyDescent="0.25">
      <c r="A84">
        <v>2020</v>
      </c>
      <c r="B84" t="s">
        <v>1</v>
      </c>
      <c r="C84" t="s">
        <v>277</v>
      </c>
      <c r="D84">
        <v>505</v>
      </c>
      <c r="E84">
        <v>86.4</v>
      </c>
      <c r="F84">
        <v>487.6</v>
      </c>
      <c r="G84" t="s">
        <v>426</v>
      </c>
      <c r="H84" t="s">
        <v>269</v>
      </c>
      <c r="I84" t="s">
        <v>717</v>
      </c>
      <c r="J84" t="s">
        <v>718</v>
      </c>
      <c r="M84" s="17">
        <f t="shared" si="6"/>
        <v>505</v>
      </c>
      <c r="N84" s="17">
        <f t="shared" si="7"/>
        <v>86.4</v>
      </c>
      <c r="O84" s="17">
        <f t="shared" si="8"/>
        <v>487.6</v>
      </c>
      <c r="Q84">
        <v>505</v>
      </c>
      <c r="R84">
        <v>86.4</v>
      </c>
      <c r="S84">
        <v>487.6</v>
      </c>
    </row>
  </sheetData>
  <phoneticPr fontId="5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DD8AF-1879-4F83-8F98-1601FAF2D9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Boards Catalogue</vt:lpstr>
      <vt:lpstr>GPS-Boards-Validation</vt:lpstr>
      <vt:lpstr>Temp-Berra-ToAddAfterReview</vt:lpstr>
      <vt:lpstr>Temp-Berra-unit-remove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2026-04-20T11:05:40Z</dcterms:modified>
</cp:coreProperties>
</file>