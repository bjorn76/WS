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jorn\Documents\bjorn76\WS\"/>
    </mc:Choice>
  </mc:AlternateContent>
  <xr:revisionPtr revIDLastSave="0" documentId="13_ncr:1_{F659DA9F-090D-44BF-BF72-D7FC3AF2843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Boards" sheetId="1" r:id="rId1"/>
    <sheet name="Boards Catalogue" sheetId="4" r:id="rId2"/>
    <sheet name="To Add After Review" sheetId="8" r:id="rId3"/>
    <sheet name="Temp" sheetId="7" r:id="rId4"/>
    <sheet name="tabula-2016_Fanatic" sheetId="10" r:id="rId5"/>
    <sheet name="Sheet1" sheetId="9" r:id="rId6"/>
    <sheet name="Category" sheetId="6" r:id="rId7"/>
    <sheet name="Brands" sheetId="2" r:id="rId8"/>
    <sheet name="Year" sheetId="3" r:id="rId9"/>
  </sheets>
  <definedNames>
    <definedName name="_xlnm._FilterDatabase" localSheetId="0" hidden="1">Boards!$A$1:$I$1</definedName>
    <definedName name="_xlnm._FilterDatabase" localSheetId="1" hidden="1">'Boards Catalogue'!$B$1:$K$121</definedName>
    <definedName name="ExternalData_1" localSheetId="4" hidden="1">'tabula-2016_Fanatic'!$A$1:$G$52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P5" i="1" s="1"/>
  <c r="A10" i="4"/>
  <c r="P13" i="1" s="1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2" i="4"/>
  <c r="P25" i="1" s="1"/>
  <c r="P32" i="1"/>
  <c r="P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2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2" i="1"/>
  <c r="N2" i="1"/>
  <c r="M2" i="1"/>
  <c r="E2" i="7"/>
  <c r="F2" i="7"/>
  <c r="G2" i="7"/>
  <c r="E3" i="7"/>
  <c r="F3" i="7"/>
  <c r="G3" i="7"/>
  <c r="E4" i="7"/>
  <c r="F4" i="7"/>
  <c r="G4" i="7"/>
  <c r="E5" i="7"/>
  <c r="F5" i="7"/>
  <c r="G5" i="7"/>
  <c r="E6" i="7"/>
  <c r="F6" i="7"/>
  <c r="G6" i="7"/>
  <c r="E7" i="7"/>
  <c r="F7" i="7"/>
  <c r="G7" i="7"/>
  <c r="E8" i="7"/>
  <c r="F8" i="7"/>
  <c r="G8" i="7"/>
  <c r="E9" i="7"/>
  <c r="F9" i="7"/>
  <c r="G9" i="7"/>
  <c r="E10" i="7"/>
  <c r="F10" i="7"/>
  <c r="G10" i="7"/>
  <c r="E11" i="7"/>
  <c r="F11" i="7"/>
  <c r="G11" i="7"/>
  <c r="E12" i="7"/>
  <c r="F12" i="7"/>
  <c r="G12" i="7"/>
  <c r="E13" i="7"/>
  <c r="F13" i="7"/>
  <c r="G13" i="7"/>
  <c r="E14" i="7"/>
  <c r="F14" i="7"/>
  <c r="G14" i="7"/>
  <c r="E15" i="7"/>
  <c r="F15" i="7"/>
  <c r="G15" i="7"/>
  <c r="E16" i="7"/>
  <c r="F16" i="7"/>
  <c r="G16" i="7"/>
  <c r="E17" i="7"/>
  <c r="F17" i="7"/>
  <c r="G17" i="7"/>
  <c r="E18" i="7"/>
  <c r="F18" i="7"/>
  <c r="G18" i="7"/>
  <c r="E19" i="7"/>
  <c r="F19" i="7"/>
  <c r="G19" i="7"/>
  <c r="E20" i="7"/>
  <c r="F20" i="7"/>
  <c r="G20" i="7"/>
  <c r="E21" i="7"/>
  <c r="F21" i="7"/>
  <c r="G21" i="7"/>
  <c r="E22" i="7"/>
  <c r="F22" i="7"/>
  <c r="G22" i="7"/>
  <c r="E23" i="7"/>
  <c r="F23" i="7"/>
  <c r="G23" i="7"/>
  <c r="E24" i="7"/>
  <c r="F24" i="7"/>
  <c r="G24" i="7"/>
  <c r="E25" i="7"/>
  <c r="F25" i="7"/>
  <c r="G25" i="7"/>
  <c r="E26" i="7"/>
  <c r="F26" i="7"/>
  <c r="G26" i="7"/>
  <c r="E27" i="7"/>
  <c r="F27" i="7"/>
  <c r="G27" i="7"/>
  <c r="E28" i="7"/>
  <c r="F28" i="7"/>
  <c r="G28" i="7"/>
  <c r="E29" i="7"/>
  <c r="F29" i="7"/>
  <c r="G29" i="7"/>
  <c r="E30" i="7"/>
  <c r="F30" i="7"/>
  <c r="G30" i="7"/>
  <c r="E31" i="7"/>
  <c r="F31" i="7"/>
  <c r="G31" i="7"/>
  <c r="E32" i="7"/>
  <c r="F32" i="7"/>
  <c r="G32" i="7"/>
  <c r="E33" i="7"/>
  <c r="F33" i="7"/>
  <c r="G33" i="7"/>
  <c r="E34" i="7"/>
  <c r="F34" i="7"/>
  <c r="G34" i="7"/>
  <c r="E35" i="7"/>
  <c r="F35" i="7"/>
  <c r="G35" i="7"/>
  <c r="E36" i="7"/>
  <c r="F36" i="7"/>
  <c r="G36" i="7"/>
  <c r="E37" i="7"/>
  <c r="F37" i="7"/>
  <c r="G37" i="7"/>
  <c r="E38" i="7"/>
  <c r="F38" i="7"/>
  <c r="G38" i="7"/>
  <c r="E39" i="7"/>
  <c r="F39" i="7"/>
  <c r="G39" i="7"/>
  <c r="E40" i="7"/>
  <c r="F40" i="7"/>
  <c r="G40" i="7"/>
  <c r="E41" i="7"/>
  <c r="F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E48" i="7"/>
  <c r="F48" i="7"/>
  <c r="G48" i="7"/>
  <c r="E49" i="7"/>
  <c r="F49" i="7"/>
  <c r="G49" i="7"/>
  <c r="E50" i="7"/>
  <c r="F50" i="7"/>
  <c r="G50" i="7"/>
  <c r="E51" i="7"/>
  <c r="F51" i="7"/>
  <c r="G51" i="7"/>
  <c r="E52" i="7"/>
  <c r="F52" i="7"/>
  <c r="G52" i="7"/>
  <c r="E53" i="7"/>
  <c r="F53" i="7"/>
  <c r="G53" i="7"/>
  <c r="E54" i="7"/>
  <c r="F54" i="7"/>
  <c r="G54" i="7"/>
  <c r="E55" i="7"/>
  <c r="F55" i="7"/>
  <c r="G55" i="7"/>
  <c r="E56" i="7"/>
  <c r="F56" i="7"/>
  <c r="G56" i="7"/>
  <c r="E57" i="7"/>
  <c r="F57" i="7"/>
  <c r="G57" i="7"/>
  <c r="E58" i="7"/>
  <c r="F58" i="7"/>
  <c r="G58" i="7"/>
  <c r="E59" i="7"/>
  <c r="F59" i="7"/>
  <c r="G59" i="7"/>
  <c r="E60" i="7"/>
  <c r="F60" i="7"/>
  <c r="G60" i="7"/>
  <c r="E61" i="7"/>
  <c r="F61" i="7"/>
  <c r="G61" i="7"/>
  <c r="E62" i="7"/>
  <c r="F62" i="7"/>
  <c r="G62" i="7"/>
  <c r="E63" i="7"/>
  <c r="F63" i="7"/>
  <c r="G63" i="7"/>
  <c r="E64" i="7"/>
  <c r="F64" i="7"/>
  <c r="G64" i="7"/>
  <c r="E65" i="7"/>
  <c r="F65" i="7"/>
  <c r="G65" i="7"/>
  <c r="E66" i="7"/>
  <c r="F66" i="7"/>
  <c r="G66" i="7"/>
  <c r="E67" i="7"/>
  <c r="F67" i="7"/>
  <c r="G67" i="7"/>
  <c r="E68" i="7"/>
  <c r="F68" i="7"/>
  <c r="G68" i="7"/>
  <c r="E69" i="7"/>
  <c r="F69" i="7"/>
  <c r="G69" i="7"/>
  <c r="F1" i="7"/>
  <c r="G1" i="7"/>
  <c r="E1" i="7"/>
  <c r="Q32" i="1" l="1"/>
  <c r="Q25" i="1"/>
  <c r="Q23" i="1"/>
  <c r="Q7" i="1"/>
  <c r="P27" i="1"/>
  <c r="P21" i="1"/>
  <c r="Q8" i="1"/>
  <c r="P29" i="1"/>
  <c r="P11" i="1"/>
  <c r="Q22" i="1"/>
  <c r="P26" i="1"/>
  <c r="P3" i="1"/>
  <c r="Q28" i="1"/>
  <c r="P19" i="1"/>
  <c r="P23" i="1"/>
  <c r="Q30" i="1"/>
  <c r="Q17" i="1"/>
  <c r="P22" i="1"/>
  <c r="Q26" i="1"/>
  <c r="P28" i="1"/>
  <c r="P20" i="1"/>
  <c r="P12" i="1"/>
  <c r="P4" i="1"/>
  <c r="Q29" i="1"/>
  <c r="Q18" i="1"/>
  <c r="Q3" i="1"/>
  <c r="P34" i="1"/>
  <c r="P18" i="1"/>
  <c r="P10" i="1"/>
  <c r="Q2" i="1"/>
  <c r="Q27" i="1"/>
  <c r="Q16" i="1"/>
  <c r="P17" i="1"/>
  <c r="P9" i="1"/>
  <c r="Q34" i="1"/>
  <c r="Q15" i="1"/>
  <c r="P24" i="1"/>
  <c r="P16" i="1"/>
  <c r="P8" i="1"/>
  <c r="Q33" i="1"/>
  <c r="Q10" i="1"/>
  <c r="P33" i="1"/>
  <c r="P31" i="1"/>
  <c r="P15" i="1"/>
  <c r="P7" i="1"/>
  <c r="Q24" i="1"/>
  <c r="Q9" i="1"/>
  <c r="P30" i="1"/>
  <c r="P14" i="1"/>
  <c r="P6" i="1"/>
  <c r="Q31" i="1"/>
  <c r="Q14" i="1"/>
  <c r="Q6" i="1"/>
  <c r="Q21" i="1"/>
  <c r="Q13" i="1"/>
  <c r="Q5" i="1"/>
  <c r="Q20" i="1"/>
  <c r="Q12" i="1"/>
  <c r="Q4" i="1"/>
  <c r="Q19" i="1"/>
  <c r="Q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47FAF1-D4D1-4B2D-B125-45078B3A32C7}" keepAlive="1" name="Query - tabula-2016_Fanatic" description="Connection to the 'tabula-2016_Fanatic' query in the workbook." type="5" refreshedVersion="8" background="1" saveData="1">
    <dbPr connection="Provider=Microsoft.Mashup.OleDb.1;Data Source=$Workbook$;Location=tabula-2016_Fanatic;Extended Properties=&quot;&quot;" command="SELECT * FROM [tabula-2016_Fanatic]"/>
  </connection>
</connections>
</file>

<file path=xl/sharedStrings.xml><?xml version="1.0" encoding="utf-8"?>
<sst xmlns="http://schemas.openxmlformats.org/spreadsheetml/2006/main" count="1718" uniqueCount="580">
  <si>
    <t>Year</t>
  </si>
  <si>
    <t>Brands</t>
  </si>
  <si>
    <t>Fanatic</t>
  </si>
  <si>
    <t>Mistral</t>
  </si>
  <si>
    <t>F2</t>
  </si>
  <si>
    <t>ID</t>
  </si>
  <si>
    <t>Brand</t>
  </si>
  <si>
    <t>Type</t>
  </si>
  <si>
    <t>Size</t>
  </si>
  <si>
    <t>Volume</t>
  </si>
  <si>
    <t>Class</t>
  </si>
  <si>
    <t>Sessions</t>
  </si>
  <si>
    <t>bjorn.k.j comments</t>
  </si>
  <si>
    <t>Blast</t>
  </si>
  <si>
    <t>66 x 232 cm</t>
  </si>
  <si>
    <t>115 l</t>
  </si>
  <si>
    <t>Slalom Medium</t>
  </si>
  <si>
    <t>Fanatic Blast</t>
  </si>
  <si>
    <t>Blast 100 LTD</t>
  </si>
  <si>
    <t>62 x 231 cm</t>
  </si>
  <si>
    <t>100 l</t>
  </si>
  <si>
    <t>Fanatic Blast 100 LTD</t>
  </si>
  <si>
    <t>Blast 115 LTD</t>
  </si>
  <si>
    <t>Fanatic Blast 115 LTD</t>
  </si>
  <si>
    <t>Blast 130 LTD</t>
  </si>
  <si>
    <t>70 x 233 cm</t>
  </si>
  <si>
    <t>130 l</t>
  </si>
  <si>
    <t>Slalom Large</t>
  </si>
  <si>
    <t>Fanatic Blast 130 LTD</t>
  </si>
  <si>
    <t>73 x 233 cm</t>
  </si>
  <si>
    <t>Blast 145 LTD</t>
  </si>
  <si>
    <t>77 x 235 cm</t>
  </si>
  <si>
    <t>145 l</t>
  </si>
  <si>
    <t>Fanatic Blast 145 LTD</t>
  </si>
  <si>
    <t>Falcon 114 TE</t>
  </si>
  <si>
    <t>71 x 230 cm</t>
  </si>
  <si>
    <t>114 l</t>
  </si>
  <si>
    <t>Fanatic Falcon 114 TE</t>
  </si>
  <si>
    <t>Falcon 129</t>
  </si>
  <si>
    <t>80 x 230 cm</t>
  </si>
  <si>
    <t>129 l</t>
  </si>
  <si>
    <t>Fanatic Falcon 129</t>
  </si>
  <si>
    <t>Falcon 89</t>
  </si>
  <si>
    <t>60 x 235 cm</t>
  </si>
  <si>
    <t>89 l</t>
  </si>
  <si>
    <t>Speed/Slalom Small</t>
  </si>
  <si>
    <t>Fanatic Falcon 89</t>
  </si>
  <si>
    <t>Falcon Lightwind</t>
  </si>
  <si>
    <t>90 x 230 cm</t>
  </si>
  <si>
    <t>159 l</t>
  </si>
  <si>
    <t>Slalom Xtra Large</t>
  </si>
  <si>
    <t>Fanatic Falcon Lightwind</t>
  </si>
  <si>
    <t>Falcon Speed 40</t>
  </si>
  <si>
    <t>40 x 228 cm</t>
  </si>
  <si>
    <t>55 l</t>
  </si>
  <si>
    <t>Speedboard</t>
  </si>
  <si>
    <t>Fanatic Falcon Speed 40</t>
  </si>
  <si>
    <t>Falcon Speed 52.5</t>
  </si>
  <si>
    <t>525 x 235 cm</t>
  </si>
  <si>
    <t>70 l</t>
  </si>
  <si>
    <t>Fanatic Falcon Speed 52.5</t>
  </si>
  <si>
    <t>FALCON SPEED EDITION 52.5</t>
  </si>
  <si>
    <t>52 x 230 cm</t>
  </si>
  <si>
    <t>Fanatic FALCON SPEED EDITION 52.5</t>
  </si>
  <si>
    <t>Falcon TE 121</t>
  </si>
  <si>
    <t>75 x 230 cm</t>
  </si>
  <si>
    <t>121 l</t>
  </si>
  <si>
    <t>Fanatic Falcon TE 121</t>
  </si>
  <si>
    <t>Falcon TE 136</t>
  </si>
  <si>
    <t>85 x 225 cm</t>
  </si>
  <si>
    <t>136 l</t>
  </si>
  <si>
    <t>Fanatic Falcon TE 136</t>
  </si>
  <si>
    <t>Falcon TE 98</t>
  </si>
  <si>
    <t>63 x 232 cm</t>
  </si>
  <si>
    <t>98 l</t>
  </si>
  <si>
    <t>Fanatic Falcon TE 98</t>
  </si>
  <si>
    <t>Falcon TE 99</t>
  </si>
  <si>
    <t>63 x 235 cm</t>
  </si>
  <si>
    <t>99 l</t>
  </si>
  <si>
    <t>Fanatic Falcon TE 99</t>
  </si>
  <si>
    <t>Freewave</t>
  </si>
  <si>
    <t>66 x 235 cm</t>
  </si>
  <si>
    <t>116 l</t>
  </si>
  <si>
    <t>Wave / Freestyle</t>
  </si>
  <si>
    <t>Fanatic Freewave</t>
  </si>
  <si>
    <t>106 l</t>
  </si>
  <si>
    <t>FreeWave STB</t>
  </si>
  <si>
    <t>58 x 225 cm</t>
  </si>
  <si>
    <t>85 l</t>
  </si>
  <si>
    <t>Fanatic FreeWave STB</t>
  </si>
  <si>
    <t>Gecko</t>
  </si>
  <si>
    <t>78 x 246 cm</t>
  </si>
  <si>
    <t>133 l</t>
  </si>
  <si>
    <t>Fanatic Gecko</t>
  </si>
  <si>
    <t>gecko</t>
  </si>
  <si>
    <t>76 x 242 cm</t>
  </si>
  <si>
    <t>120 l</t>
  </si>
  <si>
    <t>-</t>
  </si>
  <si>
    <t>Fanatic gecko</t>
  </si>
  <si>
    <t>Gecko Foil Edition</t>
  </si>
  <si>
    <t>76 x 245 cm</t>
  </si>
  <si>
    <t>Fanatic Gecko Foil Edition</t>
  </si>
  <si>
    <t>Grip</t>
  </si>
  <si>
    <t>58 x 224 cm</t>
  </si>
  <si>
    <t>82 l</t>
  </si>
  <si>
    <t>Fanatic Grip</t>
  </si>
  <si>
    <t>Grip 99</t>
  </si>
  <si>
    <t>62 x 229 cm</t>
  </si>
  <si>
    <t>Fanatic Grip 99</t>
  </si>
  <si>
    <t>Jag 125</t>
  </si>
  <si>
    <t>75 x 235 cm</t>
  </si>
  <si>
    <t>125 l</t>
  </si>
  <si>
    <t>Fanatic Jag 125</t>
  </si>
  <si>
    <t>Lüderitz Speed 44</t>
  </si>
  <si>
    <t>44 x 230 cm</t>
  </si>
  <si>
    <t>50 l</t>
  </si>
  <si>
    <t>Fanatic Lüderitz Speed 44</t>
  </si>
  <si>
    <t>Shark</t>
  </si>
  <si>
    <t>70 x 295 cm</t>
  </si>
  <si>
    <t>Fanatic Shark</t>
  </si>
  <si>
    <t>Slalom TE 136</t>
  </si>
  <si>
    <t>85 x 235 cm</t>
  </si>
  <si>
    <t>Fanatic Slalom TE 136</t>
  </si>
  <si>
    <t>Slalom TE 98</t>
  </si>
  <si>
    <t>Fanatic Slalom TE 98</t>
  </si>
  <si>
    <t>Stubby TE 99</t>
  </si>
  <si>
    <t>60 x 218 cm</t>
  </si>
  <si>
    <t>Fanatic Stubby TE 99</t>
  </si>
  <si>
    <t>Viper</t>
  </si>
  <si>
    <t>85 x 285 cm</t>
  </si>
  <si>
    <t>220 l</t>
  </si>
  <si>
    <t>Fanatic Viper</t>
  </si>
  <si>
    <t>Wave</t>
  </si>
  <si>
    <t>64 x 232 cm</t>
  </si>
  <si>
    <t>103 l</t>
  </si>
  <si>
    <t>Fanatic Wave</t>
  </si>
  <si>
    <t>MODELS</t>
  </si>
  <si>
    <t>VOLUME</t>
  </si>
  <si>
    <t>WIDTH</t>
  </si>
  <si>
    <t>LENGTH</t>
  </si>
  <si>
    <t>TECHNOLOGY</t>
  </si>
  <si>
    <t>FIN BOXES</t>
  </si>
  <si>
    <t>FINS</t>
  </si>
  <si>
    <t>REC. SAIL SIZES</t>
  </si>
  <si>
    <t>Stubby TE 76</t>
  </si>
  <si>
    <t>76 l</t>
  </si>
  <si>
    <t>55 cm</t>
  </si>
  <si>
    <t>212 cm</t>
  </si>
  <si>
    <t>BXIC</t>
  </si>
  <si>
    <t>2 × Slot Box,_x000D_Center US Box</t>
  </si>
  <si>
    <t>CF 2 × 12cm, 17cm</t>
  </si>
  <si>
    <t>Up to 5.3 m2</t>
  </si>
  <si>
    <t>Stubby TE 82</t>
  </si>
  <si>
    <t>Up to 5.8 m2</t>
  </si>
  <si>
    <t>Stubby TE 89</t>
  </si>
  <si>
    <t>CF 2 × 12cm, 18cm</t>
  </si>
  <si>
    <t>Up to 6.2 m2</t>
  </si>
  <si>
    <t>Up to 6.5 m2</t>
  </si>
  <si>
    <t>Grip TE 68</t>
  </si>
  <si>
    <t>4 × Slot Box</t>
  </si>
  <si>
    <t>CF 2 × 9 cm, 2 × 14cm</t>
  </si>
  <si>
    <t>Up to 5.0 m2</t>
  </si>
  <si>
    <t>Grip TE 76</t>
  </si>
  <si>
    <t>5 × Slot Box</t>
  </si>
  <si>
    <t>CF 2 × 9.5 cm, 2 × 14.5 cm</t>
  </si>
  <si>
    <t>Grip TE 82</t>
  </si>
  <si>
    <t>Grip TE 89</t>
  </si>
  <si>
    <t>CF 2 × 10 cm, 2 × 14.5 cm</t>
  </si>
  <si>
    <t>Grip TE 99</t>
  </si>
  <si>
    <t>2 × Slot Box, C. US Box</t>
  </si>
  <si>
    <t>MFC TF Black 2 × 12cm, 19 cm</t>
  </si>
  <si>
    <t/>
  </si>
  <si>
    <t>FreeWave STB TXTR 85</t>
  </si>
  <si>
    <t>TXTR / BXIC</t>
  </si>
  <si>
    <t>2 × Slot Box,_x000D_Power Box</t>
  </si>
  <si>
    <t>MFC TF Black 2 × 12 cm, 18 cm</t>
  </si>
  <si>
    <t>Up to 6.0 m2</t>
  </si>
  <si>
    <t>FreeWave STB TXTR 95</t>
  </si>
  <si>
    <t>MFC TF Black 2 × 12 cm, 19 cm</t>
  </si>
  <si>
    <t>FreeWave STB TXTR 105</t>
  </si>
  <si>
    <t>MFC TF Black 2 × 12 cm, 20 cm</t>
  </si>
  <si>
    <t>Up to 6.8 m2</t>
  </si>
  <si>
    <t>FreeWave STB TXTR 115</t>
  </si>
  <si>
    <t>MFC 30 cm</t>
  </si>
  <si>
    <t>Up to 7.5 m2</t>
  </si>
  <si>
    <t>FreeWave STB TE 85</t>
  </si>
  <si>
    <t>FreeWave STB TE 95</t>
  </si>
  <si>
    <t>FreeWave STB TE 105</t>
  </si>
  <si>
    <t>FreeWave STB TE 115</t>
  </si>
  <si>
    <t>FreeWave STB 85</t>
  </si>
  <si>
    <t>BXF</t>
  </si>
  <si>
    <t>CF 26 cm</t>
  </si>
  <si>
    <t>FreeWave STB 95</t>
  </si>
  <si>
    <t>CF 28 cm</t>
  </si>
  <si>
    <t>FreeWave STB 105</t>
  </si>
  <si>
    <t>CF 30 cm</t>
  </si>
  <si>
    <t>Skate TE 86</t>
  </si>
  <si>
    <t>Power Box</t>
  </si>
  <si>
    <t>CF Composite Innegra 17.5 cm</t>
  </si>
  <si>
    <t>Skate TE 93</t>
  </si>
  <si>
    <t>CF Composite Innegra 18.5 cm</t>
  </si>
  <si>
    <t>Up to 5.9 m2</t>
  </si>
  <si>
    <t>Skate TE 100</t>
  </si>
  <si>
    <t>CF Composite Innegra 20 cm</t>
  </si>
  <si>
    <t>Skate TE 108</t>
  </si>
  <si>
    <t>CF Composite Innegra 22 cm</t>
  </si>
  <si>
    <t>Up to 6.7 m2</t>
  </si>
  <si>
    <t>Gecko LTD 98</t>
  </si>
  <si>
    <t>CF Composite Black 34 cm</t>
  </si>
  <si>
    <t>Gecko LTD 105</t>
  </si>
  <si>
    <t>CF Composite Black 36 cm</t>
  </si>
  <si>
    <t>Up to 8.0 m2</t>
  </si>
  <si>
    <t>Gecko LTD 112</t>
  </si>
  <si>
    <t>CF Composite Black 38 cm</t>
  </si>
  <si>
    <t>Up to 8.5 m2</t>
  </si>
  <si>
    <t>Gecko LTD 120</t>
  </si>
  <si>
    <t>CF Composite Black 40 cm</t>
  </si>
  <si>
    <t>Up to 9.0 m2</t>
  </si>
  <si>
    <t>Gecko LTD 133</t>
  </si>
  <si>
    <t>CF Composite Black 42 cm</t>
  </si>
  <si>
    <t>Up to 9.5 m2</t>
  </si>
  <si>
    <t>Gecko LTD 146</t>
  </si>
  <si>
    <t>CF Composite Black 46 cm</t>
  </si>
  <si>
    <t>Up to 10 m2</t>
  </si>
  <si>
    <t>Gecko Foil Edition 120</t>
  </si>
  <si>
    <t>FOIL Tuttle Box</t>
  </si>
  <si>
    <t>Gecko Foil Edition 133</t>
  </si>
  <si>
    <t>CF Composite Black 44 cm</t>
  </si>
  <si>
    <t>Gecko Eco 112</t>
  </si>
  <si>
    <t>CBC</t>
  </si>
  <si>
    <t>Gecko HRS 98</t>
  </si>
  <si>
    <t>HRS</t>
  </si>
  <si>
    <t>CF White 34 cm</t>
  </si>
  <si>
    <t>Gecko HRS 105</t>
  </si>
  <si>
    <t>CF White 36 cm</t>
  </si>
  <si>
    <t>Gecko HRS 112</t>
  </si>
  <si>
    <t>CF White 38 cm</t>
  </si>
  <si>
    <t>Gecko HRS 120</t>
  </si>
  <si>
    <t>CF White 40 cm</t>
  </si>
  <si>
    <t>Gecko HRS 133</t>
  </si>
  <si>
    <t>CF White 42 cm</t>
  </si>
  <si>
    <t>Gecko HRS 146</t>
  </si>
  <si>
    <t>CF White 46 cm</t>
  </si>
  <si>
    <t>Gecko HRS 156 +</t>
  </si>
  <si>
    <t>CF White 48 cm</t>
  </si>
  <si>
    <t>Up to 11 m2</t>
  </si>
  <si>
    <t>Gecko HRS 156 + Daggerboard</t>
  </si>
  <si>
    <t>Fanatic Viper 34 &amp; Daggerboard</t>
  </si>
  <si>
    <t>Blast TXTR 100</t>
  </si>
  <si>
    <t>TXTR / BXC</t>
  </si>
  <si>
    <t>Tuttle Box</t>
  </si>
  <si>
    <t>Up to 7.8 m2</t>
  </si>
  <si>
    <t>Blast TXTR 115</t>
  </si>
  <si>
    <t>Up to 8.4 m2</t>
  </si>
  <si>
    <t>Blast TXTR 130</t>
  </si>
  <si>
    <t>Blast TXTR 145</t>
  </si>
  <si>
    <t>Up to 10.0 m2</t>
  </si>
  <si>
    <t>Blast LTD 100</t>
  </si>
  <si>
    <t>Blast LTD 115</t>
  </si>
  <si>
    <t>Blast LTD 130</t>
  </si>
  <si>
    <t>Blast LTD 145</t>
  </si>
  <si>
    <t>Falcon TE 89</t>
  </si>
  <si>
    <t>BXC</t>
  </si>
  <si>
    <t>Short Tuttle Box</t>
  </si>
  <si>
    <t>No Fin</t>
  </si>
  <si>
    <t>Up to 8.2 m2</t>
  </si>
  <si>
    <t>Falcon TE 114</t>
  </si>
  <si>
    <t>FULL BXC</t>
  </si>
  <si>
    <t>Medium Tuttle Box</t>
  </si>
  <si>
    <t>Up to 8.6 m2</t>
  </si>
  <si>
    <t>Up to 9.2 m2</t>
  </si>
  <si>
    <t>Falcon TE129</t>
  </si>
  <si>
    <t>Falcon Lightwind 159</t>
  </si>
  <si>
    <t>CF Composite Black 50 cm</t>
  </si>
  <si>
    <t>Falcon Speed 44 Lüderitz</t>
  </si>
  <si>
    <t>Up to 7.0 m2</t>
  </si>
  <si>
    <t>Falcon Speed 56</t>
  </si>
  <si>
    <t>Falcon Formula 172</t>
  </si>
  <si>
    <t>Deep Tuttle Box</t>
  </si>
  <si>
    <t>Up to 12.5 m2</t>
  </si>
  <si>
    <t>Viper 75</t>
  </si>
  <si>
    <t>Fanatic Viper 34, Daggerboard</t>
  </si>
  <si>
    <t>Viper 80</t>
  </si>
  <si>
    <t>Viper 85</t>
  </si>
  <si>
    <t>Viper 91</t>
  </si>
  <si>
    <t>Viper Air Windsurf 355</t>
  </si>
  <si>
    <t>DL HD</t>
  </si>
  <si>
    <t>2 × US Box 10 cm</t>
  </si>
  <si>
    <t>1 × Fly 19.5 cm, 1 × Fly Race 22 cm</t>
  </si>
  <si>
    <t>–</t>
  </si>
  <si>
    <t>Viper Air Windsurf 355 Pure</t>
  </si>
  <si>
    <t>Pure</t>
  </si>
  <si>
    <t>Ripper 112</t>
  </si>
  <si>
    <t>Fanatic Ripper 30 &amp; 39</t>
  </si>
  <si>
    <t>Ripper Air Windsurf 187</t>
  </si>
  <si>
    <t>Tandem Air Premium</t>
  </si>
  <si>
    <t>2 × Fly 19.5 cm</t>
  </si>
  <si>
    <t>YEAR</t>
  </si>
  <si>
    <t>Category</t>
  </si>
  <si>
    <t>5x Slot Box</t>
  </si>
  <si>
    <t>3x Slot Box</t>
  </si>
  <si>
    <t>Freestyle</t>
  </si>
  <si>
    <t>Power Box + 2x Slot</t>
  </si>
  <si>
    <t>Freeride</t>
  </si>
  <si>
    <t>Foil Tuttle Box</t>
  </si>
  <si>
    <t>Performance</t>
  </si>
  <si>
    <t>Slalom</t>
  </si>
  <si>
    <t>Foil</t>
  </si>
  <si>
    <t>4-Way Track + Tuttle</t>
  </si>
  <si>
    <t>Grip TE 69</t>
  </si>
  <si>
    <t>Grip TE 81</t>
  </si>
  <si>
    <t>Grip TE 87</t>
  </si>
  <si>
    <t>Grip TE 93</t>
  </si>
  <si>
    <t>Grip TE 107</t>
  </si>
  <si>
    <t>Mamba TE 78</t>
  </si>
  <si>
    <t>Mamba TE 84</t>
  </si>
  <si>
    <t>Mamba TE 94</t>
  </si>
  <si>
    <t>Mamba TE 104</t>
  </si>
  <si>
    <t>Skate TE 85</t>
  </si>
  <si>
    <t>Skate TE 91</t>
  </si>
  <si>
    <t>Skate TE 99</t>
  </si>
  <si>
    <t>FreeWave TE/LTD 75</t>
  </si>
  <si>
    <t>FreeWave TE/LTD 85</t>
  </si>
  <si>
    <t>FreeWave TE/LTD 95</t>
  </si>
  <si>
    <t>FreeWave TE/LTD 105</t>
  </si>
  <si>
    <t>FreeWave TE/LTD 115</t>
  </si>
  <si>
    <t>FreeWave TE/LTD 125</t>
  </si>
  <si>
    <t>Blast LTD/HRS 100</t>
  </si>
  <si>
    <t>Blast LTD/HRS 117</t>
  </si>
  <si>
    <t>Blast LTD/HRS 132</t>
  </si>
  <si>
    <t>Blast LTD/HRS 147</t>
  </si>
  <si>
    <t>Gecko LTD/HRS 100</t>
  </si>
  <si>
    <t>Gecko LTD/HRS 110</t>
  </si>
  <si>
    <t>Gecko LTD/HRS 122</t>
  </si>
  <si>
    <t>Gecko LTD/HRS 135</t>
  </si>
  <si>
    <t>Gecko LTD/HRS 148</t>
  </si>
  <si>
    <t>Gecko LTD/HRS 156</t>
  </si>
  <si>
    <t>Eagle LTD/HRS 130</t>
  </si>
  <si>
    <t>Eagle LTD/HRS 150</t>
  </si>
  <si>
    <t>Jag LTD 94</t>
  </si>
  <si>
    <t>Jag LTD 110</t>
  </si>
  <si>
    <t>Jag LTD 128</t>
  </si>
  <si>
    <t>Jag LTD 138</t>
  </si>
  <si>
    <t>Jag LTD 158</t>
  </si>
  <si>
    <t>Falcon TE 80</t>
  </si>
  <si>
    <t>Falcon TE 90</t>
  </si>
  <si>
    <t>Falcon TE 97</t>
  </si>
  <si>
    <t>Falcon TE 107</t>
  </si>
  <si>
    <t>Falcon TE 116</t>
  </si>
  <si>
    <t>Falcon TE 130</t>
  </si>
  <si>
    <t>Falcon TE 140</t>
  </si>
  <si>
    <t>Stingray LTD 115</t>
  </si>
  <si>
    <t>Stingray LTD 130</t>
  </si>
  <si>
    <t>Falcon Foil 140</t>
  </si>
  <si>
    <t>Falcon Foil 170</t>
  </si>
  <si>
    <t>Falcon Foil 180</t>
  </si>
  <si>
    <t>Tiga Box</t>
  </si>
  <si>
    <t>Tuttlebox</t>
  </si>
  <si>
    <t>&lt; 6.5</t>
  </si>
  <si>
    <t>&lt; 7.4</t>
  </si>
  <si>
    <t>Foil-Tuttlebox</t>
  </si>
  <si>
    <t>6.5 – 8.2</t>
  </si>
  <si>
    <t>&gt; 8.2</t>
  </si>
  <si>
    <t>Tiga</t>
  </si>
  <si>
    <t>260 ACR</t>
  </si>
  <si>
    <t>Slalom 55</t>
  </si>
  <si>
    <t>Slalom 62.5</t>
  </si>
  <si>
    <t>Slalom 72</t>
  </si>
  <si>
    <t>Slalom 85</t>
  </si>
  <si>
    <t>JP</t>
  </si>
  <si>
    <t>S-TEC</t>
  </si>
  <si>
    <t>&lt; 7.4 (Ideal: 5.0–7.0)</t>
  </si>
  <si>
    <t>5.5–8.2 (Ideal: 5.6–7.8)</t>
  </si>
  <si>
    <t>6.5–8.6 (Ideal: 7.0–8.2)</t>
  </si>
  <si>
    <t>7.0–9.0 (Ideal: 7.4–8.6)</t>
  </si>
  <si>
    <t>&gt; 7.4 (Ideal: 7.6–9.0)</t>
  </si>
  <si>
    <t>Slalom 66</t>
  </si>
  <si>
    <t>Slalom 76</t>
  </si>
  <si>
    <t>ID2</t>
  </si>
  <si>
    <t>Length</t>
  </si>
  <si>
    <t>Width</t>
  </si>
  <si>
    <t>Vol</t>
  </si>
  <si>
    <t>XMATCH</t>
  </si>
  <si>
    <t>XLookUp "-1"</t>
  </si>
  <si>
    <t>MODEL</t>
  </si>
  <si>
    <t>THICKNESS</t>
  </si>
  <si>
    <t>BOARD TECHNOLOGIES</t>
  </si>
  <si>
    <t>Quad TE 69 NEW SHAPE</t>
  </si>
  <si>
    <t>69 l</t>
  </si>
  <si>
    <t>53.5 cm</t>
  </si>
  <si>
    <t>224 cm</t>
  </si>
  <si>
    <t>—</t>
  </si>
  <si>
    <t>IC / LF</t>
  </si>
  <si>
    <t>3.3 – 5.0 m2</t>
  </si>
  <si>
    <t>Quad TE 75 NEW SHAPE</t>
  </si>
  <si>
    <t>75 l</t>
  </si>
  <si>
    <t>55.5 cm</t>
  </si>
  <si>
    <t>225 cm</t>
  </si>
  <si>
    <t>3.7 – 5.3 m2</t>
  </si>
  <si>
    <t>Quad TE 81 NEW SHAPE</t>
  </si>
  <si>
    <t>81 l</t>
  </si>
  <si>
    <t>57.5 cm</t>
  </si>
  <si>
    <t>226 cm</t>
  </si>
  <si>
    <t>4.0 – 5.8 m2</t>
  </si>
  <si>
    <t>Quad TE 90 NEW SHAPE</t>
  </si>
  <si>
    <t>90 l</t>
  </si>
  <si>
    <t>59.5 cm</t>
  </si>
  <si>
    <t>227 cm</t>
  </si>
  <si>
    <t>4.2 – 6.5 m2</t>
  </si>
  <si>
    <t>Stubby TE 77 NEW SHAPE</t>
  </si>
  <si>
    <t>77 l</t>
  </si>
  <si>
    <t>3.3 – 5.3 m2</t>
  </si>
  <si>
    <t>Stubby TE 88 NEW SHAPE</t>
  </si>
  <si>
    <t>88 l</t>
  </si>
  <si>
    <t>215 cm</t>
  </si>
  <si>
    <t>TriWave TE 74 NEW SHAPE</t>
  </si>
  <si>
    <t>74 l</t>
  </si>
  <si>
    <t>56 cm</t>
  </si>
  <si>
    <t>222 cm</t>
  </si>
  <si>
    <t>3.5 – 5.3 m2</t>
  </si>
  <si>
    <t>TriWave TE 82 NEW SHAPE</t>
  </si>
  <si>
    <t>58 cm</t>
  </si>
  <si>
    <t>TriWave TE 89 NEW SHAPE</t>
  </si>
  <si>
    <t>4.2 – 6.2 m2</t>
  </si>
  <si>
    <t>TriWave TE 99 NEW SHAPE</t>
  </si>
  <si>
    <t>62 cm</t>
  </si>
  <si>
    <t>229 cm</t>
  </si>
  <si>
    <t>4.5 – 6.7 m2</t>
  </si>
  <si>
    <t>FreeWave TE 76; FreeWave CWS 76</t>
  </si>
  <si>
    <t>232 cm</t>
  </si>
  <si>
    <t>IC / LF; CWS</t>
  </si>
  <si>
    <t>3.7 – 6.0 m2</t>
  </si>
  <si>
    <t>FreeWave TeXtreme® 86; FreeWave TE 86; FreeWave CWS 86</t>
  </si>
  <si>
    <t>86 l</t>
  </si>
  <si>
    <t>58.5 cm</t>
  </si>
  <si>
    <t>233 cm</t>
  </si>
  <si>
    <t>TeXtreme® IC / LF; IC / LF; CWS</t>
  </si>
  <si>
    <t>FreeWave TeXtreme® 96; FreeWave TE 96; FreeWave CWS 96</t>
  </si>
  <si>
    <t>96 l</t>
  </si>
  <si>
    <t>61 cm</t>
  </si>
  <si>
    <t>234 cm</t>
  </si>
  <si>
    <t>FreeWave TeXtreme® 106; FreeWave TE 106; FreeWave CWS 106</t>
  </si>
  <si>
    <t>63.5 cm</t>
  </si>
  <si>
    <t>235 cm</t>
  </si>
  <si>
    <t>4.7 – 7.0 m2</t>
  </si>
  <si>
    <t>FreeWave TE 116; FreeWave CWS 116</t>
  </si>
  <si>
    <t>66 cm</t>
  </si>
  <si>
    <t>236 cm</t>
  </si>
  <si>
    <t>5.0 – 7.3 m2</t>
  </si>
  <si>
    <t>Skate TE 86 NEW SHAPE</t>
  </si>
  <si>
    <t>60 cm</t>
  </si>
  <si>
    <t>228 cm</t>
  </si>
  <si>
    <t>3.7 – 5.9 m2</t>
  </si>
  <si>
    <t>Skate TE 94 NEW SHAPE</t>
  </si>
  <si>
    <t>94 l</t>
  </si>
  <si>
    <t>4.2 – 6.4 m2</t>
  </si>
  <si>
    <t>Skate TE 100 NEW SHAPE</t>
  </si>
  <si>
    <t>64 cm</t>
  </si>
  <si>
    <t>4.5 – 7.0 m2</t>
  </si>
  <si>
    <t>Skate TE 108 NEW SHAPE</t>
  </si>
  <si>
    <t>108 l</t>
  </si>
  <si>
    <t>66.5 cm</t>
  </si>
  <si>
    <t>5.0 – 7.5 m2</t>
  </si>
  <si>
    <t>Skate 100</t>
  </si>
  <si>
    <t>BGS / LF</t>
  </si>
  <si>
    <t>Skate 110</t>
  </si>
  <si>
    <t>110 l</t>
  </si>
  <si>
    <t>237 cm</t>
  </si>
  <si>
    <t>Hawk LTD 99; Hawk Bamboo 99</t>
  </si>
  <si>
    <t>239 cm</t>
  </si>
  <si>
    <t>IC / BSLT / LF; BOS / LF</t>
  </si>
  <si>
    <t>4.5 – 7.5 m2</t>
  </si>
  <si>
    <t>Hawk LTD 113; Hawk Bamboo 113</t>
  </si>
  <si>
    <t>113 l</t>
  </si>
  <si>
    <t>241 cm</t>
  </si>
  <si>
    <t>5.0 – 8.0 m2</t>
  </si>
  <si>
    <t>Hawk LTD 124; Hawk Bamboo 124</t>
  </si>
  <si>
    <t>124 l</t>
  </si>
  <si>
    <t>70 cm</t>
  </si>
  <si>
    <t>242 cm</t>
  </si>
  <si>
    <t>5.5 – 8.5 m2</t>
  </si>
  <si>
    <t>Gecko LTD 98; Gecko Bamboo 98; Gecko HRS 98</t>
  </si>
  <si>
    <t>63 cm</t>
  </si>
  <si>
    <t>IC / BSLT / LF; BOS / LF; HRS</t>
  </si>
  <si>
    <t>Gecko LTD 105; Gecko Bamboo 105; Gecko HRS 105</t>
  </si>
  <si>
    <t>105 l</t>
  </si>
  <si>
    <t>69 cm</t>
  </si>
  <si>
    <t>Gecko LTD 112; Gecko Bamboo 112; Gecko HRS 112</t>
  </si>
  <si>
    <t>112 l</t>
  </si>
  <si>
    <t>73 cm</t>
  </si>
  <si>
    <t>Gecko LTD 120; Gecko Bamboo 120; Gecko HRS 120</t>
  </si>
  <si>
    <t>76 cm</t>
  </si>
  <si>
    <t>6.0 – 9.0 m2</t>
  </si>
  <si>
    <t>Gecko LTD 133; Gecko Bamboo 133; Gecko HRS 133</t>
  </si>
  <si>
    <t>78 cm</t>
  </si>
  <si>
    <t>246 cm</t>
  </si>
  <si>
    <t>7.5 – 9.5 m2</t>
  </si>
  <si>
    <t>Gecko LTD 146; Gecko Bamboo 146; Gecko HRS 146</t>
  </si>
  <si>
    <t>146 l</t>
  </si>
  <si>
    <t>83 cm</t>
  </si>
  <si>
    <t>250 cm</t>
  </si>
  <si>
    <t>7.0 – 10.0 m2</t>
  </si>
  <si>
    <t>Gecko Bamboo 156+; Gecko HRS 156+</t>
  </si>
  <si>
    <t>156 l</t>
  </si>
  <si>
    <t>85 cm</t>
  </si>
  <si>
    <t>252 cm</t>
  </si>
  <si>
    <t>BOS / LF; HRS</t>
  </si>
  <si>
    <t>8.0 – 11.0 m2</t>
  </si>
  <si>
    <t>Falcon Slalom TE 90</t>
  </si>
  <si>
    <t>59 cm</t>
  </si>
  <si>
    <t>BCS / LF</t>
  </si>
  <si>
    <t>5.0 – 7.8 m2</t>
  </si>
  <si>
    <t>Falcon Slalom TE 99; Falcon Slalom 99 NEW SHAPE</t>
  </si>
  <si>
    <t>BCS / LF; BGS / LF</t>
  </si>
  <si>
    <t>5.5 – 8.2 m2</t>
  </si>
  <si>
    <t>Falcon Slalom TE 112; Falcon Slalom 112 NEW SHAPE</t>
  </si>
  <si>
    <t>230 cm</t>
  </si>
  <si>
    <t>Full BCS / LF (Deck &amp; Bottom); BGS / LF</t>
  </si>
  <si>
    <t>6.0 – 8.6 m2</t>
  </si>
  <si>
    <t>Falcon Slalom TE 121; Falcon Slalom 121 NEW SHAPE</t>
  </si>
  <si>
    <t>75 cm</t>
  </si>
  <si>
    <t>6.5 – 9.2 m2</t>
  </si>
  <si>
    <t>Falcon Slalom TE 129 NEW SHAPE</t>
  </si>
  <si>
    <t>80 cm</t>
  </si>
  <si>
    <t>Full BCS / LF (Deck &amp; Bottom)</t>
  </si>
  <si>
    <t>6.8 – 9.5 m2</t>
  </si>
  <si>
    <t>Falcon Slalom TE 138</t>
  </si>
  <si>
    <t>138 l</t>
  </si>
  <si>
    <t>Falcon Slalom TE 152</t>
  </si>
  <si>
    <t>152 l</t>
  </si>
  <si>
    <t>90 cm</t>
  </si>
  <si>
    <t>7.5 – 11.0+ m2</t>
  </si>
  <si>
    <t>Falcon Formula 172 NEW SHAPE</t>
  </si>
  <si>
    <t>172 l</t>
  </si>
  <si>
    <t>100 cm</t>
  </si>
  <si>
    <t>8.0 – 12.5+ m2</t>
  </si>
  <si>
    <t>54 l</t>
  </si>
  <si>
    <t>44 cm</t>
  </si>
  <si>
    <t>4.0 – 6.5 m2</t>
  </si>
  <si>
    <t>Falcon Speed 50</t>
  </si>
  <si>
    <t>68 l</t>
  </si>
  <si>
    <t>50 cm</t>
  </si>
  <si>
    <t>79 l</t>
  </si>
  <si>
    <t>Viper 70</t>
  </si>
  <si>
    <t>150 l</t>
  </si>
  <si>
    <t>270 cm</t>
  </si>
  <si>
    <t>HRS – Softdeck</t>
  </si>
  <si>
    <t>2.0 – 8.0 m2</t>
  </si>
  <si>
    <t>160 l</t>
  </si>
  <si>
    <t>275 cm</t>
  </si>
  <si>
    <t>2.0 – 10.0 m2</t>
  </si>
  <si>
    <t>190 l</t>
  </si>
  <si>
    <t>280 cm</t>
  </si>
  <si>
    <t>285 cm</t>
  </si>
  <si>
    <t>Viper 91 NEW SHAPE</t>
  </si>
  <si>
    <t>240 l</t>
  </si>
  <si>
    <t>91 cm</t>
  </si>
  <si>
    <t>290 cm</t>
  </si>
  <si>
    <t>2.0 – 11.0 m2</t>
  </si>
  <si>
    <t>Ripper 102</t>
  </si>
  <si>
    <t>102 l</t>
  </si>
  <si>
    <t>1.5 – 8.0 m2</t>
  </si>
  <si>
    <t>Ripper 120</t>
  </si>
  <si>
    <t>245 cm</t>
  </si>
  <si>
    <t>Viper Air 315 NEW SHAPE</t>
  </si>
  <si>
    <t>315 l</t>
  </si>
  <si>
    <t>33.5”/85.1 cm</t>
  </si>
  <si>
    <t>9’10” / 299.7 cm</t>
  </si>
  <si>
    <t>6” / 15 cm</t>
  </si>
  <si>
    <t>Double Layer Heavy Duty</t>
  </si>
  <si>
    <t>1.5 – 8.5 m2</t>
  </si>
  <si>
    <t>Ripper Air WS 187 NEW SHAPE</t>
  </si>
  <si>
    <t>187 l</t>
  </si>
  <si>
    <t>29” / 73.7 cm</t>
  </si>
  <si>
    <t>9’0” / 274.3 cm</t>
  </si>
  <si>
    <t>4.5” / 11.5 cm</t>
  </si>
  <si>
    <t>1.0 – 6.5 m2</t>
  </si>
  <si>
    <t>85.1 cm</t>
  </si>
  <si>
    <t>73.7 cm</t>
  </si>
  <si>
    <t>274.3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</si>
</sst>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sz val="11"/>
      <color theme="1"/>
      <name val="Consolas"/>
      <family val="3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 applyAlignment="1">
      <alignment vertical="top" wrapText="1"/>
    </xf>
    <xf numFmtId="0" fontId="1" fillId="5" borderId="0" xfId="0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1" fillId="6" borderId="3" xfId="0" applyFont="1" applyFill="1" applyBorder="1"/>
    <xf numFmtId="0" fontId="1" fillId="6" borderId="0" xfId="0" applyFont="1" applyFill="1" applyBorder="1"/>
    <xf numFmtId="0" fontId="1" fillId="6" borderId="0" xfId="0" applyFont="1" applyFill="1"/>
    <xf numFmtId="0" fontId="0" fillId="7" borderId="0" xfId="0" applyFill="1"/>
    <xf numFmtId="0" fontId="0" fillId="7" borderId="1" xfId="0" applyFill="1" applyBorder="1"/>
    <xf numFmtId="0" fontId="4" fillId="6" borderId="0" xfId="0" applyFont="1" applyFill="1" applyBorder="1"/>
    <xf numFmtId="0" fontId="5" fillId="0" borderId="0" xfId="0" applyFont="1"/>
    <xf numFmtId="0" fontId="0" fillId="0" borderId="0" xfId="0" applyNumberFormat="1"/>
    <xf numFmtId="0" fontId="3" fillId="8" borderId="0" xfId="0" applyFont="1" applyFill="1"/>
  </cellXfs>
  <cellStyles count="1">
    <cellStyle name="Normal" xfId="0" builtinId="0"/>
  </cellStyles>
  <dxfs count="8">
    <dxf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154481</xdr:colOff>
      <xdr:row>0</xdr:row>
      <xdr:rowOff>94449</xdr:rowOff>
    </xdr:from>
    <xdr:ext cx="35052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F74FAB-0F1A-43EA-8764-B5619E553505}"/>
            </a:ext>
          </a:extLst>
        </xdr:cNvPr>
        <xdr:cNvSpPr txBox="1"/>
      </xdr:nvSpPr>
      <xdr:spPr>
        <a:xfrm>
          <a:off x="14387552" y="94449"/>
          <a:ext cx="3505200" cy="2645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sv-SE" sz="1100" b="1"/>
            <a:t>=REGEXREPLACE(A1,"[^0-9.]","")+0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1</xdr:row>
      <xdr:rowOff>104775</xdr:rowOff>
    </xdr:from>
    <xdr:to>
      <xdr:col>22</xdr:col>
      <xdr:colOff>0</xdr:colOff>
      <xdr:row>4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DE1EF-222B-9311-72D2-A69AABD663FB}"/>
            </a:ext>
          </a:extLst>
        </xdr:cNvPr>
        <xdr:cNvSpPr txBox="1"/>
      </xdr:nvSpPr>
      <xdr:spPr>
        <a:xfrm>
          <a:off x="7381875" y="295275"/>
          <a:ext cx="6029325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 will input at picture with windsurfing board data. Please convert it to a table with the column ordered by Brand, Modell, Volume, Width Length and if available Technology, Fin Boxes, Fins and rec. sail sizes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sv-S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95250</xdr:colOff>
      <xdr:row>1</xdr:row>
      <xdr:rowOff>161925</xdr:rowOff>
    </xdr:from>
    <xdr:ext cx="35052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FA36989-2FD6-02D9-659E-1C618AB54C2B}"/>
            </a:ext>
          </a:extLst>
        </xdr:cNvPr>
        <xdr:cNvSpPr txBox="1"/>
      </xdr:nvSpPr>
      <xdr:spPr>
        <a:xfrm>
          <a:off x="4972050" y="352425"/>
          <a:ext cx="3505200" cy="264560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sv-SE" sz="1100" b="1"/>
            <a:t>=REGEXREPLACE(A1,"[^0-9.]","")+0</a:t>
          </a: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E816B5-0DDE-4CC3-B791-343F34A4C3CC}" autoFormatId="16" applyNumberFormats="0" applyBorderFormats="0" applyFontFormats="0" applyPatternFormats="0" applyAlignmentFormats="0" applyWidthHeightFormats="0">
  <queryTableRefresh nextId="8">
    <queryTableFields count="7">
      <queryTableField id="1" name="MODEL" tableColumnId="1"/>
      <queryTableField id="2" name="VOLUME" tableColumnId="2"/>
      <queryTableField id="3" name="WIDTH" tableColumnId="3"/>
      <queryTableField id="4" name="LENGTH" tableColumnId="4"/>
      <queryTableField id="5" name="THICKNESS" tableColumnId="5"/>
      <queryTableField id="6" name="BOARD TECHNOLOGIES" tableColumnId="6"/>
      <queryTableField id="7" name="REC. SAIL SIZ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C9385-BBDC-402E-ACED-16487CA87C41}" name="tabula_2016_Fanatic" displayName="tabula_2016_Fanatic" ref="A1:G52" tableType="queryTable" totalsRowShown="0">
  <autoFilter ref="A1:G52" xr:uid="{D50C9385-BBDC-402E-ACED-16487CA87C41}"/>
  <tableColumns count="7">
    <tableColumn id="1" xr3:uid="{AD91413D-03DE-435C-B0F2-2C2DF7B55267}" uniqueName="1" name="MODEL" queryTableFieldId="1" dataDxfId="7"/>
    <tableColumn id="2" xr3:uid="{4225B39D-0043-4831-A320-040D6BD7D4EC}" uniqueName="2" name="VOLUME" queryTableFieldId="2" dataDxfId="6"/>
    <tableColumn id="3" xr3:uid="{3EAD16C8-5052-45B7-A7D0-BBA2A048DC51}" uniqueName="3" name="WIDTH" queryTableFieldId="3" dataDxfId="5"/>
    <tableColumn id="4" xr3:uid="{F3056AF2-04B4-4FEA-AFA9-AD1FAC5EB858}" uniqueName="4" name="LENGTH" queryTableFieldId="4" dataDxfId="4"/>
    <tableColumn id="5" xr3:uid="{69950542-D7C9-4937-9A92-92DFAE93F979}" uniqueName="5" name="THICKNESS" queryTableFieldId="5" dataDxfId="3"/>
    <tableColumn id="6" xr3:uid="{1D646D9A-4059-4F02-9011-2E677A6E7721}" uniqueName="6" name="BOARD TECHNOLOGIES" queryTableFieldId="6" dataDxfId="2"/>
    <tableColumn id="7" xr3:uid="{895D1423-1A49-497D-9E4A-169F5196B945}" uniqueName="7" name="REC. SAIL SIZES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opLeftCell="A13" zoomScaleNormal="100" workbookViewId="0">
      <selection activeCell="K42" sqref="K42"/>
    </sheetView>
  </sheetViews>
  <sheetFormatPr defaultRowHeight="15" x14ac:dyDescent="0.25"/>
  <cols>
    <col min="2" max="2" width="16.42578125" customWidth="1"/>
    <col min="3" max="3" width="26.28515625" bestFit="1" customWidth="1"/>
    <col min="4" max="4" width="12" bestFit="1" customWidth="1"/>
    <col min="5" max="5" width="10.28515625" bestFit="1" customWidth="1"/>
    <col min="6" max="6" width="7.28515625" bestFit="1" customWidth="1"/>
    <col min="7" max="7" width="19" bestFit="1" customWidth="1"/>
    <col min="8" max="8" width="33.140625" bestFit="1" customWidth="1"/>
    <col min="9" max="9" width="18.42578125" bestFit="1" customWidth="1"/>
    <col min="11" max="11" width="49.140625" bestFit="1" customWidth="1"/>
    <col min="17" max="17" width="24.140625" style="17" bestFit="1" customWidth="1"/>
  </cols>
  <sheetData>
    <row r="1" spans="1:17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0</v>
      </c>
      <c r="G1" s="1" t="s">
        <v>10</v>
      </c>
      <c r="H1" s="1" t="s">
        <v>11</v>
      </c>
      <c r="I1" s="2" t="s">
        <v>12</v>
      </c>
      <c r="K1" s="11" t="s">
        <v>378</v>
      </c>
      <c r="L1" s="11" t="s">
        <v>381</v>
      </c>
      <c r="M1" s="12" t="s">
        <v>380</v>
      </c>
      <c r="N1" s="13" t="s">
        <v>379</v>
      </c>
      <c r="P1" s="12" t="s">
        <v>382</v>
      </c>
      <c r="Q1" s="16" t="s">
        <v>383</v>
      </c>
    </row>
    <row r="2" spans="1:17" x14ac:dyDescent="0.25">
      <c r="A2" s="3">
        <v>13502</v>
      </c>
      <c r="B2" s="3" t="s">
        <v>2</v>
      </c>
      <c r="C2" s="3" t="s">
        <v>13</v>
      </c>
      <c r="D2" s="3" t="s">
        <v>14</v>
      </c>
      <c r="E2" s="3" t="s">
        <v>15</v>
      </c>
      <c r="F2" s="3">
        <v>2018</v>
      </c>
      <c r="G2" s="3" t="s">
        <v>16</v>
      </c>
      <c r="H2" s="3" t="s">
        <v>17</v>
      </c>
      <c r="I2" s="4"/>
      <c r="K2" s="10" t="str">
        <f>_xlfn.CONCAT(F2,"-",LEFT(B2,2),"-",LEFT(C2,3),"-",L2,"-",M2,"-",N2)</f>
        <v>2018-Fa-Bla-115-66-232</v>
      </c>
      <c r="L2">
        <f>_xlfn.REGEXREPLACE(E2,"[^0-9.]","")+0</f>
        <v>115</v>
      </c>
      <c r="M2" t="str">
        <f>LEFT(D2, FIND(" x", D2)-1)</f>
        <v>66</v>
      </c>
      <c r="N2" t="str">
        <f>MID(D2, FIND("x ", D2)+2, FIND(" cm", D2)-FIND("x ", D2)-2)</f>
        <v>232</v>
      </c>
      <c r="P2">
        <f>_xlfn.IFNA(_xlfn.XMATCH(K2,'Boards Catalogue'!A:A),-1)</f>
        <v>44</v>
      </c>
      <c r="Q2" s="17" t="str">
        <f>_xlfn.XLOOKUP(K2,'Boards Catalogue'!A:A,'Boards Catalogue'!A:A,,-1)</f>
        <v>2018-Fa-Bla-115-66-232</v>
      </c>
    </row>
    <row r="3" spans="1:17" x14ac:dyDescent="0.25">
      <c r="A3" s="3">
        <v>10455</v>
      </c>
      <c r="B3" s="3" t="s">
        <v>2</v>
      </c>
      <c r="C3" s="3" t="s">
        <v>18</v>
      </c>
      <c r="D3" s="3" t="s">
        <v>19</v>
      </c>
      <c r="E3" s="3" t="s">
        <v>20</v>
      </c>
      <c r="F3" s="3">
        <v>2018</v>
      </c>
      <c r="G3" s="3" t="s">
        <v>16</v>
      </c>
      <c r="H3" s="3" t="s">
        <v>21</v>
      </c>
      <c r="I3" s="4"/>
      <c r="K3" s="10" t="str">
        <f t="shared" ref="K3:K34" si="0">_xlfn.CONCAT(F3,"-",LEFT(B3,2),"-",LEFT(C3,3),"-",L3,"-",M3,"-",N3)</f>
        <v>2018-Fa-Bla-100-62-231</v>
      </c>
      <c r="L3">
        <f t="shared" ref="L3:L34" si="1">_xlfn.REGEXREPLACE(E3,"[^0-9.]","")+0</f>
        <v>100</v>
      </c>
      <c r="M3" t="str">
        <f t="shared" ref="M3:M34" si="2">LEFT(D3, FIND(" x", D3)-1)</f>
        <v>62</v>
      </c>
      <c r="N3" t="str">
        <f t="shared" ref="N3:N34" si="3">MID(D3, FIND("x ", D3)+2, FIND(" cm", D3)-FIND("x ", D3)-2)</f>
        <v>231</v>
      </c>
      <c r="P3">
        <f>_xlfn.IFNA(_xlfn.XMATCH(K3,'Boards Catalogue'!A:A),-1)</f>
        <v>43</v>
      </c>
      <c r="Q3" s="17" t="str">
        <f>_xlfn.XLOOKUP(K3,'Boards Catalogue'!A:A,'Boards Catalogue'!A:A,,-1)</f>
        <v>2018-Fa-Bla-100-62-231</v>
      </c>
    </row>
    <row r="4" spans="1:17" x14ac:dyDescent="0.25">
      <c r="A4" s="3">
        <v>9740</v>
      </c>
      <c r="B4" s="3" t="s">
        <v>2</v>
      </c>
      <c r="C4" s="3" t="s">
        <v>22</v>
      </c>
      <c r="D4" s="3" t="s">
        <v>14</v>
      </c>
      <c r="E4" s="3" t="s">
        <v>15</v>
      </c>
      <c r="F4" s="3">
        <v>2018</v>
      </c>
      <c r="G4" s="3" t="s">
        <v>16</v>
      </c>
      <c r="H4" s="3" t="s">
        <v>23</v>
      </c>
      <c r="I4" s="4"/>
      <c r="K4" s="10" t="str">
        <f t="shared" si="0"/>
        <v>2018-Fa-Bla-115-66-232</v>
      </c>
      <c r="L4">
        <f t="shared" si="1"/>
        <v>115</v>
      </c>
      <c r="M4" t="str">
        <f t="shared" si="2"/>
        <v>66</v>
      </c>
      <c r="N4" t="str">
        <f t="shared" si="3"/>
        <v>232</v>
      </c>
      <c r="P4">
        <f>_xlfn.IFNA(_xlfn.XMATCH(K4,'Boards Catalogue'!A:A),-1)</f>
        <v>44</v>
      </c>
      <c r="Q4" s="17" t="str">
        <f>_xlfn.XLOOKUP(K4,'Boards Catalogue'!A:A,'Boards Catalogue'!A:A,,-1)</f>
        <v>2018-Fa-Bla-115-66-232</v>
      </c>
    </row>
    <row r="5" spans="1:17" x14ac:dyDescent="0.25">
      <c r="A5" s="3">
        <v>10388</v>
      </c>
      <c r="B5" s="3" t="s">
        <v>2</v>
      </c>
      <c r="C5" s="3" t="s">
        <v>24</v>
      </c>
      <c r="D5" s="3" t="s">
        <v>25</v>
      </c>
      <c r="E5" s="3" t="s">
        <v>26</v>
      </c>
      <c r="F5" s="3">
        <v>2018</v>
      </c>
      <c r="G5" s="3" t="s">
        <v>27</v>
      </c>
      <c r="H5" s="3" t="s">
        <v>28</v>
      </c>
      <c r="I5" s="4"/>
      <c r="K5" s="10" t="str">
        <f t="shared" si="0"/>
        <v>2018-Fa-Bla-130-70-233</v>
      </c>
      <c r="L5">
        <f t="shared" si="1"/>
        <v>130</v>
      </c>
      <c r="M5" t="str">
        <f t="shared" si="2"/>
        <v>70</v>
      </c>
      <c r="N5" t="str">
        <f t="shared" si="3"/>
        <v>233</v>
      </c>
      <c r="P5">
        <f>_xlfn.IFNA(_xlfn.XMATCH(K5,'Boards Catalogue'!A:A),-1)</f>
        <v>45</v>
      </c>
      <c r="Q5" s="17" t="str">
        <f>_xlfn.XLOOKUP(K5,'Boards Catalogue'!A:A,'Boards Catalogue'!A:A,,-1)</f>
        <v>2018-Fa-Bla-130-70-233</v>
      </c>
    </row>
    <row r="6" spans="1:17" x14ac:dyDescent="0.25">
      <c r="A6" s="3">
        <v>12165</v>
      </c>
      <c r="B6" s="3" t="s">
        <v>2</v>
      </c>
      <c r="C6" s="3" t="s">
        <v>24</v>
      </c>
      <c r="D6" s="3" t="s">
        <v>29</v>
      </c>
      <c r="E6" s="3" t="s">
        <v>26</v>
      </c>
      <c r="F6" s="3">
        <v>2018</v>
      </c>
      <c r="G6" s="3" t="s">
        <v>27</v>
      </c>
      <c r="H6" s="3" t="s">
        <v>28</v>
      </c>
      <c r="I6" s="4"/>
      <c r="K6" s="10" t="str">
        <f t="shared" si="0"/>
        <v>2018-Fa-Bla-130-73-233</v>
      </c>
      <c r="L6">
        <f t="shared" si="1"/>
        <v>130</v>
      </c>
      <c r="M6" t="str">
        <f t="shared" si="2"/>
        <v>73</v>
      </c>
      <c r="N6" t="str">
        <f t="shared" si="3"/>
        <v>233</v>
      </c>
      <c r="P6">
        <f>_xlfn.IFNA(_xlfn.XMATCH(K6,'Boards Catalogue'!A:A),-1)</f>
        <v>-1</v>
      </c>
      <c r="Q6" s="17" t="str">
        <f>_xlfn.XLOOKUP(K6,'Boards Catalogue'!A:A,'Boards Catalogue'!A:A,,-1)</f>
        <v>2018-Fa-Bla-130-70-233</v>
      </c>
    </row>
    <row r="7" spans="1:17" x14ac:dyDescent="0.25">
      <c r="A7" s="3">
        <v>11191</v>
      </c>
      <c r="B7" s="3" t="s">
        <v>2</v>
      </c>
      <c r="C7" s="3" t="s">
        <v>30</v>
      </c>
      <c r="D7" s="3" t="s">
        <v>31</v>
      </c>
      <c r="E7" s="3" t="s">
        <v>32</v>
      </c>
      <c r="F7" s="3">
        <v>2018</v>
      </c>
      <c r="G7" s="3" t="s">
        <v>16</v>
      </c>
      <c r="H7" s="3" t="s">
        <v>33</v>
      </c>
      <c r="I7" s="4"/>
      <c r="K7" s="10" t="str">
        <f t="shared" si="0"/>
        <v>2018-Fa-Bla-145-77-235</v>
      </c>
      <c r="L7">
        <f t="shared" si="1"/>
        <v>145</v>
      </c>
      <c r="M7" t="str">
        <f t="shared" si="2"/>
        <v>77</v>
      </c>
      <c r="N7" t="str">
        <f t="shared" si="3"/>
        <v>235</v>
      </c>
      <c r="P7">
        <f>_xlfn.IFNA(_xlfn.XMATCH(K7,'Boards Catalogue'!A:A),-1)</f>
        <v>46</v>
      </c>
      <c r="Q7" s="17" t="str">
        <f>_xlfn.XLOOKUP(K7,'Boards Catalogue'!A:A,'Boards Catalogue'!A:A,,-1)</f>
        <v>2018-Fa-Bla-145-77-235</v>
      </c>
    </row>
    <row r="8" spans="1:17" x14ac:dyDescent="0.25">
      <c r="A8" s="3">
        <v>10662</v>
      </c>
      <c r="B8" s="3" t="s">
        <v>2</v>
      </c>
      <c r="C8" s="3" t="s">
        <v>34</v>
      </c>
      <c r="D8" s="3" t="s">
        <v>35</v>
      </c>
      <c r="E8" s="3" t="s">
        <v>36</v>
      </c>
      <c r="F8" s="3">
        <v>2018</v>
      </c>
      <c r="G8" s="3" t="s">
        <v>16</v>
      </c>
      <c r="H8" s="3" t="s">
        <v>37</v>
      </c>
      <c r="I8" s="4"/>
      <c r="K8" s="10" t="str">
        <f t="shared" si="0"/>
        <v>2018-Fa-Fal-114-71-230</v>
      </c>
      <c r="L8">
        <f t="shared" si="1"/>
        <v>114</v>
      </c>
      <c r="M8" t="str">
        <f t="shared" si="2"/>
        <v>71</v>
      </c>
      <c r="N8" t="str">
        <f t="shared" si="3"/>
        <v>230</v>
      </c>
      <c r="P8">
        <f>_xlfn.IFNA(_xlfn.XMATCH(K8,'Boards Catalogue'!A:A),-1)</f>
        <v>53</v>
      </c>
      <c r="Q8" s="17" t="str">
        <f>_xlfn.XLOOKUP(K8,'Boards Catalogue'!A:A,'Boards Catalogue'!A:A,,-1)</f>
        <v>2018-Fa-Fal-114-71-230</v>
      </c>
    </row>
    <row r="9" spans="1:17" x14ac:dyDescent="0.25">
      <c r="A9" s="3">
        <v>10391</v>
      </c>
      <c r="B9" s="3" t="s">
        <v>2</v>
      </c>
      <c r="C9" s="3" t="s">
        <v>38</v>
      </c>
      <c r="D9" s="3" t="s">
        <v>39</v>
      </c>
      <c r="E9" s="3" t="s">
        <v>40</v>
      </c>
      <c r="F9" s="3">
        <v>2018</v>
      </c>
      <c r="G9" s="3" t="s">
        <v>27</v>
      </c>
      <c r="H9" s="3" t="s">
        <v>41</v>
      </c>
      <c r="I9" s="4"/>
      <c r="K9" s="10" t="str">
        <f t="shared" si="0"/>
        <v>2018-Fa-Fal-129-80-230</v>
      </c>
      <c r="L9">
        <f t="shared" si="1"/>
        <v>129</v>
      </c>
      <c r="M9" t="str">
        <f t="shared" si="2"/>
        <v>80</v>
      </c>
      <c r="N9" t="str">
        <f t="shared" si="3"/>
        <v>230</v>
      </c>
      <c r="P9">
        <f>_xlfn.IFNA(_xlfn.XMATCH(K9,'Boards Catalogue'!A:A),-1)</f>
        <v>55</v>
      </c>
      <c r="Q9" s="17" t="str">
        <f>_xlfn.XLOOKUP(K9,'Boards Catalogue'!A:A,'Boards Catalogue'!A:A,,-1)</f>
        <v>2018-Fa-Fal-129-80-230</v>
      </c>
    </row>
    <row r="10" spans="1:17" x14ac:dyDescent="0.25">
      <c r="A10" s="3">
        <v>10650</v>
      </c>
      <c r="B10" s="3" t="s">
        <v>2</v>
      </c>
      <c r="C10" s="3" t="s">
        <v>42</v>
      </c>
      <c r="D10" s="3" t="s">
        <v>43</v>
      </c>
      <c r="E10" s="3" t="s">
        <v>44</v>
      </c>
      <c r="F10" s="3">
        <v>2018</v>
      </c>
      <c r="G10" s="3" t="s">
        <v>45</v>
      </c>
      <c r="H10" s="3" t="s">
        <v>46</v>
      </c>
      <c r="I10" s="4"/>
      <c r="K10" s="10" t="str">
        <f t="shared" si="0"/>
        <v>2018-Fa-Fal-89-60-235</v>
      </c>
      <c r="L10">
        <f t="shared" si="1"/>
        <v>89</v>
      </c>
      <c r="M10" t="str">
        <f t="shared" si="2"/>
        <v>60</v>
      </c>
      <c r="N10" t="str">
        <f t="shared" si="3"/>
        <v>235</v>
      </c>
      <c r="P10">
        <f>_xlfn.IFNA(_xlfn.XMATCH(K10,'Boards Catalogue'!A:A),-1)</f>
        <v>51</v>
      </c>
      <c r="Q10" s="17" t="str">
        <f>_xlfn.XLOOKUP(K10,'Boards Catalogue'!A:A,'Boards Catalogue'!A:A,,-1)</f>
        <v>2018-Fa-Fal-89-60-235</v>
      </c>
    </row>
    <row r="11" spans="1:17" x14ac:dyDescent="0.25">
      <c r="A11" s="3">
        <v>10419</v>
      </c>
      <c r="B11" s="3" t="s">
        <v>2</v>
      </c>
      <c r="C11" s="3" t="s">
        <v>47</v>
      </c>
      <c r="D11" s="3" t="s">
        <v>48</v>
      </c>
      <c r="E11" s="3" t="s">
        <v>49</v>
      </c>
      <c r="F11" s="3">
        <v>2018</v>
      </c>
      <c r="G11" s="3" t="s">
        <v>50</v>
      </c>
      <c r="H11" s="3" t="s">
        <v>51</v>
      </c>
      <c r="I11" s="4"/>
      <c r="K11" s="10" t="str">
        <f t="shared" si="0"/>
        <v>2018-Fa-Fal-159-90-230</v>
      </c>
      <c r="L11">
        <f t="shared" si="1"/>
        <v>159</v>
      </c>
      <c r="M11" t="str">
        <f t="shared" si="2"/>
        <v>90</v>
      </c>
      <c r="N11" t="str">
        <f t="shared" si="3"/>
        <v>230</v>
      </c>
      <c r="P11">
        <f>_xlfn.IFNA(_xlfn.XMATCH(K11,'Boards Catalogue'!A:A),-1)</f>
        <v>57</v>
      </c>
      <c r="Q11" s="17" t="str">
        <f>_xlfn.XLOOKUP(K11,'Boards Catalogue'!A:A,'Boards Catalogue'!A:A,,-1)</f>
        <v>2018-Fa-Fal-159-90-230</v>
      </c>
    </row>
    <row r="12" spans="1:17" x14ac:dyDescent="0.25">
      <c r="A12" s="3">
        <v>10683</v>
      </c>
      <c r="B12" s="3" t="s">
        <v>2</v>
      </c>
      <c r="C12" s="3" t="s">
        <v>52</v>
      </c>
      <c r="D12" s="3" t="s">
        <v>53</v>
      </c>
      <c r="E12" s="3" t="s">
        <v>54</v>
      </c>
      <c r="F12" s="3">
        <v>2018</v>
      </c>
      <c r="G12" s="3" t="s">
        <v>55</v>
      </c>
      <c r="H12" s="3" t="s">
        <v>56</v>
      </c>
      <c r="I12" s="4"/>
      <c r="K12" s="10" t="str">
        <f t="shared" si="0"/>
        <v>2018-Fa-Fal-55-40-228</v>
      </c>
      <c r="L12">
        <f t="shared" si="1"/>
        <v>55</v>
      </c>
      <c r="M12" t="str">
        <f t="shared" si="2"/>
        <v>40</v>
      </c>
      <c r="N12" t="str">
        <f t="shared" si="3"/>
        <v>228</v>
      </c>
      <c r="P12">
        <f>_xlfn.IFNA(_xlfn.XMATCH(K12,'Boards Catalogue'!A:A),-1)</f>
        <v>-1</v>
      </c>
      <c r="Q12" s="17" t="str">
        <f>_xlfn.XLOOKUP(K12,'Boards Catalogue'!A:A,'Boards Catalogue'!A:A,,-1)</f>
        <v>2018-Fa-Fal-54-44-230</v>
      </c>
    </row>
    <row r="13" spans="1:17" x14ac:dyDescent="0.25">
      <c r="A13" s="3">
        <v>10290</v>
      </c>
      <c r="B13" s="3" t="s">
        <v>2</v>
      </c>
      <c r="C13" s="3" t="s">
        <v>57</v>
      </c>
      <c r="D13" s="3" t="s">
        <v>58</v>
      </c>
      <c r="E13" s="3" t="s">
        <v>59</v>
      </c>
      <c r="F13" s="3">
        <v>2018</v>
      </c>
      <c r="G13" s="3" t="s">
        <v>45</v>
      </c>
      <c r="H13" s="3" t="s">
        <v>60</v>
      </c>
      <c r="I13" s="4"/>
      <c r="K13" s="10" t="str">
        <f t="shared" si="0"/>
        <v>2018-Fa-Fal-70-525-235</v>
      </c>
      <c r="L13">
        <f t="shared" si="1"/>
        <v>70</v>
      </c>
      <c r="M13" t="str">
        <f t="shared" si="2"/>
        <v>525</v>
      </c>
      <c r="N13" t="str">
        <f t="shared" si="3"/>
        <v>235</v>
      </c>
      <c r="P13">
        <f>_xlfn.IFNA(_xlfn.XMATCH(K13,'Boards Catalogue'!A:A),-1)</f>
        <v>-1</v>
      </c>
      <c r="Q13" s="17" t="str">
        <f>_xlfn.XLOOKUP(K13,'Boards Catalogue'!A:A,'Boards Catalogue'!A:A,,-1)</f>
        <v>2018-Fa-Fal-70-52-230</v>
      </c>
    </row>
    <row r="14" spans="1:17" x14ac:dyDescent="0.25">
      <c r="A14" s="3">
        <v>10147</v>
      </c>
      <c r="B14" s="3" t="s">
        <v>2</v>
      </c>
      <c r="C14" s="3" t="s">
        <v>61</v>
      </c>
      <c r="D14" s="3" t="s">
        <v>62</v>
      </c>
      <c r="E14" s="3" t="s">
        <v>59</v>
      </c>
      <c r="F14" s="3">
        <v>2018</v>
      </c>
      <c r="G14" s="3" t="s">
        <v>55</v>
      </c>
      <c r="H14" s="3" t="s">
        <v>63</v>
      </c>
      <c r="I14" s="4"/>
      <c r="K14" s="10" t="str">
        <f t="shared" si="0"/>
        <v>2018-Fa-FAL-70-52-230</v>
      </c>
      <c r="L14">
        <f t="shared" si="1"/>
        <v>70</v>
      </c>
      <c r="M14" t="str">
        <f t="shared" si="2"/>
        <v>52</v>
      </c>
      <c r="N14" t="str">
        <f t="shared" si="3"/>
        <v>230</v>
      </c>
      <c r="P14">
        <f>_xlfn.IFNA(_xlfn.XMATCH(K14,'Boards Catalogue'!A:A),-1)</f>
        <v>59</v>
      </c>
      <c r="Q14" s="17" t="str">
        <f>_xlfn.XLOOKUP(K14,'Boards Catalogue'!A:A,'Boards Catalogue'!A:A,,-1)</f>
        <v>2018-Fa-Fal-70-52-230</v>
      </c>
    </row>
    <row r="15" spans="1:17" x14ac:dyDescent="0.25">
      <c r="A15" s="3">
        <v>10859</v>
      </c>
      <c r="B15" s="3" t="s">
        <v>2</v>
      </c>
      <c r="C15" s="3" t="s">
        <v>64</v>
      </c>
      <c r="D15" s="3" t="s">
        <v>65</v>
      </c>
      <c r="E15" s="3" t="s">
        <v>66</v>
      </c>
      <c r="F15" s="3">
        <v>2018</v>
      </c>
      <c r="G15" s="3" t="s">
        <v>16</v>
      </c>
      <c r="H15" s="3" t="s">
        <v>67</v>
      </c>
      <c r="I15" s="4"/>
      <c r="K15" s="10" t="str">
        <f t="shared" si="0"/>
        <v>2018-Fa-Fal-121-75-230</v>
      </c>
      <c r="L15">
        <f t="shared" si="1"/>
        <v>121</v>
      </c>
      <c r="M15" t="str">
        <f t="shared" si="2"/>
        <v>75</v>
      </c>
      <c r="N15" t="str">
        <f t="shared" si="3"/>
        <v>230</v>
      </c>
      <c r="P15">
        <f>_xlfn.IFNA(_xlfn.XMATCH(K15,'Boards Catalogue'!A:A),-1)</f>
        <v>54</v>
      </c>
      <c r="Q15" s="17" t="str">
        <f>_xlfn.XLOOKUP(K15,'Boards Catalogue'!A:A,'Boards Catalogue'!A:A,,-1)</f>
        <v>2018-Fa-Fal-121-75-230</v>
      </c>
    </row>
    <row r="16" spans="1:17" x14ac:dyDescent="0.25">
      <c r="A16" s="3">
        <v>10899</v>
      </c>
      <c r="B16" s="3" t="s">
        <v>2</v>
      </c>
      <c r="C16" s="3" t="s">
        <v>68</v>
      </c>
      <c r="D16" s="3" t="s">
        <v>69</v>
      </c>
      <c r="E16" s="3" t="s">
        <v>70</v>
      </c>
      <c r="F16" s="3">
        <v>2018</v>
      </c>
      <c r="G16" s="3" t="s">
        <v>27</v>
      </c>
      <c r="H16" s="3" t="s">
        <v>71</v>
      </c>
      <c r="I16" s="4"/>
      <c r="K16" s="10" t="str">
        <f t="shared" si="0"/>
        <v>2018-Fa-Fal-136-85-225</v>
      </c>
      <c r="L16">
        <f t="shared" si="1"/>
        <v>136</v>
      </c>
      <c r="M16" t="str">
        <f t="shared" si="2"/>
        <v>85</v>
      </c>
      <c r="N16" t="str">
        <f t="shared" si="3"/>
        <v>225</v>
      </c>
      <c r="P16">
        <f>_xlfn.IFNA(_xlfn.XMATCH(K16,'Boards Catalogue'!A:A),-1)</f>
        <v>56</v>
      </c>
      <c r="Q16" s="17" t="str">
        <f>_xlfn.XLOOKUP(K16,'Boards Catalogue'!A:A,'Boards Catalogue'!A:A,,-1)</f>
        <v>2018-Fa-Fal-136-85-225</v>
      </c>
    </row>
    <row r="17" spans="1:17" x14ac:dyDescent="0.25">
      <c r="A17" s="15">
        <v>12250</v>
      </c>
      <c r="B17" s="15" t="s">
        <v>2</v>
      </c>
      <c r="C17" s="15" t="s">
        <v>72</v>
      </c>
      <c r="D17" s="15" t="s">
        <v>73</v>
      </c>
      <c r="E17" s="15" t="s">
        <v>74</v>
      </c>
      <c r="F17" s="15">
        <v>2018</v>
      </c>
      <c r="G17" s="15" t="s">
        <v>16</v>
      </c>
      <c r="H17" s="15" t="s">
        <v>75</v>
      </c>
      <c r="I17" s="4"/>
      <c r="K17" s="10" t="str">
        <f t="shared" si="0"/>
        <v>2018-Fa-Fal-98-63-232</v>
      </c>
      <c r="L17">
        <f t="shared" si="1"/>
        <v>98</v>
      </c>
      <c r="M17" t="str">
        <f t="shared" si="2"/>
        <v>63</v>
      </c>
      <c r="N17" t="str">
        <f t="shared" si="3"/>
        <v>232</v>
      </c>
      <c r="P17">
        <f>_xlfn.IFNA(_xlfn.XMATCH(K17,'Boards Catalogue'!A:A),-1)</f>
        <v>-1</v>
      </c>
      <c r="Q17" s="17" t="str">
        <f>_xlfn.XLOOKUP(K17,'Boards Catalogue'!A:A,'Boards Catalogue'!A:A,,-1)</f>
        <v>2018-Fa-Fal-89-60-235</v>
      </c>
    </row>
    <row r="18" spans="1:17" x14ac:dyDescent="0.25">
      <c r="A18" s="3">
        <v>10668</v>
      </c>
      <c r="B18" s="3" t="s">
        <v>2</v>
      </c>
      <c r="C18" s="3" t="s">
        <v>76</v>
      </c>
      <c r="D18" s="3" t="s">
        <v>77</v>
      </c>
      <c r="E18" s="3" t="s">
        <v>78</v>
      </c>
      <c r="F18" s="3">
        <v>2018</v>
      </c>
      <c r="G18" s="3" t="s">
        <v>45</v>
      </c>
      <c r="H18" s="3" t="s">
        <v>79</v>
      </c>
      <c r="I18" s="4"/>
      <c r="K18" s="10" t="str">
        <f t="shared" si="0"/>
        <v>2018-Fa-Fal-99-63-235</v>
      </c>
      <c r="L18">
        <f t="shared" si="1"/>
        <v>99</v>
      </c>
      <c r="M18" t="str">
        <f t="shared" si="2"/>
        <v>63</v>
      </c>
      <c r="N18" t="str">
        <f t="shared" si="3"/>
        <v>235</v>
      </c>
      <c r="P18">
        <f>_xlfn.IFNA(_xlfn.XMATCH(K18,'Boards Catalogue'!A:A),-1)</f>
        <v>-1</v>
      </c>
      <c r="Q18" s="17" t="str">
        <f>_xlfn.XLOOKUP(K18,'Boards Catalogue'!A:A,'Boards Catalogue'!A:A,,-1)</f>
        <v>2018-Fa-Fal-98-63-235</v>
      </c>
    </row>
    <row r="19" spans="1:17" x14ac:dyDescent="0.25">
      <c r="A19" s="3">
        <v>10688</v>
      </c>
      <c r="B19" s="3" t="s">
        <v>2</v>
      </c>
      <c r="C19" s="3" t="s">
        <v>80</v>
      </c>
      <c r="D19" s="3" t="s">
        <v>81</v>
      </c>
      <c r="E19" s="3" t="s">
        <v>82</v>
      </c>
      <c r="F19" s="3">
        <v>2018</v>
      </c>
      <c r="G19" s="3" t="s">
        <v>83</v>
      </c>
      <c r="H19" s="3" t="s">
        <v>84</v>
      </c>
      <c r="I19" s="4"/>
      <c r="K19" s="10" t="str">
        <f t="shared" si="0"/>
        <v>2018-Fa-Fre-116-66-235</v>
      </c>
      <c r="L19">
        <f t="shared" si="1"/>
        <v>116</v>
      </c>
      <c r="M19" t="str">
        <f t="shared" si="2"/>
        <v>66</v>
      </c>
      <c r="N19" t="str">
        <f t="shared" si="3"/>
        <v>235</v>
      </c>
      <c r="P19">
        <f>_xlfn.IFNA(_xlfn.XMATCH(K19,'Boards Catalogue'!A:A),-1)</f>
        <v>-1</v>
      </c>
      <c r="Q19" s="17" t="str">
        <f>_xlfn.XLOOKUP(K19,'Boards Catalogue'!A:A,'Boards Catalogue'!A:A,,-1)</f>
        <v>2018-Fa-Fre-115-65-231</v>
      </c>
    </row>
    <row r="20" spans="1:17" x14ac:dyDescent="0.25">
      <c r="A20" s="3">
        <v>10689</v>
      </c>
      <c r="B20" s="3" t="s">
        <v>2</v>
      </c>
      <c r="C20" s="3" t="s">
        <v>80</v>
      </c>
      <c r="D20" s="3" t="s">
        <v>77</v>
      </c>
      <c r="E20" s="3" t="s">
        <v>85</v>
      </c>
      <c r="F20" s="3">
        <v>2018</v>
      </c>
      <c r="G20" s="3" t="s">
        <v>83</v>
      </c>
      <c r="H20" s="3" t="s">
        <v>84</v>
      </c>
      <c r="I20" s="4"/>
      <c r="K20" s="10" t="str">
        <f t="shared" si="0"/>
        <v>2018-Fa-Fre-106-63-235</v>
      </c>
      <c r="L20">
        <f t="shared" si="1"/>
        <v>106</v>
      </c>
      <c r="M20" t="str">
        <f t="shared" si="2"/>
        <v>63</v>
      </c>
      <c r="N20" t="str">
        <f t="shared" si="3"/>
        <v>235</v>
      </c>
      <c r="P20">
        <f>_xlfn.IFNA(_xlfn.XMATCH(K20,'Boards Catalogue'!A:A),-1)</f>
        <v>-1</v>
      </c>
      <c r="Q20" s="17" t="str">
        <f>_xlfn.XLOOKUP(K20,'Boards Catalogue'!A:A,'Boards Catalogue'!A:A,,-1)</f>
        <v>2018-Fa-Fre-105-62-229</v>
      </c>
    </row>
    <row r="21" spans="1:17" x14ac:dyDescent="0.25">
      <c r="A21" s="3">
        <v>11893</v>
      </c>
      <c r="B21" s="3" t="s">
        <v>2</v>
      </c>
      <c r="C21" s="3" t="s">
        <v>86</v>
      </c>
      <c r="D21" s="3" t="s">
        <v>87</v>
      </c>
      <c r="E21" s="3" t="s">
        <v>88</v>
      </c>
      <c r="F21" s="3">
        <v>2018</v>
      </c>
      <c r="G21" s="3" t="s">
        <v>83</v>
      </c>
      <c r="H21" s="3" t="s">
        <v>89</v>
      </c>
      <c r="I21" s="4"/>
      <c r="K21" s="10" t="str">
        <f t="shared" si="0"/>
        <v>2018-Fa-Fre-85-58-225</v>
      </c>
      <c r="L21">
        <f t="shared" si="1"/>
        <v>85</v>
      </c>
      <c r="M21" t="str">
        <f t="shared" si="2"/>
        <v>58</v>
      </c>
      <c r="N21" t="str">
        <f t="shared" si="3"/>
        <v>225</v>
      </c>
      <c r="P21">
        <f>_xlfn.IFNA(_xlfn.XMATCH(K21,'Boards Catalogue'!A:A),-1)</f>
        <v>-1</v>
      </c>
      <c r="Q21" s="17" t="str">
        <f>_xlfn.XLOOKUP(K21,'Boards Catalogue'!A:A,'Boards Catalogue'!A:A,,-1)</f>
        <v>2018-Fa-Fre-85-57-225</v>
      </c>
    </row>
    <row r="22" spans="1:17" x14ac:dyDescent="0.25">
      <c r="A22" s="3">
        <v>11871</v>
      </c>
      <c r="B22" s="3" t="s">
        <v>2</v>
      </c>
      <c r="C22" s="3" t="s">
        <v>90</v>
      </c>
      <c r="D22" s="3" t="s">
        <v>91</v>
      </c>
      <c r="E22" s="3" t="s">
        <v>92</v>
      </c>
      <c r="F22" s="3">
        <v>2018</v>
      </c>
      <c r="G22" s="3" t="s">
        <v>83</v>
      </c>
      <c r="H22" s="3" t="s">
        <v>93</v>
      </c>
      <c r="I22" s="4"/>
      <c r="K22" s="10" t="str">
        <f t="shared" si="0"/>
        <v>2018-Fa-Gec-133-78-246</v>
      </c>
      <c r="L22">
        <f t="shared" si="1"/>
        <v>133</v>
      </c>
      <c r="M22" t="str">
        <f t="shared" si="2"/>
        <v>78</v>
      </c>
      <c r="N22" t="str">
        <f t="shared" si="3"/>
        <v>246</v>
      </c>
      <c r="P22">
        <f>_xlfn.IFNA(_xlfn.XMATCH(K22,'Boards Catalogue'!A:A),-1)</f>
        <v>30</v>
      </c>
      <c r="Q22" s="17" t="str">
        <f>_xlfn.XLOOKUP(K22,'Boards Catalogue'!A:A,'Boards Catalogue'!A:A,,-1)</f>
        <v>2018-Fa-Gec-133-78-246</v>
      </c>
    </row>
    <row r="23" spans="1:17" x14ac:dyDescent="0.25">
      <c r="A23" s="3">
        <v>11049</v>
      </c>
      <c r="B23" s="3" t="s">
        <v>2</v>
      </c>
      <c r="C23" s="5" t="s">
        <v>94</v>
      </c>
      <c r="D23" s="3" t="s">
        <v>95</v>
      </c>
      <c r="E23" s="3" t="s">
        <v>96</v>
      </c>
      <c r="F23" s="3">
        <v>2018</v>
      </c>
      <c r="G23" s="5" t="s">
        <v>97</v>
      </c>
      <c r="H23" s="5" t="s">
        <v>98</v>
      </c>
      <c r="I23" s="4"/>
      <c r="K23" s="10" t="str">
        <f t="shared" si="0"/>
        <v>2018-Fa-gec-120-76-242</v>
      </c>
      <c r="L23">
        <f t="shared" si="1"/>
        <v>120</v>
      </c>
      <c r="M23" t="str">
        <f t="shared" si="2"/>
        <v>76</v>
      </c>
      <c r="N23" t="str">
        <f t="shared" si="3"/>
        <v>242</v>
      </c>
      <c r="P23">
        <f>_xlfn.IFNA(_xlfn.XMATCH(K23,'Boards Catalogue'!A:A),-1)</f>
        <v>29</v>
      </c>
      <c r="Q23" s="17" t="str">
        <f>_xlfn.XLOOKUP(K23,'Boards Catalogue'!A:A,'Boards Catalogue'!A:A,,-1)</f>
        <v>2018-Fa-Gec-120-76-242</v>
      </c>
    </row>
    <row r="24" spans="1:17" x14ac:dyDescent="0.25">
      <c r="A24" s="3">
        <v>10203</v>
      </c>
      <c r="B24" s="3" t="s">
        <v>2</v>
      </c>
      <c r="C24" s="3" t="s">
        <v>99</v>
      </c>
      <c r="D24" s="3" t="s">
        <v>100</v>
      </c>
      <c r="E24" s="3" t="s">
        <v>96</v>
      </c>
      <c r="F24" s="3">
        <v>2018</v>
      </c>
      <c r="G24" s="3" t="s">
        <v>27</v>
      </c>
      <c r="H24" s="3" t="s">
        <v>101</v>
      </c>
      <c r="I24" s="4"/>
      <c r="K24" s="10" t="str">
        <f t="shared" si="0"/>
        <v>2018-Fa-Gec-120-76-245</v>
      </c>
      <c r="L24">
        <f t="shared" si="1"/>
        <v>120</v>
      </c>
      <c r="M24" t="str">
        <f t="shared" si="2"/>
        <v>76</v>
      </c>
      <c r="N24" t="str">
        <f t="shared" si="3"/>
        <v>245</v>
      </c>
      <c r="P24">
        <f>_xlfn.IFNA(_xlfn.XMATCH(K24,'Boards Catalogue'!A:A),-1)</f>
        <v>-1</v>
      </c>
      <c r="Q24" s="17" t="str">
        <f>_xlfn.XLOOKUP(K24,'Boards Catalogue'!A:A,'Boards Catalogue'!A:A,,-1)</f>
        <v>2018-Fa-Gec-120-76-242</v>
      </c>
    </row>
    <row r="25" spans="1:17" x14ac:dyDescent="0.25">
      <c r="A25" s="3">
        <v>10545</v>
      </c>
      <c r="B25" s="3" t="s">
        <v>2</v>
      </c>
      <c r="C25" s="5" t="s">
        <v>102</v>
      </c>
      <c r="D25" s="3" t="s">
        <v>103</v>
      </c>
      <c r="E25" s="3" t="s">
        <v>104</v>
      </c>
      <c r="F25" s="3">
        <v>2018</v>
      </c>
      <c r="G25" s="3" t="s">
        <v>83</v>
      </c>
      <c r="H25" s="3" t="s">
        <v>105</v>
      </c>
      <c r="I25" s="4"/>
      <c r="K25" s="10" t="str">
        <f t="shared" si="0"/>
        <v>2018-Fa-Gri-82-58-224</v>
      </c>
      <c r="L25">
        <f t="shared" si="1"/>
        <v>82</v>
      </c>
      <c r="M25" t="str">
        <f t="shared" si="2"/>
        <v>58</v>
      </c>
      <c r="N25" t="str">
        <f t="shared" si="3"/>
        <v>224</v>
      </c>
      <c r="P25">
        <f>_xlfn.IFNA(_xlfn.XMATCH(K25,'Boards Catalogue'!A:A),-1)</f>
        <v>8</v>
      </c>
      <c r="Q25" s="17" t="str">
        <f>_xlfn.XLOOKUP(K25,'Boards Catalogue'!A:A,'Boards Catalogue'!A:A,,-1)</f>
        <v>2018-Fa-Gri-82-58-224</v>
      </c>
    </row>
    <row r="26" spans="1:17" x14ac:dyDescent="0.25">
      <c r="A26" s="3">
        <v>11188</v>
      </c>
      <c r="B26" s="3" t="s">
        <v>2</v>
      </c>
      <c r="C26" s="3" t="s">
        <v>106</v>
      </c>
      <c r="D26" s="3" t="s">
        <v>107</v>
      </c>
      <c r="E26" s="3" t="s">
        <v>78</v>
      </c>
      <c r="F26" s="3">
        <v>2018</v>
      </c>
      <c r="G26" s="3" t="s">
        <v>50</v>
      </c>
      <c r="H26" s="3" t="s">
        <v>108</v>
      </c>
      <c r="I26" s="4"/>
      <c r="K26" s="10" t="str">
        <f t="shared" si="0"/>
        <v>2018-Fa-Gri-99-62-229</v>
      </c>
      <c r="L26">
        <f t="shared" si="1"/>
        <v>99</v>
      </c>
      <c r="M26" t="str">
        <f t="shared" si="2"/>
        <v>62</v>
      </c>
      <c r="N26" t="str">
        <f t="shared" si="3"/>
        <v>229</v>
      </c>
      <c r="P26">
        <f>_xlfn.IFNA(_xlfn.XMATCH(K26,'Boards Catalogue'!A:A),-1)</f>
        <v>10</v>
      </c>
      <c r="Q26" s="17" t="str">
        <f>_xlfn.XLOOKUP(K26,'Boards Catalogue'!A:A,'Boards Catalogue'!A:A,,-1)</f>
        <v>2018-Fa-Gri-99-62-229</v>
      </c>
    </row>
    <row r="27" spans="1:17" x14ac:dyDescent="0.25">
      <c r="A27" s="3">
        <v>10563</v>
      </c>
      <c r="B27" s="3" t="s">
        <v>2</v>
      </c>
      <c r="C27" s="3" t="s">
        <v>109</v>
      </c>
      <c r="D27" s="3" t="s">
        <v>110</v>
      </c>
      <c r="E27" s="3" t="s">
        <v>111</v>
      </c>
      <c r="F27" s="3">
        <v>2018</v>
      </c>
      <c r="G27" s="3" t="s">
        <v>27</v>
      </c>
      <c r="H27" s="3" t="s">
        <v>112</v>
      </c>
      <c r="I27" s="4"/>
      <c r="K27" s="10" t="str">
        <f t="shared" si="0"/>
        <v>2018-Fa-Jag-125-75-235</v>
      </c>
      <c r="L27">
        <f t="shared" si="1"/>
        <v>125</v>
      </c>
      <c r="M27" t="str">
        <f t="shared" si="2"/>
        <v>75</v>
      </c>
      <c r="N27" t="str">
        <f t="shared" si="3"/>
        <v>235</v>
      </c>
      <c r="P27">
        <f>_xlfn.IFNA(_xlfn.XMATCH(K27,'Boards Catalogue'!A:A),-1)</f>
        <v>-1</v>
      </c>
      <c r="Q27" s="17" t="str">
        <f>_xlfn.XLOOKUP(K27,'Boards Catalogue'!A:A,'Boards Catalogue'!A:A,,-1)</f>
        <v>2018-Fa-Gri-99-62-229</v>
      </c>
    </row>
    <row r="28" spans="1:17" x14ac:dyDescent="0.25">
      <c r="A28" s="3">
        <v>10291</v>
      </c>
      <c r="B28" s="3" t="s">
        <v>2</v>
      </c>
      <c r="C28" s="3" t="s">
        <v>113</v>
      </c>
      <c r="D28" s="3" t="s">
        <v>114</v>
      </c>
      <c r="E28" s="3" t="s">
        <v>115</v>
      </c>
      <c r="F28" s="3">
        <v>2018</v>
      </c>
      <c r="G28" s="3" t="s">
        <v>55</v>
      </c>
      <c r="H28" s="3" t="s">
        <v>116</v>
      </c>
      <c r="I28" s="4"/>
      <c r="K28" s="10" t="str">
        <f t="shared" si="0"/>
        <v>2018-Fa-Lüd-50-44-230</v>
      </c>
      <c r="L28">
        <f t="shared" si="1"/>
        <v>50</v>
      </c>
      <c r="M28" t="str">
        <f t="shared" si="2"/>
        <v>44</v>
      </c>
      <c r="N28" t="str">
        <f t="shared" si="3"/>
        <v>230</v>
      </c>
      <c r="P28">
        <f>_xlfn.IFNA(_xlfn.XMATCH(K28,'Boards Catalogue'!A:A),-1)</f>
        <v>-1</v>
      </c>
      <c r="Q28" s="17" t="str">
        <f>_xlfn.XLOOKUP(K28,'Boards Catalogue'!A:A,'Boards Catalogue'!A:A,,-1)</f>
        <v>2018-Fa-Gri-99-62-229</v>
      </c>
    </row>
    <row r="29" spans="1:17" x14ac:dyDescent="0.25">
      <c r="A29" s="3">
        <v>740</v>
      </c>
      <c r="B29" s="3" t="s">
        <v>2</v>
      </c>
      <c r="C29" s="3" t="s">
        <v>117</v>
      </c>
      <c r="D29" s="3" t="s">
        <v>118</v>
      </c>
      <c r="E29" s="3" t="s">
        <v>111</v>
      </c>
      <c r="F29" s="3">
        <v>2018</v>
      </c>
      <c r="G29" s="3" t="s">
        <v>50</v>
      </c>
      <c r="H29" s="3" t="s">
        <v>119</v>
      </c>
      <c r="I29" s="4"/>
      <c r="K29" s="10" t="str">
        <f t="shared" si="0"/>
        <v>2018-Fa-Sha-125-70-295</v>
      </c>
      <c r="L29">
        <f t="shared" si="1"/>
        <v>125</v>
      </c>
      <c r="M29" t="str">
        <f t="shared" si="2"/>
        <v>70</v>
      </c>
      <c r="N29" t="str">
        <f t="shared" si="3"/>
        <v>295</v>
      </c>
      <c r="P29">
        <f>_xlfn.IFNA(_xlfn.XMATCH(K29,'Boards Catalogue'!A:A),-1)</f>
        <v>-1</v>
      </c>
      <c r="Q29" s="17" t="str">
        <f>_xlfn.XLOOKUP(K29,'Boards Catalogue'!A:A,'Boards Catalogue'!A:A,,-1)</f>
        <v>2018-Fa-Rip-187-73-274</v>
      </c>
    </row>
    <row r="30" spans="1:17" x14ac:dyDescent="0.25">
      <c r="A30" s="3">
        <v>10240</v>
      </c>
      <c r="B30" s="3" t="s">
        <v>2</v>
      </c>
      <c r="C30" s="3" t="s">
        <v>120</v>
      </c>
      <c r="D30" s="3" t="s">
        <v>121</v>
      </c>
      <c r="E30" s="3" t="s">
        <v>70</v>
      </c>
      <c r="F30" s="3">
        <v>2018</v>
      </c>
      <c r="G30" s="3" t="s">
        <v>27</v>
      </c>
      <c r="H30" s="3" t="s">
        <v>122</v>
      </c>
      <c r="I30" s="4"/>
      <c r="K30" s="10" t="str">
        <f t="shared" si="0"/>
        <v>2018-Fa-Sla-136-85-235</v>
      </c>
      <c r="L30">
        <f t="shared" si="1"/>
        <v>136</v>
      </c>
      <c r="M30" t="str">
        <f t="shared" si="2"/>
        <v>85</v>
      </c>
      <c r="N30" t="str">
        <f t="shared" si="3"/>
        <v>235</v>
      </c>
      <c r="P30">
        <f>_xlfn.IFNA(_xlfn.XMATCH(K30,'Boards Catalogue'!A:A),-1)</f>
        <v>-1</v>
      </c>
      <c r="Q30" s="17" t="str">
        <f>_xlfn.XLOOKUP(K30,'Boards Catalogue'!A:A,'Boards Catalogue'!A:A,,-1)</f>
        <v>2018-Fa-Ska-93-62-225</v>
      </c>
    </row>
    <row r="31" spans="1:17" x14ac:dyDescent="0.25">
      <c r="A31" s="3">
        <v>10237</v>
      </c>
      <c r="B31" s="3" t="s">
        <v>2</v>
      </c>
      <c r="C31" s="3" t="s">
        <v>123</v>
      </c>
      <c r="D31" s="3" t="s">
        <v>77</v>
      </c>
      <c r="E31" s="3" t="s">
        <v>74</v>
      </c>
      <c r="F31" s="3">
        <v>2018</v>
      </c>
      <c r="G31" s="3" t="s">
        <v>16</v>
      </c>
      <c r="H31" s="3" t="s">
        <v>124</v>
      </c>
      <c r="I31" s="4"/>
      <c r="K31" s="10" t="str">
        <f t="shared" si="0"/>
        <v>2018-Fa-Sla-98-63-235</v>
      </c>
      <c r="L31">
        <f t="shared" si="1"/>
        <v>98</v>
      </c>
      <c r="M31" t="str">
        <f t="shared" si="2"/>
        <v>63</v>
      </c>
      <c r="N31" t="str">
        <f t="shared" si="3"/>
        <v>235</v>
      </c>
      <c r="P31">
        <f>_xlfn.IFNA(_xlfn.XMATCH(K31,'Boards Catalogue'!A:A),-1)</f>
        <v>-1</v>
      </c>
      <c r="Q31" s="17" t="str">
        <f>_xlfn.XLOOKUP(K31,'Boards Catalogue'!A:A,'Boards Catalogue'!A:A,,-1)</f>
        <v>2018-Fa-Ska-93-62-225</v>
      </c>
    </row>
    <row r="32" spans="1:17" x14ac:dyDescent="0.25">
      <c r="A32" s="3">
        <v>10219</v>
      </c>
      <c r="B32" s="3" t="s">
        <v>2</v>
      </c>
      <c r="C32" s="3" t="s">
        <v>125</v>
      </c>
      <c r="D32" s="3" t="s">
        <v>126</v>
      </c>
      <c r="E32" s="3" t="s">
        <v>78</v>
      </c>
      <c r="F32" s="3">
        <v>2018</v>
      </c>
      <c r="G32" s="3" t="s">
        <v>83</v>
      </c>
      <c r="H32" s="3" t="s">
        <v>127</v>
      </c>
      <c r="I32" s="4"/>
      <c r="K32" s="10" t="str">
        <f t="shared" si="0"/>
        <v>2018-Fa-Stu-99-60-218</v>
      </c>
      <c r="L32">
        <f t="shared" si="1"/>
        <v>99</v>
      </c>
      <c r="M32" t="str">
        <f t="shared" si="2"/>
        <v>60</v>
      </c>
      <c r="N32" t="str">
        <f t="shared" si="3"/>
        <v>218</v>
      </c>
      <c r="P32">
        <f>_xlfn.IFNA(_xlfn.XMATCH(K32,'Boards Catalogue'!A:A),-1)</f>
        <v>5</v>
      </c>
      <c r="Q32" s="17" t="str">
        <f>_xlfn.XLOOKUP(K32,'Boards Catalogue'!A:A,'Boards Catalogue'!A:A,,-1)</f>
        <v>2018-Fa-Stu-99-60-218</v>
      </c>
    </row>
    <row r="33" spans="1:17" x14ac:dyDescent="0.25">
      <c r="A33" s="3">
        <v>12906</v>
      </c>
      <c r="B33" s="3" t="s">
        <v>2</v>
      </c>
      <c r="C33" s="3" t="s">
        <v>128</v>
      </c>
      <c r="D33" s="3" t="s">
        <v>129</v>
      </c>
      <c r="E33" s="3" t="s">
        <v>130</v>
      </c>
      <c r="F33" s="3">
        <v>2018</v>
      </c>
      <c r="G33" s="3" t="s">
        <v>50</v>
      </c>
      <c r="H33" s="3" t="s">
        <v>131</v>
      </c>
      <c r="I33" s="4"/>
      <c r="K33" s="10" t="str">
        <f t="shared" si="0"/>
        <v>2018-Fa-Vip-220-85-285</v>
      </c>
      <c r="L33">
        <f t="shared" si="1"/>
        <v>220</v>
      </c>
      <c r="M33" t="str">
        <f t="shared" si="2"/>
        <v>85</v>
      </c>
      <c r="N33" t="str">
        <f t="shared" si="3"/>
        <v>285</v>
      </c>
      <c r="P33">
        <f>_xlfn.IFNA(_xlfn.XMATCH(K33,'Boards Catalogue'!A:A),-1)</f>
        <v>64</v>
      </c>
      <c r="Q33" s="17" t="str">
        <f>_xlfn.XLOOKUP(K33,'Boards Catalogue'!A:A,'Boards Catalogue'!A:A,,-1)</f>
        <v>2018-Fa-Vip-220-85-285</v>
      </c>
    </row>
    <row r="34" spans="1:17" x14ac:dyDescent="0.25">
      <c r="A34" s="3">
        <v>13285</v>
      </c>
      <c r="B34" s="3" t="s">
        <v>2</v>
      </c>
      <c r="C34" s="3" t="s">
        <v>132</v>
      </c>
      <c r="D34" s="3" t="s">
        <v>133</v>
      </c>
      <c r="E34" s="3" t="s">
        <v>134</v>
      </c>
      <c r="F34" s="3">
        <v>2018</v>
      </c>
      <c r="G34" s="3" t="s">
        <v>83</v>
      </c>
      <c r="H34" s="3" t="s">
        <v>135</v>
      </c>
      <c r="I34" s="4"/>
      <c r="K34" s="10" t="str">
        <f t="shared" si="0"/>
        <v>2018-Fa-Wav-103-64-232</v>
      </c>
      <c r="L34">
        <f t="shared" si="1"/>
        <v>103</v>
      </c>
      <c r="M34" t="str">
        <f t="shared" si="2"/>
        <v>64</v>
      </c>
      <c r="N34" t="str">
        <f t="shared" si="3"/>
        <v>232</v>
      </c>
      <c r="P34">
        <f>_xlfn.IFNA(_xlfn.XMATCH(K34,'Boards Catalogue'!A:A),-1)</f>
        <v>-1</v>
      </c>
      <c r="Q34" s="17" t="str">
        <f>_xlfn.XLOOKUP(K34,'Boards Catalogue'!A:A,'Boards Catalogue'!A:A,,-1)</f>
        <v>2018-Fa-Vip-355-85-335</v>
      </c>
    </row>
  </sheetData>
  <autoFilter ref="A1:I1" xr:uid="{00000000-0001-0000-0000-000000000000}"/>
  <conditionalFormatting sqref="A1:P1048576 Q1">
    <cfRule type="expression" dxfId="0" priority="1">
      <formula>$P1=-1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E7DF-6394-4A61-9462-EC4D65F15DB9}">
  <dimension ref="A1:K182"/>
  <sheetViews>
    <sheetView tabSelected="1" zoomScale="85" zoomScaleNormal="85" workbookViewId="0">
      <pane ySplit="1" topLeftCell="A122" activePane="bottomLeft" state="frozen"/>
      <selection pane="bottomLeft" activeCell="A2" sqref="A2:A182"/>
    </sheetView>
  </sheetViews>
  <sheetFormatPr defaultRowHeight="15" x14ac:dyDescent="0.25"/>
  <cols>
    <col min="1" max="1" width="30.28515625" bestFit="1" customWidth="1"/>
    <col min="2" max="2" width="7.85546875" bestFit="1" customWidth="1"/>
    <col min="3" max="3" width="12" customWidth="1"/>
    <col min="4" max="4" width="28.140625" bestFit="1" customWidth="1"/>
    <col min="5" max="5" width="11.28515625" bestFit="1" customWidth="1"/>
    <col min="6" max="6" width="9.85546875" bestFit="1" customWidth="1"/>
    <col min="7" max="7" width="10.7109375" bestFit="1" customWidth="1"/>
    <col min="8" max="8" width="36.42578125" bestFit="1" customWidth="1"/>
    <col min="9" max="9" width="26.7109375" bestFit="1" customWidth="1"/>
    <col min="10" max="10" width="30.5703125" bestFit="1" customWidth="1"/>
    <col min="11" max="11" width="24" bestFit="1" customWidth="1"/>
  </cols>
  <sheetData>
    <row r="1" spans="1:11" ht="33" customHeight="1" x14ac:dyDescent="0.25">
      <c r="A1" s="7" t="s">
        <v>5</v>
      </c>
      <c r="B1" s="7" t="s">
        <v>297</v>
      </c>
      <c r="C1" s="7" t="s">
        <v>6</v>
      </c>
      <c r="D1" s="7" t="s">
        <v>136</v>
      </c>
      <c r="E1" s="7" t="s">
        <v>137</v>
      </c>
      <c r="F1" s="7" t="s">
        <v>138</v>
      </c>
      <c r="G1" s="7" t="s">
        <v>139</v>
      </c>
      <c r="H1" s="7" t="s">
        <v>140</v>
      </c>
      <c r="I1" s="7" t="s">
        <v>141</v>
      </c>
      <c r="J1" s="7" t="s">
        <v>142</v>
      </c>
      <c r="K1" s="7" t="s">
        <v>143</v>
      </c>
    </row>
    <row r="2" spans="1:11" x14ac:dyDescent="0.25">
      <c r="A2" s="19" t="str">
        <f>_xlfn.CONCAT(B2,"-",LEFT(C2,2),"-",LEFT(D2,3),"-",E2,"-",TRUNC(F2),"-",TRUNC(G2))</f>
        <v>2018-Fa-Stu-76-55-212</v>
      </c>
      <c r="B2">
        <v>2018</v>
      </c>
      <c r="C2" t="s">
        <v>2</v>
      </c>
      <c r="D2" t="s">
        <v>144</v>
      </c>
      <c r="E2">
        <v>76</v>
      </c>
      <c r="F2">
        <v>55</v>
      </c>
      <c r="G2">
        <v>212</v>
      </c>
      <c r="H2" t="s">
        <v>148</v>
      </c>
      <c r="I2" t="s">
        <v>149</v>
      </c>
      <c r="J2" t="s">
        <v>150</v>
      </c>
      <c r="K2" t="s">
        <v>151</v>
      </c>
    </row>
    <row r="3" spans="1:11" x14ac:dyDescent="0.25">
      <c r="A3" s="19" t="str">
        <f t="shared" ref="A3:A66" si="0">_xlfn.CONCAT(B3,"-",LEFT(C3,2),"-",LEFT(D3,3),"-",E3,"-",TRUNC(F3),"-",TRUNC(G3))</f>
        <v>2018-Fa-Stu-82-56-214</v>
      </c>
      <c r="B3">
        <v>2018</v>
      </c>
      <c r="C3" t="s">
        <v>2</v>
      </c>
      <c r="D3" t="s">
        <v>152</v>
      </c>
      <c r="E3">
        <v>82</v>
      </c>
      <c r="F3">
        <v>56</v>
      </c>
      <c r="G3">
        <v>214</v>
      </c>
      <c r="J3" t="s">
        <v>150</v>
      </c>
      <c r="K3" t="s">
        <v>153</v>
      </c>
    </row>
    <row r="4" spans="1:11" x14ac:dyDescent="0.25">
      <c r="A4" s="19" t="str">
        <f t="shared" si="0"/>
        <v>2018-Fa-Stu-89-57-215</v>
      </c>
      <c r="B4">
        <v>2018</v>
      </c>
      <c r="C4" t="s">
        <v>2</v>
      </c>
      <c r="D4" t="s">
        <v>154</v>
      </c>
      <c r="E4">
        <v>89</v>
      </c>
      <c r="F4">
        <v>57.5</v>
      </c>
      <c r="G4">
        <v>215</v>
      </c>
      <c r="J4" t="s">
        <v>155</v>
      </c>
      <c r="K4" t="s">
        <v>156</v>
      </c>
    </row>
    <row r="5" spans="1:11" x14ac:dyDescent="0.25">
      <c r="A5" s="19" t="str">
        <f t="shared" si="0"/>
        <v>2018-Fa-Stu-99-60-218</v>
      </c>
      <c r="B5">
        <v>2018</v>
      </c>
      <c r="C5" t="s">
        <v>2</v>
      </c>
      <c r="D5" t="s">
        <v>125</v>
      </c>
      <c r="E5">
        <v>99</v>
      </c>
      <c r="F5">
        <v>60</v>
      </c>
      <c r="G5">
        <v>218</v>
      </c>
      <c r="J5" t="s">
        <v>155</v>
      </c>
      <c r="K5" t="s">
        <v>157</v>
      </c>
    </row>
    <row r="6" spans="1:11" x14ac:dyDescent="0.25">
      <c r="A6" s="19" t="str">
        <f t="shared" si="0"/>
        <v>2018-Fa-Gri-68-54-220</v>
      </c>
      <c r="B6">
        <v>2018</v>
      </c>
      <c r="C6" t="s">
        <v>2</v>
      </c>
      <c r="D6" t="s">
        <v>158</v>
      </c>
      <c r="E6">
        <v>68</v>
      </c>
      <c r="F6">
        <v>54</v>
      </c>
      <c r="G6">
        <v>220</v>
      </c>
      <c r="H6" t="s">
        <v>148</v>
      </c>
      <c r="I6" t="s">
        <v>159</v>
      </c>
      <c r="J6" t="s">
        <v>160</v>
      </c>
      <c r="K6" t="s">
        <v>161</v>
      </c>
    </row>
    <row r="7" spans="1:11" x14ac:dyDescent="0.25">
      <c r="A7" s="19" t="str">
        <f t="shared" si="0"/>
        <v>2018-Fa-Gri-76-56-222</v>
      </c>
      <c r="B7">
        <v>2018</v>
      </c>
      <c r="C7" t="s">
        <v>2</v>
      </c>
      <c r="D7" t="s">
        <v>162</v>
      </c>
      <c r="E7">
        <v>76</v>
      </c>
      <c r="F7">
        <v>56</v>
      </c>
      <c r="G7">
        <v>222</v>
      </c>
      <c r="I7" t="s">
        <v>163</v>
      </c>
      <c r="J7" t="s">
        <v>164</v>
      </c>
      <c r="K7" t="s">
        <v>151</v>
      </c>
    </row>
    <row r="8" spans="1:11" x14ac:dyDescent="0.25">
      <c r="A8" s="19" t="str">
        <f t="shared" si="0"/>
        <v>2018-Fa-Gri-82-58-224</v>
      </c>
      <c r="B8">
        <v>2018</v>
      </c>
      <c r="C8" t="s">
        <v>2</v>
      </c>
      <c r="D8" t="s">
        <v>165</v>
      </c>
      <c r="E8">
        <v>82</v>
      </c>
      <c r="F8">
        <v>58</v>
      </c>
      <c r="G8">
        <v>224</v>
      </c>
      <c r="J8" t="s">
        <v>164</v>
      </c>
      <c r="K8" t="s">
        <v>153</v>
      </c>
    </row>
    <row r="9" spans="1:11" x14ac:dyDescent="0.25">
      <c r="A9" s="19" t="str">
        <f t="shared" si="0"/>
        <v>2018-Fa-Gri-89-59-226</v>
      </c>
      <c r="B9">
        <v>2018</v>
      </c>
      <c r="C9" t="s">
        <v>2</v>
      </c>
      <c r="D9" t="s">
        <v>166</v>
      </c>
      <c r="E9">
        <v>89</v>
      </c>
      <c r="F9">
        <v>59.5</v>
      </c>
      <c r="G9">
        <v>226</v>
      </c>
      <c r="J9" t="s">
        <v>167</v>
      </c>
      <c r="K9" t="s">
        <v>156</v>
      </c>
    </row>
    <row r="10" spans="1:11" x14ac:dyDescent="0.25">
      <c r="A10" s="19" t="str">
        <f t="shared" si="0"/>
        <v>2018-Fa-Gri-99-62-229</v>
      </c>
      <c r="B10">
        <v>2018</v>
      </c>
      <c r="C10" t="s">
        <v>2</v>
      </c>
      <c r="D10" t="s">
        <v>168</v>
      </c>
      <c r="E10">
        <v>99</v>
      </c>
      <c r="F10">
        <v>62</v>
      </c>
      <c r="G10">
        <v>229</v>
      </c>
      <c r="H10" t="s">
        <v>169</v>
      </c>
      <c r="I10" t="s">
        <v>170</v>
      </c>
      <c r="J10" t="s">
        <v>157</v>
      </c>
      <c r="K10" t="s">
        <v>171</v>
      </c>
    </row>
    <row r="11" spans="1:11" x14ac:dyDescent="0.25">
      <c r="A11" s="19" t="str">
        <f t="shared" si="0"/>
        <v>2018-Fa-Fre-85-57-225</v>
      </c>
      <c r="B11">
        <v>2018</v>
      </c>
      <c r="C11" t="s">
        <v>2</v>
      </c>
      <c r="D11" t="s">
        <v>172</v>
      </c>
      <c r="E11">
        <v>85</v>
      </c>
      <c r="F11">
        <v>57.5</v>
      </c>
      <c r="G11">
        <v>225</v>
      </c>
      <c r="H11" t="s">
        <v>173</v>
      </c>
      <c r="I11" t="s">
        <v>174</v>
      </c>
      <c r="J11" t="s">
        <v>175</v>
      </c>
      <c r="K11" t="s">
        <v>176</v>
      </c>
    </row>
    <row r="12" spans="1:11" x14ac:dyDescent="0.25">
      <c r="A12" s="19" t="str">
        <f t="shared" si="0"/>
        <v>2018-Fa-Fre-95-60-227</v>
      </c>
      <c r="B12">
        <v>2018</v>
      </c>
      <c r="C12" t="s">
        <v>2</v>
      </c>
      <c r="D12" t="s">
        <v>177</v>
      </c>
      <c r="E12">
        <v>95</v>
      </c>
      <c r="F12">
        <v>60</v>
      </c>
      <c r="G12">
        <v>227</v>
      </c>
      <c r="J12" t="s">
        <v>178</v>
      </c>
      <c r="K12" t="s">
        <v>156</v>
      </c>
    </row>
    <row r="13" spans="1:11" x14ac:dyDescent="0.25">
      <c r="A13" s="19" t="str">
        <f t="shared" si="0"/>
        <v>2018-Fa-Fre-105-62-229</v>
      </c>
      <c r="B13">
        <v>2018</v>
      </c>
      <c r="C13" t="s">
        <v>2</v>
      </c>
      <c r="D13" t="s">
        <v>179</v>
      </c>
      <c r="E13">
        <v>105</v>
      </c>
      <c r="F13">
        <v>62.5</v>
      </c>
      <c r="G13">
        <v>229</v>
      </c>
      <c r="J13" t="s">
        <v>180</v>
      </c>
      <c r="K13" t="s">
        <v>181</v>
      </c>
    </row>
    <row r="14" spans="1:11" x14ac:dyDescent="0.25">
      <c r="A14" s="19" t="str">
        <f t="shared" si="0"/>
        <v>2018-Fa-Fre-115-65-231</v>
      </c>
      <c r="B14">
        <v>2018</v>
      </c>
      <c r="C14" t="s">
        <v>2</v>
      </c>
      <c r="D14" t="s">
        <v>182</v>
      </c>
      <c r="E14">
        <v>115</v>
      </c>
      <c r="F14">
        <v>65</v>
      </c>
      <c r="G14">
        <v>231</v>
      </c>
      <c r="J14" t="s">
        <v>183</v>
      </c>
      <c r="K14" t="s">
        <v>184</v>
      </c>
    </row>
    <row r="15" spans="1:11" x14ac:dyDescent="0.25">
      <c r="A15" s="19" t="str">
        <f t="shared" si="0"/>
        <v>2018-Fa-Fre-85-57-225</v>
      </c>
      <c r="B15">
        <v>2018</v>
      </c>
      <c r="C15" t="s">
        <v>2</v>
      </c>
      <c r="D15" t="s">
        <v>185</v>
      </c>
      <c r="E15">
        <v>85</v>
      </c>
      <c r="F15">
        <v>57.5</v>
      </c>
      <c r="G15">
        <v>225</v>
      </c>
      <c r="H15" t="s">
        <v>148</v>
      </c>
      <c r="I15" t="s">
        <v>174</v>
      </c>
      <c r="J15" t="s">
        <v>175</v>
      </c>
      <c r="K15" t="s">
        <v>176</v>
      </c>
    </row>
    <row r="16" spans="1:11" x14ac:dyDescent="0.25">
      <c r="A16" s="19" t="str">
        <f t="shared" si="0"/>
        <v>2018-Fa-Fre-95-60-227</v>
      </c>
      <c r="B16">
        <v>2018</v>
      </c>
      <c r="C16" t="s">
        <v>2</v>
      </c>
      <c r="D16" t="s">
        <v>186</v>
      </c>
      <c r="E16">
        <v>95</v>
      </c>
      <c r="F16">
        <v>60</v>
      </c>
      <c r="G16">
        <v>227</v>
      </c>
      <c r="J16" t="s">
        <v>178</v>
      </c>
      <c r="K16" t="s">
        <v>156</v>
      </c>
    </row>
    <row r="17" spans="1:11" x14ac:dyDescent="0.25">
      <c r="A17" s="19" t="str">
        <f t="shared" si="0"/>
        <v>2018-Fa-Fre-105-62-229</v>
      </c>
      <c r="B17">
        <v>2018</v>
      </c>
      <c r="C17" t="s">
        <v>2</v>
      </c>
      <c r="D17" t="s">
        <v>187</v>
      </c>
      <c r="E17">
        <v>105</v>
      </c>
      <c r="F17">
        <v>62.5</v>
      </c>
      <c r="G17">
        <v>229</v>
      </c>
      <c r="J17" t="s">
        <v>180</v>
      </c>
      <c r="K17" t="s">
        <v>181</v>
      </c>
    </row>
    <row r="18" spans="1:11" x14ac:dyDescent="0.25">
      <c r="A18" s="19" t="str">
        <f t="shared" si="0"/>
        <v>2018-Fa-Fre-115-65-231</v>
      </c>
      <c r="B18">
        <v>2018</v>
      </c>
      <c r="C18" t="s">
        <v>2</v>
      </c>
      <c r="D18" t="s">
        <v>188</v>
      </c>
      <c r="E18">
        <v>115</v>
      </c>
      <c r="F18">
        <v>65</v>
      </c>
      <c r="G18">
        <v>231</v>
      </c>
      <c r="J18" t="s">
        <v>183</v>
      </c>
      <c r="K18" t="s">
        <v>184</v>
      </c>
    </row>
    <row r="19" spans="1:11" x14ac:dyDescent="0.25">
      <c r="A19" s="19" t="str">
        <f t="shared" si="0"/>
        <v>2018-Fa-Fre-85-57-225</v>
      </c>
      <c r="B19">
        <v>2018</v>
      </c>
      <c r="C19" t="s">
        <v>2</v>
      </c>
      <c r="D19" t="s">
        <v>189</v>
      </c>
      <c r="E19">
        <v>85</v>
      </c>
      <c r="F19">
        <v>57.5</v>
      </c>
      <c r="G19">
        <v>225</v>
      </c>
      <c r="H19" t="s">
        <v>190</v>
      </c>
      <c r="I19" t="s">
        <v>174</v>
      </c>
      <c r="J19" t="s">
        <v>191</v>
      </c>
      <c r="K19" t="s">
        <v>176</v>
      </c>
    </row>
    <row r="20" spans="1:11" x14ac:dyDescent="0.25">
      <c r="A20" s="19" t="str">
        <f t="shared" si="0"/>
        <v>2018-Fa-Fre-95-60-227</v>
      </c>
      <c r="B20">
        <v>2018</v>
      </c>
      <c r="C20" t="s">
        <v>2</v>
      </c>
      <c r="D20" t="s">
        <v>192</v>
      </c>
      <c r="E20">
        <v>95</v>
      </c>
      <c r="F20">
        <v>60</v>
      </c>
      <c r="G20">
        <v>227</v>
      </c>
      <c r="J20" t="s">
        <v>193</v>
      </c>
      <c r="K20" t="s">
        <v>156</v>
      </c>
    </row>
    <row r="21" spans="1:11" x14ac:dyDescent="0.25">
      <c r="A21" s="19" t="str">
        <f t="shared" si="0"/>
        <v>2018-Fa-Fre-105-62-229</v>
      </c>
      <c r="B21">
        <v>2018</v>
      </c>
      <c r="C21" t="s">
        <v>2</v>
      </c>
      <c r="D21" t="s">
        <v>194</v>
      </c>
      <c r="E21">
        <v>105</v>
      </c>
      <c r="F21">
        <v>62.5</v>
      </c>
      <c r="G21">
        <v>229</v>
      </c>
      <c r="J21" t="s">
        <v>195</v>
      </c>
      <c r="K21" t="s">
        <v>181</v>
      </c>
    </row>
    <row r="22" spans="1:11" x14ac:dyDescent="0.25">
      <c r="A22" s="19" t="str">
        <f t="shared" si="0"/>
        <v>2018-Fa-Ska-86-60-228</v>
      </c>
      <c r="B22">
        <v>2018</v>
      </c>
      <c r="C22" t="s">
        <v>2</v>
      </c>
      <c r="D22" t="s">
        <v>196</v>
      </c>
      <c r="E22">
        <v>86</v>
      </c>
      <c r="F22">
        <v>60</v>
      </c>
      <c r="G22">
        <v>228</v>
      </c>
      <c r="H22" t="s">
        <v>148</v>
      </c>
      <c r="I22" t="s">
        <v>197</v>
      </c>
      <c r="J22" t="s">
        <v>198</v>
      </c>
      <c r="K22" t="s">
        <v>151</v>
      </c>
    </row>
    <row r="23" spans="1:11" x14ac:dyDescent="0.25">
      <c r="A23" s="19" t="str">
        <f t="shared" si="0"/>
        <v>2018-Fa-Ska-93-62-225</v>
      </c>
      <c r="B23">
        <v>2018</v>
      </c>
      <c r="C23" t="s">
        <v>2</v>
      </c>
      <c r="D23" t="s">
        <v>199</v>
      </c>
      <c r="E23">
        <v>93</v>
      </c>
      <c r="F23">
        <v>62</v>
      </c>
      <c r="G23">
        <v>225</v>
      </c>
      <c r="J23" t="s">
        <v>200</v>
      </c>
      <c r="K23" t="s">
        <v>201</v>
      </c>
    </row>
    <row r="24" spans="1:11" x14ac:dyDescent="0.25">
      <c r="A24" s="19" t="str">
        <f t="shared" si="0"/>
        <v>2018-Fa-Ska-100-64-228</v>
      </c>
      <c r="B24">
        <v>2018</v>
      </c>
      <c r="C24" t="s">
        <v>2</v>
      </c>
      <c r="D24" t="s">
        <v>202</v>
      </c>
      <c r="E24">
        <v>100</v>
      </c>
      <c r="F24">
        <v>64</v>
      </c>
      <c r="G24">
        <v>228</v>
      </c>
      <c r="J24" t="s">
        <v>203</v>
      </c>
      <c r="K24" t="s">
        <v>156</v>
      </c>
    </row>
    <row r="25" spans="1:11" x14ac:dyDescent="0.25">
      <c r="A25" s="19" t="str">
        <f t="shared" si="0"/>
        <v>2018-Fa-Ska-108-66-226</v>
      </c>
      <c r="B25">
        <v>2018</v>
      </c>
      <c r="C25" t="s">
        <v>2</v>
      </c>
      <c r="D25" t="s">
        <v>204</v>
      </c>
      <c r="E25">
        <v>108</v>
      </c>
      <c r="F25">
        <v>66.5</v>
      </c>
      <c r="G25">
        <v>226</v>
      </c>
      <c r="J25" t="s">
        <v>205</v>
      </c>
      <c r="K25" t="s">
        <v>206</v>
      </c>
    </row>
    <row r="26" spans="1:11" x14ac:dyDescent="0.25">
      <c r="A26" s="19" t="str">
        <f t="shared" si="0"/>
        <v>2018-Fa-Gec-98-63-239</v>
      </c>
      <c r="B26">
        <v>2018</v>
      </c>
      <c r="C26" t="s">
        <v>2</v>
      </c>
      <c r="D26" t="s">
        <v>207</v>
      </c>
      <c r="E26">
        <v>98</v>
      </c>
      <c r="F26">
        <v>63</v>
      </c>
      <c r="G26">
        <v>239</v>
      </c>
      <c r="H26" t="s">
        <v>190</v>
      </c>
      <c r="I26" t="s">
        <v>197</v>
      </c>
      <c r="J26" t="s">
        <v>208</v>
      </c>
      <c r="K26" t="s">
        <v>184</v>
      </c>
    </row>
    <row r="27" spans="1:11" x14ac:dyDescent="0.25">
      <c r="A27" s="19" t="str">
        <f t="shared" si="0"/>
        <v>2018-Fa-Gec-105-69-239</v>
      </c>
      <c r="B27">
        <v>2018</v>
      </c>
      <c r="C27" t="s">
        <v>2</v>
      </c>
      <c r="D27" t="s">
        <v>209</v>
      </c>
      <c r="E27">
        <v>105</v>
      </c>
      <c r="F27">
        <v>69</v>
      </c>
      <c r="G27">
        <v>239</v>
      </c>
      <c r="J27" t="s">
        <v>210</v>
      </c>
      <c r="K27" t="s">
        <v>211</v>
      </c>
    </row>
    <row r="28" spans="1:11" x14ac:dyDescent="0.25">
      <c r="A28" s="19" t="str">
        <f t="shared" si="0"/>
        <v>2018-Fa-Gec-112-73-239</v>
      </c>
      <c r="B28">
        <v>2018</v>
      </c>
      <c r="C28" t="s">
        <v>2</v>
      </c>
      <c r="D28" t="s">
        <v>212</v>
      </c>
      <c r="E28">
        <v>112</v>
      </c>
      <c r="F28">
        <v>73</v>
      </c>
      <c r="G28">
        <v>239</v>
      </c>
      <c r="J28" t="s">
        <v>213</v>
      </c>
      <c r="K28" t="s">
        <v>214</v>
      </c>
    </row>
    <row r="29" spans="1:11" x14ac:dyDescent="0.25">
      <c r="A29" s="19" t="str">
        <f t="shared" si="0"/>
        <v>2018-Fa-Gec-120-76-242</v>
      </c>
      <c r="B29">
        <v>2018</v>
      </c>
      <c r="C29" t="s">
        <v>2</v>
      </c>
      <c r="D29" t="s">
        <v>215</v>
      </c>
      <c r="E29">
        <v>120</v>
      </c>
      <c r="F29">
        <v>76</v>
      </c>
      <c r="G29">
        <v>242</v>
      </c>
      <c r="J29" t="s">
        <v>216</v>
      </c>
      <c r="K29" t="s">
        <v>217</v>
      </c>
    </row>
    <row r="30" spans="1:11" x14ac:dyDescent="0.25">
      <c r="A30" s="19" t="str">
        <f t="shared" si="0"/>
        <v>2018-Fa-Gec-133-78-246</v>
      </c>
      <c r="B30">
        <v>2018</v>
      </c>
      <c r="C30" t="s">
        <v>2</v>
      </c>
      <c r="D30" t="s">
        <v>218</v>
      </c>
      <c r="E30">
        <v>133</v>
      </c>
      <c r="F30">
        <v>78</v>
      </c>
      <c r="G30">
        <v>246</v>
      </c>
      <c r="J30" t="s">
        <v>219</v>
      </c>
      <c r="K30" t="s">
        <v>220</v>
      </c>
    </row>
    <row r="31" spans="1:11" x14ac:dyDescent="0.25">
      <c r="A31" s="19" t="str">
        <f t="shared" si="0"/>
        <v>2018-Fa-Gec-146-83-250</v>
      </c>
      <c r="B31">
        <v>2018</v>
      </c>
      <c r="C31" t="s">
        <v>2</v>
      </c>
      <c r="D31" t="s">
        <v>221</v>
      </c>
      <c r="E31">
        <v>146</v>
      </c>
      <c r="F31">
        <v>83</v>
      </c>
      <c r="G31">
        <v>250</v>
      </c>
      <c r="J31" t="s">
        <v>222</v>
      </c>
      <c r="K31" t="s">
        <v>223</v>
      </c>
    </row>
    <row r="32" spans="1:11" x14ac:dyDescent="0.25">
      <c r="A32" s="19" t="str">
        <f t="shared" si="0"/>
        <v>2018-Fa-Gec-120-76-242</v>
      </c>
      <c r="B32">
        <v>2018</v>
      </c>
      <c r="C32" t="s">
        <v>2</v>
      </c>
      <c r="D32" t="s">
        <v>224</v>
      </c>
      <c r="E32">
        <v>120</v>
      </c>
      <c r="F32">
        <v>76</v>
      </c>
      <c r="G32">
        <v>242</v>
      </c>
      <c r="H32" t="s">
        <v>190</v>
      </c>
      <c r="I32" t="s">
        <v>225</v>
      </c>
      <c r="J32" t="s">
        <v>219</v>
      </c>
      <c r="K32" t="s">
        <v>217</v>
      </c>
    </row>
    <row r="33" spans="1:11" x14ac:dyDescent="0.25">
      <c r="A33" s="19" t="str">
        <f t="shared" si="0"/>
        <v>2018-Fa-Gec-133-78-246</v>
      </c>
      <c r="B33">
        <v>2018</v>
      </c>
      <c r="C33" t="s">
        <v>2</v>
      </c>
      <c r="D33" t="s">
        <v>226</v>
      </c>
      <c r="E33">
        <v>133</v>
      </c>
      <c r="F33">
        <v>78</v>
      </c>
      <c r="G33">
        <v>246</v>
      </c>
      <c r="J33" t="s">
        <v>227</v>
      </c>
      <c r="K33" t="s">
        <v>220</v>
      </c>
    </row>
    <row r="34" spans="1:11" x14ac:dyDescent="0.25">
      <c r="A34" s="19" t="str">
        <f t="shared" si="0"/>
        <v>2018-Fa-Gec-112-73-239</v>
      </c>
      <c r="B34">
        <v>2018</v>
      </c>
      <c r="C34" t="s">
        <v>2</v>
      </c>
      <c r="D34" t="s">
        <v>228</v>
      </c>
      <c r="E34">
        <v>112</v>
      </c>
      <c r="F34">
        <v>73</v>
      </c>
      <c r="G34">
        <v>239</v>
      </c>
      <c r="H34" t="s">
        <v>229</v>
      </c>
      <c r="I34" t="s">
        <v>197</v>
      </c>
      <c r="J34" t="s">
        <v>213</v>
      </c>
      <c r="K34" t="s">
        <v>214</v>
      </c>
    </row>
    <row r="35" spans="1:11" x14ac:dyDescent="0.25">
      <c r="A35" s="19" t="str">
        <f t="shared" si="0"/>
        <v>2018-Fa-Gec-98-63-239</v>
      </c>
      <c r="B35">
        <v>2018</v>
      </c>
      <c r="C35" t="s">
        <v>2</v>
      </c>
      <c r="D35" t="s">
        <v>230</v>
      </c>
      <c r="E35">
        <v>98</v>
      </c>
      <c r="F35">
        <v>63</v>
      </c>
      <c r="G35">
        <v>239</v>
      </c>
      <c r="H35" t="s">
        <v>231</v>
      </c>
      <c r="I35" t="s">
        <v>197</v>
      </c>
      <c r="J35" t="s">
        <v>232</v>
      </c>
      <c r="K35" t="s">
        <v>184</v>
      </c>
    </row>
    <row r="36" spans="1:11" x14ac:dyDescent="0.25">
      <c r="A36" s="19" t="str">
        <f t="shared" si="0"/>
        <v>2018-Fa-Gec-105-69-239</v>
      </c>
      <c r="B36">
        <v>2018</v>
      </c>
      <c r="C36" t="s">
        <v>2</v>
      </c>
      <c r="D36" t="s">
        <v>233</v>
      </c>
      <c r="E36">
        <v>105</v>
      </c>
      <c r="F36">
        <v>69</v>
      </c>
      <c r="G36">
        <v>239</v>
      </c>
      <c r="J36" t="s">
        <v>234</v>
      </c>
      <c r="K36" t="s">
        <v>211</v>
      </c>
    </row>
    <row r="37" spans="1:11" x14ac:dyDescent="0.25">
      <c r="A37" s="19" t="str">
        <f t="shared" si="0"/>
        <v>2018-Fa-Gec-112-73-239</v>
      </c>
      <c r="B37">
        <v>2018</v>
      </c>
      <c r="C37" t="s">
        <v>2</v>
      </c>
      <c r="D37" t="s">
        <v>235</v>
      </c>
      <c r="E37">
        <v>112</v>
      </c>
      <c r="F37">
        <v>73</v>
      </c>
      <c r="G37">
        <v>239</v>
      </c>
      <c r="J37" t="s">
        <v>236</v>
      </c>
      <c r="K37" t="s">
        <v>214</v>
      </c>
    </row>
    <row r="38" spans="1:11" x14ac:dyDescent="0.25">
      <c r="A38" s="19" t="str">
        <f t="shared" si="0"/>
        <v>2018-Fa-Gec-120-76-242</v>
      </c>
      <c r="B38">
        <v>2018</v>
      </c>
      <c r="C38" t="s">
        <v>2</v>
      </c>
      <c r="D38" t="s">
        <v>237</v>
      </c>
      <c r="E38">
        <v>120</v>
      </c>
      <c r="F38">
        <v>76</v>
      </c>
      <c r="G38">
        <v>242</v>
      </c>
      <c r="J38" t="s">
        <v>238</v>
      </c>
      <c r="K38" t="s">
        <v>217</v>
      </c>
    </row>
    <row r="39" spans="1:11" x14ac:dyDescent="0.25">
      <c r="A39" s="19" t="str">
        <f t="shared" si="0"/>
        <v>2018-Fa-Gec-133-78-246</v>
      </c>
      <c r="B39">
        <v>2018</v>
      </c>
      <c r="C39" t="s">
        <v>2</v>
      </c>
      <c r="D39" t="s">
        <v>239</v>
      </c>
      <c r="E39">
        <v>133</v>
      </c>
      <c r="F39">
        <v>78</v>
      </c>
      <c r="G39">
        <v>246</v>
      </c>
      <c r="J39" t="s">
        <v>240</v>
      </c>
      <c r="K39" t="s">
        <v>220</v>
      </c>
    </row>
    <row r="40" spans="1:11" x14ac:dyDescent="0.25">
      <c r="A40" s="19" t="str">
        <f t="shared" si="0"/>
        <v>2018-Fa-Gec-146-83-250</v>
      </c>
      <c r="B40">
        <v>2018</v>
      </c>
      <c r="C40" t="s">
        <v>2</v>
      </c>
      <c r="D40" t="s">
        <v>241</v>
      </c>
      <c r="E40">
        <v>146</v>
      </c>
      <c r="F40">
        <v>83</v>
      </c>
      <c r="G40">
        <v>250</v>
      </c>
      <c r="J40" t="s">
        <v>242</v>
      </c>
      <c r="K40" t="s">
        <v>223</v>
      </c>
    </row>
    <row r="41" spans="1:11" x14ac:dyDescent="0.25">
      <c r="A41" s="19" t="str">
        <f t="shared" si="0"/>
        <v>2018-Fa-Gec-156-85-252</v>
      </c>
      <c r="B41">
        <v>2018</v>
      </c>
      <c r="C41" t="s">
        <v>2</v>
      </c>
      <c r="D41" t="s">
        <v>243</v>
      </c>
      <c r="E41">
        <v>156</v>
      </c>
      <c r="F41">
        <v>85</v>
      </c>
      <c r="G41">
        <v>252</v>
      </c>
      <c r="J41" t="s">
        <v>244</v>
      </c>
      <c r="K41" t="s">
        <v>245</v>
      </c>
    </row>
    <row r="42" spans="1:11" x14ac:dyDescent="0.25">
      <c r="A42" s="19" t="str">
        <f t="shared" si="0"/>
        <v>2018-Fa-Gec-156-85-252</v>
      </c>
      <c r="B42">
        <v>2018</v>
      </c>
      <c r="C42" t="s">
        <v>2</v>
      </c>
      <c r="D42" t="s">
        <v>246</v>
      </c>
      <c r="E42">
        <v>156</v>
      </c>
      <c r="F42">
        <v>85</v>
      </c>
      <c r="G42">
        <v>252</v>
      </c>
      <c r="J42" t="s">
        <v>247</v>
      </c>
      <c r="K42" t="s">
        <v>245</v>
      </c>
    </row>
    <row r="43" spans="1:11" x14ac:dyDescent="0.25">
      <c r="A43" s="19" t="str">
        <f t="shared" si="0"/>
        <v>2018-Fa-Bla-100-62-231</v>
      </c>
      <c r="B43">
        <v>2018</v>
      </c>
      <c r="C43" t="s">
        <v>2</v>
      </c>
      <c r="D43" t="s">
        <v>248</v>
      </c>
      <c r="E43">
        <v>100</v>
      </c>
      <c r="F43">
        <v>62</v>
      </c>
      <c r="G43">
        <v>231</v>
      </c>
      <c r="H43" t="s">
        <v>249</v>
      </c>
      <c r="I43" t="s">
        <v>250</v>
      </c>
      <c r="J43" t="s">
        <v>208</v>
      </c>
      <c r="K43" t="s">
        <v>251</v>
      </c>
    </row>
    <row r="44" spans="1:11" x14ac:dyDescent="0.25">
      <c r="A44" s="19" t="str">
        <f t="shared" si="0"/>
        <v>2018-Fa-Bla-115-66-232</v>
      </c>
      <c r="B44">
        <v>2018</v>
      </c>
      <c r="C44" t="s">
        <v>2</v>
      </c>
      <c r="D44" t="s">
        <v>252</v>
      </c>
      <c r="E44">
        <v>115</v>
      </c>
      <c r="F44">
        <v>66</v>
      </c>
      <c r="G44">
        <v>232</v>
      </c>
      <c r="J44" t="s">
        <v>213</v>
      </c>
      <c r="K44" t="s">
        <v>253</v>
      </c>
    </row>
    <row r="45" spans="1:11" x14ac:dyDescent="0.25">
      <c r="A45" s="19" t="str">
        <f t="shared" si="0"/>
        <v>2018-Fa-Bla-130-70-233</v>
      </c>
      <c r="B45">
        <v>2018</v>
      </c>
      <c r="C45" t="s">
        <v>2</v>
      </c>
      <c r="D45" t="s">
        <v>254</v>
      </c>
      <c r="E45">
        <v>130</v>
      </c>
      <c r="F45">
        <v>70</v>
      </c>
      <c r="G45">
        <v>233</v>
      </c>
      <c r="I45" t="s">
        <v>225</v>
      </c>
      <c r="J45" t="s">
        <v>219</v>
      </c>
      <c r="K45" t="s">
        <v>217</v>
      </c>
    </row>
    <row r="46" spans="1:11" x14ac:dyDescent="0.25">
      <c r="A46" s="19" t="str">
        <f t="shared" si="0"/>
        <v>2018-Fa-Bla-145-77-235</v>
      </c>
      <c r="B46">
        <v>2018</v>
      </c>
      <c r="C46" t="s">
        <v>2</v>
      </c>
      <c r="D46" t="s">
        <v>255</v>
      </c>
      <c r="E46">
        <v>145</v>
      </c>
      <c r="F46">
        <v>77</v>
      </c>
      <c r="G46">
        <v>235</v>
      </c>
      <c r="J46" t="s">
        <v>227</v>
      </c>
      <c r="K46" t="s">
        <v>256</v>
      </c>
    </row>
    <row r="47" spans="1:11" x14ac:dyDescent="0.25">
      <c r="A47" s="19" t="str">
        <f t="shared" si="0"/>
        <v>2018-Fa-Bla-100-62-231</v>
      </c>
      <c r="B47">
        <v>2018</v>
      </c>
      <c r="C47" t="s">
        <v>2</v>
      </c>
      <c r="D47" t="s">
        <v>257</v>
      </c>
      <c r="E47">
        <v>100</v>
      </c>
      <c r="F47">
        <v>62</v>
      </c>
      <c r="G47">
        <v>231</v>
      </c>
      <c r="H47" t="s">
        <v>190</v>
      </c>
      <c r="I47" t="s">
        <v>250</v>
      </c>
      <c r="J47" t="s">
        <v>208</v>
      </c>
      <c r="K47" t="s">
        <v>251</v>
      </c>
    </row>
    <row r="48" spans="1:11" x14ac:dyDescent="0.25">
      <c r="A48" s="19" t="str">
        <f t="shared" si="0"/>
        <v>2018-Fa-Bla-115-66-232</v>
      </c>
      <c r="B48">
        <v>2018</v>
      </c>
      <c r="C48" t="s">
        <v>2</v>
      </c>
      <c r="D48" t="s">
        <v>258</v>
      </c>
      <c r="E48">
        <v>115</v>
      </c>
      <c r="F48">
        <v>66</v>
      </c>
      <c r="G48">
        <v>232</v>
      </c>
      <c r="J48" t="s">
        <v>213</v>
      </c>
      <c r="K48" t="s">
        <v>253</v>
      </c>
    </row>
    <row r="49" spans="1:11" x14ac:dyDescent="0.25">
      <c r="A49" s="19" t="str">
        <f t="shared" si="0"/>
        <v>2018-Fa-Bla-130-70-233</v>
      </c>
      <c r="B49">
        <v>2018</v>
      </c>
      <c r="C49" t="s">
        <v>2</v>
      </c>
      <c r="D49" t="s">
        <v>259</v>
      </c>
      <c r="E49">
        <v>130</v>
      </c>
      <c r="F49">
        <v>70</v>
      </c>
      <c r="G49">
        <v>233</v>
      </c>
      <c r="I49" t="s">
        <v>225</v>
      </c>
      <c r="J49" t="s">
        <v>219</v>
      </c>
      <c r="K49" t="s">
        <v>217</v>
      </c>
    </row>
    <row r="50" spans="1:11" x14ac:dyDescent="0.25">
      <c r="A50" s="19" t="str">
        <f t="shared" si="0"/>
        <v>2018-Fa-Bla-145-77-235</v>
      </c>
      <c r="B50">
        <v>2018</v>
      </c>
      <c r="C50" t="s">
        <v>2</v>
      </c>
      <c r="D50" t="s">
        <v>260</v>
      </c>
      <c r="E50">
        <v>145</v>
      </c>
      <c r="F50">
        <v>77</v>
      </c>
      <c r="G50">
        <v>235</v>
      </c>
      <c r="J50" t="s">
        <v>227</v>
      </c>
      <c r="K50" t="s">
        <v>256</v>
      </c>
    </row>
    <row r="51" spans="1:11" x14ac:dyDescent="0.25">
      <c r="A51" s="19" t="str">
        <f t="shared" si="0"/>
        <v>2018-Fa-Fal-89-60-235</v>
      </c>
      <c r="B51">
        <v>2018</v>
      </c>
      <c r="C51" t="s">
        <v>2</v>
      </c>
      <c r="D51" t="s">
        <v>261</v>
      </c>
      <c r="E51">
        <v>89</v>
      </c>
      <c r="F51">
        <v>60</v>
      </c>
      <c r="G51">
        <v>235</v>
      </c>
      <c r="H51" t="s">
        <v>262</v>
      </c>
      <c r="I51" t="s">
        <v>263</v>
      </c>
      <c r="J51" t="s">
        <v>264</v>
      </c>
      <c r="K51" t="s">
        <v>251</v>
      </c>
    </row>
    <row r="52" spans="1:11" x14ac:dyDescent="0.25">
      <c r="A52" s="19" t="str">
        <f t="shared" si="0"/>
        <v>2018-Fa-Fal-98-63-235</v>
      </c>
      <c r="B52" s="14">
        <v>2018</v>
      </c>
      <c r="C52" s="14" t="s">
        <v>2</v>
      </c>
      <c r="D52" s="14" t="s">
        <v>72</v>
      </c>
      <c r="E52" s="14">
        <v>98</v>
      </c>
      <c r="F52" s="14">
        <v>63</v>
      </c>
      <c r="G52" s="14">
        <v>235</v>
      </c>
      <c r="H52" s="14"/>
      <c r="I52" s="14" t="s">
        <v>171</v>
      </c>
      <c r="J52" s="14" t="s">
        <v>171</v>
      </c>
      <c r="K52" s="14" t="s">
        <v>265</v>
      </c>
    </row>
    <row r="53" spans="1:11" x14ac:dyDescent="0.25">
      <c r="A53" s="19" t="str">
        <f t="shared" si="0"/>
        <v>2018-Fa-Fal-114-71-230</v>
      </c>
      <c r="B53">
        <v>2018</v>
      </c>
      <c r="C53" t="s">
        <v>2</v>
      </c>
      <c r="D53" t="s">
        <v>266</v>
      </c>
      <c r="E53">
        <v>114</v>
      </c>
      <c r="F53">
        <v>71</v>
      </c>
      <c r="G53">
        <v>230</v>
      </c>
      <c r="H53" t="s">
        <v>267</v>
      </c>
      <c r="I53" t="s">
        <v>268</v>
      </c>
      <c r="J53" t="s">
        <v>264</v>
      </c>
      <c r="K53" t="s">
        <v>269</v>
      </c>
    </row>
    <row r="54" spans="1:11" x14ac:dyDescent="0.25">
      <c r="A54" s="19" t="str">
        <f t="shared" si="0"/>
        <v>2018-Fa-Fal-121-75-230</v>
      </c>
      <c r="B54">
        <v>2018</v>
      </c>
      <c r="C54" t="s">
        <v>2</v>
      </c>
      <c r="D54" t="s">
        <v>64</v>
      </c>
      <c r="E54">
        <v>121</v>
      </c>
      <c r="F54">
        <v>75</v>
      </c>
      <c r="G54">
        <v>230</v>
      </c>
      <c r="I54" t="s">
        <v>171</v>
      </c>
      <c r="J54" t="s">
        <v>171</v>
      </c>
      <c r="K54" t="s">
        <v>270</v>
      </c>
    </row>
    <row r="55" spans="1:11" x14ac:dyDescent="0.25">
      <c r="A55" s="19" t="str">
        <f t="shared" si="0"/>
        <v>2018-Fa-Fal-129-80-230</v>
      </c>
      <c r="B55">
        <v>2018</v>
      </c>
      <c r="C55" t="s">
        <v>2</v>
      </c>
      <c r="D55" t="s">
        <v>271</v>
      </c>
      <c r="E55">
        <v>129</v>
      </c>
      <c r="F55">
        <v>80</v>
      </c>
      <c r="G55">
        <v>230</v>
      </c>
      <c r="I55" t="s">
        <v>225</v>
      </c>
      <c r="J55" t="s">
        <v>264</v>
      </c>
      <c r="K55" t="s">
        <v>220</v>
      </c>
    </row>
    <row r="56" spans="1:11" x14ac:dyDescent="0.25">
      <c r="A56" s="19" t="str">
        <f t="shared" si="0"/>
        <v>2018-Fa-Fal-136-85-225</v>
      </c>
      <c r="B56">
        <v>2018</v>
      </c>
      <c r="C56" t="s">
        <v>2</v>
      </c>
      <c r="D56" t="s">
        <v>68</v>
      </c>
      <c r="E56">
        <v>136</v>
      </c>
      <c r="F56">
        <v>85</v>
      </c>
      <c r="G56">
        <v>225</v>
      </c>
      <c r="I56" t="s">
        <v>171</v>
      </c>
      <c r="J56" t="s">
        <v>171</v>
      </c>
      <c r="K56" t="s">
        <v>223</v>
      </c>
    </row>
    <row r="57" spans="1:11" x14ac:dyDescent="0.25">
      <c r="A57" s="19" t="str">
        <f t="shared" si="0"/>
        <v>2018-Fa-Fal-159-90-230</v>
      </c>
      <c r="B57">
        <v>2018</v>
      </c>
      <c r="C57" t="s">
        <v>2</v>
      </c>
      <c r="D57" t="s">
        <v>272</v>
      </c>
      <c r="E57">
        <v>159</v>
      </c>
      <c r="F57">
        <v>90</v>
      </c>
      <c r="G57">
        <v>230</v>
      </c>
      <c r="H57" t="s">
        <v>190</v>
      </c>
      <c r="I57" t="s">
        <v>225</v>
      </c>
      <c r="J57" t="s">
        <v>273</v>
      </c>
      <c r="K57" t="s">
        <v>245</v>
      </c>
    </row>
    <row r="58" spans="1:11" x14ac:dyDescent="0.25">
      <c r="A58" s="19" t="str">
        <f t="shared" si="0"/>
        <v>2018-Fa-Fal-54-44-230</v>
      </c>
      <c r="B58">
        <v>2018</v>
      </c>
      <c r="C58" t="s">
        <v>2</v>
      </c>
      <c r="D58" t="s">
        <v>274</v>
      </c>
      <c r="E58">
        <v>54</v>
      </c>
      <c r="F58">
        <v>44</v>
      </c>
      <c r="G58">
        <v>230</v>
      </c>
      <c r="H58" t="s">
        <v>262</v>
      </c>
      <c r="I58" t="s">
        <v>263</v>
      </c>
      <c r="J58" t="s">
        <v>264</v>
      </c>
      <c r="K58" t="s">
        <v>157</v>
      </c>
    </row>
    <row r="59" spans="1:11" x14ac:dyDescent="0.25">
      <c r="A59" s="19" t="str">
        <f t="shared" si="0"/>
        <v>2018-Fa-Fal-70-52-230</v>
      </c>
      <c r="B59">
        <v>2018</v>
      </c>
      <c r="C59" t="s">
        <v>2</v>
      </c>
      <c r="D59" t="s">
        <v>57</v>
      </c>
      <c r="E59">
        <v>70</v>
      </c>
      <c r="F59">
        <v>52.5</v>
      </c>
      <c r="G59">
        <v>230</v>
      </c>
      <c r="I59" t="s">
        <v>171</v>
      </c>
      <c r="J59" t="s">
        <v>171</v>
      </c>
      <c r="K59" t="s">
        <v>275</v>
      </c>
    </row>
    <row r="60" spans="1:11" x14ac:dyDescent="0.25">
      <c r="A60" s="19" t="str">
        <f t="shared" si="0"/>
        <v>2018-Fa-Fal-79-56-235</v>
      </c>
      <c r="B60">
        <v>2018</v>
      </c>
      <c r="C60" t="s">
        <v>2</v>
      </c>
      <c r="D60" t="s">
        <v>276</v>
      </c>
      <c r="E60">
        <v>79</v>
      </c>
      <c r="F60">
        <v>56</v>
      </c>
      <c r="G60">
        <v>235</v>
      </c>
      <c r="I60" t="s">
        <v>171</v>
      </c>
      <c r="J60" t="s">
        <v>171</v>
      </c>
      <c r="K60" t="s">
        <v>184</v>
      </c>
    </row>
    <row r="61" spans="1:11" x14ac:dyDescent="0.25">
      <c r="A61" s="19" t="str">
        <f t="shared" si="0"/>
        <v>2018-Fa-Fal-172-100-230</v>
      </c>
      <c r="B61">
        <v>2018</v>
      </c>
      <c r="C61" t="s">
        <v>2</v>
      </c>
      <c r="D61" t="s">
        <v>277</v>
      </c>
      <c r="E61">
        <v>172</v>
      </c>
      <c r="F61">
        <v>100</v>
      </c>
      <c r="G61">
        <v>230</v>
      </c>
      <c r="H61" t="s">
        <v>267</v>
      </c>
      <c r="I61" t="s">
        <v>278</v>
      </c>
      <c r="J61" t="s">
        <v>264</v>
      </c>
      <c r="K61" t="s">
        <v>279</v>
      </c>
    </row>
    <row r="62" spans="1:11" x14ac:dyDescent="0.25">
      <c r="A62" s="19" t="str">
        <f t="shared" si="0"/>
        <v>2018-Fa-Vip-160-75-275</v>
      </c>
      <c r="B62">
        <v>2018</v>
      </c>
      <c r="C62" t="s">
        <v>2</v>
      </c>
      <c r="D62" t="s">
        <v>280</v>
      </c>
      <c r="E62">
        <v>160</v>
      </c>
      <c r="F62">
        <v>75</v>
      </c>
      <c r="G62">
        <v>275</v>
      </c>
      <c r="H62" t="s">
        <v>231</v>
      </c>
      <c r="I62" t="s">
        <v>197</v>
      </c>
      <c r="J62" t="s">
        <v>281</v>
      </c>
      <c r="K62" t="s">
        <v>223</v>
      </c>
    </row>
    <row r="63" spans="1:11" x14ac:dyDescent="0.25">
      <c r="A63" s="19" t="str">
        <f t="shared" si="0"/>
        <v>2018-Fa-Vip-190-80-280</v>
      </c>
      <c r="B63">
        <v>2018</v>
      </c>
      <c r="C63" t="s">
        <v>2</v>
      </c>
      <c r="D63" t="s">
        <v>282</v>
      </c>
      <c r="E63">
        <v>190</v>
      </c>
      <c r="F63">
        <v>80</v>
      </c>
      <c r="G63">
        <v>280</v>
      </c>
      <c r="H63" t="s">
        <v>171</v>
      </c>
      <c r="I63" t="s">
        <v>171</v>
      </c>
      <c r="J63" t="s">
        <v>171</v>
      </c>
      <c r="K63" t="s">
        <v>171</v>
      </c>
    </row>
    <row r="64" spans="1:11" x14ac:dyDescent="0.25">
      <c r="A64" s="19" t="str">
        <f t="shared" si="0"/>
        <v>2018-Fa-Vip-220-85-285</v>
      </c>
      <c r="B64">
        <v>2018</v>
      </c>
      <c r="C64" t="s">
        <v>2</v>
      </c>
      <c r="D64" t="s">
        <v>283</v>
      </c>
      <c r="E64">
        <v>220</v>
      </c>
      <c r="F64">
        <v>85</v>
      </c>
      <c r="G64">
        <v>285</v>
      </c>
      <c r="H64" t="s">
        <v>171</v>
      </c>
      <c r="I64" t="s">
        <v>171</v>
      </c>
      <c r="J64" t="s">
        <v>171</v>
      </c>
      <c r="K64" t="s">
        <v>171</v>
      </c>
    </row>
    <row r="65" spans="1:11" x14ac:dyDescent="0.25">
      <c r="A65" s="19" t="str">
        <f t="shared" si="0"/>
        <v>2018-Fa-Vip-240-91-290</v>
      </c>
      <c r="B65">
        <v>2018</v>
      </c>
      <c r="C65" t="s">
        <v>2</v>
      </c>
      <c r="D65" t="s">
        <v>284</v>
      </c>
      <c r="E65">
        <v>240</v>
      </c>
      <c r="F65">
        <v>91</v>
      </c>
      <c r="G65">
        <v>290</v>
      </c>
      <c r="H65" t="s">
        <v>171</v>
      </c>
      <c r="I65" t="s">
        <v>171</v>
      </c>
      <c r="J65" t="s">
        <v>171</v>
      </c>
      <c r="K65" t="s">
        <v>171</v>
      </c>
    </row>
    <row r="66" spans="1:11" x14ac:dyDescent="0.25">
      <c r="A66" s="19" t="str">
        <f t="shared" si="0"/>
        <v>2018-Fa-Vip-355-85-335</v>
      </c>
      <c r="B66">
        <v>2018</v>
      </c>
      <c r="C66" t="s">
        <v>2</v>
      </c>
      <c r="D66" t="s">
        <v>285</v>
      </c>
      <c r="E66">
        <v>355</v>
      </c>
      <c r="F66">
        <v>85.1</v>
      </c>
      <c r="G66">
        <v>335.3</v>
      </c>
      <c r="H66" t="s">
        <v>286</v>
      </c>
      <c r="I66" t="s">
        <v>287</v>
      </c>
      <c r="J66" t="s">
        <v>288</v>
      </c>
      <c r="K66" t="s">
        <v>289</v>
      </c>
    </row>
    <row r="67" spans="1:11" x14ac:dyDescent="0.25">
      <c r="A67" s="19" t="str">
        <f t="shared" ref="A67:A130" si="1">_xlfn.CONCAT(B67,"-",LEFT(C67,2),"-",LEFT(D67,3),"-",E67,"-",TRUNC(F67),"-",TRUNC(G67))</f>
        <v>2018-Fa-Vip-355-85-335</v>
      </c>
      <c r="B67">
        <v>2018</v>
      </c>
      <c r="C67" t="s">
        <v>2</v>
      </c>
      <c r="D67" t="s">
        <v>290</v>
      </c>
      <c r="E67">
        <v>355</v>
      </c>
      <c r="F67">
        <v>85.1</v>
      </c>
      <c r="G67">
        <v>335.3</v>
      </c>
      <c r="H67" t="s">
        <v>291</v>
      </c>
      <c r="I67" t="s">
        <v>287</v>
      </c>
      <c r="J67" t="s">
        <v>288</v>
      </c>
      <c r="K67" t="s">
        <v>289</v>
      </c>
    </row>
    <row r="68" spans="1:11" x14ac:dyDescent="0.25">
      <c r="A68" s="19" t="str">
        <f t="shared" si="1"/>
        <v>2018-Fa-Rip-112-73-239</v>
      </c>
      <c r="B68">
        <v>2018</v>
      </c>
      <c r="C68" t="s">
        <v>2</v>
      </c>
      <c r="D68" t="s">
        <v>292</v>
      </c>
      <c r="E68">
        <v>112</v>
      </c>
      <c r="F68">
        <v>73</v>
      </c>
      <c r="G68">
        <v>239</v>
      </c>
      <c r="H68" t="s">
        <v>231</v>
      </c>
      <c r="I68" t="s">
        <v>197</v>
      </c>
      <c r="J68" t="s">
        <v>293</v>
      </c>
      <c r="K68" t="s">
        <v>211</v>
      </c>
    </row>
    <row r="69" spans="1:11" x14ac:dyDescent="0.25">
      <c r="A69" s="19" t="str">
        <f t="shared" si="1"/>
        <v>2018-Fa-Rip-187-73-274</v>
      </c>
      <c r="B69">
        <v>2018</v>
      </c>
      <c r="C69" t="s">
        <v>2</v>
      </c>
      <c r="D69" t="s">
        <v>294</v>
      </c>
      <c r="E69">
        <v>187</v>
      </c>
      <c r="F69">
        <v>73.7</v>
      </c>
      <c r="G69">
        <v>274.3</v>
      </c>
      <c r="H69" t="s">
        <v>291</v>
      </c>
      <c r="I69" t="s">
        <v>287</v>
      </c>
      <c r="J69" t="s">
        <v>288</v>
      </c>
      <c r="K69" t="s">
        <v>289</v>
      </c>
    </row>
    <row r="70" spans="1:11" x14ac:dyDescent="0.25">
      <c r="A70" s="19" t="str">
        <f t="shared" si="1"/>
        <v>2018-Fa-Tan-505-86-487</v>
      </c>
      <c r="B70">
        <v>2018</v>
      </c>
      <c r="C70" t="s">
        <v>2</v>
      </c>
      <c r="D70" t="s">
        <v>295</v>
      </c>
      <c r="E70">
        <v>505</v>
      </c>
      <c r="F70">
        <v>86.4</v>
      </c>
      <c r="G70">
        <v>487.6</v>
      </c>
      <c r="H70" t="s">
        <v>286</v>
      </c>
      <c r="I70" t="s">
        <v>287</v>
      </c>
      <c r="J70" t="s">
        <v>296</v>
      </c>
      <c r="K70" t="s">
        <v>289</v>
      </c>
    </row>
    <row r="71" spans="1:11" x14ac:dyDescent="0.25">
      <c r="A71" s="19" t="str">
        <f t="shared" si="1"/>
        <v>2023-Fa-Gri-69-54-220</v>
      </c>
      <c r="B71">
        <v>2023</v>
      </c>
      <c r="C71" t="s">
        <v>2</v>
      </c>
      <c r="D71" t="s">
        <v>309</v>
      </c>
      <c r="E71">
        <v>69</v>
      </c>
      <c r="F71">
        <v>54</v>
      </c>
      <c r="G71">
        <v>220</v>
      </c>
      <c r="I71" t="s">
        <v>299</v>
      </c>
    </row>
    <row r="72" spans="1:11" x14ac:dyDescent="0.25">
      <c r="A72" s="19" t="str">
        <f t="shared" si="1"/>
        <v>2023-Fa-Gri-76-56-223</v>
      </c>
      <c r="B72">
        <v>2023</v>
      </c>
      <c r="C72" t="s">
        <v>2</v>
      </c>
      <c r="D72" t="s">
        <v>162</v>
      </c>
      <c r="E72">
        <v>76</v>
      </c>
      <c r="F72">
        <v>56</v>
      </c>
      <c r="G72">
        <v>223</v>
      </c>
      <c r="I72" t="s">
        <v>299</v>
      </c>
    </row>
    <row r="73" spans="1:11" x14ac:dyDescent="0.25">
      <c r="A73" s="19" t="str">
        <f t="shared" si="1"/>
        <v>2023-Fa-Gri-81-57-224</v>
      </c>
      <c r="B73">
        <v>2023</v>
      </c>
      <c r="C73" t="s">
        <v>2</v>
      </c>
      <c r="D73" t="s">
        <v>310</v>
      </c>
      <c r="E73">
        <v>81</v>
      </c>
      <c r="F73">
        <v>57.5</v>
      </c>
      <c r="G73">
        <v>224</v>
      </c>
      <c r="I73" t="s">
        <v>299</v>
      </c>
    </row>
    <row r="74" spans="1:11" x14ac:dyDescent="0.25">
      <c r="A74" s="19" t="str">
        <f t="shared" si="1"/>
        <v>2023-Fa-Gri-87-59-225</v>
      </c>
      <c r="B74">
        <v>2023</v>
      </c>
      <c r="C74" t="s">
        <v>2</v>
      </c>
      <c r="D74" t="s">
        <v>311</v>
      </c>
      <c r="E74">
        <v>87</v>
      </c>
      <c r="F74">
        <v>59</v>
      </c>
      <c r="G74">
        <v>225</v>
      </c>
      <c r="I74" t="s">
        <v>299</v>
      </c>
    </row>
    <row r="75" spans="1:11" x14ac:dyDescent="0.25">
      <c r="A75" s="19" t="str">
        <f t="shared" si="1"/>
        <v>2023-Fa-Gri-93-60-226</v>
      </c>
      <c r="B75">
        <v>2023</v>
      </c>
      <c r="C75" t="s">
        <v>2</v>
      </c>
      <c r="D75" t="s">
        <v>312</v>
      </c>
      <c r="E75">
        <v>93</v>
      </c>
      <c r="F75">
        <v>60</v>
      </c>
      <c r="G75">
        <v>226</v>
      </c>
      <c r="I75" t="s">
        <v>299</v>
      </c>
    </row>
    <row r="76" spans="1:11" x14ac:dyDescent="0.25">
      <c r="A76" s="19" t="str">
        <f t="shared" si="1"/>
        <v>2023-Fa-Gri-99-62-227</v>
      </c>
      <c r="B76">
        <v>2023</v>
      </c>
      <c r="C76" t="s">
        <v>2</v>
      </c>
      <c r="D76" t="s">
        <v>168</v>
      </c>
      <c r="E76">
        <v>99</v>
      </c>
      <c r="F76">
        <v>62</v>
      </c>
      <c r="G76">
        <v>227</v>
      </c>
      <c r="I76" t="s">
        <v>299</v>
      </c>
    </row>
    <row r="77" spans="1:11" x14ac:dyDescent="0.25">
      <c r="A77" s="19" t="str">
        <f t="shared" si="1"/>
        <v>2023-Fa-Gri-107-64-230</v>
      </c>
      <c r="B77">
        <v>2023</v>
      </c>
      <c r="C77" t="s">
        <v>2</v>
      </c>
      <c r="D77" t="s">
        <v>313</v>
      </c>
      <c r="E77">
        <v>107</v>
      </c>
      <c r="F77">
        <v>64</v>
      </c>
      <c r="G77">
        <v>230</v>
      </c>
      <c r="I77" t="s">
        <v>299</v>
      </c>
    </row>
    <row r="78" spans="1:11" x14ac:dyDescent="0.25">
      <c r="A78" s="19" t="str">
        <f t="shared" si="1"/>
        <v>2023-Fa-Mam-78-56-218</v>
      </c>
      <c r="B78">
        <v>2023</v>
      </c>
      <c r="C78" t="s">
        <v>2</v>
      </c>
      <c r="D78" t="s">
        <v>314</v>
      </c>
      <c r="E78">
        <v>78</v>
      </c>
      <c r="F78">
        <v>56</v>
      </c>
      <c r="G78">
        <v>218</v>
      </c>
      <c r="I78" t="s">
        <v>300</v>
      </c>
    </row>
    <row r="79" spans="1:11" x14ac:dyDescent="0.25">
      <c r="A79" s="19" t="str">
        <f t="shared" si="1"/>
        <v>2023-Fa-Mam-84-57-220</v>
      </c>
      <c r="B79">
        <v>2023</v>
      </c>
      <c r="C79" t="s">
        <v>2</v>
      </c>
      <c r="D79" t="s">
        <v>315</v>
      </c>
      <c r="E79">
        <v>84</v>
      </c>
      <c r="F79">
        <v>57.5</v>
      </c>
      <c r="G79">
        <v>220</v>
      </c>
      <c r="I79" t="s">
        <v>300</v>
      </c>
    </row>
    <row r="80" spans="1:11" x14ac:dyDescent="0.25">
      <c r="A80" s="19" t="str">
        <f t="shared" si="1"/>
        <v>2023-Fa-Mam-94-60-222</v>
      </c>
      <c r="B80">
        <v>2023</v>
      </c>
      <c r="C80" t="s">
        <v>2</v>
      </c>
      <c r="D80" t="s">
        <v>316</v>
      </c>
      <c r="E80">
        <v>94</v>
      </c>
      <c r="F80">
        <v>60</v>
      </c>
      <c r="G80">
        <v>222</v>
      </c>
      <c r="I80" t="s">
        <v>300</v>
      </c>
    </row>
    <row r="81" spans="1:9" x14ac:dyDescent="0.25">
      <c r="A81" s="19" t="str">
        <f t="shared" si="1"/>
        <v>2023-Fa-Mam-104-62-224</v>
      </c>
      <c r="B81">
        <v>2023</v>
      </c>
      <c r="C81" t="s">
        <v>2</v>
      </c>
      <c r="D81" t="s">
        <v>317</v>
      </c>
      <c r="E81">
        <v>104</v>
      </c>
      <c r="F81">
        <v>62</v>
      </c>
      <c r="G81">
        <v>224</v>
      </c>
      <c r="I81" t="s">
        <v>300</v>
      </c>
    </row>
    <row r="82" spans="1:9" x14ac:dyDescent="0.25">
      <c r="A82" s="19" t="str">
        <f t="shared" si="1"/>
        <v>2023-Fa-Ska-85-60-220</v>
      </c>
      <c r="B82">
        <v>2023</v>
      </c>
      <c r="C82" t="s">
        <v>2</v>
      </c>
      <c r="D82" t="s">
        <v>318</v>
      </c>
      <c r="E82">
        <v>85</v>
      </c>
      <c r="F82">
        <v>60</v>
      </c>
      <c r="G82">
        <v>220</v>
      </c>
      <c r="I82" t="s">
        <v>197</v>
      </c>
    </row>
    <row r="83" spans="1:9" x14ac:dyDescent="0.25">
      <c r="A83" s="19" t="str">
        <f t="shared" si="1"/>
        <v>2023-Fa-Ska-91-62-216</v>
      </c>
      <c r="B83">
        <v>2023</v>
      </c>
      <c r="C83" t="s">
        <v>2</v>
      </c>
      <c r="D83" t="s">
        <v>319</v>
      </c>
      <c r="E83">
        <v>91</v>
      </c>
      <c r="F83">
        <v>62</v>
      </c>
      <c r="G83">
        <v>216</v>
      </c>
      <c r="I83" t="s">
        <v>197</v>
      </c>
    </row>
    <row r="84" spans="1:9" x14ac:dyDescent="0.25">
      <c r="A84" s="19" t="str">
        <f t="shared" si="1"/>
        <v>2023-Fa-Ska-99-65-225</v>
      </c>
      <c r="B84">
        <v>2023</v>
      </c>
      <c r="C84" t="s">
        <v>2</v>
      </c>
      <c r="D84" t="s">
        <v>320</v>
      </c>
      <c r="E84">
        <v>99</v>
      </c>
      <c r="F84">
        <v>65</v>
      </c>
      <c r="G84">
        <v>225</v>
      </c>
      <c r="I84" t="s">
        <v>197</v>
      </c>
    </row>
    <row r="85" spans="1:9" x14ac:dyDescent="0.25">
      <c r="A85" s="19" t="str">
        <f t="shared" si="1"/>
        <v>2023-Fa-Ska-108-67-226</v>
      </c>
      <c r="B85">
        <v>2023</v>
      </c>
      <c r="C85" t="s">
        <v>2</v>
      </c>
      <c r="D85" t="s">
        <v>204</v>
      </c>
      <c r="E85">
        <v>108</v>
      </c>
      <c r="F85">
        <v>67</v>
      </c>
      <c r="G85">
        <v>226</v>
      </c>
      <c r="I85" t="s">
        <v>197</v>
      </c>
    </row>
    <row r="86" spans="1:9" x14ac:dyDescent="0.25">
      <c r="A86" s="19" t="str">
        <f t="shared" si="1"/>
        <v>2023-Fa-Fre-75-56-228</v>
      </c>
      <c r="B86">
        <v>2023</v>
      </c>
      <c r="C86" t="s">
        <v>2</v>
      </c>
      <c r="D86" t="s">
        <v>321</v>
      </c>
      <c r="E86">
        <v>75</v>
      </c>
      <c r="F86">
        <v>56</v>
      </c>
      <c r="G86">
        <v>228</v>
      </c>
      <c r="I86" t="s">
        <v>302</v>
      </c>
    </row>
    <row r="87" spans="1:9" x14ac:dyDescent="0.25">
      <c r="A87" s="19" t="str">
        <f t="shared" si="1"/>
        <v>2023-Fa-Fre-85-58-229</v>
      </c>
      <c r="B87">
        <v>2023</v>
      </c>
      <c r="C87" t="s">
        <v>2</v>
      </c>
      <c r="D87" t="s">
        <v>322</v>
      </c>
      <c r="E87">
        <v>85</v>
      </c>
      <c r="F87">
        <v>58.5</v>
      </c>
      <c r="G87">
        <v>229</v>
      </c>
      <c r="I87" t="s">
        <v>302</v>
      </c>
    </row>
    <row r="88" spans="1:9" x14ac:dyDescent="0.25">
      <c r="A88" s="19" t="str">
        <f t="shared" si="1"/>
        <v>2023-Fa-Fre-95-61-230</v>
      </c>
      <c r="B88">
        <v>2023</v>
      </c>
      <c r="C88" t="s">
        <v>2</v>
      </c>
      <c r="D88" t="s">
        <v>323</v>
      </c>
      <c r="E88">
        <v>95</v>
      </c>
      <c r="F88">
        <v>61</v>
      </c>
      <c r="G88">
        <v>230</v>
      </c>
      <c r="I88" t="s">
        <v>302</v>
      </c>
    </row>
    <row r="89" spans="1:9" x14ac:dyDescent="0.25">
      <c r="A89" s="19" t="str">
        <f t="shared" si="1"/>
        <v>2023-Fa-Fre-105-63-231</v>
      </c>
      <c r="B89">
        <v>2023</v>
      </c>
      <c r="C89" t="s">
        <v>2</v>
      </c>
      <c r="D89" t="s">
        <v>324</v>
      </c>
      <c r="E89">
        <v>105</v>
      </c>
      <c r="F89">
        <v>63</v>
      </c>
      <c r="G89">
        <v>231</v>
      </c>
      <c r="I89" t="s">
        <v>302</v>
      </c>
    </row>
    <row r="90" spans="1:9" x14ac:dyDescent="0.25">
      <c r="A90" s="19" t="str">
        <f t="shared" si="1"/>
        <v>2023-Fa-Fre-115-65-232</v>
      </c>
      <c r="B90">
        <v>2023</v>
      </c>
      <c r="C90" t="s">
        <v>2</v>
      </c>
      <c r="D90" t="s">
        <v>325</v>
      </c>
      <c r="E90">
        <v>115</v>
      </c>
      <c r="F90">
        <v>65.5</v>
      </c>
      <c r="G90">
        <v>232</v>
      </c>
      <c r="I90" t="s">
        <v>302</v>
      </c>
    </row>
    <row r="91" spans="1:9" x14ac:dyDescent="0.25">
      <c r="A91" s="19" t="str">
        <f t="shared" si="1"/>
        <v>2023-Fa-Fre-125-68-234</v>
      </c>
      <c r="B91">
        <v>2023</v>
      </c>
      <c r="C91" t="s">
        <v>2</v>
      </c>
      <c r="D91" t="s">
        <v>326</v>
      </c>
      <c r="E91">
        <v>125</v>
      </c>
      <c r="F91">
        <v>68</v>
      </c>
      <c r="G91">
        <v>234</v>
      </c>
      <c r="I91" t="s">
        <v>302</v>
      </c>
    </row>
    <row r="92" spans="1:9" x14ac:dyDescent="0.25">
      <c r="A92" s="19" t="str">
        <f t="shared" si="1"/>
        <v>2023-Fa-Bla-100-62-231</v>
      </c>
      <c r="B92">
        <v>2023</v>
      </c>
      <c r="C92" t="s">
        <v>2</v>
      </c>
      <c r="D92" t="s">
        <v>327</v>
      </c>
      <c r="E92">
        <v>100</v>
      </c>
      <c r="F92">
        <v>62</v>
      </c>
      <c r="G92">
        <v>231</v>
      </c>
      <c r="I92" t="s">
        <v>304</v>
      </c>
    </row>
    <row r="93" spans="1:9" x14ac:dyDescent="0.25">
      <c r="A93" s="19" t="str">
        <f t="shared" si="1"/>
        <v>2023-Fa-Bla-117-66-232</v>
      </c>
      <c r="B93">
        <v>2023</v>
      </c>
      <c r="C93" t="s">
        <v>2</v>
      </c>
      <c r="D93" t="s">
        <v>328</v>
      </c>
      <c r="E93">
        <v>117</v>
      </c>
      <c r="F93">
        <v>66</v>
      </c>
      <c r="G93">
        <v>232</v>
      </c>
      <c r="I93" t="s">
        <v>304</v>
      </c>
    </row>
    <row r="94" spans="1:9" x14ac:dyDescent="0.25">
      <c r="A94" s="19" t="str">
        <f t="shared" si="1"/>
        <v>2023-Fa-Bla-132-70-234</v>
      </c>
      <c r="B94">
        <v>2023</v>
      </c>
      <c r="C94" t="s">
        <v>2</v>
      </c>
      <c r="D94" t="s">
        <v>329</v>
      </c>
      <c r="E94">
        <v>132</v>
      </c>
      <c r="F94">
        <v>70</v>
      </c>
      <c r="G94">
        <v>234</v>
      </c>
      <c r="I94" t="s">
        <v>304</v>
      </c>
    </row>
    <row r="95" spans="1:9" x14ac:dyDescent="0.25">
      <c r="A95" s="19" t="str">
        <f t="shared" si="1"/>
        <v>2023-Fa-Bla-147-77-236</v>
      </c>
      <c r="B95">
        <v>2023</v>
      </c>
      <c r="C95" t="s">
        <v>2</v>
      </c>
      <c r="D95" t="s">
        <v>330</v>
      </c>
      <c r="E95">
        <v>147</v>
      </c>
      <c r="F95">
        <v>77</v>
      </c>
      <c r="G95">
        <v>236</v>
      </c>
      <c r="I95" t="s">
        <v>304</v>
      </c>
    </row>
    <row r="96" spans="1:9" x14ac:dyDescent="0.25">
      <c r="A96" s="19" t="str">
        <f t="shared" si="1"/>
        <v>2023-Fa-Gec-100-66-239</v>
      </c>
      <c r="B96">
        <v>2023</v>
      </c>
      <c r="C96" t="s">
        <v>2</v>
      </c>
      <c r="D96" t="s">
        <v>331</v>
      </c>
      <c r="E96">
        <v>100</v>
      </c>
      <c r="F96">
        <v>66</v>
      </c>
      <c r="G96">
        <v>239</v>
      </c>
      <c r="I96" t="s">
        <v>197</v>
      </c>
    </row>
    <row r="97" spans="1:9" x14ac:dyDescent="0.25">
      <c r="A97" s="19" t="str">
        <f t="shared" si="1"/>
        <v>2023-Fa-Gec-110-69-239</v>
      </c>
      <c r="B97">
        <v>2023</v>
      </c>
      <c r="C97" t="s">
        <v>2</v>
      </c>
      <c r="D97" t="s">
        <v>332</v>
      </c>
      <c r="E97">
        <v>110</v>
      </c>
      <c r="F97">
        <v>69</v>
      </c>
      <c r="G97">
        <v>239</v>
      </c>
      <c r="I97" t="s">
        <v>197</v>
      </c>
    </row>
    <row r="98" spans="1:9" x14ac:dyDescent="0.25">
      <c r="A98" s="19" t="str">
        <f t="shared" si="1"/>
        <v>2023-Fa-Gec-122-76-242</v>
      </c>
      <c r="B98">
        <v>2023</v>
      </c>
      <c r="C98" t="s">
        <v>2</v>
      </c>
      <c r="D98" t="s">
        <v>333</v>
      </c>
      <c r="E98">
        <v>122</v>
      </c>
      <c r="F98">
        <v>76</v>
      </c>
      <c r="G98">
        <v>242</v>
      </c>
      <c r="I98" t="s">
        <v>197</v>
      </c>
    </row>
    <row r="99" spans="1:9" x14ac:dyDescent="0.25">
      <c r="A99" s="19" t="str">
        <f t="shared" si="1"/>
        <v>2023-Fa-Gec-135-79-246</v>
      </c>
      <c r="B99">
        <v>2023</v>
      </c>
      <c r="C99" t="s">
        <v>2</v>
      </c>
      <c r="D99" t="s">
        <v>334</v>
      </c>
      <c r="E99">
        <v>135</v>
      </c>
      <c r="F99">
        <v>79</v>
      </c>
      <c r="G99">
        <v>246</v>
      </c>
      <c r="I99" t="s">
        <v>197</v>
      </c>
    </row>
    <row r="100" spans="1:9" x14ac:dyDescent="0.25">
      <c r="A100" s="19" t="str">
        <f t="shared" si="1"/>
        <v>2023-Fa-Gec-148-83-250</v>
      </c>
      <c r="B100">
        <v>2023</v>
      </c>
      <c r="C100" t="s">
        <v>2</v>
      </c>
      <c r="D100" t="s">
        <v>335</v>
      </c>
      <c r="E100">
        <v>148</v>
      </c>
      <c r="F100">
        <v>83</v>
      </c>
      <c r="G100">
        <v>250</v>
      </c>
      <c r="I100" t="s">
        <v>197</v>
      </c>
    </row>
    <row r="101" spans="1:9" x14ac:dyDescent="0.25">
      <c r="A101" s="19" t="str">
        <f t="shared" si="1"/>
        <v>2023-Fa-Gec-156-85-252</v>
      </c>
      <c r="B101">
        <v>2023</v>
      </c>
      <c r="C101" t="s">
        <v>2</v>
      </c>
      <c r="D101" t="s">
        <v>336</v>
      </c>
      <c r="E101">
        <v>156</v>
      </c>
      <c r="F101">
        <v>85</v>
      </c>
      <c r="G101">
        <v>252</v>
      </c>
      <c r="I101" t="s">
        <v>197</v>
      </c>
    </row>
    <row r="102" spans="1:9" x14ac:dyDescent="0.25">
      <c r="A102" s="19" t="str">
        <f t="shared" si="1"/>
        <v>2023-Fa-Eag-130-70-248</v>
      </c>
      <c r="B102">
        <v>2023</v>
      </c>
      <c r="C102" t="s">
        <v>2</v>
      </c>
      <c r="D102" t="s">
        <v>337</v>
      </c>
      <c r="E102">
        <v>130</v>
      </c>
      <c r="F102">
        <v>70</v>
      </c>
      <c r="G102">
        <v>248</v>
      </c>
      <c r="I102" t="s">
        <v>197</v>
      </c>
    </row>
    <row r="103" spans="1:9" x14ac:dyDescent="0.25">
      <c r="A103" s="19" t="str">
        <f t="shared" si="1"/>
        <v>2023-Fa-Eag-150-75-250</v>
      </c>
      <c r="B103">
        <v>2023</v>
      </c>
      <c r="C103" t="s">
        <v>2</v>
      </c>
      <c r="D103" t="s">
        <v>338</v>
      </c>
      <c r="E103">
        <v>150</v>
      </c>
      <c r="F103">
        <v>75</v>
      </c>
      <c r="G103">
        <v>250</v>
      </c>
      <c r="I103" t="s">
        <v>197</v>
      </c>
    </row>
    <row r="104" spans="1:9" x14ac:dyDescent="0.25">
      <c r="A104" s="19" t="str">
        <f t="shared" si="1"/>
        <v>2023-Fa-Jag-94-61-230</v>
      </c>
      <c r="B104">
        <v>2023</v>
      </c>
      <c r="C104" t="s">
        <v>2</v>
      </c>
      <c r="D104" t="s">
        <v>339</v>
      </c>
      <c r="E104">
        <v>94</v>
      </c>
      <c r="F104">
        <v>61</v>
      </c>
      <c r="G104">
        <v>230</v>
      </c>
      <c r="I104" t="s">
        <v>250</v>
      </c>
    </row>
    <row r="105" spans="1:9" x14ac:dyDescent="0.25">
      <c r="A105" s="19" t="str">
        <f t="shared" si="1"/>
        <v>2023-Fa-Jag-110-70-230</v>
      </c>
      <c r="B105">
        <v>2023</v>
      </c>
      <c r="C105" t="s">
        <v>2</v>
      </c>
      <c r="D105" t="s">
        <v>340</v>
      </c>
      <c r="E105">
        <v>110</v>
      </c>
      <c r="F105">
        <v>70</v>
      </c>
      <c r="G105">
        <v>230</v>
      </c>
      <c r="I105" t="s">
        <v>304</v>
      </c>
    </row>
    <row r="106" spans="1:9" x14ac:dyDescent="0.25">
      <c r="A106" s="19" t="str">
        <f t="shared" si="1"/>
        <v>2023-Fa-Jag-128-80-232</v>
      </c>
      <c r="B106">
        <v>2023</v>
      </c>
      <c r="C106" t="s">
        <v>2</v>
      </c>
      <c r="D106" t="s">
        <v>341</v>
      </c>
      <c r="E106">
        <v>128</v>
      </c>
      <c r="F106">
        <v>80</v>
      </c>
      <c r="G106">
        <v>232</v>
      </c>
      <c r="I106" t="s">
        <v>304</v>
      </c>
    </row>
    <row r="107" spans="1:9" x14ac:dyDescent="0.25">
      <c r="A107" s="19" t="str">
        <f t="shared" si="1"/>
        <v>2023-Fa-Jag-138-85-232</v>
      </c>
      <c r="B107">
        <v>2023</v>
      </c>
      <c r="C107" t="s">
        <v>2</v>
      </c>
      <c r="D107" t="s">
        <v>342</v>
      </c>
      <c r="E107">
        <v>138</v>
      </c>
      <c r="F107">
        <v>85</v>
      </c>
      <c r="G107">
        <v>232</v>
      </c>
      <c r="I107" t="s">
        <v>304</v>
      </c>
    </row>
    <row r="108" spans="1:9" x14ac:dyDescent="0.25">
      <c r="A108" s="19" t="str">
        <f t="shared" si="1"/>
        <v>2023-Fa-Jag-158-90-235</v>
      </c>
      <c r="B108">
        <v>2023</v>
      </c>
      <c r="C108" t="s">
        <v>2</v>
      </c>
      <c r="D108" t="s">
        <v>343</v>
      </c>
      <c r="E108">
        <v>158</v>
      </c>
      <c r="F108">
        <v>90</v>
      </c>
      <c r="G108">
        <v>235</v>
      </c>
      <c r="I108" t="s">
        <v>304</v>
      </c>
    </row>
    <row r="109" spans="1:9" x14ac:dyDescent="0.25">
      <c r="A109" s="19" t="str">
        <f t="shared" si="1"/>
        <v>2023-Fa-Fal-80-58-235</v>
      </c>
      <c r="B109">
        <v>2023</v>
      </c>
      <c r="C109" t="s">
        <v>2</v>
      </c>
      <c r="D109" t="s">
        <v>344</v>
      </c>
      <c r="E109">
        <v>80</v>
      </c>
      <c r="F109">
        <v>58</v>
      </c>
      <c r="G109">
        <v>235</v>
      </c>
      <c r="I109" t="s">
        <v>250</v>
      </c>
    </row>
    <row r="110" spans="1:9" x14ac:dyDescent="0.25">
      <c r="A110" s="19" t="str">
        <f t="shared" si="1"/>
        <v>2023-Fa-Fal-90-62-235</v>
      </c>
      <c r="B110">
        <v>2023</v>
      </c>
      <c r="C110" t="s">
        <v>2</v>
      </c>
      <c r="D110" t="s">
        <v>345</v>
      </c>
      <c r="E110">
        <v>90</v>
      </c>
      <c r="F110">
        <v>62</v>
      </c>
      <c r="G110">
        <v>235</v>
      </c>
      <c r="I110" t="s">
        <v>250</v>
      </c>
    </row>
    <row r="111" spans="1:9" x14ac:dyDescent="0.25">
      <c r="A111" s="19" t="str">
        <f t="shared" si="1"/>
        <v>2023-Fa-Fal-97-63-235</v>
      </c>
      <c r="B111">
        <v>2023</v>
      </c>
      <c r="C111" t="s">
        <v>2</v>
      </c>
      <c r="D111" t="s">
        <v>346</v>
      </c>
      <c r="E111">
        <v>97</v>
      </c>
      <c r="F111">
        <v>63</v>
      </c>
      <c r="G111">
        <v>235</v>
      </c>
      <c r="I111" t="s">
        <v>250</v>
      </c>
    </row>
    <row r="112" spans="1:9" x14ac:dyDescent="0.25">
      <c r="A112" s="19" t="str">
        <f t="shared" si="1"/>
        <v>2023-Fa-Fal-107-69-230</v>
      </c>
      <c r="B112">
        <v>2023</v>
      </c>
      <c r="C112" t="s">
        <v>2</v>
      </c>
      <c r="D112" t="s">
        <v>347</v>
      </c>
      <c r="E112">
        <v>107</v>
      </c>
      <c r="F112">
        <v>69</v>
      </c>
      <c r="G112">
        <v>230</v>
      </c>
      <c r="I112" t="s">
        <v>304</v>
      </c>
    </row>
    <row r="113" spans="1:11" x14ac:dyDescent="0.25">
      <c r="A113" s="19" t="str">
        <f t="shared" si="1"/>
        <v>2023-Fa-Fal-116-71-230</v>
      </c>
      <c r="B113">
        <v>2023</v>
      </c>
      <c r="C113" t="s">
        <v>2</v>
      </c>
      <c r="D113" t="s">
        <v>348</v>
      </c>
      <c r="E113">
        <v>116</v>
      </c>
      <c r="F113">
        <v>71</v>
      </c>
      <c r="G113">
        <v>230</v>
      </c>
      <c r="I113" t="s">
        <v>304</v>
      </c>
    </row>
    <row r="114" spans="1:11" x14ac:dyDescent="0.25">
      <c r="A114" s="19" t="str">
        <f t="shared" si="1"/>
        <v>2023-Fa-Fal-121-77-230</v>
      </c>
      <c r="B114">
        <v>2023</v>
      </c>
      <c r="C114" t="s">
        <v>2</v>
      </c>
      <c r="D114" t="s">
        <v>64</v>
      </c>
      <c r="E114">
        <v>121</v>
      </c>
      <c r="F114">
        <v>77</v>
      </c>
      <c r="G114">
        <v>230</v>
      </c>
      <c r="I114" t="s">
        <v>304</v>
      </c>
    </row>
    <row r="115" spans="1:11" x14ac:dyDescent="0.25">
      <c r="A115" s="19" t="str">
        <f t="shared" si="1"/>
        <v>2023-Fa-Fal-130-80-228</v>
      </c>
      <c r="B115">
        <v>2023</v>
      </c>
      <c r="C115" t="s">
        <v>2</v>
      </c>
      <c r="D115" t="s">
        <v>349</v>
      </c>
      <c r="E115">
        <v>130</v>
      </c>
      <c r="F115">
        <v>80</v>
      </c>
      <c r="G115">
        <v>228</v>
      </c>
      <c r="I115" t="s">
        <v>304</v>
      </c>
    </row>
    <row r="116" spans="1:11" x14ac:dyDescent="0.25">
      <c r="A116" s="19" t="str">
        <f t="shared" si="1"/>
        <v>2023-Fa-Fal-140-85-228</v>
      </c>
      <c r="B116">
        <v>2023</v>
      </c>
      <c r="C116" t="s">
        <v>2</v>
      </c>
      <c r="D116" t="s">
        <v>350</v>
      </c>
      <c r="E116">
        <v>140</v>
      </c>
      <c r="F116">
        <v>85</v>
      </c>
      <c r="G116">
        <v>228</v>
      </c>
      <c r="I116" t="s">
        <v>304</v>
      </c>
    </row>
    <row r="117" spans="1:11" x14ac:dyDescent="0.25">
      <c r="A117" s="19" t="str">
        <f t="shared" si="1"/>
        <v>2023-Fa-Sti-115-70-204</v>
      </c>
      <c r="B117">
        <v>2023</v>
      </c>
      <c r="C117" t="s">
        <v>2</v>
      </c>
      <c r="D117" t="s">
        <v>351</v>
      </c>
      <c r="E117">
        <v>115</v>
      </c>
      <c r="F117">
        <v>70</v>
      </c>
      <c r="G117">
        <v>204</v>
      </c>
      <c r="I117" t="s">
        <v>308</v>
      </c>
    </row>
    <row r="118" spans="1:11" x14ac:dyDescent="0.25">
      <c r="A118" s="19" t="str">
        <f t="shared" si="1"/>
        <v>2023-Fa-Sti-130-75-211</v>
      </c>
      <c r="B118">
        <v>2023</v>
      </c>
      <c r="C118" t="s">
        <v>2</v>
      </c>
      <c r="D118" t="s">
        <v>352</v>
      </c>
      <c r="E118">
        <v>130</v>
      </c>
      <c r="F118">
        <v>75</v>
      </c>
      <c r="G118">
        <v>211</v>
      </c>
      <c r="I118" t="s">
        <v>308</v>
      </c>
    </row>
    <row r="119" spans="1:11" x14ac:dyDescent="0.25">
      <c r="A119" s="19" t="str">
        <f t="shared" si="1"/>
        <v>2023-Fa-Fal-140-80-215</v>
      </c>
      <c r="B119">
        <v>2023</v>
      </c>
      <c r="C119" t="s">
        <v>2</v>
      </c>
      <c r="D119" t="s">
        <v>353</v>
      </c>
      <c r="E119">
        <v>140</v>
      </c>
      <c r="F119">
        <v>80</v>
      </c>
      <c r="G119">
        <v>215</v>
      </c>
      <c r="I119" t="s">
        <v>304</v>
      </c>
    </row>
    <row r="120" spans="1:11" x14ac:dyDescent="0.25">
      <c r="A120" s="19" t="str">
        <f t="shared" si="1"/>
        <v>2023-Fa-Fal-170-85-220</v>
      </c>
      <c r="B120">
        <v>2023</v>
      </c>
      <c r="C120" t="s">
        <v>2</v>
      </c>
      <c r="D120" t="s">
        <v>354</v>
      </c>
      <c r="E120">
        <v>170</v>
      </c>
      <c r="F120">
        <v>85</v>
      </c>
      <c r="G120">
        <v>220</v>
      </c>
      <c r="I120" t="s">
        <v>304</v>
      </c>
    </row>
    <row r="121" spans="1:11" x14ac:dyDescent="0.25">
      <c r="A121" s="19" t="str">
        <f t="shared" si="1"/>
        <v>2023-Fa-Fal-180-91-220</v>
      </c>
      <c r="B121">
        <v>2023</v>
      </c>
      <c r="C121" t="s">
        <v>2</v>
      </c>
      <c r="D121" t="s">
        <v>355</v>
      </c>
      <c r="E121">
        <v>180</v>
      </c>
      <c r="F121">
        <v>91</v>
      </c>
      <c r="G121">
        <v>220</v>
      </c>
      <c r="I121" t="s">
        <v>304</v>
      </c>
    </row>
    <row r="122" spans="1:11" x14ac:dyDescent="0.25">
      <c r="A122" s="19" t="str">
        <f t="shared" si="1"/>
        <v>1992-Ti-260-88-55-260</v>
      </c>
      <c r="B122">
        <v>1992</v>
      </c>
      <c r="C122" t="s">
        <v>363</v>
      </c>
      <c r="D122" t="s">
        <v>364</v>
      </c>
      <c r="E122">
        <v>88</v>
      </c>
      <c r="F122">
        <v>55</v>
      </c>
      <c r="G122">
        <v>260</v>
      </c>
      <c r="I122" t="s">
        <v>356</v>
      </c>
    </row>
    <row r="123" spans="1:11" x14ac:dyDescent="0.25">
      <c r="A123" s="19" t="str">
        <f t="shared" si="1"/>
        <v>2024-JP-Sla-78-55-233</v>
      </c>
      <c r="B123">
        <v>2024</v>
      </c>
      <c r="C123" t="s">
        <v>369</v>
      </c>
      <c r="D123" t="s">
        <v>365</v>
      </c>
      <c r="E123">
        <v>78</v>
      </c>
      <c r="F123">
        <v>55</v>
      </c>
      <c r="G123">
        <v>233</v>
      </c>
      <c r="I123" t="s">
        <v>357</v>
      </c>
      <c r="K123" t="s">
        <v>358</v>
      </c>
    </row>
    <row r="124" spans="1:11" x14ac:dyDescent="0.25">
      <c r="A124" s="19" t="str">
        <f t="shared" si="1"/>
        <v>2024-JP-Sla-97-62-233</v>
      </c>
      <c r="B124">
        <v>2024</v>
      </c>
      <c r="C124" t="s">
        <v>369</v>
      </c>
      <c r="D124" t="s">
        <v>366</v>
      </c>
      <c r="E124">
        <v>97</v>
      </c>
      <c r="F124">
        <v>62.5</v>
      </c>
      <c r="G124">
        <v>233</v>
      </c>
      <c r="I124" t="s">
        <v>357</v>
      </c>
      <c r="K124" t="s">
        <v>359</v>
      </c>
    </row>
    <row r="125" spans="1:11" x14ac:dyDescent="0.25">
      <c r="A125" s="19" t="str">
        <f t="shared" si="1"/>
        <v>2024-JP-Sla-117-72-228</v>
      </c>
      <c r="B125">
        <v>2024</v>
      </c>
      <c r="C125" t="s">
        <v>369</v>
      </c>
      <c r="D125" t="s">
        <v>367</v>
      </c>
      <c r="E125">
        <v>117</v>
      </c>
      <c r="F125">
        <v>72</v>
      </c>
      <c r="G125">
        <v>228</v>
      </c>
      <c r="I125" t="s">
        <v>360</v>
      </c>
      <c r="K125" t="s">
        <v>361</v>
      </c>
    </row>
    <row r="126" spans="1:11" x14ac:dyDescent="0.25">
      <c r="A126" s="19" t="str">
        <f t="shared" si="1"/>
        <v>2024-JP-Sla-139-85-228</v>
      </c>
      <c r="B126">
        <v>2024</v>
      </c>
      <c r="C126" t="s">
        <v>369</v>
      </c>
      <c r="D126" t="s">
        <v>368</v>
      </c>
      <c r="E126">
        <v>139</v>
      </c>
      <c r="F126">
        <v>85</v>
      </c>
      <c r="G126">
        <v>228</v>
      </c>
      <c r="I126" t="s">
        <v>360</v>
      </c>
      <c r="K126" t="s">
        <v>362</v>
      </c>
    </row>
    <row r="127" spans="1:11" x14ac:dyDescent="0.25">
      <c r="A127" s="19" t="str">
        <f t="shared" si="1"/>
        <v>2026-JP-Sla-97-62-230</v>
      </c>
      <c r="B127">
        <v>2026</v>
      </c>
      <c r="C127" t="s">
        <v>369</v>
      </c>
      <c r="D127" t="s">
        <v>366</v>
      </c>
      <c r="E127">
        <v>97</v>
      </c>
      <c r="F127">
        <v>62.5</v>
      </c>
      <c r="G127">
        <v>230</v>
      </c>
      <c r="H127" t="s">
        <v>370</v>
      </c>
      <c r="I127" t="s">
        <v>357</v>
      </c>
      <c r="J127" t="s">
        <v>289</v>
      </c>
      <c r="K127" t="s">
        <v>371</v>
      </c>
    </row>
    <row r="128" spans="1:11" x14ac:dyDescent="0.25">
      <c r="A128" s="19" t="str">
        <f t="shared" si="1"/>
        <v>2026-JP-Sla-105-66-230</v>
      </c>
      <c r="B128">
        <v>2026</v>
      </c>
      <c r="C128" t="s">
        <v>369</v>
      </c>
      <c r="D128" t="s">
        <v>376</v>
      </c>
      <c r="E128">
        <v>105</v>
      </c>
      <c r="F128">
        <v>66</v>
      </c>
      <c r="G128">
        <v>230</v>
      </c>
      <c r="H128" t="s">
        <v>370</v>
      </c>
      <c r="I128" t="s">
        <v>357</v>
      </c>
      <c r="J128" t="s">
        <v>289</v>
      </c>
      <c r="K128" t="s">
        <v>372</v>
      </c>
    </row>
    <row r="129" spans="1:11" x14ac:dyDescent="0.25">
      <c r="A129" s="19" t="str">
        <f t="shared" si="1"/>
        <v>2026-JP-Sla-117-72-228</v>
      </c>
      <c r="B129">
        <v>2026</v>
      </c>
      <c r="C129" t="s">
        <v>369</v>
      </c>
      <c r="D129" t="s">
        <v>367</v>
      </c>
      <c r="E129">
        <v>117</v>
      </c>
      <c r="F129">
        <v>72</v>
      </c>
      <c r="G129">
        <v>228</v>
      </c>
      <c r="H129" t="s">
        <v>370</v>
      </c>
      <c r="I129" t="s">
        <v>357</v>
      </c>
      <c r="J129" t="s">
        <v>289</v>
      </c>
      <c r="K129" t="s">
        <v>373</v>
      </c>
    </row>
    <row r="130" spans="1:11" x14ac:dyDescent="0.25">
      <c r="A130" s="19" t="str">
        <f t="shared" si="1"/>
        <v>2026-JP-Sla-125-76-228</v>
      </c>
      <c r="B130">
        <v>2026</v>
      </c>
      <c r="C130" t="s">
        <v>369</v>
      </c>
      <c r="D130" t="s">
        <v>377</v>
      </c>
      <c r="E130">
        <v>125</v>
      </c>
      <c r="F130">
        <v>76</v>
      </c>
      <c r="G130">
        <v>228</v>
      </c>
      <c r="H130" t="s">
        <v>370</v>
      </c>
      <c r="I130" t="s">
        <v>357</v>
      </c>
      <c r="J130" t="s">
        <v>289</v>
      </c>
      <c r="K130" t="s">
        <v>374</v>
      </c>
    </row>
    <row r="131" spans="1:11" x14ac:dyDescent="0.25">
      <c r="A131" s="19" t="str">
        <f t="shared" ref="A131:A182" si="2">_xlfn.CONCAT(B131,"-",LEFT(C131,2),"-",LEFT(D131,3),"-",E131,"-",TRUNC(F131),"-",TRUNC(G131))</f>
        <v>2026-JP-Sla-139-85-228</v>
      </c>
      <c r="B131">
        <v>2026</v>
      </c>
      <c r="C131" t="s">
        <v>369</v>
      </c>
      <c r="D131" t="s">
        <v>368</v>
      </c>
      <c r="E131">
        <v>139</v>
      </c>
      <c r="F131">
        <v>85</v>
      </c>
      <c r="G131">
        <v>228</v>
      </c>
      <c r="H131" t="s">
        <v>370</v>
      </c>
      <c r="I131" t="s">
        <v>357</v>
      </c>
      <c r="J131" t="s">
        <v>289</v>
      </c>
      <c r="K131" t="s">
        <v>375</v>
      </c>
    </row>
    <row r="132" spans="1:11" x14ac:dyDescent="0.25">
      <c r="A132" s="19" t="str">
        <f t="shared" si="2"/>
        <v>2016-Fa-Qua-69-53-224</v>
      </c>
      <c r="B132">
        <v>2016</v>
      </c>
      <c r="C132" t="s">
        <v>2</v>
      </c>
      <c r="D132" t="s">
        <v>387</v>
      </c>
      <c r="E132" s="8">
        <v>69</v>
      </c>
      <c r="F132" s="8">
        <v>53.5</v>
      </c>
      <c r="G132" s="8">
        <v>224</v>
      </c>
      <c r="H132" s="8" t="s">
        <v>392</v>
      </c>
      <c r="I132" s="8"/>
      <c r="K132" s="8" t="s">
        <v>393</v>
      </c>
    </row>
    <row r="133" spans="1:11" x14ac:dyDescent="0.25">
      <c r="A133" s="19" t="str">
        <f t="shared" si="2"/>
        <v>2016-Fa-Qua-75-55-225</v>
      </c>
      <c r="B133">
        <v>2016</v>
      </c>
      <c r="C133" t="s">
        <v>2</v>
      </c>
      <c r="D133" t="s">
        <v>394</v>
      </c>
      <c r="E133" s="8">
        <v>75</v>
      </c>
      <c r="F133" s="8">
        <v>55.5</v>
      </c>
      <c r="G133" s="8">
        <v>225</v>
      </c>
      <c r="H133" s="8" t="s">
        <v>392</v>
      </c>
      <c r="I133" s="8"/>
      <c r="K133" s="8" t="s">
        <v>398</v>
      </c>
    </row>
    <row r="134" spans="1:11" x14ac:dyDescent="0.25">
      <c r="A134" s="19" t="str">
        <f t="shared" si="2"/>
        <v>2016-Fa-Qua-81-57-226</v>
      </c>
      <c r="B134">
        <v>2016</v>
      </c>
      <c r="C134" t="s">
        <v>2</v>
      </c>
      <c r="D134" t="s">
        <v>399</v>
      </c>
      <c r="E134" s="8">
        <v>81</v>
      </c>
      <c r="F134" s="8">
        <v>57.5</v>
      </c>
      <c r="G134" s="8">
        <v>226</v>
      </c>
      <c r="H134" s="8" t="s">
        <v>392</v>
      </c>
      <c r="I134" s="8"/>
      <c r="K134" s="8" t="s">
        <v>403</v>
      </c>
    </row>
    <row r="135" spans="1:11" x14ac:dyDescent="0.25">
      <c r="A135" s="19" t="str">
        <f t="shared" si="2"/>
        <v>2016-Fa-Qua-90-59-227</v>
      </c>
      <c r="B135">
        <v>2016</v>
      </c>
      <c r="C135" t="s">
        <v>2</v>
      </c>
      <c r="D135" t="s">
        <v>404</v>
      </c>
      <c r="E135" s="8">
        <v>90</v>
      </c>
      <c r="F135" s="8">
        <v>59.5</v>
      </c>
      <c r="G135" s="8">
        <v>227</v>
      </c>
      <c r="H135" s="8" t="s">
        <v>392</v>
      </c>
      <c r="I135" s="8"/>
      <c r="K135" s="8" t="s">
        <v>408</v>
      </c>
    </row>
    <row r="136" spans="1:11" x14ac:dyDescent="0.25">
      <c r="A136" s="19" t="str">
        <f t="shared" si="2"/>
        <v>2016-Fa-Stu-77-55-212</v>
      </c>
      <c r="B136">
        <v>2016</v>
      </c>
      <c r="C136" t="s">
        <v>2</v>
      </c>
      <c r="D136" t="s">
        <v>409</v>
      </c>
      <c r="E136" s="8">
        <v>77</v>
      </c>
      <c r="F136" s="8">
        <v>55</v>
      </c>
      <c r="G136" s="8">
        <v>212</v>
      </c>
      <c r="H136" s="8" t="s">
        <v>392</v>
      </c>
      <c r="I136" s="8"/>
      <c r="K136" s="8" t="s">
        <v>411</v>
      </c>
    </row>
    <row r="137" spans="1:11" x14ac:dyDescent="0.25">
      <c r="A137" s="19" t="str">
        <f t="shared" si="2"/>
        <v>2016-Fa-Stu-88-57-215</v>
      </c>
      <c r="B137">
        <v>2016</v>
      </c>
      <c r="C137" t="s">
        <v>2</v>
      </c>
      <c r="D137" t="s">
        <v>412</v>
      </c>
      <c r="E137">
        <v>88</v>
      </c>
      <c r="F137">
        <v>57.5</v>
      </c>
      <c r="G137">
        <v>215</v>
      </c>
      <c r="H137" t="s">
        <v>392</v>
      </c>
      <c r="K137" t="s">
        <v>403</v>
      </c>
    </row>
    <row r="138" spans="1:11" x14ac:dyDescent="0.25">
      <c r="A138" s="19" t="str">
        <f t="shared" si="2"/>
        <v>2016-Fa-Tri-74-56-222</v>
      </c>
      <c r="B138">
        <v>2016</v>
      </c>
      <c r="C138" t="s">
        <v>2</v>
      </c>
      <c r="D138" t="s">
        <v>415</v>
      </c>
      <c r="E138" s="8">
        <v>74</v>
      </c>
      <c r="F138" s="8">
        <v>56</v>
      </c>
      <c r="G138" s="8">
        <v>222</v>
      </c>
      <c r="H138" s="8" t="s">
        <v>392</v>
      </c>
      <c r="I138" s="8"/>
      <c r="K138" s="8" t="s">
        <v>419</v>
      </c>
    </row>
    <row r="139" spans="1:11" x14ac:dyDescent="0.25">
      <c r="A139" s="19" t="str">
        <f t="shared" si="2"/>
        <v>2016-Fa-Tri-82-58-224</v>
      </c>
      <c r="B139">
        <v>2016</v>
      </c>
      <c r="C139" t="s">
        <v>2</v>
      </c>
      <c r="D139" t="s">
        <v>420</v>
      </c>
      <c r="E139" s="8">
        <v>82</v>
      </c>
      <c r="F139" s="8">
        <v>58</v>
      </c>
      <c r="G139" s="8">
        <v>224</v>
      </c>
      <c r="H139" s="8" t="s">
        <v>392</v>
      </c>
      <c r="I139" s="8"/>
      <c r="K139" s="8" t="s">
        <v>403</v>
      </c>
    </row>
    <row r="140" spans="1:11" x14ac:dyDescent="0.25">
      <c r="A140" s="19" t="str">
        <f t="shared" si="2"/>
        <v>2016-Fa-Tri-89-59-227</v>
      </c>
      <c r="B140">
        <v>2016</v>
      </c>
      <c r="C140" t="s">
        <v>2</v>
      </c>
      <c r="D140" t="s">
        <v>422</v>
      </c>
      <c r="E140" s="8">
        <v>89</v>
      </c>
      <c r="F140" s="8">
        <v>59.5</v>
      </c>
      <c r="G140" s="8">
        <v>227</v>
      </c>
      <c r="H140" s="8" t="s">
        <v>392</v>
      </c>
      <c r="I140" s="8"/>
      <c r="K140" s="8" t="s">
        <v>423</v>
      </c>
    </row>
    <row r="141" spans="1:11" x14ac:dyDescent="0.25">
      <c r="A141" s="19" t="str">
        <f t="shared" si="2"/>
        <v>2016-Fa-Tri-99-62-229</v>
      </c>
      <c r="B141">
        <v>2016</v>
      </c>
      <c r="C141" t="s">
        <v>2</v>
      </c>
      <c r="D141" t="s">
        <v>424</v>
      </c>
      <c r="E141">
        <v>99</v>
      </c>
      <c r="F141">
        <v>62</v>
      </c>
      <c r="G141">
        <v>229</v>
      </c>
      <c r="H141" t="s">
        <v>392</v>
      </c>
      <c r="K141" t="s">
        <v>427</v>
      </c>
    </row>
    <row r="142" spans="1:11" x14ac:dyDescent="0.25">
      <c r="A142" s="19" t="str">
        <f t="shared" si="2"/>
        <v>2016-Fa-Fre-76-56-232</v>
      </c>
      <c r="B142">
        <v>2016</v>
      </c>
      <c r="C142" t="s">
        <v>2</v>
      </c>
      <c r="D142" t="s">
        <v>428</v>
      </c>
      <c r="E142" s="8">
        <v>76</v>
      </c>
      <c r="F142" s="8">
        <v>56</v>
      </c>
      <c r="G142" s="8">
        <v>232</v>
      </c>
      <c r="H142" s="8" t="s">
        <v>430</v>
      </c>
      <c r="I142" s="8"/>
      <c r="K142" s="8" t="s">
        <v>431</v>
      </c>
    </row>
    <row r="143" spans="1:11" x14ac:dyDescent="0.25">
      <c r="A143" s="19" t="str">
        <f t="shared" si="2"/>
        <v>2016-Fa-Fre-86-58-233</v>
      </c>
      <c r="B143">
        <v>2016</v>
      </c>
      <c r="C143" t="s">
        <v>2</v>
      </c>
      <c r="D143" t="s">
        <v>432</v>
      </c>
      <c r="E143" s="8">
        <v>86</v>
      </c>
      <c r="F143" s="8">
        <v>58.5</v>
      </c>
      <c r="G143" s="8">
        <v>233</v>
      </c>
      <c r="H143" s="8" t="s">
        <v>436</v>
      </c>
      <c r="I143" s="8"/>
      <c r="K143" s="8" t="s">
        <v>408</v>
      </c>
    </row>
    <row r="144" spans="1:11" x14ac:dyDescent="0.25">
      <c r="A144" s="19" t="str">
        <f t="shared" si="2"/>
        <v>2016-Fa-Fre-96-61-234</v>
      </c>
      <c r="B144">
        <v>2016</v>
      </c>
      <c r="C144" t="s">
        <v>2</v>
      </c>
      <c r="D144" t="s">
        <v>437</v>
      </c>
      <c r="E144" s="8">
        <v>96</v>
      </c>
      <c r="F144" s="8">
        <v>61</v>
      </c>
      <c r="G144" s="8">
        <v>234</v>
      </c>
      <c r="H144" s="8" t="s">
        <v>436</v>
      </c>
      <c r="I144" s="8"/>
      <c r="K144" s="8" t="s">
        <v>427</v>
      </c>
    </row>
    <row r="145" spans="1:11" x14ac:dyDescent="0.25">
      <c r="A145" s="19" t="str">
        <f t="shared" si="2"/>
        <v>2016-Fa-Fre-106-63-235</v>
      </c>
      <c r="B145">
        <v>2016</v>
      </c>
      <c r="C145" t="s">
        <v>2</v>
      </c>
      <c r="D145" t="s">
        <v>441</v>
      </c>
      <c r="E145">
        <v>106</v>
      </c>
      <c r="F145">
        <v>63.5</v>
      </c>
      <c r="G145">
        <v>235</v>
      </c>
      <c r="H145" t="s">
        <v>436</v>
      </c>
      <c r="K145" t="s">
        <v>444</v>
      </c>
    </row>
    <row r="146" spans="1:11" x14ac:dyDescent="0.25">
      <c r="A146" s="19" t="str">
        <f t="shared" si="2"/>
        <v>2016-Fa-Fre-116-66-236</v>
      </c>
      <c r="B146">
        <v>2016</v>
      </c>
      <c r="C146" t="s">
        <v>2</v>
      </c>
      <c r="D146" t="s">
        <v>445</v>
      </c>
      <c r="E146" s="8">
        <v>116</v>
      </c>
      <c r="F146" s="8">
        <v>66</v>
      </c>
      <c r="G146" s="8">
        <v>236</v>
      </c>
      <c r="H146" s="8" t="s">
        <v>430</v>
      </c>
      <c r="I146" s="8"/>
      <c r="K146" s="8" t="s">
        <v>448</v>
      </c>
    </row>
    <row r="147" spans="1:11" x14ac:dyDescent="0.25">
      <c r="A147" s="19" t="str">
        <f t="shared" si="2"/>
        <v>2016-Fa-Ska-86-60-228</v>
      </c>
      <c r="B147">
        <v>2016</v>
      </c>
      <c r="C147" t="s">
        <v>2</v>
      </c>
      <c r="D147" t="s">
        <v>449</v>
      </c>
      <c r="E147" s="8">
        <v>86</v>
      </c>
      <c r="F147" s="8">
        <v>60</v>
      </c>
      <c r="G147" s="8">
        <v>228</v>
      </c>
      <c r="H147" s="8" t="s">
        <v>392</v>
      </c>
      <c r="I147" s="8"/>
      <c r="K147" s="8" t="s">
        <v>452</v>
      </c>
    </row>
    <row r="148" spans="1:11" x14ac:dyDescent="0.25">
      <c r="A148" s="19" t="str">
        <f t="shared" si="2"/>
        <v>2016-Fa-Ska-94-62-228</v>
      </c>
      <c r="B148">
        <v>2016</v>
      </c>
      <c r="C148" t="s">
        <v>2</v>
      </c>
      <c r="D148" t="s">
        <v>453</v>
      </c>
      <c r="E148" s="8">
        <v>94</v>
      </c>
      <c r="F148" s="8">
        <v>62</v>
      </c>
      <c r="G148" s="8">
        <v>228</v>
      </c>
      <c r="H148" s="8" t="s">
        <v>392</v>
      </c>
      <c r="I148" s="8"/>
      <c r="K148" s="8" t="s">
        <v>455</v>
      </c>
    </row>
    <row r="149" spans="1:11" x14ac:dyDescent="0.25">
      <c r="A149" s="19" t="str">
        <f t="shared" si="2"/>
        <v>2016-Fa-Ska-100-64-228</v>
      </c>
      <c r="B149">
        <v>2016</v>
      </c>
      <c r="C149" t="s">
        <v>2</v>
      </c>
      <c r="D149" t="s">
        <v>456</v>
      </c>
      <c r="E149">
        <v>100</v>
      </c>
      <c r="F149">
        <v>64</v>
      </c>
      <c r="G149">
        <v>228</v>
      </c>
      <c r="H149" t="s">
        <v>392</v>
      </c>
      <c r="K149" t="s">
        <v>458</v>
      </c>
    </row>
    <row r="150" spans="1:11" x14ac:dyDescent="0.25">
      <c r="A150" s="19" t="str">
        <f t="shared" si="2"/>
        <v>2016-Fa-Ska-108-66-226</v>
      </c>
      <c r="B150">
        <v>2016</v>
      </c>
      <c r="C150" t="s">
        <v>2</v>
      </c>
      <c r="D150" t="s">
        <v>459</v>
      </c>
      <c r="E150" s="8">
        <v>108</v>
      </c>
      <c r="F150" s="8">
        <v>66.5</v>
      </c>
      <c r="G150" s="8">
        <v>226</v>
      </c>
      <c r="H150" s="8" t="s">
        <v>392</v>
      </c>
      <c r="I150" s="8"/>
      <c r="K150" s="8" t="s">
        <v>462</v>
      </c>
    </row>
    <row r="151" spans="1:11" x14ac:dyDescent="0.25">
      <c r="A151" s="19" t="str">
        <f t="shared" si="2"/>
        <v>2016-Fa-Ska-100-63-235</v>
      </c>
      <c r="B151">
        <v>2016</v>
      </c>
      <c r="C151" t="s">
        <v>2</v>
      </c>
      <c r="D151" t="s">
        <v>463</v>
      </c>
      <c r="E151" s="8">
        <v>100</v>
      </c>
      <c r="F151" s="8">
        <v>63.5</v>
      </c>
      <c r="G151" s="8">
        <v>235</v>
      </c>
      <c r="H151" s="8" t="s">
        <v>464</v>
      </c>
      <c r="I151" s="8"/>
      <c r="K151" s="8" t="s">
        <v>458</v>
      </c>
    </row>
    <row r="152" spans="1:11" x14ac:dyDescent="0.25">
      <c r="A152" s="19" t="str">
        <f t="shared" si="2"/>
        <v>2016-Fa-Ska-110-66-237</v>
      </c>
      <c r="B152">
        <v>2016</v>
      </c>
      <c r="C152" t="s">
        <v>2</v>
      </c>
      <c r="D152" t="s">
        <v>465</v>
      </c>
      <c r="E152" s="8">
        <v>110</v>
      </c>
      <c r="F152" s="8">
        <v>66.5</v>
      </c>
      <c r="G152" s="8">
        <v>237</v>
      </c>
      <c r="H152" s="8" t="s">
        <v>464</v>
      </c>
      <c r="I152" s="8"/>
      <c r="K152" s="8" t="s">
        <v>462</v>
      </c>
    </row>
    <row r="153" spans="1:11" x14ac:dyDescent="0.25">
      <c r="A153" s="19" t="str">
        <f t="shared" si="2"/>
        <v>2016-Fa-Haw-99-62-239</v>
      </c>
      <c r="B153">
        <v>2016</v>
      </c>
      <c r="C153" t="s">
        <v>2</v>
      </c>
      <c r="D153" t="s">
        <v>468</v>
      </c>
      <c r="E153">
        <v>99</v>
      </c>
      <c r="F153">
        <v>62</v>
      </c>
      <c r="G153">
        <v>239</v>
      </c>
      <c r="H153" t="s">
        <v>470</v>
      </c>
      <c r="K153" t="s">
        <v>471</v>
      </c>
    </row>
    <row r="154" spans="1:11" x14ac:dyDescent="0.25">
      <c r="A154" s="19" t="str">
        <f t="shared" si="2"/>
        <v>2016-Fa-Haw-113-66-241</v>
      </c>
      <c r="B154">
        <v>2016</v>
      </c>
      <c r="C154" t="s">
        <v>2</v>
      </c>
      <c r="D154" t="s">
        <v>472</v>
      </c>
      <c r="E154" s="8">
        <v>113</v>
      </c>
      <c r="F154" s="8">
        <v>66</v>
      </c>
      <c r="G154" s="8">
        <v>241</v>
      </c>
      <c r="H154" s="8" t="s">
        <v>470</v>
      </c>
      <c r="I154" s="8"/>
      <c r="K154" s="8" t="s">
        <v>475</v>
      </c>
    </row>
    <row r="155" spans="1:11" x14ac:dyDescent="0.25">
      <c r="A155" s="19" t="str">
        <f t="shared" si="2"/>
        <v>2016-Fa-Haw-124-70-242</v>
      </c>
      <c r="B155">
        <v>2016</v>
      </c>
      <c r="C155" t="s">
        <v>2</v>
      </c>
      <c r="D155" t="s">
        <v>476</v>
      </c>
      <c r="E155" s="8">
        <v>124</v>
      </c>
      <c r="F155" s="8">
        <v>70</v>
      </c>
      <c r="G155" s="8">
        <v>242</v>
      </c>
      <c r="H155" s="8" t="s">
        <v>470</v>
      </c>
      <c r="I155" s="8"/>
      <c r="K155" s="8" t="s">
        <v>480</v>
      </c>
    </row>
    <row r="156" spans="1:11" x14ac:dyDescent="0.25">
      <c r="A156" s="19" t="str">
        <f t="shared" si="2"/>
        <v>2016-Fa-Gec-98-63-239</v>
      </c>
      <c r="B156">
        <v>2016</v>
      </c>
      <c r="C156" t="s">
        <v>2</v>
      </c>
      <c r="D156" t="s">
        <v>481</v>
      </c>
      <c r="E156" s="8">
        <v>98</v>
      </c>
      <c r="F156" s="8">
        <v>63</v>
      </c>
      <c r="G156" s="8">
        <v>239</v>
      </c>
      <c r="H156" s="8" t="s">
        <v>483</v>
      </c>
      <c r="I156" s="8"/>
      <c r="K156" s="8" t="s">
        <v>471</v>
      </c>
    </row>
    <row r="157" spans="1:11" x14ac:dyDescent="0.25">
      <c r="A157" s="19" t="str">
        <f t="shared" si="2"/>
        <v>2016-Fa-Gec-105-69-239</v>
      </c>
      <c r="B157">
        <v>2016</v>
      </c>
      <c r="C157" t="s">
        <v>2</v>
      </c>
      <c r="D157" t="s">
        <v>484</v>
      </c>
      <c r="E157">
        <v>105</v>
      </c>
      <c r="F157">
        <v>69</v>
      </c>
      <c r="G157">
        <v>239</v>
      </c>
      <c r="H157" t="s">
        <v>483</v>
      </c>
      <c r="K157" t="s">
        <v>475</v>
      </c>
    </row>
    <row r="158" spans="1:11" x14ac:dyDescent="0.25">
      <c r="A158" s="19" t="str">
        <f t="shared" si="2"/>
        <v>2016-Fa-Gec-112-73-239</v>
      </c>
      <c r="B158">
        <v>2016</v>
      </c>
      <c r="C158" t="s">
        <v>2</v>
      </c>
      <c r="D158" t="s">
        <v>487</v>
      </c>
      <c r="E158">
        <v>112</v>
      </c>
      <c r="F158">
        <v>73</v>
      </c>
      <c r="G158">
        <v>239</v>
      </c>
      <c r="H158" t="s">
        <v>483</v>
      </c>
      <c r="K158" t="s">
        <v>480</v>
      </c>
    </row>
    <row r="159" spans="1:11" x14ac:dyDescent="0.25">
      <c r="A159" s="19" t="str">
        <f t="shared" si="2"/>
        <v>2016-Fa-Gec-120-76-242</v>
      </c>
      <c r="B159">
        <v>2016</v>
      </c>
      <c r="C159" t="s">
        <v>2</v>
      </c>
      <c r="D159" t="s">
        <v>490</v>
      </c>
      <c r="E159">
        <v>120</v>
      </c>
      <c r="F159">
        <v>76</v>
      </c>
      <c r="G159">
        <v>242</v>
      </c>
      <c r="H159" t="s">
        <v>483</v>
      </c>
      <c r="K159" t="s">
        <v>492</v>
      </c>
    </row>
    <row r="160" spans="1:11" x14ac:dyDescent="0.25">
      <c r="A160" s="19" t="str">
        <f t="shared" si="2"/>
        <v>2016-Fa-Gec-133-78-246</v>
      </c>
      <c r="B160">
        <v>2016</v>
      </c>
      <c r="C160" t="s">
        <v>2</v>
      </c>
      <c r="D160" t="s">
        <v>493</v>
      </c>
      <c r="E160">
        <v>133</v>
      </c>
      <c r="F160">
        <v>78</v>
      </c>
      <c r="G160">
        <v>246</v>
      </c>
      <c r="H160" t="s">
        <v>483</v>
      </c>
      <c r="K160" t="s">
        <v>496</v>
      </c>
    </row>
    <row r="161" spans="1:11" x14ac:dyDescent="0.25">
      <c r="A161" s="19" t="str">
        <f t="shared" si="2"/>
        <v>2016-Fa-Gec-146-83-250</v>
      </c>
      <c r="B161">
        <v>2016</v>
      </c>
      <c r="C161" t="s">
        <v>2</v>
      </c>
      <c r="D161" t="s">
        <v>497</v>
      </c>
      <c r="E161">
        <v>146</v>
      </c>
      <c r="F161">
        <v>83</v>
      </c>
      <c r="G161">
        <v>250</v>
      </c>
      <c r="H161" t="s">
        <v>483</v>
      </c>
      <c r="K161" t="s">
        <v>501</v>
      </c>
    </row>
    <row r="162" spans="1:11" x14ac:dyDescent="0.25">
      <c r="A162" s="19" t="str">
        <f t="shared" si="2"/>
        <v>2016-Fa-Gec-156-85-252</v>
      </c>
      <c r="B162">
        <v>2016</v>
      </c>
      <c r="C162" t="s">
        <v>2</v>
      </c>
      <c r="D162" t="s">
        <v>502</v>
      </c>
      <c r="E162">
        <v>156</v>
      </c>
      <c r="F162">
        <v>85</v>
      </c>
      <c r="G162">
        <v>252</v>
      </c>
      <c r="H162" t="s">
        <v>506</v>
      </c>
      <c r="K162" t="s">
        <v>507</v>
      </c>
    </row>
    <row r="163" spans="1:11" x14ac:dyDescent="0.25">
      <c r="A163" s="19" t="str">
        <f t="shared" si="2"/>
        <v>2016-Fa-Fal-90-59-235</v>
      </c>
      <c r="B163">
        <v>2016</v>
      </c>
      <c r="C163" t="s">
        <v>2</v>
      </c>
      <c r="D163" t="s">
        <v>508</v>
      </c>
      <c r="E163">
        <v>90</v>
      </c>
      <c r="F163">
        <v>59</v>
      </c>
      <c r="G163">
        <v>235</v>
      </c>
      <c r="H163" t="s">
        <v>510</v>
      </c>
      <c r="K163" t="s">
        <v>511</v>
      </c>
    </row>
    <row r="164" spans="1:11" x14ac:dyDescent="0.25">
      <c r="A164" s="19" t="str">
        <f t="shared" si="2"/>
        <v>2016-Fa-Fal-99-63-235</v>
      </c>
      <c r="B164">
        <v>2016</v>
      </c>
      <c r="C164" t="s">
        <v>2</v>
      </c>
      <c r="D164" t="s">
        <v>512</v>
      </c>
      <c r="E164">
        <v>99</v>
      </c>
      <c r="F164">
        <v>63</v>
      </c>
      <c r="G164">
        <v>235</v>
      </c>
      <c r="H164" t="s">
        <v>513</v>
      </c>
      <c r="K164" t="s">
        <v>514</v>
      </c>
    </row>
    <row r="165" spans="1:11" x14ac:dyDescent="0.25">
      <c r="A165" s="19" t="str">
        <f t="shared" si="2"/>
        <v>2016-Fa-Fal-112-70-230</v>
      </c>
      <c r="B165">
        <v>2016</v>
      </c>
      <c r="C165" t="s">
        <v>2</v>
      </c>
      <c r="D165" t="s">
        <v>515</v>
      </c>
      <c r="E165">
        <v>112</v>
      </c>
      <c r="F165">
        <v>70</v>
      </c>
      <c r="G165">
        <v>230</v>
      </c>
      <c r="H165" t="s">
        <v>517</v>
      </c>
      <c r="K165" t="s">
        <v>518</v>
      </c>
    </row>
    <row r="166" spans="1:11" x14ac:dyDescent="0.25">
      <c r="A166" s="19" t="str">
        <f t="shared" si="2"/>
        <v>2016-Fa-Fal-121-75-230</v>
      </c>
      <c r="B166">
        <v>2016</v>
      </c>
      <c r="C166" t="s">
        <v>2</v>
      </c>
      <c r="D166" t="s">
        <v>519</v>
      </c>
      <c r="E166">
        <v>121</v>
      </c>
      <c r="F166">
        <v>75</v>
      </c>
      <c r="G166">
        <v>230</v>
      </c>
      <c r="H166" t="s">
        <v>517</v>
      </c>
      <c r="K166" t="s">
        <v>521</v>
      </c>
    </row>
    <row r="167" spans="1:11" x14ac:dyDescent="0.25">
      <c r="A167" s="19" t="str">
        <f t="shared" si="2"/>
        <v>2016-Fa-Fal-129-80-230</v>
      </c>
      <c r="B167">
        <v>2016</v>
      </c>
      <c r="C167" t="s">
        <v>2</v>
      </c>
      <c r="D167" t="s">
        <v>522</v>
      </c>
      <c r="E167">
        <v>129</v>
      </c>
      <c r="F167">
        <v>80</v>
      </c>
      <c r="G167">
        <v>230</v>
      </c>
      <c r="H167" t="s">
        <v>524</v>
      </c>
      <c r="K167" t="s">
        <v>525</v>
      </c>
    </row>
    <row r="168" spans="1:11" x14ac:dyDescent="0.25">
      <c r="A168" s="19" t="str">
        <f t="shared" si="2"/>
        <v>2016-Fa-Fal-138-85-230</v>
      </c>
      <c r="B168">
        <v>2016</v>
      </c>
      <c r="C168" t="s">
        <v>2</v>
      </c>
      <c r="D168" t="s">
        <v>526</v>
      </c>
      <c r="E168">
        <v>138</v>
      </c>
      <c r="F168">
        <v>85</v>
      </c>
      <c r="G168">
        <v>230</v>
      </c>
      <c r="H168" t="s">
        <v>524</v>
      </c>
      <c r="K168" t="s">
        <v>501</v>
      </c>
    </row>
    <row r="169" spans="1:11" x14ac:dyDescent="0.25">
      <c r="A169" s="19" t="str">
        <f t="shared" si="2"/>
        <v>2016-Fa-Fal-152-90-230</v>
      </c>
      <c r="B169">
        <v>2016</v>
      </c>
      <c r="C169" t="s">
        <v>2</v>
      </c>
      <c r="D169" t="s">
        <v>528</v>
      </c>
      <c r="E169">
        <v>152</v>
      </c>
      <c r="F169">
        <v>90</v>
      </c>
      <c r="G169">
        <v>230</v>
      </c>
      <c r="H169" t="s">
        <v>524</v>
      </c>
      <c r="K169" t="s">
        <v>531</v>
      </c>
    </row>
    <row r="170" spans="1:11" x14ac:dyDescent="0.25">
      <c r="A170" s="19" t="str">
        <f t="shared" si="2"/>
        <v>2016-Fa-Fal-172-100-230</v>
      </c>
      <c r="B170">
        <v>2016</v>
      </c>
      <c r="C170" t="s">
        <v>2</v>
      </c>
      <c r="D170" t="s">
        <v>532</v>
      </c>
      <c r="E170">
        <v>172</v>
      </c>
      <c r="F170">
        <v>100</v>
      </c>
      <c r="G170">
        <v>230</v>
      </c>
      <c r="H170" t="s">
        <v>524</v>
      </c>
      <c r="K170" t="s">
        <v>535</v>
      </c>
    </row>
    <row r="171" spans="1:11" x14ac:dyDescent="0.25">
      <c r="A171" s="19" t="str">
        <f t="shared" si="2"/>
        <v>2016-Fa-Fal-54-44-230</v>
      </c>
      <c r="B171">
        <v>2016</v>
      </c>
      <c r="C171" t="s">
        <v>2</v>
      </c>
      <c r="D171" t="s">
        <v>274</v>
      </c>
      <c r="E171">
        <v>54</v>
      </c>
      <c r="F171">
        <v>44</v>
      </c>
      <c r="G171">
        <v>230</v>
      </c>
      <c r="H171" t="s">
        <v>510</v>
      </c>
      <c r="K171" t="s">
        <v>538</v>
      </c>
    </row>
    <row r="172" spans="1:11" x14ac:dyDescent="0.25">
      <c r="A172" s="19" t="str">
        <f t="shared" si="2"/>
        <v>2016-Fa-Fal-68-50-230</v>
      </c>
      <c r="B172">
        <v>2016</v>
      </c>
      <c r="C172" t="s">
        <v>2</v>
      </c>
      <c r="D172" t="s">
        <v>539</v>
      </c>
      <c r="E172">
        <v>68</v>
      </c>
      <c r="F172">
        <v>50</v>
      </c>
      <c r="G172">
        <v>230</v>
      </c>
      <c r="H172" t="s">
        <v>510</v>
      </c>
      <c r="K172" t="s">
        <v>458</v>
      </c>
    </row>
    <row r="173" spans="1:11" x14ac:dyDescent="0.25">
      <c r="A173" s="19" t="str">
        <f t="shared" si="2"/>
        <v>2016-Fa-Fal-79-56-235</v>
      </c>
      <c r="B173">
        <v>2016</v>
      </c>
      <c r="C173" t="s">
        <v>2</v>
      </c>
      <c r="D173" t="s">
        <v>276</v>
      </c>
      <c r="E173">
        <v>79</v>
      </c>
      <c r="F173">
        <v>56</v>
      </c>
      <c r="G173">
        <v>235</v>
      </c>
      <c r="H173" t="s">
        <v>510</v>
      </c>
      <c r="K173" t="s">
        <v>471</v>
      </c>
    </row>
    <row r="174" spans="1:11" x14ac:dyDescent="0.25">
      <c r="A174" s="19" t="str">
        <f t="shared" si="2"/>
        <v>2016-Fa-Vip-150-70-270</v>
      </c>
      <c r="B174">
        <v>2016</v>
      </c>
      <c r="C174" t="s">
        <v>2</v>
      </c>
      <c r="D174" t="s">
        <v>543</v>
      </c>
      <c r="E174">
        <v>150</v>
      </c>
      <c r="F174">
        <v>70</v>
      </c>
      <c r="G174">
        <v>270</v>
      </c>
      <c r="H174" t="s">
        <v>546</v>
      </c>
      <c r="K174" t="s">
        <v>547</v>
      </c>
    </row>
    <row r="175" spans="1:11" x14ac:dyDescent="0.25">
      <c r="A175" s="19" t="str">
        <f t="shared" si="2"/>
        <v>2016-Fa-Vip-160-75-275</v>
      </c>
      <c r="B175">
        <v>2016</v>
      </c>
      <c r="C175" t="s">
        <v>2</v>
      </c>
      <c r="D175" t="s">
        <v>280</v>
      </c>
      <c r="E175">
        <v>160</v>
      </c>
      <c r="F175">
        <v>75</v>
      </c>
      <c r="G175">
        <v>275</v>
      </c>
      <c r="H175" t="s">
        <v>546</v>
      </c>
      <c r="K175" t="s">
        <v>550</v>
      </c>
    </row>
    <row r="176" spans="1:11" x14ac:dyDescent="0.25">
      <c r="A176" s="19" t="str">
        <f t="shared" si="2"/>
        <v>2016-Fa-Vip-190-80-280</v>
      </c>
      <c r="B176">
        <v>2016</v>
      </c>
      <c r="C176" t="s">
        <v>2</v>
      </c>
      <c r="D176" t="s">
        <v>282</v>
      </c>
      <c r="E176">
        <v>190</v>
      </c>
      <c r="F176">
        <v>80</v>
      </c>
      <c r="G176">
        <v>280</v>
      </c>
      <c r="H176" t="s">
        <v>546</v>
      </c>
      <c r="K176" t="s">
        <v>550</v>
      </c>
    </row>
    <row r="177" spans="1:11" x14ac:dyDescent="0.25">
      <c r="A177" s="19" t="str">
        <f t="shared" si="2"/>
        <v>2016-Fa-Vip-220-85-285</v>
      </c>
      <c r="B177">
        <v>2016</v>
      </c>
      <c r="C177" t="s">
        <v>2</v>
      </c>
      <c r="D177" t="s">
        <v>283</v>
      </c>
      <c r="E177">
        <v>220</v>
      </c>
      <c r="F177">
        <v>85</v>
      </c>
      <c r="G177">
        <v>285</v>
      </c>
      <c r="H177" t="s">
        <v>546</v>
      </c>
      <c r="K177" t="s">
        <v>550</v>
      </c>
    </row>
    <row r="178" spans="1:11" x14ac:dyDescent="0.25">
      <c r="A178" s="19" t="str">
        <f t="shared" si="2"/>
        <v>2016-Fa-Vip-240-91-290</v>
      </c>
      <c r="B178">
        <v>2016</v>
      </c>
      <c r="C178" t="s">
        <v>2</v>
      </c>
      <c r="D178" t="s">
        <v>554</v>
      </c>
      <c r="E178">
        <v>240</v>
      </c>
      <c r="F178">
        <v>91</v>
      </c>
      <c r="G178">
        <v>290</v>
      </c>
      <c r="H178" t="s">
        <v>546</v>
      </c>
      <c r="K178" t="s">
        <v>558</v>
      </c>
    </row>
    <row r="179" spans="1:11" x14ac:dyDescent="0.25">
      <c r="A179" s="19" t="str">
        <f t="shared" si="2"/>
        <v>2016-Fa-Rip-102-69-242</v>
      </c>
      <c r="B179">
        <v>2016</v>
      </c>
      <c r="C179" t="s">
        <v>2</v>
      </c>
      <c r="D179" t="s">
        <v>559</v>
      </c>
      <c r="E179">
        <v>102</v>
      </c>
      <c r="F179">
        <v>69</v>
      </c>
      <c r="G179">
        <v>242</v>
      </c>
      <c r="H179" t="s">
        <v>546</v>
      </c>
      <c r="K179" t="s">
        <v>561</v>
      </c>
    </row>
    <row r="180" spans="1:11" x14ac:dyDescent="0.25">
      <c r="A180" s="19" t="str">
        <f t="shared" si="2"/>
        <v>2016-Fa-Rip-120-69-245</v>
      </c>
      <c r="B180">
        <v>2016</v>
      </c>
      <c r="C180" t="s">
        <v>2</v>
      </c>
      <c r="D180" t="s">
        <v>562</v>
      </c>
      <c r="E180">
        <v>120</v>
      </c>
      <c r="F180">
        <v>69</v>
      </c>
      <c r="G180">
        <v>245</v>
      </c>
      <c r="H180" t="s">
        <v>546</v>
      </c>
      <c r="K180" t="s">
        <v>561</v>
      </c>
    </row>
    <row r="181" spans="1:11" x14ac:dyDescent="0.25">
      <c r="A181" s="19" t="str">
        <f t="shared" si="2"/>
        <v>2016-Fa-Vip-315-85-300</v>
      </c>
      <c r="B181">
        <v>2016</v>
      </c>
      <c r="C181" t="s">
        <v>2</v>
      </c>
      <c r="D181" t="s">
        <v>564</v>
      </c>
      <c r="E181">
        <v>315</v>
      </c>
      <c r="F181">
        <v>85.1</v>
      </c>
      <c r="G181">
        <v>300</v>
      </c>
      <c r="H181" t="s">
        <v>569</v>
      </c>
      <c r="K181" t="s">
        <v>570</v>
      </c>
    </row>
    <row r="182" spans="1:11" x14ac:dyDescent="0.25">
      <c r="A182" s="19" t="str">
        <f t="shared" si="2"/>
        <v>2016-Fa-Rip-187-73-274</v>
      </c>
      <c r="B182">
        <v>2016</v>
      </c>
      <c r="C182" t="s">
        <v>2</v>
      </c>
      <c r="D182" t="s">
        <v>571</v>
      </c>
      <c r="E182">
        <v>187</v>
      </c>
      <c r="F182">
        <v>73.7</v>
      </c>
      <c r="G182">
        <v>274.3</v>
      </c>
      <c r="H182" t="s">
        <v>569</v>
      </c>
      <c r="K182" t="s">
        <v>576</v>
      </c>
    </row>
  </sheetData>
  <autoFilter ref="B1:K121" xr:uid="{C43EE7DF-6394-4A61-9462-EC4D65F15DB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C00B-19AA-4837-A920-18B82D7DD7FE}">
  <dimension ref="A2:J54"/>
  <sheetViews>
    <sheetView zoomScale="70" zoomScaleNormal="70" workbookViewId="0">
      <selection activeCell="G4" sqref="G4:J54"/>
    </sheetView>
  </sheetViews>
  <sheetFormatPr defaultRowHeight="15" x14ac:dyDescent="0.25"/>
  <cols>
    <col min="2" max="2" width="11.140625" customWidth="1"/>
    <col min="3" max="3" width="37.5703125" customWidth="1"/>
    <col min="5" max="5" width="20.5703125" customWidth="1"/>
    <col min="7" max="7" width="39.140625" bestFit="1" customWidth="1"/>
    <col min="10" max="10" width="14.140625" bestFit="1" customWidth="1"/>
  </cols>
  <sheetData>
    <row r="2" spans="1:10" x14ac:dyDescent="0.25">
      <c r="A2" s="7" t="s">
        <v>297</v>
      </c>
      <c r="B2" s="7" t="s">
        <v>6</v>
      </c>
      <c r="C2" s="7" t="s">
        <v>136</v>
      </c>
      <c r="D2" s="7" t="s">
        <v>137</v>
      </c>
      <c r="E2" s="7" t="s">
        <v>138</v>
      </c>
      <c r="F2" s="7" t="s">
        <v>139</v>
      </c>
      <c r="G2" s="7" t="s">
        <v>140</v>
      </c>
      <c r="H2" s="7" t="s">
        <v>141</v>
      </c>
      <c r="I2" s="7" t="s">
        <v>142</v>
      </c>
      <c r="J2" s="7" t="s">
        <v>143</v>
      </c>
    </row>
    <row r="3" spans="1:10" ht="45" x14ac:dyDescent="0.25">
      <c r="C3" t="s">
        <v>384</v>
      </c>
      <c r="D3" s="9" t="s">
        <v>137</v>
      </c>
      <c r="E3" s="9" t="s">
        <v>138</v>
      </c>
      <c r="F3" s="9" t="s">
        <v>139</v>
      </c>
      <c r="G3" s="9" t="s">
        <v>386</v>
      </c>
      <c r="H3" s="9"/>
      <c r="J3" s="9" t="s">
        <v>143</v>
      </c>
    </row>
    <row r="4" spans="1:10" x14ac:dyDescent="0.25">
      <c r="A4">
        <v>2016</v>
      </c>
      <c r="B4" t="s">
        <v>2</v>
      </c>
      <c r="C4" t="s">
        <v>387</v>
      </c>
      <c r="D4" s="8">
        <v>69</v>
      </c>
      <c r="E4" s="8">
        <v>53.5</v>
      </c>
      <c r="F4" s="8">
        <v>224</v>
      </c>
      <c r="G4" s="8" t="s">
        <v>392</v>
      </c>
      <c r="H4" s="8"/>
      <c r="J4" s="8" t="s">
        <v>393</v>
      </c>
    </row>
    <row r="5" spans="1:10" x14ac:dyDescent="0.25">
      <c r="A5">
        <v>2016</v>
      </c>
      <c r="B5" t="s">
        <v>2</v>
      </c>
      <c r="C5" t="s">
        <v>394</v>
      </c>
      <c r="D5" s="8">
        <v>75</v>
      </c>
      <c r="E5" s="8">
        <v>55.5</v>
      </c>
      <c r="F5" s="8">
        <v>225</v>
      </c>
      <c r="G5" s="8" t="s">
        <v>392</v>
      </c>
      <c r="H5" s="8"/>
      <c r="J5" s="8" t="s">
        <v>398</v>
      </c>
    </row>
    <row r="6" spans="1:10" x14ac:dyDescent="0.25">
      <c r="A6">
        <v>2016</v>
      </c>
      <c r="B6" t="s">
        <v>2</v>
      </c>
      <c r="C6" t="s">
        <v>399</v>
      </c>
      <c r="D6" s="8">
        <v>81</v>
      </c>
      <c r="E6" s="8">
        <v>57.5</v>
      </c>
      <c r="F6" s="8">
        <v>226</v>
      </c>
      <c r="G6" s="8" t="s">
        <v>392</v>
      </c>
      <c r="H6" s="8"/>
      <c r="J6" s="8" t="s">
        <v>403</v>
      </c>
    </row>
    <row r="7" spans="1:10" x14ac:dyDescent="0.25">
      <c r="A7">
        <v>2016</v>
      </c>
      <c r="B7" t="s">
        <v>2</v>
      </c>
      <c r="C7" t="s">
        <v>404</v>
      </c>
      <c r="D7" s="8">
        <v>90</v>
      </c>
      <c r="E7" s="8">
        <v>59.5</v>
      </c>
      <c r="F7" s="8">
        <v>227</v>
      </c>
      <c r="G7" s="8" t="s">
        <v>392</v>
      </c>
      <c r="H7" s="8"/>
      <c r="J7" s="8" t="s">
        <v>408</v>
      </c>
    </row>
    <row r="8" spans="1:10" x14ac:dyDescent="0.25">
      <c r="A8">
        <v>2016</v>
      </c>
      <c r="B8" t="s">
        <v>2</v>
      </c>
      <c r="C8" t="s">
        <v>409</v>
      </c>
      <c r="D8" s="8">
        <v>77</v>
      </c>
      <c r="E8" s="8">
        <v>55</v>
      </c>
      <c r="F8" s="8">
        <v>212</v>
      </c>
      <c r="G8" s="8" t="s">
        <v>392</v>
      </c>
      <c r="H8" s="8"/>
      <c r="J8" s="8" t="s">
        <v>411</v>
      </c>
    </row>
    <row r="9" spans="1:10" x14ac:dyDescent="0.25">
      <c r="A9">
        <v>2016</v>
      </c>
      <c r="B9" t="s">
        <v>2</v>
      </c>
      <c r="C9" t="s">
        <v>412</v>
      </c>
      <c r="D9">
        <v>88</v>
      </c>
      <c r="E9">
        <v>57.5</v>
      </c>
      <c r="F9">
        <v>215</v>
      </c>
      <c r="G9" t="s">
        <v>392</v>
      </c>
      <c r="J9" t="s">
        <v>403</v>
      </c>
    </row>
    <row r="10" spans="1:10" x14ac:dyDescent="0.25">
      <c r="A10">
        <v>2016</v>
      </c>
      <c r="B10" t="s">
        <v>2</v>
      </c>
      <c r="C10" t="s">
        <v>415</v>
      </c>
      <c r="D10" s="8">
        <v>74</v>
      </c>
      <c r="E10" s="8">
        <v>56</v>
      </c>
      <c r="F10" s="8">
        <v>222</v>
      </c>
      <c r="G10" s="8" t="s">
        <v>392</v>
      </c>
      <c r="H10" s="8"/>
      <c r="J10" s="8" t="s">
        <v>419</v>
      </c>
    </row>
    <row r="11" spans="1:10" x14ac:dyDescent="0.25">
      <c r="A11">
        <v>2016</v>
      </c>
      <c r="B11" t="s">
        <v>2</v>
      </c>
      <c r="C11" t="s">
        <v>420</v>
      </c>
      <c r="D11" s="8">
        <v>82</v>
      </c>
      <c r="E11" s="8">
        <v>58</v>
      </c>
      <c r="F11" s="8">
        <v>224</v>
      </c>
      <c r="G11" s="8" t="s">
        <v>392</v>
      </c>
      <c r="H11" s="8"/>
      <c r="J11" s="8" t="s">
        <v>403</v>
      </c>
    </row>
    <row r="12" spans="1:10" x14ac:dyDescent="0.25">
      <c r="A12">
        <v>2016</v>
      </c>
      <c r="B12" t="s">
        <v>2</v>
      </c>
      <c r="C12" t="s">
        <v>422</v>
      </c>
      <c r="D12" s="8">
        <v>89</v>
      </c>
      <c r="E12" s="8">
        <v>59.5</v>
      </c>
      <c r="F12" s="8">
        <v>227</v>
      </c>
      <c r="G12" s="8" t="s">
        <v>392</v>
      </c>
      <c r="H12" s="8"/>
      <c r="J12" s="8" t="s">
        <v>423</v>
      </c>
    </row>
    <row r="13" spans="1:10" x14ac:dyDescent="0.25">
      <c r="A13">
        <v>2016</v>
      </c>
      <c r="B13" t="s">
        <v>2</v>
      </c>
      <c r="C13" t="s">
        <v>424</v>
      </c>
      <c r="D13">
        <v>99</v>
      </c>
      <c r="E13">
        <v>62</v>
      </c>
      <c r="F13">
        <v>229</v>
      </c>
      <c r="G13" t="s">
        <v>392</v>
      </c>
      <c r="J13" t="s">
        <v>427</v>
      </c>
    </row>
    <row r="14" spans="1:10" x14ac:dyDescent="0.25">
      <c r="A14">
        <v>2016</v>
      </c>
      <c r="B14" t="s">
        <v>2</v>
      </c>
      <c r="C14" t="s">
        <v>428</v>
      </c>
      <c r="D14" s="8">
        <v>76</v>
      </c>
      <c r="E14" s="8">
        <v>56</v>
      </c>
      <c r="F14" s="8">
        <v>232</v>
      </c>
      <c r="G14" s="8" t="s">
        <v>430</v>
      </c>
      <c r="H14" s="8"/>
      <c r="J14" s="8" t="s">
        <v>431</v>
      </c>
    </row>
    <row r="15" spans="1:10" x14ac:dyDescent="0.25">
      <c r="A15">
        <v>2016</v>
      </c>
      <c r="B15" t="s">
        <v>2</v>
      </c>
      <c r="C15" t="s">
        <v>432</v>
      </c>
      <c r="D15" s="8">
        <v>86</v>
      </c>
      <c r="E15" s="8">
        <v>58.5</v>
      </c>
      <c r="F15" s="8">
        <v>233</v>
      </c>
      <c r="G15" s="8" t="s">
        <v>436</v>
      </c>
      <c r="H15" s="8"/>
      <c r="J15" s="8" t="s">
        <v>408</v>
      </c>
    </row>
    <row r="16" spans="1:10" x14ac:dyDescent="0.25">
      <c r="A16">
        <v>2016</v>
      </c>
      <c r="B16" t="s">
        <v>2</v>
      </c>
      <c r="C16" t="s">
        <v>437</v>
      </c>
      <c r="D16" s="8">
        <v>96</v>
      </c>
      <c r="E16" s="8">
        <v>61</v>
      </c>
      <c r="F16" s="8">
        <v>234</v>
      </c>
      <c r="G16" s="8" t="s">
        <v>436</v>
      </c>
      <c r="H16" s="8"/>
      <c r="J16" s="8" t="s">
        <v>427</v>
      </c>
    </row>
    <row r="17" spans="1:10" x14ac:dyDescent="0.25">
      <c r="A17">
        <v>2016</v>
      </c>
      <c r="B17" t="s">
        <v>2</v>
      </c>
      <c r="C17" t="s">
        <v>441</v>
      </c>
      <c r="D17">
        <v>106</v>
      </c>
      <c r="E17">
        <v>63.5</v>
      </c>
      <c r="F17">
        <v>235</v>
      </c>
      <c r="G17" t="s">
        <v>436</v>
      </c>
      <c r="J17" t="s">
        <v>444</v>
      </c>
    </row>
    <row r="18" spans="1:10" x14ac:dyDescent="0.25">
      <c r="A18">
        <v>2016</v>
      </c>
      <c r="B18" t="s">
        <v>2</v>
      </c>
      <c r="C18" t="s">
        <v>445</v>
      </c>
      <c r="D18" s="8">
        <v>116</v>
      </c>
      <c r="E18" s="8">
        <v>66</v>
      </c>
      <c r="F18" s="8">
        <v>236</v>
      </c>
      <c r="G18" s="8" t="s">
        <v>430</v>
      </c>
      <c r="H18" s="8"/>
      <c r="J18" s="8" t="s">
        <v>448</v>
      </c>
    </row>
    <row r="19" spans="1:10" x14ac:dyDescent="0.25">
      <c r="A19">
        <v>2016</v>
      </c>
      <c r="B19" t="s">
        <v>2</v>
      </c>
      <c r="C19" t="s">
        <v>449</v>
      </c>
      <c r="D19" s="8">
        <v>86</v>
      </c>
      <c r="E19" s="8">
        <v>60</v>
      </c>
      <c r="F19" s="8">
        <v>228</v>
      </c>
      <c r="G19" s="8" t="s">
        <v>392</v>
      </c>
      <c r="H19" s="8"/>
      <c r="J19" s="8" t="s">
        <v>452</v>
      </c>
    </row>
    <row r="20" spans="1:10" x14ac:dyDescent="0.25">
      <c r="A20">
        <v>2016</v>
      </c>
      <c r="B20" t="s">
        <v>2</v>
      </c>
      <c r="C20" t="s">
        <v>453</v>
      </c>
      <c r="D20" s="8">
        <v>94</v>
      </c>
      <c r="E20" s="8">
        <v>62</v>
      </c>
      <c r="F20" s="8">
        <v>228</v>
      </c>
      <c r="G20" s="8" t="s">
        <v>392</v>
      </c>
      <c r="H20" s="8"/>
      <c r="J20" s="8" t="s">
        <v>455</v>
      </c>
    </row>
    <row r="21" spans="1:10" x14ac:dyDescent="0.25">
      <c r="A21">
        <v>2016</v>
      </c>
      <c r="B21" t="s">
        <v>2</v>
      </c>
      <c r="C21" t="s">
        <v>456</v>
      </c>
      <c r="D21">
        <v>100</v>
      </c>
      <c r="E21">
        <v>64</v>
      </c>
      <c r="F21">
        <v>228</v>
      </c>
      <c r="G21" t="s">
        <v>392</v>
      </c>
      <c r="J21" t="s">
        <v>458</v>
      </c>
    </row>
    <row r="22" spans="1:10" x14ac:dyDescent="0.25">
      <c r="A22">
        <v>2016</v>
      </c>
      <c r="B22" t="s">
        <v>2</v>
      </c>
      <c r="C22" t="s">
        <v>459</v>
      </c>
      <c r="D22" s="8">
        <v>108</v>
      </c>
      <c r="E22" s="8">
        <v>66.5</v>
      </c>
      <c r="F22" s="8">
        <v>226</v>
      </c>
      <c r="G22" s="8" t="s">
        <v>392</v>
      </c>
      <c r="H22" s="8"/>
      <c r="J22" s="8" t="s">
        <v>462</v>
      </c>
    </row>
    <row r="23" spans="1:10" x14ac:dyDescent="0.25">
      <c r="A23">
        <v>2016</v>
      </c>
      <c r="B23" t="s">
        <v>2</v>
      </c>
      <c r="C23" t="s">
        <v>463</v>
      </c>
      <c r="D23" s="8">
        <v>100</v>
      </c>
      <c r="E23" s="8">
        <v>63.5</v>
      </c>
      <c r="F23" s="8">
        <v>235</v>
      </c>
      <c r="G23" s="8" t="s">
        <v>464</v>
      </c>
      <c r="H23" s="8"/>
      <c r="J23" s="8" t="s">
        <v>458</v>
      </c>
    </row>
    <row r="24" spans="1:10" x14ac:dyDescent="0.25">
      <c r="A24">
        <v>2016</v>
      </c>
      <c r="B24" t="s">
        <v>2</v>
      </c>
      <c r="C24" t="s">
        <v>465</v>
      </c>
      <c r="D24" s="8">
        <v>110</v>
      </c>
      <c r="E24" s="8">
        <v>66.5</v>
      </c>
      <c r="F24" s="8">
        <v>237</v>
      </c>
      <c r="G24" s="8" t="s">
        <v>464</v>
      </c>
      <c r="H24" s="8"/>
      <c r="J24" s="8" t="s">
        <v>462</v>
      </c>
    </row>
    <row r="25" spans="1:10" x14ac:dyDescent="0.25">
      <c r="A25">
        <v>2016</v>
      </c>
      <c r="B25" t="s">
        <v>2</v>
      </c>
      <c r="C25" t="s">
        <v>468</v>
      </c>
      <c r="D25">
        <v>99</v>
      </c>
      <c r="E25">
        <v>62</v>
      </c>
      <c r="F25">
        <v>239</v>
      </c>
      <c r="G25" t="s">
        <v>470</v>
      </c>
      <c r="J25" t="s">
        <v>471</v>
      </c>
    </row>
    <row r="26" spans="1:10" x14ac:dyDescent="0.25">
      <c r="A26">
        <v>2016</v>
      </c>
      <c r="B26" t="s">
        <v>2</v>
      </c>
      <c r="C26" t="s">
        <v>472</v>
      </c>
      <c r="D26" s="8">
        <v>113</v>
      </c>
      <c r="E26" s="8">
        <v>66</v>
      </c>
      <c r="F26" s="8">
        <v>241</v>
      </c>
      <c r="G26" s="8" t="s">
        <v>470</v>
      </c>
      <c r="H26" s="8"/>
      <c r="J26" s="8" t="s">
        <v>475</v>
      </c>
    </row>
    <row r="27" spans="1:10" x14ac:dyDescent="0.25">
      <c r="A27">
        <v>2016</v>
      </c>
      <c r="B27" t="s">
        <v>2</v>
      </c>
      <c r="C27" t="s">
        <v>476</v>
      </c>
      <c r="D27" s="8">
        <v>124</v>
      </c>
      <c r="E27" s="8">
        <v>70</v>
      </c>
      <c r="F27" s="8">
        <v>242</v>
      </c>
      <c r="G27" s="8" t="s">
        <v>470</v>
      </c>
      <c r="H27" s="8"/>
      <c r="J27" s="8" t="s">
        <v>480</v>
      </c>
    </row>
    <row r="28" spans="1:10" x14ac:dyDescent="0.25">
      <c r="A28">
        <v>2016</v>
      </c>
      <c r="B28" t="s">
        <v>2</v>
      </c>
      <c r="C28" t="s">
        <v>481</v>
      </c>
      <c r="D28" s="8">
        <v>98</v>
      </c>
      <c r="E28" s="8">
        <v>63</v>
      </c>
      <c r="F28" s="8">
        <v>239</v>
      </c>
      <c r="G28" s="8" t="s">
        <v>483</v>
      </c>
      <c r="H28" s="8"/>
      <c r="J28" s="8" t="s">
        <v>471</v>
      </c>
    </row>
    <row r="29" spans="1:10" x14ac:dyDescent="0.25">
      <c r="A29">
        <v>2016</v>
      </c>
      <c r="B29" t="s">
        <v>2</v>
      </c>
      <c r="C29" t="s">
        <v>484</v>
      </c>
      <c r="D29">
        <v>105</v>
      </c>
      <c r="E29">
        <v>69</v>
      </c>
      <c r="F29">
        <v>239</v>
      </c>
      <c r="G29" t="s">
        <v>483</v>
      </c>
      <c r="J29" t="s">
        <v>475</v>
      </c>
    </row>
    <row r="30" spans="1:10" x14ac:dyDescent="0.25">
      <c r="A30">
        <v>2016</v>
      </c>
      <c r="B30" t="s">
        <v>2</v>
      </c>
      <c r="C30" t="s">
        <v>487</v>
      </c>
      <c r="D30">
        <v>112</v>
      </c>
      <c r="E30">
        <v>73</v>
      </c>
      <c r="F30">
        <v>239</v>
      </c>
      <c r="G30" t="s">
        <v>483</v>
      </c>
      <c r="J30" t="s">
        <v>480</v>
      </c>
    </row>
    <row r="31" spans="1:10" x14ac:dyDescent="0.25">
      <c r="A31">
        <v>2016</v>
      </c>
      <c r="B31" t="s">
        <v>2</v>
      </c>
      <c r="C31" t="s">
        <v>490</v>
      </c>
      <c r="D31">
        <v>120</v>
      </c>
      <c r="E31">
        <v>76</v>
      </c>
      <c r="F31">
        <v>242</v>
      </c>
      <c r="G31" t="s">
        <v>483</v>
      </c>
      <c r="J31" t="s">
        <v>492</v>
      </c>
    </row>
    <row r="32" spans="1:10" x14ac:dyDescent="0.25">
      <c r="A32">
        <v>2016</v>
      </c>
      <c r="B32" t="s">
        <v>2</v>
      </c>
      <c r="C32" t="s">
        <v>493</v>
      </c>
      <c r="D32">
        <v>133</v>
      </c>
      <c r="E32">
        <v>78</v>
      </c>
      <c r="F32">
        <v>246</v>
      </c>
      <c r="G32" t="s">
        <v>483</v>
      </c>
      <c r="J32" t="s">
        <v>496</v>
      </c>
    </row>
    <row r="33" spans="1:10" x14ac:dyDescent="0.25">
      <c r="A33">
        <v>2016</v>
      </c>
      <c r="B33" t="s">
        <v>2</v>
      </c>
      <c r="C33" t="s">
        <v>497</v>
      </c>
      <c r="D33">
        <v>146</v>
      </c>
      <c r="E33">
        <v>83</v>
      </c>
      <c r="F33">
        <v>250</v>
      </c>
      <c r="G33" t="s">
        <v>483</v>
      </c>
      <c r="J33" t="s">
        <v>501</v>
      </c>
    </row>
    <row r="34" spans="1:10" x14ac:dyDescent="0.25">
      <c r="A34">
        <v>2016</v>
      </c>
      <c r="B34" t="s">
        <v>2</v>
      </c>
      <c r="C34" t="s">
        <v>502</v>
      </c>
      <c r="D34">
        <v>156</v>
      </c>
      <c r="E34">
        <v>85</v>
      </c>
      <c r="F34">
        <v>252</v>
      </c>
      <c r="G34" t="s">
        <v>506</v>
      </c>
      <c r="J34" t="s">
        <v>507</v>
      </c>
    </row>
    <row r="35" spans="1:10" x14ac:dyDescent="0.25">
      <c r="A35">
        <v>2016</v>
      </c>
      <c r="B35" t="s">
        <v>2</v>
      </c>
      <c r="C35" t="s">
        <v>508</v>
      </c>
      <c r="D35">
        <v>90</v>
      </c>
      <c r="E35">
        <v>59</v>
      </c>
      <c r="F35">
        <v>235</v>
      </c>
      <c r="G35" t="s">
        <v>510</v>
      </c>
      <c r="J35" t="s">
        <v>511</v>
      </c>
    </row>
    <row r="36" spans="1:10" x14ac:dyDescent="0.25">
      <c r="A36">
        <v>2016</v>
      </c>
      <c r="B36" t="s">
        <v>2</v>
      </c>
      <c r="C36" t="s">
        <v>512</v>
      </c>
      <c r="D36">
        <v>99</v>
      </c>
      <c r="E36">
        <v>63</v>
      </c>
      <c r="F36">
        <v>235</v>
      </c>
      <c r="G36" t="s">
        <v>513</v>
      </c>
      <c r="J36" t="s">
        <v>514</v>
      </c>
    </row>
    <row r="37" spans="1:10" x14ac:dyDescent="0.25">
      <c r="A37">
        <v>2016</v>
      </c>
      <c r="B37" t="s">
        <v>2</v>
      </c>
      <c r="C37" t="s">
        <v>515</v>
      </c>
      <c r="D37">
        <v>112</v>
      </c>
      <c r="E37">
        <v>70</v>
      </c>
      <c r="F37">
        <v>230</v>
      </c>
      <c r="G37" t="s">
        <v>517</v>
      </c>
      <c r="J37" t="s">
        <v>518</v>
      </c>
    </row>
    <row r="38" spans="1:10" x14ac:dyDescent="0.25">
      <c r="A38">
        <v>2016</v>
      </c>
      <c r="B38" t="s">
        <v>2</v>
      </c>
      <c r="C38" t="s">
        <v>519</v>
      </c>
      <c r="D38">
        <v>121</v>
      </c>
      <c r="E38">
        <v>75</v>
      </c>
      <c r="F38">
        <v>230</v>
      </c>
      <c r="G38" t="s">
        <v>517</v>
      </c>
      <c r="J38" t="s">
        <v>521</v>
      </c>
    </row>
    <row r="39" spans="1:10" x14ac:dyDescent="0.25">
      <c r="A39">
        <v>2016</v>
      </c>
      <c r="B39" t="s">
        <v>2</v>
      </c>
      <c r="C39" t="s">
        <v>522</v>
      </c>
      <c r="D39">
        <v>129</v>
      </c>
      <c r="E39">
        <v>80</v>
      </c>
      <c r="F39">
        <v>230</v>
      </c>
      <c r="G39" t="s">
        <v>524</v>
      </c>
      <c r="J39" t="s">
        <v>525</v>
      </c>
    </row>
    <row r="40" spans="1:10" x14ac:dyDescent="0.25">
      <c r="A40">
        <v>2016</v>
      </c>
      <c r="B40" t="s">
        <v>2</v>
      </c>
      <c r="C40" t="s">
        <v>526</v>
      </c>
      <c r="D40">
        <v>138</v>
      </c>
      <c r="E40">
        <v>85</v>
      </c>
      <c r="F40">
        <v>230</v>
      </c>
      <c r="G40" t="s">
        <v>524</v>
      </c>
      <c r="J40" t="s">
        <v>501</v>
      </c>
    </row>
    <row r="41" spans="1:10" x14ac:dyDescent="0.25">
      <c r="A41">
        <v>2016</v>
      </c>
      <c r="B41" t="s">
        <v>2</v>
      </c>
      <c r="C41" t="s">
        <v>528</v>
      </c>
      <c r="D41">
        <v>152</v>
      </c>
      <c r="E41">
        <v>90</v>
      </c>
      <c r="F41">
        <v>230</v>
      </c>
      <c r="G41" t="s">
        <v>524</v>
      </c>
      <c r="J41" t="s">
        <v>531</v>
      </c>
    </row>
    <row r="42" spans="1:10" x14ac:dyDescent="0.25">
      <c r="A42">
        <v>2016</v>
      </c>
      <c r="B42" t="s">
        <v>2</v>
      </c>
      <c r="C42" t="s">
        <v>532</v>
      </c>
      <c r="D42">
        <v>172</v>
      </c>
      <c r="E42">
        <v>100</v>
      </c>
      <c r="F42">
        <v>230</v>
      </c>
      <c r="G42" t="s">
        <v>524</v>
      </c>
      <c r="J42" t="s">
        <v>535</v>
      </c>
    </row>
    <row r="43" spans="1:10" x14ac:dyDescent="0.25">
      <c r="A43">
        <v>2016</v>
      </c>
      <c r="B43" t="s">
        <v>2</v>
      </c>
      <c r="C43" t="s">
        <v>274</v>
      </c>
      <c r="D43">
        <v>54</v>
      </c>
      <c r="E43">
        <v>44</v>
      </c>
      <c r="F43">
        <v>230</v>
      </c>
      <c r="G43" t="s">
        <v>510</v>
      </c>
      <c r="J43" t="s">
        <v>538</v>
      </c>
    </row>
    <row r="44" spans="1:10" x14ac:dyDescent="0.25">
      <c r="A44">
        <v>2016</v>
      </c>
      <c r="B44" t="s">
        <v>2</v>
      </c>
      <c r="C44" t="s">
        <v>539</v>
      </c>
      <c r="D44">
        <v>68</v>
      </c>
      <c r="E44">
        <v>50</v>
      </c>
      <c r="F44">
        <v>230</v>
      </c>
      <c r="G44" t="s">
        <v>510</v>
      </c>
      <c r="J44" t="s">
        <v>458</v>
      </c>
    </row>
    <row r="45" spans="1:10" x14ac:dyDescent="0.25">
      <c r="A45">
        <v>2016</v>
      </c>
      <c r="B45" t="s">
        <v>2</v>
      </c>
      <c r="C45" t="s">
        <v>276</v>
      </c>
      <c r="D45">
        <v>79</v>
      </c>
      <c r="E45">
        <v>56</v>
      </c>
      <c r="F45">
        <v>235</v>
      </c>
      <c r="G45" t="s">
        <v>510</v>
      </c>
      <c r="J45" t="s">
        <v>471</v>
      </c>
    </row>
    <row r="46" spans="1:10" x14ac:dyDescent="0.25">
      <c r="A46">
        <v>2016</v>
      </c>
      <c r="B46" t="s">
        <v>2</v>
      </c>
      <c r="C46" t="s">
        <v>543</v>
      </c>
      <c r="D46">
        <v>150</v>
      </c>
      <c r="E46">
        <v>70</v>
      </c>
      <c r="F46">
        <v>270</v>
      </c>
      <c r="G46" t="s">
        <v>546</v>
      </c>
      <c r="J46" t="s">
        <v>547</v>
      </c>
    </row>
    <row r="47" spans="1:10" x14ac:dyDescent="0.25">
      <c r="A47">
        <v>2016</v>
      </c>
      <c r="B47" t="s">
        <v>2</v>
      </c>
      <c r="C47" t="s">
        <v>280</v>
      </c>
      <c r="D47">
        <v>160</v>
      </c>
      <c r="E47">
        <v>75</v>
      </c>
      <c r="F47">
        <v>275</v>
      </c>
      <c r="G47" t="s">
        <v>546</v>
      </c>
      <c r="J47" t="s">
        <v>550</v>
      </c>
    </row>
    <row r="48" spans="1:10" x14ac:dyDescent="0.25">
      <c r="A48">
        <v>2016</v>
      </c>
      <c r="B48" t="s">
        <v>2</v>
      </c>
      <c r="C48" t="s">
        <v>282</v>
      </c>
      <c r="D48">
        <v>190</v>
      </c>
      <c r="E48">
        <v>80</v>
      </c>
      <c r="F48">
        <v>280</v>
      </c>
      <c r="G48" t="s">
        <v>546</v>
      </c>
      <c r="J48" t="s">
        <v>550</v>
      </c>
    </row>
    <row r="49" spans="1:10" x14ac:dyDescent="0.25">
      <c r="A49">
        <v>2016</v>
      </c>
      <c r="B49" t="s">
        <v>2</v>
      </c>
      <c r="C49" t="s">
        <v>283</v>
      </c>
      <c r="D49">
        <v>220</v>
      </c>
      <c r="E49">
        <v>85</v>
      </c>
      <c r="F49">
        <v>285</v>
      </c>
      <c r="G49" t="s">
        <v>546</v>
      </c>
      <c r="J49" t="s">
        <v>550</v>
      </c>
    </row>
    <row r="50" spans="1:10" x14ac:dyDescent="0.25">
      <c r="A50">
        <v>2016</v>
      </c>
      <c r="B50" t="s">
        <v>2</v>
      </c>
      <c r="C50" t="s">
        <v>554</v>
      </c>
      <c r="D50">
        <v>240</v>
      </c>
      <c r="E50">
        <v>91</v>
      </c>
      <c r="F50">
        <v>290</v>
      </c>
      <c r="G50" t="s">
        <v>546</v>
      </c>
      <c r="J50" t="s">
        <v>558</v>
      </c>
    </row>
    <row r="51" spans="1:10" x14ac:dyDescent="0.25">
      <c r="A51">
        <v>2016</v>
      </c>
      <c r="B51" t="s">
        <v>2</v>
      </c>
      <c r="C51" t="s">
        <v>559</v>
      </c>
      <c r="D51">
        <v>102</v>
      </c>
      <c r="E51">
        <v>69</v>
      </c>
      <c r="F51">
        <v>242</v>
      </c>
      <c r="G51" t="s">
        <v>546</v>
      </c>
      <c r="J51" t="s">
        <v>561</v>
      </c>
    </row>
    <row r="52" spans="1:10" x14ac:dyDescent="0.25">
      <c r="A52">
        <v>2016</v>
      </c>
      <c r="B52" t="s">
        <v>2</v>
      </c>
      <c r="C52" t="s">
        <v>562</v>
      </c>
      <c r="D52">
        <v>120</v>
      </c>
      <c r="E52">
        <v>69</v>
      </c>
      <c r="F52">
        <v>245</v>
      </c>
      <c r="G52" t="s">
        <v>546</v>
      </c>
      <c r="J52" t="s">
        <v>561</v>
      </c>
    </row>
    <row r="53" spans="1:10" x14ac:dyDescent="0.25">
      <c r="A53">
        <v>2016</v>
      </c>
      <c r="B53" t="s">
        <v>2</v>
      </c>
      <c r="C53" t="s">
        <v>564</v>
      </c>
      <c r="D53">
        <v>315</v>
      </c>
      <c r="E53">
        <v>85.1</v>
      </c>
      <c r="F53">
        <v>300</v>
      </c>
      <c r="G53" t="s">
        <v>569</v>
      </c>
      <c r="J53" t="s">
        <v>570</v>
      </c>
    </row>
    <row r="54" spans="1:10" x14ac:dyDescent="0.25">
      <c r="A54">
        <v>2016</v>
      </c>
      <c r="B54" t="s">
        <v>2</v>
      </c>
      <c r="C54" t="s">
        <v>571</v>
      </c>
      <c r="D54">
        <v>187</v>
      </c>
      <c r="E54">
        <v>73.7</v>
      </c>
      <c r="F54">
        <v>274.3</v>
      </c>
      <c r="G54" t="s">
        <v>569</v>
      </c>
      <c r="J54" t="s">
        <v>576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0786C-3453-4191-B20E-82A216C2B17F}">
  <dimension ref="A1:G69"/>
  <sheetViews>
    <sheetView zoomScale="70" zoomScaleNormal="70" workbookViewId="0">
      <selection activeCell="E1" sqref="E1:G51"/>
    </sheetView>
  </sheetViews>
  <sheetFormatPr defaultRowHeight="15" x14ac:dyDescent="0.25"/>
  <sheetData>
    <row r="1" spans="1:7" x14ac:dyDescent="0.25">
      <c r="A1" s="8" t="s">
        <v>388</v>
      </c>
      <c r="B1" s="8" t="s">
        <v>389</v>
      </c>
      <c r="C1" s="8" t="s">
        <v>390</v>
      </c>
      <c r="E1">
        <f>_xlfn.REGEXREPLACE(A1,"[^0-9.]","")+0</f>
        <v>69</v>
      </c>
      <c r="F1">
        <f t="shared" ref="F1:G1" si="0">_xlfn.REGEXREPLACE(B1,"[^0-9.]","")+0</f>
        <v>53.5</v>
      </c>
      <c r="G1">
        <f t="shared" si="0"/>
        <v>224</v>
      </c>
    </row>
    <row r="2" spans="1:7" x14ac:dyDescent="0.25">
      <c r="A2" s="8" t="s">
        <v>395</v>
      </c>
      <c r="B2" s="8" t="s">
        <v>396</v>
      </c>
      <c r="C2" s="8" t="s">
        <v>397</v>
      </c>
      <c r="E2">
        <f t="shared" ref="E2:E65" si="1">_xlfn.REGEXREPLACE(A2,"[^0-9.]","")+0</f>
        <v>75</v>
      </c>
      <c r="F2">
        <f t="shared" ref="F2:F65" si="2">_xlfn.REGEXREPLACE(B2,"[^0-9.]","")+0</f>
        <v>55.5</v>
      </c>
      <c r="G2">
        <f t="shared" ref="G2:G65" si="3">_xlfn.REGEXREPLACE(C2,"[^0-9.]","")+0</f>
        <v>225</v>
      </c>
    </row>
    <row r="3" spans="1:7" x14ac:dyDescent="0.25">
      <c r="A3" s="8" t="s">
        <v>400</v>
      </c>
      <c r="B3" s="8" t="s">
        <v>401</v>
      </c>
      <c r="C3" s="8" t="s">
        <v>402</v>
      </c>
      <c r="E3">
        <f t="shared" si="1"/>
        <v>81</v>
      </c>
      <c r="F3">
        <f t="shared" si="2"/>
        <v>57.5</v>
      </c>
      <c r="G3">
        <f t="shared" si="3"/>
        <v>226</v>
      </c>
    </row>
    <row r="4" spans="1:7" x14ac:dyDescent="0.25">
      <c r="A4" s="8" t="s">
        <v>405</v>
      </c>
      <c r="B4" s="8" t="s">
        <v>406</v>
      </c>
      <c r="C4" s="8" t="s">
        <v>407</v>
      </c>
      <c r="E4">
        <f t="shared" si="1"/>
        <v>90</v>
      </c>
      <c r="F4">
        <f t="shared" si="2"/>
        <v>59.5</v>
      </c>
      <c r="G4">
        <f t="shared" si="3"/>
        <v>227</v>
      </c>
    </row>
    <row r="5" spans="1:7" x14ac:dyDescent="0.25">
      <c r="A5" s="8" t="s">
        <v>410</v>
      </c>
      <c r="B5" s="8" t="s">
        <v>146</v>
      </c>
      <c r="C5" s="8" t="s">
        <v>147</v>
      </c>
      <c r="E5">
        <f t="shared" si="1"/>
        <v>77</v>
      </c>
      <c r="F5">
        <f t="shared" si="2"/>
        <v>55</v>
      </c>
      <c r="G5">
        <f t="shared" si="3"/>
        <v>212</v>
      </c>
    </row>
    <row r="6" spans="1:7" x14ac:dyDescent="0.25">
      <c r="A6" t="s">
        <v>413</v>
      </c>
      <c r="B6" t="s">
        <v>401</v>
      </c>
      <c r="C6" t="s">
        <v>414</v>
      </c>
      <c r="E6">
        <f t="shared" si="1"/>
        <v>88</v>
      </c>
      <c r="F6">
        <f t="shared" si="2"/>
        <v>57.5</v>
      </c>
      <c r="G6">
        <f t="shared" si="3"/>
        <v>215</v>
      </c>
    </row>
    <row r="7" spans="1:7" x14ac:dyDescent="0.25">
      <c r="A7" s="8" t="s">
        <v>416</v>
      </c>
      <c r="B7" s="8" t="s">
        <v>417</v>
      </c>
      <c r="C7" s="8" t="s">
        <v>418</v>
      </c>
      <c r="E7">
        <f t="shared" si="1"/>
        <v>74</v>
      </c>
      <c r="F7">
        <f t="shared" si="2"/>
        <v>56</v>
      </c>
      <c r="G7">
        <f t="shared" si="3"/>
        <v>222</v>
      </c>
    </row>
    <row r="8" spans="1:7" x14ac:dyDescent="0.25">
      <c r="A8" s="8" t="s">
        <v>104</v>
      </c>
      <c r="B8" s="8" t="s">
        <v>421</v>
      </c>
      <c r="C8" s="8" t="s">
        <v>390</v>
      </c>
      <c r="E8">
        <f t="shared" si="1"/>
        <v>82</v>
      </c>
      <c r="F8">
        <f t="shared" si="2"/>
        <v>58</v>
      </c>
      <c r="G8">
        <f t="shared" si="3"/>
        <v>224</v>
      </c>
    </row>
    <row r="9" spans="1:7" x14ac:dyDescent="0.25">
      <c r="A9" s="8" t="s">
        <v>44</v>
      </c>
      <c r="B9" s="8" t="s">
        <v>406</v>
      </c>
      <c r="C9" s="8" t="s">
        <v>407</v>
      </c>
      <c r="E9">
        <f t="shared" si="1"/>
        <v>89</v>
      </c>
      <c r="F9">
        <f t="shared" si="2"/>
        <v>59.5</v>
      </c>
      <c r="G9">
        <f t="shared" si="3"/>
        <v>227</v>
      </c>
    </row>
    <row r="10" spans="1:7" x14ac:dyDescent="0.25">
      <c r="A10" t="s">
        <v>78</v>
      </c>
      <c r="B10" t="s">
        <v>425</v>
      </c>
      <c r="C10" t="s">
        <v>426</v>
      </c>
      <c r="E10">
        <f t="shared" si="1"/>
        <v>99</v>
      </c>
      <c r="F10">
        <f t="shared" si="2"/>
        <v>62</v>
      </c>
      <c r="G10">
        <f t="shared" si="3"/>
        <v>229</v>
      </c>
    </row>
    <row r="11" spans="1:7" x14ac:dyDescent="0.25">
      <c r="A11" s="8" t="s">
        <v>145</v>
      </c>
      <c r="B11" s="8" t="s">
        <v>417</v>
      </c>
      <c r="C11" s="8" t="s">
        <v>429</v>
      </c>
      <c r="E11">
        <f t="shared" si="1"/>
        <v>76</v>
      </c>
      <c r="F11">
        <f t="shared" si="2"/>
        <v>56</v>
      </c>
      <c r="G11">
        <f t="shared" si="3"/>
        <v>232</v>
      </c>
    </row>
    <row r="12" spans="1:7" x14ac:dyDescent="0.25">
      <c r="A12" s="8" t="s">
        <v>433</v>
      </c>
      <c r="B12" s="8" t="s">
        <v>434</v>
      </c>
      <c r="C12" s="8" t="s">
        <v>435</v>
      </c>
      <c r="E12">
        <f t="shared" si="1"/>
        <v>86</v>
      </c>
      <c r="F12">
        <f t="shared" si="2"/>
        <v>58.5</v>
      </c>
      <c r="G12">
        <f t="shared" si="3"/>
        <v>233</v>
      </c>
    </row>
    <row r="13" spans="1:7" x14ac:dyDescent="0.25">
      <c r="A13" s="8" t="s">
        <v>438</v>
      </c>
      <c r="B13" s="8" t="s">
        <v>439</v>
      </c>
      <c r="C13" s="8" t="s">
        <v>440</v>
      </c>
      <c r="E13">
        <f t="shared" si="1"/>
        <v>96</v>
      </c>
      <c r="F13">
        <f t="shared" si="2"/>
        <v>61</v>
      </c>
      <c r="G13">
        <f t="shared" si="3"/>
        <v>234</v>
      </c>
    </row>
    <row r="14" spans="1:7" x14ac:dyDescent="0.25">
      <c r="A14" t="s">
        <v>85</v>
      </c>
      <c r="B14" t="s">
        <v>442</v>
      </c>
      <c r="C14" t="s">
        <v>443</v>
      </c>
      <c r="E14">
        <f t="shared" si="1"/>
        <v>106</v>
      </c>
      <c r="F14">
        <f t="shared" si="2"/>
        <v>63.5</v>
      </c>
      <c r="G14">
        <f t="shared" si="3"/>
        <v>235</v>
      </c>
    </row>
    <row r="15" spans="1:7" x14ac:dyDescent="0.25">
      <c r="A15" s="8" t="s">
        <v>82</v>
      </c>
      <c r="B15" s="8" t="s">
        <v>446</v>
      </c>
      <c r="C15" s="8" t="s">
        <v>447</v>
      </c>
      <c r="E15">
        <f t="shared" si="1"/>
        <v>116</v>
      </c>
      <c r="F15">
        <f t="shared" si="2"/>
        <v>66</v>
      </c>
      <c r="G15">
        <f t="shared" si="3"/>
        <v>236</v>
      </c>
    </row>
    <row r="16" spans="1:7" x14ac:dyDescent="0.25">
      <c r="A16" s="8" t="s">
        <v>433</v>
      </c>
      <c r="B16" s="8" t="s">
        <v>450</v>
      </c>
      <c r="C16" s="8" t="s">
        <v>451</v>
      </c>
      <c r="E16">
        <f t="shared" si="1"/>
        <v>86</v>
      </c>
      <c r="F16">
        <f t="shared" si="2"/>
        <v>60</v>
      </c>
      <c r="G16">
        <f t="shared" si="3"/>
        <v>228</v>
      </c>
    </row>
    <row r="17" spans="1:7" x14ac:dyDescent="0.25">
      <c r="A17" s="8" t="s">
        <v>454</v>
      </c>
      <c r="B17" s="8" t="s">
        <v>425</v>
      </c>
      <c r="C17" s="8" t="s">
        <v>451</v>
      </c>
      <c r="E17">
        <f t="shared" si="1"/>
        <v>94</v>
      </c>
      <c r="F17">
        <f t="shared" si="2"/>
        <v>62</v>
      </c>
      <c r="G17">
        <f t="shared" si="3"/>
        <v>228</v>
      </c>
    </row>
    <row r="18" spans="1:7" x14ac:dyDescent="0.25">
      <c r="A18" t="s">
        <v>20</v>
      </c>
      <c r="B18" t="s">
        <v>457</v>
      </c>
      <c r="C18" t="s">
        <v>451</v>
      </c>
      <c r="E18">
        <f t="shared" si="1"/>
        <v>100</v>
      </c>
      <c r="F18">
        <f t="shared" si="2"/>
        <v>64</v>
      </c>
      <c r="G18">
        <f t="shared" si="3"/>
        <v>228</v>
      </c>
    </row>
    <row r="19" spans="1:7" x14ac:dyDescent="0.25">
      <c r="A19" s="8" t="s">
        <v>460</v>
      </c>
      <c r="B19" s="8" t="s">
        <v>461</v>
      </c>
      <c r="C19" s="8" t="s">
        <v>402</v>
      </c>
      <c r="E19">
        <f t="shared" si="1"/>
        <v>108</v>
      </c>
      <c r="F19">
        <f t="shared" si="2"/>
        <v>66.5</v>
      </c>
      <c r="G19">
        <f t="shared" si="3"/>
        <v>226</v>
      </c>
    </row>
    <row r="20" spans="1:7" x14ac:dyDescent="0.25">
      <c r="A20" s="8" t="s">
        <v>20</v>
      </c>
      <c r="B20" s="8" t="s">
        <v>442</v>
      </c>
      <c r="C20" s="8" t="s">
        <v>443</v>
      </c>
      <c r="E20">
        <f t="shared" si="1"/>
        <v>100</v>
      </c>
      <c r="F20">
        <f t="shared" si="2"/>
        <v>63.5</v>
      </c>
      <c r="G20">
        <f t="shared" si="3"/>
        <v>235</v>
      </c>
    </row>
    <row r="21" spans="1:7" x14ac:dyDescent="0.25">
      <c r="A21" s="8" t="s">
        <v>466</v>
      </c>
      <c r="B21" s="8" t="s">
        <v>461</v>
      </c>
      <c r="C21" s="8" t="s">
        <v>467</v>
      </c>
      <c r="E21">
        <f t="shared" si="1"/>
        <v>110</v>
      </c>
      <c r="F21">
        <f t="shared" si="2"/>
        <v>66.5</v>
      </c>
      <c r="G21">
        <f t="shared" si="3"/>
        <v>237</v>
      </c>
    </row>
    <row r="22" spans="1:7" x14ac:dyDescent="0.25">
      <c r="A22" t="s">
        <v>78</v>
      </c>
      <c r="B22" t="s">
        <v>425</v>
      </c>
      <c r="C22" t="s">
        <v>469</v>
      </c>
      <c r="E22">
        <f t="shared" si="1"/>
        <v>99</v>
      </c>
      <c r="F22">
        <f t="shared" si="2"/>
        <v>62</v>
      </c>
      <c r="G22">
        <f t="shared" si="3"/>
        <v>239</v>
      </c>
    </row>
    <row r="23" spans="1:7" x14ac:dyDescent="0.25">
      <c r="A23" s="8" t="s">
        <v>473</v>
      </c>
      <c r="B23" s="8" t="s">
        <v>446</v>
      </c>
      <c r="C23" s="8" t="s">
        <v>474</v>
      </c>
      <c r="E23">
        <f t="shared" si="1"/>
        <v>113</v>
      </c>
      <c r="F23">
        <f t="shared" si="2"/>
        <v>66</v>
      </c>
      <c r="G23">
        <f t="shared" si="3"/>
        <v>241</v>
      </c>
    </row>
    <row r="24" spans="1:7" x14ac:dyDescent="0.25">
      <c r="A24" s="8" t="s">
        <v>477</v>
      </c>
      <c r="B24" s="8" t="s">
        <v>478</v>
      </c>
      <c r="C24" s="8" t="s">
        <v>479</v>
      </c>
      <c r="E24">
        <f t="shared" si="1"/>
        <v>124</v>
      </c>
      <c r="F24">
        <f t="shared" si="2"/>
        <v>70</v>
      </c>
      <c r="G24">
        <f t="shared" si="3"/>
        <v>242</v>
      </c>
    </row>
    <row r="25" spans="1:7" x14ac:dyDescent="0.25">
      <c r="A25" s="8" t="s">
        <v>74</v>
      </c>
      <c r="B25" s="8" t="s">
        <v>482</v>
      </c>
      <c r="C25" s="8" t="s">
        <v>469</v>
      </c>
      <c r="E25">
        <f t="shared" si="1"/>
        <v>98</v>
      </c>
      <c r="F25">
        <f t="shared" si="2"/>
        <v>63</v>
      </c>
      <c r="G25">
        <f t="shared" si="3"/>
        <v>239</v>
      </c>
    </row>
    <row r="26" spans="1:7" x14ac:dyDescent="0.25">
      <c r="A26" t="s">
        <v>485</v>
      </c>
      <c r="B26" t="s">
        <v>486</v>
      </c>
      <c r="C26" t="s">
        <v>469</v>
      </c>
      <c r="E26">
        <f t="shared" si="1"/>
        <v>105</v>
      </c>
      <c r="F26">
        <f t="shared" si="2"/>
        <v>69</v>
      </c>
      <c r="G26">
        <f t="shared" si="3"/>
        <v>239</v>
      </c>
    </row>
    <row r="27" spans="1:7" x14ac:dyDescent="0.25">
      <c r="A27" t="s">
        <v>488</v>
      </c>
      <c r="B27" t="s">
        <v>489</v>
      </c>
      <c r="C27" t="s">
        <v>469</v>
      </c>
      <c r="E27">
        <f t="shared" si="1"/>
        <v>112</v>
      </c>
      <c r="F27">
        <f t="shared" si="2"/>
        <v>73</v>
      </c>
      <c r="G27">
        <f t="shared" si="3"/>
        <v>239</v>
      </c>
    </row>
    <row r="28" spans="1:7" x14ac:dyDescent="0.25">
      <c r="A28" t="s">
        <v>96</v>
      </c>
      <c r="B28" t="s">
        <v>491</v>
      </c>
      <c r="C28" t="s">
        <v>479</v>
      </c>
      <c r="E28">
        <f t="shared" si="1"/>
        <v>120</v>
      </c>
      <c r="F28">
        <f t="shared" si="2"/>
        <v>76</v>
      </c>
      <c r="G28">
        <f t="shared" si="3"/>
        <v>242</v>
      </c>
    </row>
    <row r="29" spans="1:7" x14ac:dyDescent="0.25">
      <c r="A29" t="s">
        <v>92</v>
      </c>
      <c r="B29" t="s">
        <v>494</v>
      </c>
      <c r="C29" t="s">
        <v>495</v>
      </c>
      <c r="E29">
        <f t="shared" si="1"/>
        <v>133</v>
      </c>
      <c r="F29">
        <f t="shared" si="2"/>
        <v>78</v>
      </c>
      <c r="G29">
        <f t="shared" si="3"/>
        <v>246</v>
      </c>
    </row>
    <row r="30" spans="1:7" x14ac:dyDescent="0.25">
      <c r="A30" t="s">
        <v>498</v>
      </c>
      <c r="B30" t="s">
        <v>499</v>
      </c>
      <c r="C30" t="s">
        <v>500</v>
      </c>
      <c r="E30">
        <f t="shared" si="1"/>
        <v>146</v>
      </c>
      <c r="F30">
        <f t="shared" si="2"/>
        <v>83</v>
      </c>
      <c r="G30">
        <f t="shared" si="3"/>
        <v>250</v>
      </c>
    </row>
    <row r="31" spans="1:7" x14ac:dyDescent="0.25">
      <c r="A31" t="s">
        <v>503</v>
      </c>
      <c r="B31" t="s">
        <v>504</v>
      </c>
      <c r="C31" t="s">
        <v>505</v>
      </c>
      <c r="E31">
        <f t="shared" si="1"/>
        <v>156</v>
      </c>
      <c r="F31">
        <f t="shared" si="2"/>
        <v>85</v>
      </c>
      <c r="G31">
        <f t="shared" si="3"/>
        <v>252</v>
      </c>
    </row>
    <row r="32" spans="1:7" x14ac:dyDescent="0.25">
      <c r="A32" t="s">
        <v>405</v>
      </c>
      <c r="B32" t="s">
        <v>509</v>
      </c>
      <c r="C32" t="s">
        <v>443</v>
      </c>
      <c r="E32">
        <f t="shared" si="1"/>
        <v>90</v>
      </c>
      <c r="F32">
        <f t="shared" si="2"/>
        <v>59</v>
      </c>
      <c r="G32">
        <f t="shared" si="3"/>
        <v>235</v>
      </c>
    </row>
    <row r="33" spans="1:7" x14ac:dyDescent="0.25">
      <c r="A33" t="s">
        <v>78</v>
      </c>
      <c r="B33" t="s">
        <v>482</v>
      </c>
      <c r="C33" t="s">
        <v>443</v>
      </c>
      <c r="E33">
        <f t="shared" si="1"/>
        <v>99</v>
      </c>
      <c r="F33">
        <f t="shared" si="2"/>
        <v>63</v>
      </c>
      <c r="G33">
        <f t="shared" si="3"/>
        <v>235</v>
      </c>
    </row>
    <row r="34" spans="1:7" x14ac:dyDescent="0.25">
      <c r="A34" t="s">
        <v>488</v>
      </c>
      <c r="B34" t="s">
        <v>478</v>
      </c>
      <c r="C34" t="s">
        <v>516</v>
      </c>
      <c r="E34">
        <f t="shared" si="1"/>
        <v>112</v>
      </c>
      <c r="F34">
        <f t="shared" si="2"/>
        <v>70</v>
      </c>
      <c r="G34">
        <f t="shared" si="3"/>
        <v>230</v>
      </c>
    </row>
    <row r="35" spans="1:7" x14ac:dyDescent="0.25">
      <c r="A35" t="s">
        <v>66</v>
      </c>
      <c r="B35" t="s">
        <v>520</v>
      </c>
      <c r="C35" t="s">
        <v>516</v>
      </c>
      <c r="E35">
        <f t="shared" si="1"/>
        <v>121</v>
      </c>
      <c r="F35">
        <f t="shared" si="2"/>
        <v>75</v>
      </c>
      <c r="G35">
        <f t="shared" si="3"/>
        <v>230</v>
      </c>
    </row>
    <row r="36" spans="1:7" x14ac:dyDescent="0.25">
      <c r="A36" t="s">
        <v>40</v>
      </c>
      <c r="B36" t="s">
        <v>523</v>
      </c>
      <c r="C36" t="s">
        <v>516</v>
      </c>
      <c r="E36">
        <f t="shared" si="1"/>
        <v>129</v>
      </c>
      <c r="F36">
        <f t="shared" si="2"/>
        <v>80</v>
      </c>
      <c r="G36">
        <f t="shared" si="3"/>
        <v>230</v>
      </c>
    </row>
    <row r="37" spans="1:7" x14ac:dyDescent="0.25">
      <c r="A37" t="s">
        <v>527</v>
      </c>
      <c r="B37" t="s">
        <v>504</v>
      </c>
      <c r="C37" t="s">
        <v>516</v>
      </c>
      <c r="E37">
        <f t="shared" si="1"/>
        <v>138</v>
      </c>
      <c r="F37">
        <f t="shared" si="2"/>
        <v>85</v>
      </c>
      <c r="G37">
        <f t="shared" si="3"/>
        <v>230</v>
      </c>
    </row>
    <row r="38" spans="1:7" x14ac:dyDescent="0.25">
      <c r="A38" t="s">
        <v>529</v>
      </c>
      <c r="B38" t="s">
        <v>530</v>
      </c>
      <c r="C38" t="s">
        <v>516</v>
      </c>
      <c r="E38">
        <f t="shared" si="1"/>
        <v>152</v>
      </c>
      <c r="F38">
        <f t="shared" si="2"/>
        <v>90</v>
      </c>
      <c r="G38">
        <f t="shared" si="3"/>
        <v>230</v>
      </c>
    </row>
    <row r="39" spans="1:7" x14ac:dyDescent="0.25">
      <c r="A39" t="s">
        <v>533</v>
      </c>
      <c r="B39" t="s">
        <v>534</v>
      </c>
      <c r="C39" t="s">
        <v>516</v>
      </c>
      <c r="E39">
        <f t="shared" si="1"/>
        <v>172</v>
      </c>
      <c r="F39">
        <f t="shared" si="2"/>
        <v>100</v>
      </c>
      <c r="G39">
        <f t="shared" si="3"/>
        <v>230</v>
      </c>
    </row>
    <row r="40" spans="1:7" x14ac:dyDescent="0.25">
      <c r="A40" t="s">
        <v>536</v>
      </c>
      <c r="B40" t="s">
        <v>537</v>
      </c>
      <c r="C40" t="s">
        <v>516</v>
      </c>
      <c r="E40">
        <f t="shared" si="1"/>
        <v>54</v>
      </c>
      <c r="F40">
        <f t="shared" si="2"/>
        <v>44</v>
      </c>
      <c r="G40">
        <f t="shared" si="3"/>
        <v>230</v>
      </c>
    </row>
    <row r="41" spans="1:7" x14ac:dyDescent="0.25">
      <c r="A41" t="s">
        <v>540</v>
      </c>
      <c r="B41" t="s">
        <v>541</v>
      </c>
      <c r="C41" t="s">
        <v>516</v>
      </c>
      <c r="E41">
        <f t="shared" si="1"/>
        <v>68</v>
      </c>
      <c r="F41">
        <f t="shared" si="2"/>
        <v>50</v>
      </c>
      <c r="G41">
        <f t="shared" si="3"/>
        <v>230</v>
      </c>
    </row>
    <row r="42" spans="1:7" x14ac:dyDescent="0.25">
      <c r="A42" t="s">
        <v>542</v>
      </c>
      <c r="B42" t="s">
        <v>417</v>
      </c>
      <c r="C42" t="s">
        <v>443</v>
      </c>
      <c r="E42">
        <f t="shared" si="1"/>
        <v>79</v>
      </c>
      <c r="F42">
        <f t="shared" si="2"/>
        <v>56</v>
      </c>
      <c r="G42">
        <f t="shared" si="3"/>
        <v>235</v>
      </c>
    </row>
    <row r="43" spans="1:7" x14ac:dyDescent="0.25">
      <c r="A43" t="s">
        <v>544</v>
      </c>
      <c r="B43" t="s">
        <v>478</v>
      </c>
      <c r="C43" t="s">
        <v>545</v>
      </c>
      <c r="E43">
        <f t="shared" si="1"/>
        <v>150</v>
      </c>
      <c r="F43">
        <f t="shared" si="2"/>
        <v>70</v>
      </c>
      <c r="G43">
        <f t="shared" si="3"/>
        <v>270</v>
      </c>
    </row>
    <row r="44" spans="1:7" x14ac:dyDescent="0.25">
      <c r="A44" t="s">
        <v>548</v>
      </c>
      <c r="B44" t="s">
        <v>520</v>
      </c>
      <c r="C44" t="s">
        <v>549</v>
      </c>
      <c r="E44">
        <f t="shared" si="1"/>
        <v>160</v>
      </c>
      <c r="F44">
        <f t="shared" si="2"/>
        <v>75</v>
      </c>
      <c r="G44">
        <f t="shared" si="3"/>
        <v>275</v>
      </c>
    </row>
    <row r="45" spans="1:7" x14ac:dyDescent="0.25">
      <c r="A45" t="s">
        <v>551</v>
      </c>
      <c r="B45" t="s">
        <v>523</v>
      </c>
      <c r="C45" t="s">
        <v>552</v>
      </c>
      <c r="E45">
        <f t="shared" si="1"/>
        <v>190</v>
      </c>
      <c r="F45">
        <f t="shared" si="2"/>
        <v>80</v>
      </c>
      <c r="G45">
        <f t="shared" si="3"/>
        <v>280</v>
      </c>
    </row>
    <row r="46" spans="1:7" x14ac:dyDescent="0.25">
      <c r="A46" t="s">
        <v>130</v>
      </c>
      <c r="B46" t="s">
        <v>504</v>
      </c>
      <c r="C46" t="s">
        <v>553</v>
      </c>
      <c r="E46">
        <f t="shared" si="1"/>
        <v>220</v>
      </c>
      <c r="F46">
        <f t="shared" si="2"/>
        <v>85</v>
      </c>
      <c r="G46">
        <f t="shared" si="3"/>
        <v>285</v>
      </c>
    </row>
    <row r="47" spans="1:7" x14ac:dyDescent="0.25">
      <c r="A47" t="s">
        <v>555</v>
      </c>
      <c r="B47" t="s">
        <v>556</v>
      </c>
      <c r="C47" t="s">
        <v>557</v>
      </c>
      <c r="E47">
        <f t="shared" si="1"/>
        <v>240</v>
      </c>
      <c r="F47">
        <f t="shared" si="2"/>
        <v>91</v>
      </c>
      <c r="G47">
        <f t="shared" si="3"/>
        <v>290</v>
      </c>
    </row>
    <row r="48" spans="1:7" x14ac:dyDescent="0.25">
      <c r="A48" t="s">
        <v>560</v>
      </c>
      <c r="B48" t="s">
        <v>486</v>
      </c>
      <c r="C48" t="s">
        <v>479</v>
      </c>
      <c r="E48">
        <f t="shared" si="1"/>
        <v>102</v>
      </c>
      <c r="F48">
        <f t="shared" si="2"/>
        <v>69</v>
      </c>
      <c r="G48">
        <f t="shared" si="3"/>
        <v>242</v>
      </c>
    </row>
    <row r="49" spans="1:7" x14ac:dyDescent="0.25">
      <c r="A49" t="s">
        <v>96</v>
      </c>
      <c r="B49" t="s">
        <v>486</v>
      </c>
      <c r="C49" t="s">
        <v>563</v>
      </c>
      <c r="E49">
        <f t="shared" si="1"/>
        <v>120</v>
      </c>
      <c r="F49">
        <f t="shared" si="2"/>
        <v>69</v>
      </c>
      <c r="G49">
        <f t="shared" si="3"/>
        <v>245</v>
      </c>
    </row>
    <row r="50" spans="1:7" x14ac:dyDescent="0.25">
      <c r="A50" t="s">
        <v>565</v>
      </c>
      <c r="B50" t="s">
        <v>577</v>
      </c>
      <c r="C50">
        <v>300</v>
      </c>
      <c r="E50">
        <f t="shared" si="1"/>
        <v>315</v>
      </c>
      <c r="F50">
        <f t="shared" si="2"/>
        <v>85.1</v>
      </c>
      <c r="G50">
        <f t="shared" si="3"/>
        <v>300</v>
      </c>
    </row>
    <row r="51" spans="1:7" x14ac:dyDescent="0.25">
      <c r="A51" t="s">
        <v>572</v>
      </c>
      <c r="B51" t="s">
        <v>578</v>
      </c>
      <c r="C51" t="s">
        <v>579</v>
      </c>
      <c r="E51">
        <f t="shared" si="1"/>
        <v>187</v>
      </c>
      <c r="F51">
        <f t="shared" si="2"/>
        <v>73.7</v>
      </c>
      <c r="G51">
        <f t="shared" si="3"/>
        <v>274.3</v>
      </c>
    </row>
    <row r="52" spans="1:7" x14ac:dyDescent="0.25">
      <c r="E52" t="e">
        <f t="shared" si="1"/>
        <v>#VALUE!</v>
      </c>
      <c r="F52" t="e">
        <f t="shared" si="2"/>
        <v>#VALUE!</v>
      </c>
      <c r="G52" t="e">
        <f t="shared" si="3"/>
        <v>#VALUE!</v>
      </c>
    </row>
    <row r="53" spans="1:7" x14ac:dyDescent="0.25">
      <c r="E53" t="e">
        <f t="shared" si="1"/>
        <v>#VALUE!</v>
      </c>
      <c r="F53" t="e">
        <f t="shared" si="2"/>
        <v>#VALUE!</v>
      </c>
      <c r="G53" t="e">
        <f t="shared" si="3"/>
        <v>#VALUE!</v>
      </c>
    </row>
    <row r="54" spans="1:7" x14ac:dyDescent="0.25">
      <c r="E54" t="e">
        <f t="shared" si="1"/>
        <v>#VALUE!</v>
      </c>
      <c r="F54" t="e">
        <f t="shared" si="2"/>
        <v>#VALUE!</v>
      </c>
      <c r="G54" t="e">
        <f t="shared" si="3"/>
        <v>#VALUE!</v>
      </c>
    </row>
    <row r="55" spans="1:7" x14ac:dyDescent="0.25">
      <c r="E55" t="e">
        <f t="shared" si="1"/>
        <v>#VALUE!</v>
      </c>
      <c r="F55" t="e">
        <f t="shared" si="2"/>
        <v>#VALUE!</v>
      </c>
      <c r="G55" t="e">
        <f t="shared" si="3"/>
        <v>#VALUE!</v>
      </c>
    </row>
    <row r="56" spans="1:7" x14ac:dyDescent="0.25">
      <c r="E56" t="e">
        <f t="shared" si="1"/>
        <v>#VALUE!</v>
      </c>
      <c r="F56" t="e">
        <f t="shared" si="2"/>
        <v>#VALUE!</v>
      </c>
      <c r="G56" t="e">
        <f t="shared" si="3"/>
        <v>#VALUE!</v>
      </c>
    </row>
    <row r="57" spans="1:7" x14ac:dyDescent="0.25">
      <c r="E57" t="e">
        <f t="shared" si="1"/>
        <v>#VALUE!</v>
      </c>
      <c r="F57" t="e">
        <f t="shared" si="2"/>
        <v>#VALUE!</v>
      </c>
      <c r="G57" t="e">
        <f t="shared" si="3"/>
        <v>#VALUE!</v>
      </c>
    </row>
    <row r="58" spans="1:7" x14ac:dyDescent="0.25">
      <c r="E58" t="e">
        <f t="shared" si="1"/>
        <v>#VALUE!</v>
      </c>
      <c r="F58" t="e">
        <f t="shared" si="2"/>
        <v>#VALUE!</v>
      </c>
      <c r="G58" t="e">
        <f t="shared" si="3"/>
        <v>#VALUE!</v>
      </c>
    </row>
    <row r="59" spans="1:7" x14ac:dyDescent="0.25">
      <c r="E59" t="e">
        <f t="shared" si="1"/>
        <v>#VALUE!</v>
      </c>
      <c r="F59" t="e">
        <f t="shared" si="2"/>
        <v>#VALUE!</v>
      </c>
      <c r="G59" t="e">
        <f t="shared" si="3"/>
        <v>#VALUE!</v>
      </c>
    </row>
    <row r="60" spans="1:7" x14ac:dyDescent="0.25">
      <c r="E60" t="e">
        <f t="shared" si="1"/>
        <v>#VALUE!</v>
      </c>
      <c r="F60" t="e">
        <f t="shared" si="2"/>
        <v>#VALUE!</v>
      </c>
      <c r="G60" t="e">
        <f t="shared" si="3"/>
        <v>#VALUE!</v>
      </c>
    </row>
    <row r="61" spans="1:7" x14ac:dyDescent="0.25">
      <c r="E61" t="e">
        <f t="shared" si="1"/>
        <v>#VALUE!</v>
      </c>
      <c r="F61" t="e">
        <f t="shared" si="2"/>
        <v>#VALUE!</v>
      </c>
      <c r="G61" t="e">
        <f t="shared" si="3"/>
        <v>#VALUE!</v>
      </c>
    </row>
    <row r="62" spans="1:7" x14ac:dyDescent="0.25">
      <c r="E62" t="e">
        <f t="shared" si="1"/>
        <v>#VALUE!</v>
      </c>
      <c r="F62" t="e">
        <f t="shared" si="2"/>
        <v>#VALUE!</v>
      </c>
      <c r="G62" t="e">
        <f t="shared" si="3"/>
        <v>#VALUE!</v>
      </c>
    </row>
    <row r="63" spans="1:7" x14ac:dyDescent="0.25">
      <c r="E63" t="e">
        <f t="shared" si="1"/>
        <v>#VALUE!</v>
      </c>
      <c r="F63" t="e">
        <f t="shared" si="2"/>
        <v>#VALUE!</v>
      </c>
      <c r="G63" t="e">
        <f t="shared" si="3"/>
        <v>#VALUE!</v>
      </c>
    </row>
    <row r="64" spans="1:7" x14ac:dyDescent="0.25">
      <c r="E64" t="e">
        <f t="shared" si="1"/>
        <v>#VALUE!</v>
      </c>
      <c r="F64" t="e">
        <f t="shared" si="2"/>
        <v>#VALUE!</v>
      </c>
      <c r="G64" t="e">
        <f t="shared" si="3"/>
        <v>#VALUE!</v>
      </c>
    </row>
    <row r="65" spans="5:7" x14ac:dyDescent="0.25">
      <c r="E65" t="e">
        <f t="shared" si="1"/>
        <v>#VALUE!</v>
      </c>
      <c r="F65" t="e">
        <f t="shared" si="2"/>
        <v>#VALUE!</v>
      </c>
      <c r="G65" t="e">
        <f t="shared" si="3"/>
        <v>#VALUE!</v>
      </c>
    </row>
    <row r="66" spans="5:7" x14ac:dyDescent="0.25">
      <c r="E66" t="e">
        <f t="shared" ref="E66:E69" si="4">_xlfn.REGEXREPLACE(A66,"[^0-9.]","")+0</f>
        <v>#VALUE!</v>
      </c>
      <c r="F66" t="e">
        <f t="shared" ref="F66:F69" si="5">_xlfn.REGEXREPLACE(B66,"[^0-9.]","")+0</f>
        <v>#VALUE!</v>
      </c>
      <c r="G66" t="e">
        <f t="shared" ref="G66:G69" si="6">_xlfn.REGEXREPLACE(C66,"[^0-9.]","")+0</f>
        <v>#VALUE!</v>
      </c>
    </row>
    <row r="67" spans="5:7" x14ac:dyDescent="0.25">
      <c r="E67" t="e">
        <f t="shared" si="4"/>
        <v>#VALUE!</v>
      </c>
      <c r="F67" t="e">
        <f t="shared" si="5"/>
        <v>#VALUE!</v>
      </c>
      <c r="G67" t="e">
        <f t="shared" si="6"/>
        <v>#VALUE!</v>
      </c>
    </row>
    <row r="68" spans="5:7" x14ac:dyDescent="0.25">
      <c r="E68" t="e">
        <f t="shared" si="4"/>
        <v>#VALUE!</v>
      </c>
      <c r="F68" t="e">
        <f t="shared" si="5"/>
        <v>#VALUE!</v>
      </c>
      <c r="G68" t="e">
        <f t="shared" si="6"/>
        <v>#VALUE!</v>
      </c>
    </row>
    <row r="69" spans="5:7" x14ac:dyDescent="0.25">
      <c r="E69" t="e">
        <f t="shared" si="4"/>
        <v>#VALUE!</v>
      </c>
      <c r="F69" t="e">
        <f t="shared" si="5"/>
        <v>#VALUE!</v>
      </c>
      <c r="G69" t="e">
        <f t="shared" si="6"/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64FC-DB93-4793-A688-ABC539A0EEEC}">
  <dimension ref="A1:G52"/>
  <sheetViews>
    <sheetView workbookViewId="0">
      <selection activeCell="G52" sqref="A1:G52"/>
    </sheetView>
  </sheetViews>
  <sheetFormatPr defaultRowHeight="15" x14ac:dyDescent="0.25"/>
  <cols>
    <col min="1" max="1" width="59.140625" bestFit="1" customWidth="1"/>
    <col min="2" max="2" width="11.140625" bestFit="1" customWidth="1"/>
    <col min="3" max="3" width="12.85546875" bestFit="1" customWidth="1"/>
    <col min="4" max="4" width="14.85546875" bestFit="1" customWidth="1"/>
    <col min="5" max="5" width="12.85546875" bestFit="1" customWidth="1"/>
    <col min="6" max="6" width="35.42578125" bestFit="1" customWidth="1"/>
    <col min="7" max="7" width="16.42578125" bestFit="1" customWidth="1"/>
  </cols>
  <sheetData>
    <row r="1" spans="1:7" x14ac:dyDescent="0.25">
      <c r="A1" t="s">
        <v>384</v>
      </c>
      <c r="B1" t="s">
        <v>137</v>
      </c>
      <c r="C1" t="s">
        <v>138</v>
      </c>
      <c r="D1" t="s">
        <v>139</v>
      </c>
      <c r="E1" t="s">
        <v>385</v>
      </c>
      <c r="F1" t="s">
        <v>386</v>
      </c>
      <c r="G1" t="s">
        <v>143</v>
      </c>
    </row>
    <row r="2" spans="1:7" x14ac:dyDescent="0.25">
      <c r="A2" s="18" t="s">
        <v>387</v>
      </c>
      <c r="B2" s="18" t="s">
        <v>388</v>
      </c>
      <c r="C2" s="18" t="s">
        <v>389</v>
      </c>
      <c r="D2" s="18" t="s">
        <v>390</v>
      </c>
      <c r="E2" s="18" t="s">
        <v>391</v>
      </c>
      <c r="F2" s="18" t="s">
        <v>392</v>
      </c>
      <c r="G2" s="18" t="s">
        <v>393</v>
      </c>
    </row>
    <row r="3" spans="1:7" x14ac:dyDescent="0.25">
      <c r="A3" s="18" t="s">
        <v>394</v>
      </c>
      <c r="B3" s="18" t="s">
        <v>395</v>
      </c>
      <c r="C3" s="18" t="s">
        <v>396</v>
      </c>
      <c r="D3" s="18" t="s">
        <v>397</v>
      </c>
      <c r="E3" s="18" t="s">
        <v>391</v>
      </c>
      <c r="F3" s="18" t="s">
        <v>392</v>
      </c>
      <c r="G3" s="18" t="s">
        <v>398</v>
      </c>
    </row>
    <row r="4" spans="1:7" x14ac:dyDescent="0.25">
      <c r="A4" s="18" t="s">
        <v>399</v>
      </c>
      <c r="B4" s="18" t="s">
        <v>400</v>
      </c>
      <c r="C4" s="18" t="s">
        <v>401</v>
      </c>
      <c r="D4" s="18" t="s">
        <v>402</v>
      </c>
      <c r="E4" s="18" t="s">
        <v>391</v>
      </c>
      <c r="F4" s="18" t="s">
        <v>392</v>
      </c>
      <c r="G4" s="18" t="s">
        <v>403</v>
      </c>
    </row>
    <row r="5" spans="1:7" x14ac:dyDescent="0.25">
      <c r="A5" s="18" t="s">
        <v>404</v>
      </c>
      <c r="B5" s="18" t="s">
        <v>405</v>
      </c>
      <c r="C5" s="18" t="s">
        <v>406</v>
      </c>
      <c r="D5" s="18" t="s">
        <v>407</v>
      </c>
      <c r="E5" s="18" t="s">
        <v>391</v>
      </c>
      <c r="F5" s="18" t="s">
        <v>392</v>
      </c>
      <c r="G5" s="18" t="s">
        <v>408</v>
      </c>
    </row>
    <row r="6" spans="1:7" x14ac:dyDescent="0.25">
      <c r="A6" s="18" t="s">
        <v>409</v>
      </c>
      <c r="B6" s="18" t="s">
        <v>410</v>
      </c>
      <c r="C6" s="18" t="s">
        <v>146</v>
      </c>
      <c r="D6" s="18" t="s">
        <v>147</v>
      </c>
      <c r="E6" s="18" t="s">
        <v>391</v>
      </c>
      <c r="F6" s="18" t="s">
        <v>392</v>
      </c>
      <c r="G6" s="18" t="s">
        <v>411</v>
      </c>
    </row>
    <row r="7" spans="1:7" x14ac:dyDescent="0.25">
      <c r="A7" s="18" t="s">
        <v>412</v>
      </c>
      <c r="B7" s="18" t="s">
        <v>413</v>
      </c>
      <c r="C7" s="18" t="s">
        <v>401</v>
      </c>
      <c r="D7" s="18" t="s">
        <v>414</v>
      </c>
      <c r="E7" s="18" t="s">
        <v>391</v>
      </c>
      <c r="F7" s="18" t="s">
        <v>392</v>
      </c>
      <c r="G7" s="18" t="s">
        <v>403</v>
      </c>
    </row>
    <row r="8" spans="1:7" x14ac:dyDescent="0.25">
      <c r="A8" s="18" t="s">
        <v>415</v>
      </c>
      <c r="B8" s="18" t="s">
        <v>416</v>
      </c>
      <c r="C8" s="18" t="s">
        <v>417</v>
      </c>
      <c r="D8" s="18" t="s">
        <v>418</v>
      </c>
      <c r="E8" s="18" t="s">
        <v>391</v>
      </c>
      <c r="F8" s="18" t="s">
        <v>392</v>
      </c>
      <c r="G8" s="18" t="s">
        <v>419</v>
      </c>
    </row>
    <row r="9" spans="1:7" x14ac:dyDescent="0.25">
      <c r="A9" s="18" t="s">
        <v>420</v>
      </c>
      <c r="B9" s="18" t="s">
        <v>104</v>
      </c>
      <c r="C9" s="18" t="s">
        <v>421</v>
      </c>
      <c r="D9" s="18" t="s">
        <v>390</v>
      </c>
      <c r="E9" s="18" t="s">
        <v>391</v>
      </c>
      <c r="F9" s="18" t="s">
        <v>392</v>
      </c>
      <c r="G9" s="18" t="s">
        <v>403</v>
      </c>
    </row>
    <row r="10" spans="1:7" x14ac:dyDescent="0.25">
      <c r="A10" s="18" t="s">
        <v>422</v>
      </c>
      <c r="B10" s="18" t="s">
        <v>44</v>
      </c>
      <c r="C10" s="18" t="s">
        <v>406</v>
      </c>
      <c r="D10" s="18" t="s">
        <v>407</v>
      </c>
      <c r="E10" s="18" t="s">
        <v>391</v>
      </c>
      <c r="F10" s="18" t="s">
        <v>392</v>
      </c>
      <c r="G10" s="18" t="s">
        <v>423</v>
      </c>
    </row>
    <row r="11" spans="1:7" x14ac:dyDescent="0.25">
      <c r="A11" s="18" t="s">
        <v>424</v>
      </c>
      <c r="B11" s="18" t="s">
        <v>78</v>
      </c>
      <c r="C11" s="18" t="s">
        <v>425</v>
      </c>
      <c r="D11" s="18" t="s">
        <v>426</v>
      </c>
      <c r="E11" s="18" t="s">
        <v>391</v>
      </c>
      <c r="F11" s="18" t="s">
        <v>392</v>
      </c>
      <c r="G11" s="18" t="s">
        <v>427</v>
      </c>
    </row>
    <row r="12" spans="1:7" x14ac:dyDescent="0.25">
      <c r="A12" s="18" t="s">
        <v>428</v>
      </c>
      <c r="B12" s="18" t="s">
        <v>145</v>
      </c>
      <c r="C12" s="18" t="s">
        <v>417</v>
      </c>
      <c r="D12" s="18" t="s">
        <v>429</v>
      </c>
      <c r="E12" s="18" t="s">
        <v>391</v>
      </c>
      <c r="F12" s="18" t="s">
        <v>430</v>
      </c>
      <c r="G12" s="18" t="s">
        <v>431</v>
      </c>
    </row>
    <row r="13" spans="1:7" x14ac:dyDescent="0.25">
      <c r="A13" s="18" t="s">
        <v>432</v>
      </c>
      <c r="B13" s="18" t="s">
        <v>433</v>
      </c>
      <c r="C13" s="18" t="s">
        <v>434</v>
      </c>
      <c r="D13" s="18" t="s">
        <v>435</v>
      </c>
      <c r="E13" s="18" t="s">
        <v>391</v>
      </c>
      <c r="F13" s="18" t="s">
        <v>436</v>
      </c>
      <c r="G13" s="18" t="s">
        <v>408</v>
      </c>
    </row>
    <row r="14" spans="1:7" x14ac:dyDescent="0.25">
      <c r="A14" s="18" t="s">
        <v>437</v>
      </c>
      <c r="B14" s="18" t="s">
        <v>438</v>
      </c>
      <c r="C14" s="18" t="s">
        <v>439</v>
      </c>
      <c r="D14" s="18" t="s">
        <v>440</v>
      </c>
      <c r="E14" s="18" t="s">
        <v>391</v>
      </c>
      <c r="F14" s="18" t="s">
        <v>436</v>
      </c>
      <c r="G14" s="18" t="s">
        <v>427</v>
      </c>
    </row>
    <row r="15" spans="1:7" x14ac:dyDescent="0.25">
      <c r="A15" s="18" t="s">
        <v>441</v>
      </c>
      <c r="B15" s="18" t="s">
        <v>85</v>
      </c>
      <c r="C15" s="18" t="s">
        <v>442</v>
      </c>
      <c r="D15" s="18" t="s">
        <v>443</v>
      </c>
      <c r="E15" s="18" t="s">
        <v>391</v>
      </c>
      <c r="F15" s="18" t="s">
        <v>436</v>
      </c>
      <c r="G15" s="18" t="s">
        <v>444</v>
      </c>
    </row>
    <row r="16" spans="1:7" x14ac:dyDescent="0.25">
      <c r="A16" s="18" t="s">
        <v>445</v>
      </c>
      <c r="B16" s="18" t="s">
        <v>82</v>
      </c>
      <c r="C16" s="18" t="s">
        <v>446</v>
      </c>
      <c r="D16" s="18" t="s">
        <v>447</v>
      </c>
      <c r="E16" s="18" t="s">
        <v>391</v>
      </c>
      <c r="F16" s="18" t="s">
        <v>430</v>
      </c>
      <c r="G16" s="18" t="s">
        <v>448</v>
      </c>
    </row>
    <row r="17" spans="1:7" x14ac:dyDescent="0.25">
      <c r="A17" s="18" t="s">
        <v>449</v>
      </c>
      <c r="B17" s="18" t="s">
        <v>433</v>
      </c>
      <c r="C17" s="18" t="s">
        <v>450</v>
      </c>
      <c r="D17" s="18" t="s">
        <v>451</v>
      </c>
      <c r="E17" s="18" t="s">
        <v>391</v>
      </c>
      <c r="F17" s="18" t="s">
        <v>392</v>
      </c>
      <c r="G17" s="18" t="s">
        <v>452</v>
      </c>
    </row>
    <row r="18" spans="1:7" x14ac:dyDescent="0.25">
      <c r="A18" s="18" t="s">
        <v>453</v>
      </c>
      <c r="B18" s="18" t="s">
        <v>454</v>
      </c>
      <c r="C18" s="18" t="s">
        <v>425</v>
      </c>
      <c r="D18" s="18" t="s">
        <v>451</v>
      </c>
      <c r="E18" s="18" t="s">
        <v>391</v>
      </c>
      <c r="F18" s="18" t="s">
        <v>392</v>
      </c>
      <c r="G18" s="18" t="s">
        <v>455</v>
      </c>
    </row>
    <row r="19" spans="1:7" x14ac:dyDescent="0.25">
      <c r="A19" s="18" t="s">
        <v>456</v>
      </c>
      <c r="B19" s="18" t="s">
        <v>20</v>
      </c>
      <c r="C19" s="18" t="s">
        <v>457</v>
      </c>
      <c r="D19" s="18" t="s">
        <v>451</v>
      </c>
      <c r="E19" s="18" t="s">
        <v>391</v>
      </c>
      <c r="F19" s="18" t="s">
        <v>392</v>
      </c>
      <c r="G19" s="18" t="s">
        <v>458</v>
      </c>
    </row>
    <row r="20" spans="1:7" x14ac:dyDescent="0.25">
      <c r="A20" s="18" t="s">
        <v>459</v>
      </c>
      <c r="B20" s="18" t="s">
        <v>460</v>
      </c>
      <c r="C20" s="18" t="s">
        <v>461</v>
      </c>
      <c r="D20" s="18" t="s">
        <v>402</v>
      </c>
      <c r="E20" s="18" t="s">
        <v>391</v>
      </c>
      <c r="F20" s="18" t="s">
        <v>392</v>
      </c>
      <c r="G20" s="18" t="s">
        <v>462</v>
      </c>
    </row>
    <row r="21" spans="1:7" x14ac:dyDescent="0.25">
      <c r="A21" s="18" t="s">
        <v>463</v>
      </c>
      <c r="B21" s="18" t="s">
        <v>20</v>
      </c>
      <c r="C21" s="18" t="s">
        <v>442</v>
      </c>
      <c r="D21" s="18" t="s">
        <v>443</v>
      </c>
      <c r="E21" s="18" t="s">
        <v>391</v>
      </c>
      <c r="F21" s="18" t="s">
        <v>464</v>
      </c>
      <c r="G21" s="18" t="s">
        <v>458</v>
      </c>
    </row>
    <row r="22" spans="1:7" x14ac:dyDescent="0.25">
      <c r="A22" s="18" t="s">
        <v>465</v>
      </c>
      <c r="B22" s="18" t="s">
        <v>466</v>
      </c>
      <c r="C22" s="18" t="s">
        <v>461</v>
      </c>
      <c r="D22" s="18" t="s">
        <v>467</v>
      </c>
      <c r="E22" s="18" t="s">
        <v>391</v>
      </c>
      <c r="F22" s="18" t="s">
        <v>464</v>
      </c>
      <c r="G22" s="18" t="s">
        <v>462</v>
      </c>
    </row>
    <row r="23" spans="1:7" x14ac:dyDescent="0.25">
      <c r="A23" s="18" t="s">
        <v>468</v>
      </c>
      <c r="B23" s="18" t="s">
        <v>78</v>
      </c>
      <c r="C23" s="18" t="s">
        <v>425</v>
      </c>
      <c r="D23" s="18" t="s">
        <v>469</v>
      </c>
      <c r="E23" s="18" t="s">
        <v>391</v>
      </c>
      <c r="F23" s="18" t="s">
        <v>470</v>
      </c>
      <c r="G23" s="18" t="s">
        <v>471</v>
      </c>
    </row>
    <row r="24" spans="1:7" x14ac:dyDescent="0.25">
      <c r="A24" s="18" t="s">
        <v>472</v>
      </c>
      <c r="B24" s="18" t="s">
        <v>473</v>
      </c>
      <c r="C24" s="18" t="s">
        <v>446</v>
      </c>
      <c r="D24" s="18" t="s">
        <v>474</v>
      </c>
      <c r="E24" s="18" t="s">
        <v>391</v>
      </c>
      <c r="F24" s="18" t="s">
        <v>470</v>
      </c>
      <c r="G24" s="18" t="s">
        <v>475</v>
      </c>
    </row>
    <row r="25" spans="1:7" x14ac:dyDescent="0.25">
      <c r="A25" s="18" t="s">
        <v>476</v>
      </c>
      <c r="B25" s="18" t="s">
        <v>477</v>
      </c>
      <c r="C25" s="18" t="s">
        <v>478</v>
      </c>
      <c r="D25" s="18" t="s">
        <v>479</v>
      </c>
      <c r="E25" s="18" t="s">
        <v>391</v>
      </c>
      <c r="F25" s="18" t="s">
        <v>470</v>
      </c>
      <c r="G25" s="18" t="s">
        <v>480</v>
      </c>
    </row>
    <row r="26" spans="1:7" x14ac:dyDescent="0.25">
      <c r="A26" s="18" t="s">
        <v>481</v>
      </c>
      <c r="B26" s="18" t="s">
        <v>74</v>
      </c>
      <c r="C26" s="18" t="s">
        <v>482</v>
      </c>
      <c r="D26" s="18" t="s">
        <v>469</v>
      </c>
      <c r="E26" s="18" t="s">
        <v>391</v>
      </c>
      <c r="F26" s="18" t="s">
        <v>483</v>
      </c>
      <c r="G26" s="18" t="s">
        <v>471</v>
      </c>
    </row>
    <row r="27" spans="1:7" x14ac:dyDescent="0.25">
      <c r="A27" s="18" t="s">
        <v>484</v>
      </c>
      <c r="B27" s="18" t="s">
        <v>485</v>
      </c>
      <c r="C27" s="18" t="s">
        <v>486</v>
      </c>
      <c r="D27" s="18" t="s">
        <v>469</v>
      </c>
      <c r="E27" s="18" t="s">
        <v>391</v>
      </c>
      <c r="F27" s="18" t="s">
        <v>483</v>
      </c>
      <c r="G27" s="18" t="s">
        <v>475</v>
      </c>
    </row>
    <row r="28" spans="1:7" x14ac:dyDescent="0.25">
      <c r="A28" s="18" t="s">
        <v>487</v>
      </c>
      <c r="B28" s="18" t="s">
        <v>488</v>
      </c>
      <c r="C28" s="18" t="s">
        <v>489</v>
      </c>
      <c r="D28" s="18" t="s">
        <v>469</v>
      </c>
      <c r="E28" s="18" t="s">
        <v>391</v>
      </c>
      <c r="F28" s="18" t="s">
        <v>483</v>
      </c>
      <c r="G28" s="18" t="s">
        <v>480</v>
      </c>
    </row>
    <row r="29" spans="1:7" x14ac:dyDescent="0.25">
      <c r="A29" s="18" t="s">
        <v>490</v>
      </c>
      <c r="B29" s="18" t="s">
        <v>96</v>
      </c>
      <c r="C29" s="18" t="s">
        <v>491</v>
      </c>
      <c r="D29" s="18" t="s">
        <v>479</v>
      </c>
      <c r="E29" s="18" t="s">
        <v>391</v>
      </c>
      <c r="F29" s="18" t="s">
        <v>483</v>
      </c>
      <c r="G29" s="18" t="s">
        <v>492</v>
      </c>
    </row>
    <row r="30" spans="1:7" x14ac:dyDescent="0.25">
      <c r="A30" s="18" t="s">
        <v>493</v>
      </c>
      <c r="B30" s="18" t="s">
        <v>92</v>
      </c>
      <c r="C30" s="18" t="s">
        <v>494</v>
      </c>
      <c r="D30" s="18" t="s">
        <v>495</v>
      </c>
      <c r="E30" s="18" t="s">
        <v>391</v>
      </c>
      <c r="F30" s="18" t="s">
        <v>483</v>
      </c>
      <c r="G30" s="18" t="s">
        <v>496</v>
      </c>
    </row>
    <row r="31" spans="1:7" x14ac:dyDescent="0.25">
      <c r="A31" s="18" t="s">
        <v>497</v>
      </c>
      <c r="B31" s="18" t="s">
        <v>498</v>
      </c>
      <c r="C31" s="18" t="s">
        <v>499</v>
      </c>
      <c r="D31" s="18" t="s">
        <v>500</v>
      </c>
      <c r="E31" s="18" t="s">
        <v>391</v>
      </c>
      <c r="F31" s="18" t="s">
        <v>483</v>
      </c>
      <c r="G31" s="18" t="s">
        <v>501</v>
      </c>
    </row>
    <row r="32" spans="1:7" x14ac:dyDescent="0.25">
      <c r="A32" s="18" t="s">
        <v>502</v>
      </c>
      <c r="B32" s="18" t="s">
        <v>503</v>
      </c>
      <c r="C32" s="18" t="s">
        <v>504</v>
      </c>
      <c r="D32" s="18" t="s">
        <v>505</v>
      </c>
      <c r="E32" s="18" t="s">
        <v>391</v>
      </c>
      <c r="F32" s="18" t="s">
        <v>506</v>
      </c>
      <c r="G32" s="18" t="s">
        <v>507</v>
      </c>
    </row>
    <row r="33" spans="1:7" x14ac:dyDescent="0.25">
      <c r="A33" s="18" t="s">
        <v>508</v>
      </c>
      <c r="B33" s="18" t="s">
        <v>405</v>
      </c>
      <c r="C33" s="18" t="s">
        <v>509</v>
      </c>
      <c r="D33" s="18" t="s">
        <v>443</v>
      </c>
      <c r="E33" s="18" t="s">
        <v>391</v>
      </c>
      <c r="F33" s="18" t="s">
        <v>510</v>
      </c>
      <c r="G33" s="18" t="s">
        <v>511</v>
      </c>
    </row>
    <row r="34" spans="1:7" x14ac:dyDescent="0.25">
      <c r="A34" s="18" t="s">
        <v>512</v>
      </c>
      <c r="B34" s="18" t="s">
        <v>78</v>
      </c>
      <c r="C34" s="18" t="s">
        <v>482</v>
      </c>
      <c r="D34" s="18" t="s">
        <v>443</v>
      </c>
      <c r="E34" s="18" t="s">
        <v>391</v>
      </c>
      <c r="F34" s="18" t="s">
        <v>513</v>
      </c>
      <c r="G34" s="18" t="s">
        <v>514</v>
      </c>
    </row>
    <row r="35" spans="1:7" x14ac:dyDescent="0.25">
      <c r="A35" s="18" t="s">
        <v>515</v>
      </c>
      <c r="B35" s="18" t="s">
        <v>488</v>
      </c>
      <c r="C35" s="18" t="s">
        <v>478</v>
      </c>
      <c r="D35" s="18" t="s">
        <v>516</v>
      </c>
      <c r="E35" s="18" t="s">
        <v>391</v>
      </c>
      <c r="F35" s="18" t="s">
        <v>517</v>
      </c>
      <c r="G35" s="18" t="s">
        <v>518</v>
      </c>
    </row>
    <row r="36" spans="1:7" x14ac:dyDescent="0.25">
      <c r="A36" s="18" t="s">
        <v>519</v>
      </c>
      <c r="B36" s="18" t="s">
        <v>66</v>
      </c>
      <c r="C36" s="18" t="s">
        <v>520</v>
      </c>
      <c r="D36" s="18" t="s">
        <v>516</v>
      </c>
      <c r="E36" s="18" t="s">
        <v>391</v>
      </c>
      <c r="F36" s="18" t="s">
        <v>517</v>
      </c>
      <c r="G36" s="18" t="s">
        <v>521</v>
      </c>
    </row>
    <row r="37" spans="1:7" x14ac:dyDescent="0.25">
      <c r="A37" s="18" t="s">
        <v>522</v>
      </c>
      <c r="B37" s="18" t="s">
        <v>40</v>
      </c>
      <c r="C37" s="18" t="s">
        <v>523</v>
      </c>
      <c r="D37" s="18" t="s">
        <v>516</v>
      </c>
      <c r="E37" s="18" t="s">
        <v>391</v>
      </c>
      <c r="F37" s="18" t="s">
        <v>524</v>
      </c>
      <c r="G37" s="18" t="s">
        <v>525</v>
      </c>
    </row>
    <row r="38" spans="1:7" x14ac:dyDescent="0.25">
      <c r="A38" s="18" t="s">
        <v>526</v>
      </c>
      <c r="B38" s="18" t="s">
        <v>527</v>
      </c>
      <c r="C38" s="18" t="s">
        <v>504</v>
      </c>
      <c r="D38" s="18" t="s">
        <v>516</v>
      </c>
      <c r="E38" s="18" t="s">
        <v>391</v>
      </c>
      <c r="F38" s="18" t="s">
        <v>524</v>
      </c>
      <c r="G38" s="18" t="s">
        <v>501</v>
      </c>
    </row>
    <row r="39" spans="1:7" x14ac:dyDescent="0.25">
      <c r="A39" s="18" t="s">
        <v>528</v>
      </c>
      <c r="B39" s="18" t="s">
        <v>529</v>
      </c>
      <c r="C39" s="18" t="s">
        <v>530</v>
      </c>
      <c r="D39" s="18" t="s">
        <v>516</v>
      </c>
      <c r="E39" s="18" t="s">
        <v>391</v>
      </c>
      <c r="F39" s="18" t="s">
        <v>524</v>
      </c>
      <c r="G39" s="18" t="s">
        <v>531</v>
      </c>
    </row>
    <row r="40" spans="1:7" x14ac:dyDescent="0.25">
      <c r="A40" s="18" t="s">
        <v>532</v>
      </c>
      <c r="B40" s="18" t="s">
        <v>533</v>
      </c>
      <c r="C40" s="18" t="s">
        <v>534</v>
      </c>
      <c r="D40" s="18" t="s">
        <v>516</v>
      </c>
      <c r="E40" s="18" t="s">
        <v>391</v>
      </c>
      <c r="F40" s="18" t="s">
        <v>524</v>
      </c>
      <c r="G40" s="18" t="s">
        <v>535</v>
      </c>
    </row>
    <row r="41" spans="1:7" x14ac:dyDescent="0.25">
      <c r="A41" s="18" t="s">
        <v>274</v>
      </c>
      <c r="B41" s="18" t="s">
        <v>536</v>
      </c>
      <c r="C41" s="18" t="s">
        <v>537</v>
      </c>
      <c r="D41" s="18" t="s">
        <v>516</v>
      </c>
      <c r="E41" s="18" t="s">
        <v>391</v>
      </c>
      <c r="F41" s="18" t="s">
        <v>510</v>
      </c>
      <c r="G41" s="18" t="s">
        <v>538</v>
      </c>
    </row>
    <row r="42" spans="1:7" x14ac:dyDescent="0.25">
      <c r="A42" s="18" t="s">
        <v>539</v>
      </c>
      <c r="B42" s="18" t="s">
        <v>540</v>
      </c>
      <c r="C42" s="18" t="s">
        <v>541</v>
      </c>
      <c r="D42" s="18" t="s">
        <v>516</v>
      </c>
      <c r="E42" s="18" t="s">
        <v>391</v>
      </c>
      <c r="F42" s="18" t="s">
        <v>510</v>
      </c>
      <c r="G42" s="18" t="s">
        <v>458</v>
      </c>
    </row>
    <row r="43" spans="1:7" x14ac:dyDescent="0.25">
      <c r="A43" s="18" t="s">
        <v>276</v>
      </c>
      <c r="B43" s="18" t="s">
        <v>542</v>
      </c>
      <c r="C43" s="18" t="s">
        <v>417</v>
      </c>
      <c r="D43" s="18" t="s">
        <v>443</v>
      </c>
      <c r="E43" s="18" t="s">
        <v>391</v>
      </c>
      <c r="F43" s="18" t="s">
        <v>510</v>
      </c>
      <c r="G43" s="18" t="s">
        <v>471</v>
      </c>
    </row>
    <row r="44" spans="1:7" x14ac:dyDescent="0.25">
      <c r="A44" s="18" t="s">
        <v>543</v>
      </c>
      <c r="B44" s="18" t="s">
        <v>544</v>
      </c>
      <c r="C44" s="18" t="s">
        <v>478</v>
      </c>
      <c r="D44" s="18" t="s">
        <v>545</v>
      </c>
      <c r="E44" s="18" t="s">
        <v>391</v>
      </c>
      <c r="F44" s="18" t="s">
        <v>546</v>
      </c>
      <c r="G44" s="18" t="s">
        <v>547</v>
      </c>
    </row>
    <row r="45" spans="1:7" x14ac:dyDescent="0.25">
      <c r="A45" s="18" t="s">
        <v>280</v>
      </c>
      <c r="B45" s="18" t="s">
        <v>548</v>
      </c>
      <c r="C45" s="18" t="s">
        <v>520</v>
      </c>
      <c r="D45" s="18" t="s">
        <v>549</v>
      </c>
      <c r="E45" s="18" t="s">
        <v>391</v>
      </c>
      <c r="F45" s="18" t="s">
        <v>546</v>
      </c>
      <c r="G45" s="18" t="s">
        <v>550</v>
      </c>
    </row>
    <row r="46" spans="1:7" x14ac:dyDescent="0.25">
      <c r="A46" s="18" t="s">
        <v>282</v>
      </c>
      <c r="B46" s="18" t="s">
        <v>551</v>
      </c>
      <c r="C46" s="18" t="s">
        <v>523</v>
      </c>
      <c r="D46" s="18" t="s">
        <v>552</v>
      </c>
      <c r="E46" s="18" t="s">
        <v>391</v>
      </c>
      <c r="F46" s="18" t="s">
        <v>546</v>
      </c>
      <c r="G46" s="18" t="s">
        <v>550</v>
      </c>
    </row>
    <row r="47" spans="1:7" x14ac:dyDescent="0.25">
      <c r="A47" s="18" t="s">
        <v>283</v>
      </c>
      <c r="B47" s="18" t="s">
        <v>130</v>
      </c>
      <c r="C47" s="18" t="s">
        <v>504</v>
      </c>
      <c r="D47" s="18" t="s">
        <v>553</v>
      </c>
      <c r="E47" s="18" t="s">
        <v>391</v>
      </c>
      <c r="F47" s="18" t="s">
        <v>546</v>
      </c>
      <c r="G47" s="18" t="s">
        <v>550</v>
      </c>
    </row>
    <row r="48" spans="1:7" x14ac:dyDescent="0.25">
      <c r="A48" s="18" t="s">
        <v>554</v>
      </c>
      <c r="B48" s="18" t="s">
        <v>555</v>
      </c>
      <c r="C48" s="18" t="s">
        <v>556</v>
      </c>
      <c r="D48" s="18" t="s">
        <v>557</v>
      </c>
      <c r="E48" s="18" t="s">
        <v>391</v>
      </c>
      <c r="F48" s="18" t="s">
        <v>546</v>
      </c>
      <c r="G48" s="18" t="s">
        <v>558</v>
      </c>
    </row>
    <row r="49" spans="1:7" x14ac:dyDescent="0.25">
      <c r="A49" s="18" t="s">
        <v>559</v>
      </c>
      <c r="B49" s="18" t="s">
        <v>560</v>
      </c>
      <c r="C49" s="18" t="s">
        <v>486</v>
      </c>
      <c r="D49" s="18" t="s">
        <v>479</v>
      </c>
      <c r="E49" s="18" t="s">
        <v>391</v>
      </c>
      <c r="F49" s="18" t="s">
        <v>546</v>
      </c>
      <c r="G49" s="18" t="s">
        <v>561</v>
      </c>
    </row>
    <row r="50" spans="1:7" x14ac:dyDescent="0.25">
      <c r="A50" s="18" t="s">
        <v>562</v>
      </c>
      <c r="B50" s="18" t="s">
        <v>96</v>
      </c>
      <c r="C50" s="18" t="s">
        <v>486</v>
      </c>
      <c r="D50" s="18" t="s">
        <v>563</v>
      </c>
      <c r="E50" s="18" t="s">
        <v>391</v>
      </c>
      <c r="F50" s="18" t="s">
        <v>546</v>
      </c>
      <c r="G50" s="18" t="s">
        <v>561</v>
      </c>
    </row>
    <row r="51" spans="1:7" x14ac:dyDescent="0.25">
      <c r="A51" s="18" t="s">
        <v>564</v>
      </c>
      <c r="B51" s="18" t="s">
        <v>565</v>
      </c>
      <c r="C51" s="18" t="s">
        <v>566</v>
      </c>
      <c r="D51" s="18" t="s">
        <v>567</v>
      </c>
      <c r="E51" s="18" t="s">
        <v>568</v>
      </c>
      <c r="F51" s="18" t="s">
        <v>569</v>
      </c>
      <c r="G51" s="18" t="s">
        <v>570</v>
      </c>
    </row>
    <row r="52" spans="1:7" x14ac:dyDescent="0.25">
      <c r="A52" s="18" t="s">
        <v>571</v>
      </c>
      <c r="B52" s="18" t="s">
        <v>572</v>
      </c>
      <c r="C52" s="18" t="s">
        <v>573</v>
      </c>
      <c r="D52" s="18" t="s">
        <v>574</v>
      </c>
      <c r="E52" s="18" t="s">
        <v>575</v>
      </c>
      <c r="F52" s="18" t="s">
        <v>569</v>
      </c>
      <c r="G52" s="18" t="s">
        <v>576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D3AE-582B-4335-B90D-F7BEAA2CA43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2162-D9A1-47E6-977C-1FA88344B15A}">
  <dimension ref="A1:A8"/>
  <sheetViews>
    <sheetView workbookViewId="0">
      <selection activeCell="B1" sqref="B1"/>
    </sheetView>
  </sheetViews>
  <sheetFormatPr defaultRowHeight="15" x14ac:dyDescent="0.25"/>
  <cols>
    <col min="1" max="1" width="14.140625" customWidth="1"/>
  </cols>
  <sheetData>
    <row r="1" spans="1:1" x14ac:dyDescent="0.25">
      <c r="A1" t="s">
        <v>298</v>
      </c>
    </row>
    <row r="2" spans="1:1" x14ac:dyDescent="0.25">
      <c r="A2" s="6" t="s">
        <v>132</v>
      </c>
    </row>
    <row r="3" spans="1:1" ht="28.5" x14ac:dyDescent="0.25">
      <c r="A3" s="6" t="s">
        <v>301</v>
      </c>
    </row>
    <row r="4" spans="1:1" ht="28.5" x14ac:dyDescent="0.25">
      <c r="A4" s="6" t="s">
        <v>80</v>
      </c>
    </row>
    <row r="5" spans="1:1" x14ac:dyDescent="0.25">
      <c r="A5" s="6" t="s">
        <v>303</v>
      </c>
    </row>
    <row r="6" spans="1:1" ht="28.5" x14ac:dyDescent="0.25">
      <c r="A6" s="6" t="s">
        <v>305</v>
      </c>
    </row>
    <row r="7" spans="1:1" x14ac:dyDescent="0.25">
      <c r="A7" s="6" t="s">
        <v>306</v>
      </c>
    </row>
    <row r="8" spans="1:1" x14ac:dyDescent="0.25">
      <c r="A8" s="6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04E3-320F-46BB-B592-F2BB3F9758C1}">
  <dimension ref="A1:A4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18FD-0C2A-48D0-8033-2B559F17ED64}">
  <dimension ref="A1:A18"/>
  <sheetViews>
    <sheetView workbookViewId="0">
      <selection activeCell="H46" sqref="H4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2007</v>
      </c>
    </row>
    <row r="3" spans="1:1" x14ac:dyDescent="0.25">
      <c r="A3">
        <v>2008</v>
      </c>
    </row>
    <row r="4" spans="1:1" x14ac:dyDescent="0.25">
      <c r="A4">
        <v>2009</v>
      </c>
    </row>
    <row r="5" spans="1:1" x14ac:dyDescent="0.25">
      <c r="A5">
        <v>2010</v>
      </c>
    </row>
    <row r="6" spans="1:1" x14ac:dyDescent="0.25">
      <c r="A6">
        <v>2011</v>
      </c>
    </row>
    <row r="7" spans="1:1" x14ac:dyDescent="0.25">
      <c r="A7">
        <v>2012</v>
      </c>
    </row>
    <row r="8" spans="1:1" x14ac:dyDescent="0.25">
      <c r="A8">
        <v>2013</v>
      </c>
    </row>
    <row r="9" spans="1:1" x14ac:dyDescent="0.25">
      <c r="A9">
        <v>2014</v>
      </c>
    </row>
    <row r="10" spans="1:1" x14ac:dyDescent="0.25">
      <c r="A10">
        <v>2015</v>
      </c>
    </row>
    <row r="11" spans="1:1" x14ac:dyDescent="0.25">
      <c r="A11">
        <v>2016</v>
      </c>
    </row>
    <row r="12" spans="1:1" x14ac:dyDescent="0.25">
      <c r="A12">
        <v>2017</v>
      </c>
    </row>
    <row r="13" spans="1:1" x14ac:dyDescent="0.25">
      <c r="A13">
        <v>2018</v>
      </c>
    </row>
    <row r="14" spans="1:1" x14ac:dyDescent="0.25">
      <c r="A14">
        <v>2019</v>
      </c>
    </row>
    <row r="15" spans="1:1" x14ac:dyDescent="0.25">
      <c r="A15">
        <v>2020</v>
      </c>
    </row>
    <row r="16" spans="1:1" x14ac:dyDescent="0.25">
      <c r="A16">
        <v>2021</v>
      </c>
    </row>
    <row r="17" spans="1:1" x14ac:dyDescent="0.25">
      <c r="A17">
        <v>2022</v>
      </c>
    </row>
    <row r="18" spans="1:1" x14ac:dyDescent="0.25">
      <c r="A18">
        <v>2023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DD8AF-1879-4F83-8F98-1601FAF2D9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Boards</vt:lpstr>
      <vt:lpstr>Boards Catalogue</vt:lpstr>
      <vt:lpstr>To Add After Review</vt:lpstr>
      <vt:lpstr>Temp</vt:lpstr>
      <vt:lpstr>tabula-2016_Fanatic</vt:lpstr>
      <vt:lpstr>Sheet1</vt:lpstr>
      <vt:lpstr>Category</vt:lpstr>
      <vt:lpstr>Brands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Johansson</dc:creator>
  <cp:lastModifiedBy>Björn Johansson</cp:lastModifiedBy>
  <dcterms:created xsi:type="dcterms:W3CDTF">2015-06-05T18:17:20Z</dcterms:created>
  <dcterms:modified xsi:type="dcterms:W3CDTF">2026-04-19T19:25:22Z</dcterms:modified>
</cp:coreProperties>
</file>