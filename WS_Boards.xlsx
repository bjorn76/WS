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bjorn\Documents\bjorn76\WS\"/>
    </mc:Choice>
  </mc:AlternateContent>
  <xr:revisionPtr revIDLastSave="0" documentId="13_ncr:1_{C0E4BB3B-DEB3-4941-8BA7-1BD9B118CC7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Boards" sheetId="1" r:id="rId1"/>
    <sheet name="Boards Catalogue" sheetId="4" r:id="rId2"/>
    <sheet name="To Add After Review" sheetId="8" r:id="rId3"/>
    <sheet name="Temp" sheetId="7" r:id="rId4"/>
    <sheet name="Category" sheetId="6" r:id="rId5"/>
    <sheet name="Brands" sheetId="2" r:id="rId6"/>
    <sheet name="Year" sheetId="3" r:id="rId7"/>
  </sheets>
  <definedNames>
    <definedName name="_xlnm._FilterDatabase" localSheetId="0" hidden="1">Boards!$A$1:$I$1</definedName>
    <definedName name="_xlnm._FilterDatabase" localSheetId="1" hidden="1">'Boards Catalogue'!$A$1:$J$121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7" l="1"/>
  <c r="F2" i="7"/>
  <c r="G2" i="7"/>
  <c r="E3" i="7"/>
  <c r="F3" i="7"/>
  <c r="G3" i="7"/>
  <c r="E4" i="7"/>
  <c r="F4" i="7"/>
  <c r="G4" i="7"/>
  <c r="E5" i="7"/>
  <c r="F5" i="7"/>
  <c r="G5" i="7"/>
  <c r="E6" i="7"/>
  <c r="F6" i="7"/>
  <c r="G6" i="7"/>
  <c r="E7" i="7"/>
  <c r="F7" i="7"/>
  <c r="G7" i="7"/>
  <c r="E8" i="7"/>
  <c r="F8" i="7"/>
  <c r="G8" i="7"/>
  <c r="E9" i="7"/>
  <c r="F9" i="7"/>
  <c r="G9" i="7"/>
  <c r="E10" i="7"/>
  <c r="F10" i="7"/>
  <c r="G10" i="7"/>
  <c r="E11" i="7"/>
  <c r="F11" i="7"/>
  <c r="G11" i="7"/>
  <c r="E12" i="7"/>
  <c r="F12" i="7"/>
  <c r="G12" i="7"/>
  <c r="E13" i="7"/>
  <c r="F13" i="7"/>
  <c r="G13" i="7"/>
  <c r="E14" i="7"/>
  <c r="F14" i="7"/>
  <c r="G14" i="7"/>
  <c r="E15" i="7"/>
  <c r="F15" i="7"/>
  <c r="G15" i="7"/>
  <c r="E16" i="7"/>
  <c r="F16" i="7"/>
  <c r="G16" i="7"/>
  <c r="E17" i="7"/>
  <c r="F17" i="7"/>
  <c r="G17" i="7"/>
  <c r="E18" i="7"/>
  <c r="F18" i="7"/>
  <c r="G18" i="7"/>
  <c r="E19" i="7"/>
  <c r="F19" i="7"/>
  <c r="G19" i="7"/>
  <c r="E20" i="7"/>
  <c r="F20" i="7"/>
  <c r="G20" i="7"/>
  <c r="E21" i="7"/>
  <c r="F21" i="7"/>
  <c r="G21" i="7"/>
  <c r="E22" i="7"/>
  <c r="F22" i="7"/>
  <c r="G22" i="7"/>
  <c r="E23" i="7"/>
  <c r="F23" i="7"/>
  <c r="G23" i="7"/>
  <c r="E24" i="7"/>
  <c r="F24" i="7"/>
  <c r="G24" i="7"/>
  <c r="E25" i="7"/>
  <c r="F25" i="7"/>
  <c r="G25" i="7"/>
  <c r="E26" i="7"/>
  <c r="F26" i="7"/>
  <c r="G26" i="7"/>
  <c r="E27" i="7"/>
  <c r="F27" i="7"/>
  <c r="G27" i="7"/>
  <c r="E28" i="7"/>
  <c r="F28" i="7"/>
  <c r="G28" i="7"/>
  <c r="E29" i="7"/>
  <c r="F29" i="7"/>
  <c r="G29" i="7"/>
  <c r="E30" i="7"/>
  <c r="F30" i="7"/>
  <c r="G30" i="7"/>
  <c r="E31" i="7"/>
  <c r="F31" i="7"/>
  <c r="G31" i="7"/>
  <c r="E32" i="7"/>
  <c r="F32" i="7"/>
  <c r="G32" i="7"/>
  <c r="E33" i="7"/>
  <c r="F33" i="7"/>
  <c r="G33" i="7"/>
  <c r="E34" i="7"/>
  <c r="F34" i="7"/>
  <c r="G34" i="7"/>
  <c r="E35" i="7"/>
  <c r="F35" i="7"/>
  <c r="G35" i="7"/>
  <c r="E36" i="7"/>
  <c r="F36" i="7"/>
  <c r="G36" i="7"/>
  <c r="E37" i="7"/>
  <c r="F37" i="7"/>
  <c r="G37" i="7"/>
  <c r="E38" i="7"/>
  <c r="F38" i="7"/>
  <c r="G38" i="7"/>
  <c r="E39" i="7"/>
  <c r="F39" i="7"/>
  <c r="G39" i="7"/>
  <c r="E40" i="7"/>
  <c r="F40" i="7"/>
  <c r="G40" i="7"/>
  <c r="E41" i="7"/>
  <c r="F41" i="7"/>
  <c r="G41" i="7"/>
  <c r="E42" i="7"/>
  <c r="F42" i="7"/>
  <c r="G42" i="7"/>
  <c r="E43" i="7"/>
  <c r="F43" i="7"/>
  <c r="G43" i="7"/>
  <c r="E44" i="7"/>
  <c r="F44" i="7"/>
  <c r="G44" i="7"/>
  <c r="E45" i="7"/>
  <c r="F45" i="7"/>
  <c r="G45" i="7"/>
  <c r="E46" i="7"/>
  <c r="F46" i="7"/>
  <c r="G46" i="7"/>
  <c r="E47" i="7"/>
  <c r="F47" i="7"/>
  <c r="G47" i="7"/>
  <c r="E48" i="7"/>
  <c r="F48" i="7"/>
  <c r="G48" i="7"/>
  <c r="E49" i="7"/>
  <c r="F49" i="7"/>
  <c r="G49" i="7"/>
  <c r="E50" i="7"/>
  <c r="F50" i="7"/>
  <c r="G50" i="7"/>
  <c r="E51" i="7"/>
  <c r="F51" i="7"/>
  <c r="G51" i="7"/>
  <c r="E52" i="7"/>
  <c r="F52" i="7"/>
  <c r="G52" i="7"/>
  <c r="E53" i="7"/>
  <c r="F53" i="7"/>
  <c r="G53" i="7"/>
  <c r="E54" i="7"/>
  <c r="F54" i="7"/>
  <c r="G54" i="7"/>
  <c r="E55" i="7"/>
  <c r="F55" i="7"/>
  <c r="G55" i="7"/>
  <c r="E56" i="7"/>
  <c r="F56" i="7"/>
  <c r="G56" i="7"/>
  <c r="E57" i="7"/>
  <c r="F57" i="7"/>
  <c r="G57" i="7"/>
  <c r="E58" i="7"/>
  <c r="F58" i="7"/>
  <c r="G58" i="7"/>
  <c r="E59" i="7"/>
  <c r="F59" i="7"/>
  <c r="G59" i="7"/>
  <c r="E60" i="7"/>
  <c r="F60" i="7"/>
  <c r="G60" i="7"/>
  <c r="E61" i="7"/>
  <c r="F61" i="7"/>
  <c r="G61" i="7"/>
  <c r="E62" i="7"/>
  <c r="F62" i="7"/>
  <c r="G62" i="7"/>
  <c r="E63" i="7"/>
  <c r="F63" i="7"/>
  <c r="G63" i="7"/>
  <c r="E64" i="7"/>
  <c r="F64" i="7"/>
  <c r="G64" i="7"/>
  <c r="E65" i="7"/>
  <c r="F65" i="7"/>
  <c r="G65" i="7"/>
  <c r="E66" i="7"/>
  <c r="F66" i="7"/>
  <c r="G66" i="7"/>
  <c r="E67" i="7"/>
  <c r="F67" i="7"/>
  <c r="G67" i="7"/>
  <c r="E68" i="7"/>
  <c r="F68" i="7"/>
  <c r="G68" i="7"/>
  <c r="E69" i="7"/>
  <c r="F69" i="7"/>
  <c r="G69" i="7"/>
  <c r="F1" i="7"/>
  <c r="G1" i="7"/>
  <c r="E1" i="7"/>
</calcChain>
</file>

<file path=xl/sharedStrings.xml><?xml version="1.0" encoding="utf-8"?>
<sst xmlns="http://schemas.openxmlformats.org/spreadsheetml/2006/main" count="784" uniqueCount="378">
  <si>
    <t>Year</t>
  </si>
  <si>
    <t>Brands</t>
  </si>
  <si>
    <t>Fanatic</t>
  </si>
  <si>
    <t>Mistral</t>
  </si>
  <si>
    <t>F2</t>
  </si>
  <si>
    <t>ID</t>
  </si>
  <si>
    <t>Brand</t>
  </si>
  <si>
    <t>Type</t>
  </si>
  <si>
    <t>Size</t>
  </si>
  <si>
    <t>Volume</t>
  </si>
  <si>
    <t>Class</t>
  </si>
  <si>
    <t>Sessions</t>
  </si>
  <si>
    <t>bjorn.k.j comments</t>
  </si>
  <si>
    <t>Blast</t>
  </si>
  <si>
    <t>66 x 232 cm</t>
  </si>
  <si>
    <t>115 l</t>
  </si>
  <si>
    <t>Slalom Medium</t>
  </si>
  <si>
    <t>Fanatic Blast</t>
  </si>
  <si>
    <t>Blast 100 LTD</t>
  </si>
  <si>
    <t>62 x 231 cm</t>
  </si>
  <si>
    <t>100 l</t>
  </si>
  <si>
    <t>Fanatic Blast 100 LTD</t>
  </si>
  <si>
    <t>Blast 115 LTD</t>
  </si>
  <si>
    <t>Fanatic Blast 115 LTD</t>
  </si>
  <si>
    <t>Blast 130 LTD</t>
  </si>
  <si>
    <t>70 x 233 cm</t>
  </si>
  <si>
    <t>130 l</t>
  </si>
  <si>
    <t>Slalom Large</t>
  </si>
  <si>
    <t>Fanatic Blast 130 LTD</t>
  </si>
  <si>
    <t>73 x 233 cm</t>
  </si>
  <si>
    <t>Blast 145 LTD</t>
  </si>
  <si>
    <t>77 x 235 cm</t>
  </si>
  <si>
    <t>145 l</t>
  </si>
  <si>
    <t>Fanatic Blast 145 LTD</t>
  </si>
  <si>
    <t>Falcon 114 TE</t>
  </si>
  <si>
    <t>71 x 230 cm</t>
  </si>
  <si>
    <t>114 l</t>
  </si>
  <si>
    <t>Fanatic Falcon 114 TE</t>
  </si>
  <si>
    <t>Falcon 129</t>
  </si>
  <si>
    <t>80 x 230 cm</t>
  </si>
  <si>
    <t>129 l</t>
  </si>
  <si>
    <t>Fanatic Falcon 129</t>
  </si>
  <si>
    <t>Falcon 89</t>
  </si>
  <si>
    <t>60 x 235 cm</t>
  </si>
  <si>
    <t>89 l</t>
  </si>
  <si>
    <t>Speed/Slalom Small</t>
  </si>
  <si>
    <t>Fanatic Falcon 89</t>
  </si>
  <si>
    <t>Falcon Lightwind</t>
  </si>
  <si>
    <t>90 x 230 cm</t>
  </si>
  <si>
    <t>159 l</t>
  </si>
  <si>
    <t>Slalom Xtra Large</t>
  </si>
  <si>
    <t>Fanatic Falcon Lightwind</t>
  </si>
  <si>
    <t>Falcon Speed 40</t>
  </si>
  <si>
    <t>40 x 228 cm</t>
  </si>
  <si>
    <t>55 l</t>
  </si>
  <si>
    <t>Speedboard</t>
  </si>
  <si>
    <t>Fanatic Falcon Speed 40</t>
  </si>
  <si>
    <t>Falcon Speed 52.5</t>
  </si>
  <si>
    <t>525 x 235 cm</t>
  </si>
  <si>
    <t>70 l</t>
  </si>
  <si>
    <t>Fanatic Falcon Speed 52.5</t>
  </si>
  <si>
    <t>FALCON SPEED EDITION 52.5</t>
  </si>
  <si>
    <t>52 x 230 cm</t>
  </si>
  <si>
    <t>Fanatic FALCON SPEED EDITION 52.5</t>
  </si>
  <si>
    <t>Falcon TE 121</t>
  </si>
  <si>
    <t>75 x 230 cm</t>
  </si>
  <si>
    <t>121 l</t>
  </si>
  <si>
    <t>Fanatic Falcon TE 121</t>
  </si>
  <si>
    <t>Falcon TE 136</t>
  </si>
  <si>
    <t>85 x 225 cm</t>
  </si>
  <si>
    <t>136 l</t>
  </si>
  <si>
    <t>Fanatic Falcon TE 136</t>
  </si>
  <si>
    <t>Falcon TE 98</t>
  </si>
  <si>
    <t>63 x 232 cm</t>
  </si>
  <si>
    <t>98 l</t>
  </si>
  <si>
    <t>Fanatic Falcon TE 98</t>
  </si>
  <si>
    <t>Falcon TE 99</t>
  </si>
  <si>
    <t>63 x 235 cm</t>
  </si>
  <si>
    <t>99 l</t>
  </si>
  <si>
    <t>Fanatic Falcon TE 99</t>
  </si>
  <si>
    <t>Freewave</t>
  </si>
  <si>
    <t>66 x 235 cm</t>
  </si>
  <si>
    <t>116 l</t>
  </si>
  <si>
    <t>Wave / Freestyle</t>
  </si>
  <si>
    <t>Fanatic Freewave</t>
  </si>
  <si>
    <t>106 l</t>
  </si>
  <si>
    <t>FreeWave STB</t>
  </si>
  <si>
    <t>58 x 225 cm</t>
  </si>
  <si>
    <t>85 l</t>
  </si>
  <si>
    <t>Fanatic FreeWave STB</t>
  </si>
  <si>
    <t>Gecko</t>
  </si>
  <si>
    <t>78 x 246 cm</t>
  </si>
  <si>
    <t>133 l</t>
  </si>
  <si>
    <t>Fanatic Gecko</t>
  </si>
  <si>
    <t>gecko</t>
  </si>
  <si>
    <t>76 x 242 cm</t>
  </si>
  <si>
    <t>120 l</t>
  </si>
  <si>
    <t>-</t>
  </si>
  <si>
    <t>Fanatic gecko</t>
  </si>
  <si>
    <t>Gecko Foil Edition</t>
  </si>
  <si>
    <t>76 x 245 cm</t>
  </si>
  <si>
    <t>Fanatic Gecko Foil Edition</t>
  </si>
  <si>
    <t>Grip</t>
  </si>
  <si>
    <t>58 x 224 cm</t>
  </si>
  <si>
    <t>82 l</t>
  </si>
  <si>
    <t>Fanatic Grip</t>
  </si>
  <si>
    <t>Grip 99</t>
  </si>
  <si>
    <t>62 x 229 cm</t>
  </si>
  <si>
    <t>Fanatic Grip 99</t>
  </si>
  <si>
    <t>Jag 125</t>
  </si>
  <si>
    <t>75 x 235 cm</t>
  </si>
  <si>
    <t>125 l</t>
  </si>
  <si>
    <t>Fanatic Jag 125</t>
  </si>
  <si>
    <t>Lüderitz Speed 44</t>
  </si>
  <si>
    <t>44 x 230 cm</t>
  </si>
  <si>
    <t>50 l</t>
  </si>
  <si>
    <t>Fanatic Lüderitz Speed 44</t>
  </si>
  <si>
    <t>Shark</t>
  </si>
  <si>
    <t>70 x 295 cm</t>
  </si>
  <si>
    <t>Fanatic Shark</t>
  </si>
  <si>
    <t>Slalom TE 136</t>
  </si>
  <si>
    <t>85 x 235 cm</t>
  </si>
  <si>
    <t>Fanatic Slalom TE 136</t>
  </si>
  <si>
    <t>Slalom TE 98</t>
  </si>
  <si>
    <t>Fanatic Slalom TE 98</t>
  </si>
  <si>
    <t>Stubby TE 99</t>
  </si>
  <si>
    <t>60 x 218 cm</t>
  </si>
  <si>
    <t>Fanatic Stubby TE 99</t>
  </si>
  <si>
    <t>Viper</t>
  </si>
  <si>
    <t>85 x 285 cm</t>
  </si>
  <si>
    <t>220 l</t>
  </si>
  <si>
    <t>Fanatic Viper</t>
  </si>
  <si>
    <t>Wave</t>
  </si>
  <si>
    <t>64 x 232 cm</t>
  </si>
  <si>
    <t>103 l</t>
  </si>
  <si>
    <t>Fanatic Wave</t>
  </si>
  <si>
    <t>MODELS</t>
  </si>
  <si>
    <t>VOLUME</t>
  </si>
  <si>
    <t>WIDTH</t>
  </si>
  <si>
    <t>LENGTH</t>
  </si>
  <si>
    <t>TECHNOLOGY</t>
  </si>
  <si>
    <t>FIN BOXES</t>
  </si>
  <si>
    <t>FINS</t>
  </si>
  <si>
    <t>REC. SAIL SIZES</t>
  </si>
  <si>
    <t>Stubby TE 76</t>
  </si>
  <si>
    <t>76 l</t>
  </si>
  <si>
    <t>55 cm</t>
  </si>
  <si>
    <t>212 cm</t>
  </si>
  <si>
    <t>BXIC</t>
  </si>
  <si>
    <t>2 × Slot Box,_x000D_Center US Box</t>
  </si>
  <si>
    <t>CF 2 × 12cm, 17cm</t>
  </si>
  <si>
    <t>Up to 5.3 m2</t>
  </si>
  <si>
    <t>Stubby TE 82</t>
  </si>
  <si>
    <t>Up to 5.8 m2</t>
  </si>
  <si>
    <t>Stubby TE 89</t>
  </si>
  <si>
    <t>CF 2 × 12cm, 18cm</t>
  </si>
  <si>
    <t>Up to 6.2 m2</t>
  </si>
  <si>
    <t>Up to 6.5 m2</t>
  </si>
  <si>
    <t>Grip TE 68</t>
  </si>
  <si>
    <t>4 × Slot Box</t>
  </si>
  <si>
    <t>CF 2 × 9 cm, 2 × 14cm</t>
  </si>
  <si>
    <t>Up to 5.0 m2</t>
  </si>
  <si>
    <t>Grip TE 76</t>
  </si>
  <si>
    <t>5 × Slot Box</t>
  </si>
  <si>
    <t>CF 2 × 9.5 cm, 2 × 14.5 cm</t>
  </si>
  <si>
    <t>Grip TE 82</t>
  </si>
  <si>
    <t>Grip TE 89</t>
  </si>
  <si>
    <t>CF 2 × 10 cm, 2 × 14.5 cm</t>
  </si>
  <si>
    <t>Grip TE 99</t>
  </si>
  <si>
    <t>2 × Slot Box, C. US Box</t>
  </si>
  <si>
    <t>MFC TF Black 2 × 12cm, 19 cm</t>
  </si>
  <si>
    <t/>
  </si>
  <si>
    <t>FreeWave STB TXTR 85</t>
  </si>
  <si>
    <t>TXTR / BXIC</t>
  </si>
  <si>
    <t>2 × Slot Box,_x000D_Power Box</t>
  </si>
  <si>
    <t>MFC TF Black 2 × 12 cm, 18 cm</t>
  </si>
  <si>
    <t>Up to 6.0 m2</t>
  </si>
  <si>
    <t>FreeWave STB TXTR 95</t>
  </si>
  <si>
    <t>MFC TF Black 2 × 12 cm, 19 cm</t>
  </si>
  <si>
    <t>FreeWave STB TXTR 105</t>
  </si>
  <si>
    <t>MFC TF Black 2 × 12 cm, 20 cm</t>
  </si>
  <si>
    <t>Up to 6.8 m2</t>
  </si>
  <si>
    <t>FreeWave STB TXTR 115</t>
  </si>
  <si>
    <t>MFC 30 cm</t>
  </si>
  <si>
    <t>Up to 7.5 m2</t>
  </si>
  <si>
    <t>FreeWave STB TE 85</t>
  </si>
  <si>
    <t>FreeWave STB TE 95</t>
  </si>
  <si>
    <t>FreeWave STB TE 105</t>
  </si>
  <si>
    <t>FreeWave STB TE 115</t>
  </si>
  <si>
    <t>FreeWave STB 85</t>
  </si>
  <si>
    <t>BXF</t>
  </si>
  <si>
    <t>CF 26 cm</t>
  </si>
  <si>
    <t>FreeWave STB 95</t>
  </si>
  <si>
    <t>CF 28 cm</t>
  </si>
  <si>
    <t>FreeWave STB 105</t>
  </si>
  <si>
    <t>CF 30 cm</t>
  </si>
  <si>
    <t>Skate TE 86</t>
  </si>
  <si>
    <t>Power Box</t>
  </si>
  <si>
    <t>CF Composite Innegra 17.5 cm</t>
  </si>
  <si>
    <t>Skate TE 93</t>
  </si>
  <si>
    <t>CF Composite Innegra 18.5 cm</t>
  </si>
  <si>
    <t>Up to 5.9 m2</t>
  </si>
  <si>
    <t>Skate TE 100</t>
  </si>
  <si>
    <t>CF Composite Innegra 20 cm</t>
  </si>
  <si>
    <t>Skate TE 108</t>
  </si>
  <si>
    <t>CF Composite Innegra 22 cm</t>
  </si>
  <si>
    <t>Up to 6.7 m2</t>
  </si>
  <si>
    <t>Gecko LTD 98</t>
  </si>
  <si>
    <t>CF Composite Black 34 cm</t>
  </si>
  <si>
    <t>Gecko LTD 105</t>
  </si>
  <si>
    <t>CF Composite Black 36 cm</t>
  </si>
  <si>
    <t>Up to 8.0 m2</t>
  </si>
  <si>
    <t>Gecko LTD 112</t>
  </si>
  <si>
    <t>CF Composite Black 38 cm</t>
  </si>
  <si>
    <t>Up to 8.5 m2</t>
  </si>
  <si>
    <t>Gecko LTD 120</t>
  </si>
  <si>
    <t>CF Composite Black 40 cm</t>
  </si>
  <si>
    <t>Up to 9.0 m2</t>
  </si>
  <si>
    <t>Gecko LTD 133</t>
  </si>
  <si>
    <t>CF Composite Black 42 cm</t>
  </si>
  <si>
    <t>Up to 9.5 m2</t>
  </si>
  <si>
    <t>Gecko LTD 146</t>
  </si>
  <si>
    <t>CF Composite Black 46 cm</t>
  </si>
  <si>
    <t>Up to 10 m2</t>
  </si>
  <si>
    <t>Gecko Foil Edition 120</t>
  </si>
  <si>
    <t>FOIL Tuttle Box</t>
  </si>
  <si>
    <t>Gecko Foil Edition 133</t>
  </si>
  <si>
    <t>CF Composite Black 44 cm</t>
  </si>
  <si>
    <t>Gecko Eco 112</t>
  </si>
  <si>
    <t>CBC</t>
  </si>
  <si>
    <t>Gecko HRS 98</t>
  </si>
  <si>
    <t>HRS</t>
  </si>
  <si>
    <t>CF White 34 cm</t>
  </si>
  <si>
    <t>Gecko HRS 105</t>
  </si>
  <si>
    <t>CF White 36 cm</t>
  </si>
  <si>
    <t>Gecko HRS 112</t>
  </si>
  <si>
    <t>CF White 38 cm</t>
  </si>
  <si>
    <t>Gecko HRS 120</t>
  </si>
  <si>
    <t>CF White 40 cm</t>
  </si>
  <si>
    <t>Gecko HRS 133</t>
  </si>
  <si>
    <t>CF White 42 cm</t>
  </si>
  <si>
    <t>Gecko HRS 146</t>
  </si>
  <si>
    <t>CF White 46 cm</t>
  </si>
  <si>
    <t>Gecko HRS 156 +</t>
  </si>
  <si>
    <t>CF White 48 cm</t>
  </si>
  <si>
    <t>Up to 11 m2</t>
  </si>
  <si>
    <t>Gecko HRS 156 + Daggerboard</t>
  </si>
  <si>
    <t>Fanatic Viper 34 &amp; Daggerboard</t>
  </si>
  <si>
    <t>Blast TXTR 100</t>
  </si>
  <si>
    <t>TXTR / BXC</t>
  </si>
  <si>
    <t>Tuttle Box</t>
  </si>
  <si>
    <t>Up to 7.8 m2</t>
  </si>
  <si>
    <t>Blast TXTR 115</t>
  </si>
  <si>
    <t>Up to 8.4 m2</t>
  </si>
  <si>
    <t>Blast TXTR 130</t>
  </si>
  <si>
    <t>Blast TXTR 145</t>
  </si>
  <si>
    <t>Up to 10.0 m2</t>
  </si>
  <si>
    <t>Blast LTD 100</t>
  </si>
  <si>
    <t>Blast LTD 115</t>
  </si>
  <si>
    <t>Blast LTD 130</t>
  </si>
  <si>
    <t>Blast LTD 145</t>
  </si>
  <si>
    <t>Falcon TE 89</t>
  </si>
  <si>
    <t>BXC</t>
  </si>
  <si>
    <t>Short Tuttle Box</t>
  </si>
  <si>
    <t>No Fin</t>
  </si>
  <si>
    <t>Up to 8.2 m2</t>
  </si>
  <si>
    <t>Falcon TE 114</t>
  </si>
  <si>
    <t>FULL BXC</t>
  </si>
  <si>
    <t>Medium Tuttle Box</t>
  </si>
  <si>
    <t>Up to 8.6 m2</t>
  </si>
  <si>
    <t>Up to 9.2 m2</t>
  </si>
  <si>
    <t>Falcon TE129</t>
  </si>
  <si>
    <t>Falcon Lightwind 159</t>
  </si>
  <si>
    <t>CF Composite Black 50 cm</t>
  </si>
  <si>
    <t>Falcon Speed 44 Lüderitz</t>
  </si>
  <si>
    <t>Up to 7.0 m2</t>
  </si>
  <si>
    <t>Falcon Speed 56</t>
  </si>
  <si>
    <t>Falcon Formula 172</t>
  </si>
  <si>
    <t>Deep Tuttle Box</t>
  </si>
  <si>
    <t>Up to 12.5 m2</t>
  </si>
  <si>
    <t>Viper 75</t>
  </si>
  <si>
    <t>Fanatic Viper 34, Daggerboard</t>
  </si>
  <si>
    <t>Viper 80</t>
  </si>
  <si>
    <t>Viper 85</t>
  </si>
  <si>
    <t>Viper 91</t>
  </si>
  <si>
    <t>Viper Air Windsurf 355</t>
  </si>
  <si>
    <t>DL HD</t>
  </si>
  <si>
    <t>2 × US Box 10 cm</t>
  </si>
  <si>
    <t>1 × Fly 19.5 cm, 1 × Fly Race 22 cm</t>
  </si>
  <si>
    <t>–</t>
  </si>
  <si>
    <t>Viper Air Windsurf 355 Pure</t>
  </si>
  <si>
    <t>Pure</t>
  </si>
  <si>
    <t>Ripper 112</t>
  </si>
  <si>
    <t>Fanatic Ripper 30 &amp; 39</t>
  </si>
  <si>
    <t>Ripper Air Windsurf 187</t>
  </si>
  <si>
    <t>Tandem Air Premium</t>
  </si>
  <si>
    <t>2 × Fly 19.5 cm</t>
  </si>
  <si>
    <t>YEAR</t>
  </si>
  <si>
    <t>Category</t>
  </si>
  <si>
    <t>5x Slot Box</t>
  </si>
  <si>
    <t>3x Slot Box</t>
  </si>
  <si>
    <t>Freestyle</t>
  </si>
  <si>
    <t>Power Box + 2x Slot</t>
  </si>
  <si>
    <t>Freeride</t>
  </si>
  <si>
    <t>Foil Tuttle Box</t>
  </si>
  <si>
    <t>Performance</t>
  </si>
  <si>
    <t>Slalom</t>
  </si>
  <si>
    <t>Foil</t>
  </si>
  <si>
    <t>4-Way Track + Tuttle</t>
  </si>
  <si>
    <t>Grip TE 69</t>
  </si>
  <si>
    <t>Grip TE 81</t>
  </si>
  <si>
    <t>Grip TE 87</t>
  </si>
  <si>
    <t>Grip TE 93</t>
  </si>
  <si>
    <t>Grip TE 107</t>
  </si>
  <si>
    <t>Mamba TE 78</t>
  </si>
  <si>
    <t>Mamba TE 84</t>
  </si>
  <si>
    <t>Mamba TE 94</t>
  </si>
  <si>
    <t>Mamba TE 104</t>
  </si>
  <si>
    <t>Skate TE 85</t>
  </si>
  <si>
    <t>Skate TE 91</t>
  </si>
  <si>
    <t>Skate TE 99</t>
  </si>
  <si>
    <t>FreeWave TE/LTD 75</t>
  </si>
  <si>
    <t>FreeWave TE/LTD 85</t>
  </si>
  <si>
    <t>FreeWave TE/LTD 95</t>
  </si>
  <si>
    <t>FreeWave TE/LTD 105</t>
  </si>
  <si>
    <t>FreeWave TE/LTD 115</t>
  </si>
  <si>
    <t>FreeWave TE/LTD 125</t>
  </si>
  <si>
    <t>Blast LTD/HRS 100</t>
  </si>
  <si>
    <t>Blast LTD/HRS 117</t>
  </si>
  <si>
    <t>Blast LTD/HRS 132</t>
  </si>
  <si>
    <t>Blast LTD/HRS 147</t>
  </si>
  <si>
    <t>Gecko LTD/HRS 100</t>
  </si>
  <si>
    <t>Gecko LTD/HRS 110</t>
  </si>
  <si>
    <t>Gecko LTD/HRS 122</t>
  </si>
  <si>
    <t>Gecko LTD/HRS 135</t>
  </si>
  <si>
    <t>Gecko LTD/HRS 148</t>
  </si>
  <si>
    <t>Gecko LTD/HRS 156</t>
  </si>
  <si>
    <t>Eagle LTD/HRS 130</t>
  </si>
  <si>
    <t>Eagle LTD/HRS 150</t>
  </si>
  <si>
    <t>Jag LTD 94</t>
  </si>
  <si>
    <t>Jag LTD 110</t>
  </si>
  <si>
    <t>Jag LTD 128</t>
  </si>
  <si>
    <t>Jag LTD 138</t>
  </si>
  <si>
    <t>Jag LTD 158</t>
  </si>
  <si>
    <t>Falcon TE 80</t>
  </si>
  <si>
    <t>Falcon TE 90</t>
  </si>
  <si>
    <t>Falcon TE 97</t>
  </si>
  <si>
    <t>Falcon TE 107</t>
  </si>
  <si>
    <t>Falcon TE 116</t>
  </si>
  <si>
    <t>Falcon TE 130</t>
  </si>
  <si>
    <t>Falcon TE 140</t>
  </si>
  <si>
    <t>Stingray LTD 115</t>
  </si>
  <si>
    <t>Stingray LTD 130</t>
  </si>
  <si>
    <t>Falcon Foil 140</t>
  </si>
  <si>
    <t>Falcon Foil 170</t>
  </si>
  <si>
    <t>Falcon Foil 180</t>
  </si>
  <si>
    <t>Tiga Box</t>
  </si>
  <si>
    <t>Tuttlebox</t>
  </si>
  <si>
    <t>&lt; 6.5</t>
  </si>
  <si>
    <t>&lt; 7.4</t>
  </si>
  <si>
    <t>Foil-Tuttlebox</t>
  </si>
  <si>
    <t>6.5 – 8.2</t>
  </si>
  <si>
    <t>&gt; 8.2</t>
  </si>
  <si>
    <t>Tiga</t>
  </si>
  <si>
    <t>260 ACR</t>
  </si>
  <si>
    <t>Slalom 55</t>
  </si>
  <si>
    <t>Slalom 62.5</t>
  </si>
  <si>
    <t>Slalom 72</t>
  </si>
  <si>
    <t>Slalom 85</t>
  </si>
  <si>
    <t>JP</t>
  </si>
  <si>
    <t>S-TEC</t>
  </si>
  <si>
    <t>&lt; 7.4 (Ideal: 5.0–7.0)</t>
  </si>
  <si>
    <t>5.5–8.2 (Ideal: 5.6–7.8)</t>
  </si>
  <si>
    <t>6.5–8.6 (Ideal: 7.0–8.2)</t>
  </si>
  <si>
    <t>7.0–9.0 (Ideal: 7.4–8.6)</t>
  </si>
  <si>
    <t>&gt; 7.4 (Ideal: 7.6–9.0)</t>
  </si>
  <si>
    <t>Slalom 66</t>
  </si>
  <si>
    <t>Slalom 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</si>
</sst>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A0A0A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2" fillId="4" borderId="1" xfId="0" applyFont="1" applyFill="1" applyBorder="1" applyAlignment="1">
      <alignment vertical="top" wrapText="1"/>
    </xf>
    <xf numFmtId="0" fontId="1" fillId="5" borderId="0" xfId="0" applyFont="1" applyFill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168088</xdr:colOff>
      <xdr:row>0</xdr:row>
      <xdr:rowOff>67235</xdr:rowOff>
    </xdr:from>
    <xdr:ext cx="3505200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F74FAB-0F1A-43EA-8764-B5619E553505}"/>
            </a:ext>
          </a:extLst>
        </xdr:cNvPr>
        <xdr:cNvSpPr txBox="1"/>
      </xdr:nvSpPr>
      <xdr:spPr>
        <a:xfrm>
          <a:off x="11732559" y="67235"/>
          <a:ext cx="3505200" cy="2645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sv-SE" sz="1100" b="1"/>
            <a:t>=REGEXREPLACE(A1,"[^0-9.]","")+0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66675</xdr:colOff>
      <xdr:row>1</xdr:row>
      <xdr:rowOff>104775</xdr:rowOff>
    </xdr:from>
    <xdr:to>
      <xdr:col>22</xdr:col>
      <xdr:colOff>0</xdr:colOff>
      <xdr:row>4</xdr:row>
      <xdr:rowOff>123825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ADE1EF-222B-9311-72D2-A69AABD663FB}"/>
            </a:ext>
          </a:extLst>
        </xdr:cNvPr>
        <xdr:cNvSpPr txBox="1"/>
      </xdr:nvSpPr>
      <xdr:spPr>
        <a:xfrm>
          <a:off x="7381875" y="295275"/>
          <a:ext cx="6029325" cy="590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 will input at picture with windsurfing board data. Please convert it to a table with the column ordered by Brand, Modell, Volume, Width Length and if available Technology, Fin Boxes, Fins and rec. sail sizes</a:t>
          </a:r>
          <a:endParaRPr lang="sv-SE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sv-SE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95250</xdr:colOff>
      <xdr:row>1</xdr:row>
      <xdr:rowOff>161925</xdr:rowOff>
    </xdr:from>
    <xdr:ext cx="3505200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FA36989-2FD6-02D9-659E-1C618AB54C2B}"/>
            </a:ext>
          </a:extLst>
        </xdr:cNvPr>
        <xdr:cNvSpPr txBox="1"/>
      </xdr:nvSpPr>
      <xdr:spPr>
        <a:xfrm>
          <a:off x="4972050" y="352425"/>
          <a:ext cx="3505200" cy="2645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sv-SE" sz="1100" b="1"/>
            <a:t>=REGEXREPLACE(A1,"[^0-9.]","")+0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"/>
  <sheetViews>
    <sheetView tabSelected="1" zoomScaleNormal="100" workbookViewId="0">
      <selection activeCell="C45" sqref="C45"/>
    </sheetView>
  </sheetViews>
  <sheetFormatPr defaultRowHeight="15" x14ac:dyDescent="0.25"/>
  <cols>
    <col min="2" max="2" width="16.42578125" customWidth="1"/>
    <col min="3" max="3" width="26.28515625" bestFit="1" customWidth="1"/>
    <col min="4" max="4" width="12" bestFit="1" customWidth="1"/>
    <col min="5" max="5" width="10.28515625" bestFit="1" customWidth="1"/>
    <col min="6" max="6" width="7.28515625" bestFit="1" customWidth="1"/>
    <col min="7" max="7" width="19" bestFit="1" customWidth="1"/>
    <col min="8" max="8" width="33.140625" bestFit="1" customWidth="1"/>
    <col min="9" max="9" width="18.42578125" bestFit="1" customWidth="1"/>
  </cols>
  <sheetData>
    <row r="1" spans="1:9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0</v>
      </c>
      <c r="G1" s="1" t="s">
        <v>10</v>
      </c>
      <c r="H1" s="1" t="s">
        <v>11</v>
      </c>
      <c r="I1" s="2" t="s">
        <v>12</v>
      </c>
    </row>
    <row r="2" spans="1:9" x14ac:dyDescent="0.25">
      <c r="A2" s="3">
        <v>13502</v>
      </c>
      <c r="B2" s="3" t="s">
        <v>2</v>
      </c>
      <c r="C2" s="3" t="s">
        <v>13</v>
      </c>
      <c r="D2" s="3" t="s">
        <v>14</v>
      </c>
      <c r="E2" s="3" t="s">
        <v>15</v>
      </c>
      <c r="F2" s="3">
        <v>2018</v>
      </c>
      <c r="G2" s="3" t="s">
        <v>16</v>
      </c>
      <c r="H2" s="3" t="s">
        <v>17</v>
      </c>
      <c r="I2" s="4"/>
    </row>
    <row r="3" spans="1:9" x14ac:dyDescent="0.25">
      <c r="A3" s="3">
        <v>10455</v>
      </c>
      <c r="B3" s="3" t="s">
        <v>2</v>
      </c>
      <c r="C3" s="3" t="s">
        <v>18</v>
      </c>
      <c r="D3" s="3" t="s">
        <v>19</v>
      </c>
      <c r="E3" s="3" t="s">
        <v>20</v>
      </c>
      <c r="F3" s="3">
        <v>2018</v>
      </c>
      <c r="G3" s="3" t="s">
        <v>16</v>
      </c>
      <c r="H3" s="3" t="s">
        <v>21</v>
      </c>
      <c r="I3" s="4"/>
    </row>
    <row r="4" spans="1:9" x14ac:dyDescent="0.25">
      <c r="A4" s="3">
        <v>9740</v>
      </c>
      <c r="B4" s="3" t="s">
        <v>2</v>
      </c>
      <c r="C4" s="3" t="s">
        <v>22</v>
      </c>
      <c r="D4" s="3" t="s">
        <v>14</v>
      </c>
      <c r="E4" s="3" t="s">
        <v>15</v>
      </c>
      <c r="F4" s="3">
        <v>2018</v>
      </c>
      <c r="G4" s="3" t="s">
        <v>16</v>
      </c>
      <c r="H4" s="3" t="s">
        <v>23</v>
      </c>
      <c r="I4" s="4"/>
    </row>
    <row r="5" spans="1:9" x14ac:dyDescent="0.25">
      <c r="A5" s="3">
        <v>10388</v>
      </c>
      <c r="B5" s="3" t="s">
        <v>2</v>
      </c>
      <c r="C5" s="3" t="s">
        <v>24</v>
      </c>
      <c r="D5" s="3" t="s">
        <v>25</v>
      </c>
      <c r="E5" s="3" t="s">
        <v>26</v>
      </c>
      <c r="F5" s="3">
        <v>2018</v>
      </c>
      <c r="G5" s="3" t="s">
        <v>27</v>
      </c>
      <c r="H5" s="3" t="s">
        <v>28</v>
      </c>
      <c r="I5" s="4"/>
    </row>
    <row r="6" spans="1:9" x14ac:dyDescent="0.25">
      <c r="A6" s="3">
        <v>12165</v>
      </c>
      <c r="B6" s="3" t="s">
        <v>2</v>
      </c>
      <c r="C6" s="3" t="s">
        <v>24</v>
      </c>
      <c r="D6" s="3" t="s">
        <v>29</v>
      </c>
      <c r="E6" s="3" t="s">
        <v>26</v>
      </c>
      <c r="F6" s="3">
        <v>2018</v>
      </c>
      <c r="G6" s="3" t="s">
        <v>27</v>
      </c>
      <c r="H6" s="3" t="s">
        <v>28</v>
      </c>
      <c r="I6" s="4"/>
    </row>
    <row r="7" spans="1:9" x14ac:dyDescent="0.25">
      <c r="A7" s="3">
        <v>11191</v>
      </c>
      <c r="B7" s="3" t="s">
        <v>2</v>
      </c>
      <c r="C7" s="3" t="s">
        <v>30</v>
      </c>
      <c r="D7" s="3" t="s">
        <v>31</v>
      </c>
      <c r="E7" s="3" t="s">
        <v>32</v>
      </c>
      <c r="F7" s="3">
        <v>2018</v>
      </c>
      <c r="G7" s="3" t="s">
        <v>16</v>
      </c>
      <c r="H7" s="3" t="s">
        <v>33</v>
      </c>
      <c r="I7" s="4"/>
    </row>
    <row r="8" spans="1:9" x14ac:dyDescent="0.25">
      <c r="A8" s="3">
        <v>10662</v>
      </c>
      <c r="B8" s="3" t="s">
        <v>2</v>
      </c>
      <c r="C8" s="3" t="s">
        <v>34</v>
      </c>
      <c r="D8" s="3" t="s">
        <v>35</v>
      </c>
      <c r="E8" s="3" t="s">
        <v>36</v>
      </c>
      <c r="F8" s="3">
        <v>2018</v>
      </c>
      <c r="G8" s="3" t="s">
        <v>16</v>
      </c>
      <c r="H8" s="3" t="s">
        <v>37</v>
      </c>
      <c r="I8" s="4"/>
    </row>
    <row r="9" spans="1:9" x14ac:dyDescent="0.25">
      <c r="A9" s="3">
        <v>10391</v>
      </c>
      <c r="B9" s="3" t="s">
        <v>2</v>
      </c>
      <c r="C9" s="3" t="s">
        <v>38</v>
      </c>
      <c r="D9" s="3" t="s">
        <v>39</v>
      </c>
      <c r="E9" s="3" t="s">
        <v>40</v>
      </c>
      <c r="F9" s="3">
        <v>2018</v>
      </c>
      <c r="G9" s="3" t="s">
        <v>27</v>
      </c>
      <c r="H9" s="3" t="s">
        <v>41</v>
      </c>
      <c r="I9" s="4"/>
    </row>
    <row r="10" spans="1:9" x14ac:dyDescent="0.25">
      <c r="A10" s="3">
        <v>10650</v>
      </c>
      <c r="B10" s="3" t="s">
        <v>2</v>
      </c>
      <c r="C10" s="3" t="s">
        <v>42</v>
      </c>
      <c r="D10" s="3" t="s">
        <v>43</v>
      </c>
      <c r="E10" s="3" t="s">
        <v>44</v>
      </c>
      <c r="F10" s="3">
        <v>2018</v>
      </c>
      <c r="G10" s="3" t="s">
        <v>45</v>
      </c>
      <c r="H10" s="3" t="s">
        <v>46</v>
      </c>
      <c r="I10" s="4"/>
    </row>
    <row r="11" spans="1:9" x14ac:dyDescent="0.25">
      <c r="A11" s="3">
        <v>10419</v>
      </c>
      <c r="B11" s="3" t="s">
        <v>2</v>
      </c>
      <c r="C11" s="3" t="s">
        <v>47</v>
      </c>
      <c r="D11" s="3" t="s">
        <v>48</v>
      </c>
      <c r="E11" s="3" t="s">
        <v>49</v>
      </c>
      <c r="F11" s="3">
        <v>2018</v>
      </c>
      <c r="G11" s="3" t="s">
        <v>50</v>
      </c>
      <c r="H11" s="3" t="s">
        <v>51</v>
      </c>
      <c r="I11" s="4"/>
    </row>
    <row r="12" spans="1:9" x14ac:dyDescent="0.25">
      <c r="A12" s="3">
        <v>10683</v>
      </c>
      <c r="B12" s="3" t="s">
        <v>2</v>
      </c>
      <c r="C12" s="3" t="s">
        <v>52</v>
      </c>
      <c r="D12" s="3" t="s">
        <v>53</v>
      </c>
      <c r="E12" s="3" t="s">
        <v>54</v>
      </c>
      <c r="F12" s="3">
        <v>2018</v>
      </c>
      <c r="G12" s="3" t="s">
        <v>55</v>
      </c>
      <c r="H12" s="3" t="s">
        <v>56</v>
      </c>
      <c r="I12" s="4"/>
    </row>
    <row r="13" spans="1:9" x14ac:dyDescent="0.25">
      <c r="A13" s="3">
        <v>10290</v>
      </c>
      <c r="B13" s="3" t="s">
        <v>2</v>
      </c>
      <c r="C13" s="3" t="s">
        <v>57</v>
      </c>
      <c r="D13" s="3" t="s">
        <v>58</v>
      </c>
      <c r="E13" s="3" t="s">
        <v>59</v>
      </c>
      <c r="F13" s="3">
        <v>2018</v>
      </c>
      <c r="G13" s="3" t="s">
        <v>45</v>
      </c>
      <c r="H13" s="3" t="s">
        <v>60</v>
      </c>
      <c r="I13" s="4"/>
    </row>
    <row r="14" spans="1:9" x14ac:dyDescent="0.25">
      <c r="A14" s="3">
        <v>10147</v>
      </c>
      <c r="B14" s="3" t="s">
        <v>2</v>
      </c>
      <c r="C14" s="3" t="s">
        <v>61</v>
      </c>
      <c r="D14" s="3" t="s">
        <v>62</v>
      </c>
      <c r="E14" s="3" t="s">
        <v>59</v>
      </c>
      <c r="F14" s="3">
        <v>2018</v>
      </c>
      <c r="G14" s="3" t="s">
        <v>55</v>
      </c>
      <c r="H14" s="3" t="s">
        <v>63</v>
      </c>
      <c r="I14" s="4"/>
    </row>
    <row r="15" spans="1:9" x14ac:dyDescent="0.25">
      <c r="A15" s="3">
        <v>10859</v>
      </c>
      <c r="B15" s="3" t="s">
        <v>2</v>
      </c>
      <c r="C15" s="3" t="s">
        <v>64</v>
      </c>
      <c r="D15" s="3" t="s">
        <v>65</v>
      </c>
      <c r="E15" s="3" t="s">
        <v>66</v>
      </c>
      <c r="F15" s="3">
        <v>2018</v>
      </c>
      <c r="G15" s="3" t="s">
        <v>16</v>
      </c>
      <c r="H15" s="3" t="s">
        <v>67</v>
      </c>
      <c r="I15" s="4"/>
    </row>
    <row r="16" spans="1:9" x14ac:dyDescent="0.25">
      <c r="A16" s="3">
        <v>10899</v>
      </c>
      <c r="B16" s="3" t="s">
        <v>2</v>
      </c>
      <c r="C16" s="3" t="s">
        <v>68</v>
      </c>
      <c r="D16" s="3" t="s">
        <v>69</v>
      </c>
      <c r="E16" s="3" t="s">
        <v>70</v>
      </c>
      <c r="F16" s="3">
        <v>2018</v>
      </c>
      <c r="G16" s="3" t="s">
        <v>27</v>
      </c>
      <c r="H16" s="3" t="s">
        <v>71</v>
      </c>
      <c r="I16" s="4"/>
    </row>
    <row r="17" spans="1:9" x14ac:dyDescent="0.25">
      <c r="A17" s="3">
        <v>12250</v>
      </c>
      <c r="B17" s="3" t="s">
        <v>2</v>
      </c>
      <c r="C17" s="3" t="s">
        <v>72</v>
      </c>
      <c r="D17" s="3" t="s">
        <v>73</v>
      </c>
      <c r="E17" s="3" t="s">
        <v>74</v>
      </c>
      <c r="F17" s="3">
        <v>2018</v>
      </c>
      <c r="G17" s="3" t="s">
        <v>16</v>
      </c>
      <c r="H17" s="3" t="s">
        <v>75</v>
      </c>
      <c r="I17" s="4"/>
    </row>
    <row r="18" spans="1:9" x14ac:dyDescent="0.25">
      <c r="A18" s="3">
        <v>10668</v>
      </c>
      <c r="B18" s="3" t="s">
        <v>2</v>
      </c>
      <c r="C18" s="3" t="s">
        <v>76</v>
      </c>
      <c r="D18" s="3" t="s">
        <v>77</v>
      </c>
      <c r="E18" s="3" t="s">
        <v>78</v>
      </c>
      <c r="F18" s="3">
        <v>2018</v>
      </c>
      <c r="G18" s="3" t="s">
        <v>45</v>
      </c>
      <c r="H18" s="3" t="s">
        <v>79</v>
      </c>
      <c r="I18" s="4"/>
    </row>
    <row r="19" spans="1:9" x14ac:dyDescent="0.25">
      <c r="A19" s="3">
        <v>10688</v>
      </c>
      <c r="B19" s="3" t="s">
        <v>2</v>
      </c>
      <c r="C19" s="3" t="s">
        <v>80</v>
      </c>
      <c r="D19" s="3" t="s">
        <v>81</v>
      </c>
      <c r="E19" s="3" t="s">
        <v>82</v>
      </c>
      <c r="F19" s="3">
        <v>2018</v>
      </c>
      <c r="G19" s="3" t="s">
        <v>83</v>
      </c>
      <c r="H19" s="3" t="s">
        <v>84</v>
      </c>
      <c r="I19" s="4"/>
    </row>
    <row r="20" spans="1:9" x14ac:dyDescent="0.25">
      <c r="A20" s="3">
        <v>10689</v>
      </c>
      <c r="B20" s="3" t="s">
        <v>2</v>
      </c>
      <c r="C20" s="3" t="s">
        <v>80</v>
      </c>
      <c r="D20" s="3" t="s">
        <v>77</v>
      </c>
      <c r="E20" s="3" t="s">
        <v>85</v>
      </c>
      <c r="F20" s="3">
        <v>2018</v>
      </c>
      <c r="G20" s="3" t="s">
        <v>83</v>
      </c>
      <c r="H20" s="3" t="s">
        <v>84</v>
      </c>
      <c r="I20" s="4"/>
    </row>
    <row r="21" spans="1:9" x14ac:dyDescent="0.25">
      <c r="A21" s="3">
        <v>11893</v>
      </c>
      <c r="B21" s="3" t="s">
        <v>2</v>
      </c>
      <c r="C21" s="3" t="s">
        <v>86</v>
      </c>
      <c r="D21" s="3" t="s">
        <v>87</v>
      </c>
      <c r="E21" s="3" t="s">
        <v>88</v>
      </c>
      <c r="F21" s="3">
        <v>2018</v>
      </c>
      <c r="G21" s="3" t="s">
        <v>83</v>
      </c>
      <c r="H21" s="3" t="s">
        <v>89</v>
      </c>
      <c r="I21" s="4"/>
    </row>
    <row r="22" spans="1:9" x14ac:dyDescent="0.25">
      <c r="A22" s="3">
        <v>11871</v>
      </c>
      <c r="B22" s="3" t="s">
        <v>2</v>
      </c>
      <c r="C22" s="3" t="s">
        <v>90</v>
      </c>
      <c r="D22" s="3" t="s">
        <v>91</v>
      </c>
      <c r="E22" s="3" t="s">
        <v>92</v>
      </c>
      <c r="F22" s="3">
        <v>2018</v>
      </c>
      <c r="G22" s="3" t="s">
        <v>83</v>
      </c>
      <c r="H22" s="3" t="s">
        <v>93</v>
      </c>
      <c r="I22" s="4"/>
    </row>
    <row r="23" spans="1:9" x14ac:dyDescent="0.25">
      <c r="A23" s="3">
        <v>11049</v>
      </c>
      <c r="B23" s="3" t="s">
        <v>2</v>
      </c>
      <c r="C23" s="5" t="s">
        <v>94</v>
      </c>
      <c r="D23" s="3" t="s">
        <v>95</v>
      </c>
      <c r="E23" s="3" t="s">
        <v>96</v>
      </c>
      <c r="F23" s="3">
        <v>2018</v>
      </c>
      <c r="G23" s="5" t="s">
        <v>97</v>
      </c>
      <c r="H23" s="5" t="s">
        <v>98</v>
      </c>
      <c r="I23" s="4"/>
    </row>
    <row r="24" spans="1:9" x14ac:dyDescent="0.25">
      <c r="A24" s="3">
        <v>10203</v>
      </c>
      <c r="B24" s="3" t="s">
        <v>2</v>
      </c>
      <c r="C24" s="3" t="s">
        <v>99</v>
      </c>
      <c r="D24" s="3" t="s">
        <v>100</v>
      </c>
      <c r="E24" s="3" t="s">
        <v>96</v>
      </c>
      <c r="F24" s="3">
        <v>2018</v>
      </c>
      <c r="G24" s="3" t="s">
        <v>27</v>
      </c>
      <c r="H24" s="3" t="s">
        <v>101</v>
      </c>
      <c r="I24" s="4"/>
    </row>
    <row r="25" spans="1:9" x14ac:dyDescent="0.25">
      <c r="A25" s="3">
        <v>10545</v>
      </c>
      <c r="B25" s="3" t="s">
        <v>2</v>
      </c>
      <c r="C25" s="5" t="s">
        <v>102</v>
      </c>
      <c r="D25" s="3" t="s">
        <v>103</v>
      </c>
      <c r="E25" s="3" t="s">
        <v>104</v>
      </c>
      <c r="F25" s="3">
        <v>2018</v>
      </c>
      <c r="G25" s="3" t="s">
        <v>83</v>
      </c>
      <c r="H25" s="3" t="s">
        <v>105</v>
      </c>
      <c r="I25" s="4"/>
    </row>
    <row r="26" spans="1:9" x14ac:dyDescent="0.25">
      <c r="A26" s="3">
        <v>11188</v>
      </c>
      <c r="B26" s="3" t="s">
        <v>2</v>
      </c>
      <c r="C26" s="3" t="s">
        <v>106</v>
      </c>
      <c r="D26" s="3" t="s">
        <v>107</v>
      </c>
      <c r="E26" s="3" t="s">
        <v>78</v>
      </c>
      <c r="F26" s="3">
        <v>2018</v>
      </c>
      <c r="G26" s="3" t="s">
        <v>50</v>
      </c>
      <c r="H26" s="3" t="s">
        <v>108</v>
      </c>
      <c r="I26" s="4"/>
    </row>
    <row r="27" spans="1:9" x14ac:dyDescent="0.25">
      <c r="A27" s="3">
        <v>10563</v>
      </c>
      <c r="B27" s="3" t="s">
        <v>2</v>
      </c>
      <c r="C27" s="3" t="s">
        <v>109</v>
      </c>
      <c r="D27" s="3" t="s">
        <v>110</v>
      </c>
      <c r="E27" s="3" t="s">
        <v>111</v>
      </c>
      <c r="F27" s="3">
        <v>2018</v>
      </c>
      <c r="G27" s="3" t="s">
        <v>27</v>
      </c>
      <c r="H27" s="3" t="s">
        <v>112</v>
      </c>
      <c r="I27" s="4"/>
    </row>
    <row r="28" spans="1:9" x14ac:dyDescent="0.25">
      <c r="A28" s="3">
        <v>10291</v>
      </c>
      <c r="B28" s="3" t="s">
        <v>2</v>
      </c>
      <c r="C28" s="3" t="s">
        <v>113</v>
      </c>
      <c r="D28" s="3" t="s">
        <v>114</v>
      </c>
      <c r="E28" s="3" t="s">
        <v>115</v>
      </c>
      <c r="F28" s="3">
        <v>2018</v>
      </c>
      <c r="G28" s="3" t="s">
        <v>55</v>
      </c>
      <c r="H28" s="3" t="s">
        <v>116</v>
      </c>
      <c r="I28" s="4"/>
    </row>
    <row r="29" spans="1:9" x14ac:dyDescent="0.25">
      <c r="A29" s="3">
        <v>740</v>
      </c>
      <c r="B29" s="3" t="s">
        <v>2</v>
      </c>
      <c r="C29" s="3" t="s">
        <v>117</v>
      </c>
      <c r="D29" s="3" t="s">
        <v>118</v>
      </c>
      <c r="E29" s="3" t="s">
        <v>111</v>
      </c>
      <c r="F29" s="3">
        <v>2018</v>
      </c>
      <c r="G29" s="3" t="s">
        <v>50</v>
      </c>
      <c r="H29" s="3" t="s">
        <v>119</v>
      </c>
      <c r="I29" s="4"/>
    </row>
    <row r="30" spans="1:9" x14ac:dyDescent="0.25">
      <c r="A30" s="3">
        <v>10240</v>
      </c>
      <c r="B30" s="3" t="s">
        <v>2</v>
      </c>
      <c r="C30" s="3" t="s">
        <v>120</v>
      </c>
      <c r="D30" s="3" t="s">
        <v>121</v>
      </c>
      <c r="E30" s="3" t="s">
        <v>70</v>
      </c>
      <c r="F30" s="3">
        <v>2018</v>
      </c>
      <c r="G30" s="3" t="s">
        <v>27</v>
      </c>
      <c r="H30" s="3" t="s">
        <v>122</v>
      </c>
      <c r="I30" s="4"/>
    </row>
    <row r="31" spans="1:9" x14ac:dyDescent="0.25">
      <c r="A31" s="3">
        <v>10237</v>
      </c>
      <c r="B31" s="3" t="s">
        <v>2</v>
      </c>
      <c r="C31" s="3" t="s">
        <v>123</v>
      </c>
      <c r="D31" s="3" t="s">
        <v>77</v>
      </c>
      <c r="E31" s="3" t="s">
        <v>74</v>
      </c>
      <c r="F31" s="3">
        <v>2018</v>
      </c>
      <c r="G31" s="3" t="s">
        <v>16</v>
      </c>
      <c r="H31" s="3" t="s">
        <v>124</v>
      </c>
      <c r="I31" s="4"/>
    </row>
    <row r="32" spans="1:9" x14ac:dyDescent="0.25">
      <c r="A32" s="3">
        <v>10219</v>
      </c>
      <c r="B32" s="3" t="s">
        <v>2</v>
      </c>
      <c r="C32" s="3" t="s">
        <v>125</v>
      </c>
      <c r="D32" s="3" t="s">
        <v>126</v>
      </c>
      <c r="E32" s="3" t="s">
        <v>78</v>
      </c>
      <c r="F32" s="3">
        <v>2018</v>
      </c>
      <c r="G32" s="3" t="s">
        <v>83</v>
      </c>
      <c r="H32" s="3" t="s">
        <v>127</v>
      </c>
      <c r="I32" s="4"/>
    </row>
    <row r="33" spans="1:9" x14ac:dyDescent="0.25">
      <c r="A33" s="3">
        <v>12906</v>
      </c>
      <c r="B33" s="3" t="s">
        <v>2</v>
      </c>
      <c r="C33" s="3" t="s">
        <v>128</v>
      </c>
      <c r="D33" s="3" t="s">
        <v>129</v>
      </c>
      <c r="E33" s="3" t="s">
        <v>130</v>
      </c>
      <c r="F33" s="3">
        <v>2018</v>
      </c>
      <c r="G33" s="3" t="s">
        <v>50</v>
      </c>
      <c r="H33" s="3" t="s">
        <v>131</v>
      </c>
      <c r="I33" s="4"/>
    </row>
    <row r="34" spans="1:9" x14ac:dyDescent="0.25">
      <c r="A34" s="3">
        <v>13285</v>
      </c>
      <c r="B34" s="3" t="s">
        <v>2</v>
      </c>
      <c r="C34" s="3" t="s">
        <v>132</v>
      </c>
      <c r="D34" s="3" t="s">
        <v>133</v>
      </c>
      <c r="E34" s="3" t="s">
        <v>134</v>
      </c>
      <c r="F34" s="3">
        <v>2018</v>
      </c>
      <c r="G34" s="3" t="s">
        <v>83</v>
      </c>
      <c r="H34" s="3" t="s">
        <v>135</v>
      </c>
      <c r="I34" s="4"/>
    </row>
  </sheetData>
  <autoFilter ref="A1:I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EE7DF-6394-4A61-9462-EC4D65F15DB9}">
  <dimension ref="A1:J131"/>
  <sheetViews>
    <sheetView zoomScale="70" zoomScaleNormal="70" workbookViewId="0">
      <pane ySplit="1" topLeftCell="A77" activePane="bottomLeft" state="frozen"/>
      <selection pane="bottomLeft" activeCell="D147" sqref="D147"/>
    </sheetView>
  </sheetViews>
  <sheetFormatPr defaultRowHeight="15" x14ac:dyDescent="0.25"/>
  <cols>
    <col min="1" max="2" width="12" customWidth="1"/>
    <col min="3" max="3" width="28.140625" bestFit="1" customWidth="1"/>
    <col min="4" max="4" width="11.28515625" bestFit="1" customWidth="1"/>
    <col min="5" max="5" width="9.85546875" bestFit="1" customWidth="1"/>
    <col min="6" max="6" width="10.7109375" bestFit="1" customWidth="1"/>
    <col min="7" max="7" width="20.42578125" bestFit="1" customWidth="1"/>
    <col min="8" max="8" width="26.7109375" bestFit="1" customWidth="1"/>
    <col min="9" max="9" width="30.5703125" bestFit="1" customWidth="1"/>
    <col min="10" max="10" width="24" bestFit="1" customWidth="1"/>
  </cols>
  <sheetData>
    <row r="1" spans="1:10" ht="33" customHeight="1" x14ac:dyDescent="0.25">
      <c r="A1" s="7" t="s">
        <v>297</v>
      </c>
      <c r="B1" s="7" t="s">
        <v>6</v>
      </c>
      <c r="C1" s="7" t="s">
        <v>136</v>
      </c>
      <c r="D1" s="7" t="s">
        <v>137</v>
      </c>
      <c r="E1" s="7" t="s">
        <v>138</v>
      </c>
      <c r="F1" s="7" t="s">
        <v>139</v>
      </c>
      <c r="G1" s="7" t="s">
        <v>140</v>
      </c>
      <c r="H1" s="7" t="s">
        <v>141</v>
      </c>
      <c r="I1" s="7" t="s">
        <v>142</v>
      </c>
      <c r="J1" s="7" t="s">
        <v>143</v>
      </c>
    </row>
    <row r="2" spans="1:10" x14ac:dyDescent="0.25">
      <c r="A2">
        <v>2018</v>
      </c>
      <c r="B2" t="s">
        <v>2</v>
      </c>
      <c r="C2" t="s">
        <v>144</v>
      </c>
      <c r="D2">
        <v>76</v>
      </c>
      <c r="E2">
        <v>55</v>
      </c>
      <c r="F2">
        <v>212</v>
      </c>
      <c r="G2" t="s">
        <v>148</v>
      </c>
      <c r="H2" t="s">
        <v>149</v>
      </c>
      <c r="I2" t="s">
        <v>150</v>
      </c>
      <c r="J2" t="s">
        <v>151</v>
      </c>
    </row>
    <row r="3" spans="1:10" x14ac:dyDescent="0.25">
      <c r="A3">
        <v>2018</v>
      </c>
      <c r="B3" t="s">
        <v>2</v>
      </c>
      <c r="C3" t="s">
        <v>152</v>
      </c>
      <c r="D3">
        <v>82</v>
      </c>
      <c r="E3">
        <v>56</v>
      </c>
      <c r="F3">
        <v>214</v>
      </c>
      <c r="I3" t="s">
        <v>150</v>
      </c>
      <c r="J3" t="s">
        <v>153</v>
      </c>
    </row>
    <row r="4" spans="1:10" x14ac:dyDescent="0.25">
      <c r="A4">
        <v>2018</v>
      </c>
      <c r="B4" t="s">
        <v>2</v>
      </c>
      <c r="C4" t="s">
        <v>154</v>
      </c>
      <c r="D4">
        <v>89</v>
      </c>
      <c r="E4">
        <v>57.5</v>
      </c>
      <c r="F4">
        <v>215</v>
      </c>
      <c r="I4" t="s">
        <v>155</v>
      </c>
      <c r="J4" t="s">
        <v>156</v>
      </c>
    </row>
    <row r="5" spans="1:10" x14ac:dyDescent="0.25">
      <c r="A5">
        <v>2018</v>
      </c>
      <c r="B5" t="s">
        <v>2</v>
      </c>
      <c r="C5" t="s">
        <v>125</v>
      </c>
      <c r="D5">
        <v>99</v>
      </c>
      <c r="E5">
        <v>60</v>
      </c>
      <c r="F5">
        <v>218</v>
      </c>
      <c r="I5" t="s">
        <v>155</v>
      </c>
      <c r="J5" t="s">
        <v>157</v>
      </c>
    </row>
    <row r="6" spans="1:10" x14ac:dyDescent="0.25">
      <c r="A6">
        <v>2018</v>
      </c>
      <c r="B6" t="s">
        <v>2</v>
      </c>
      <c r="C6" t="s">
        <v>158</v>
      </c>
      <c r="D6">
        <v>68</v>
      </c>
      <c r="E6">
        <v>54</v>
      </c>
      <c r="F6">
        <v>220</v>
      </c>
      <c r="G6" t="s">
        <v>148</v>
      </c>
      <c r="H6" t="s">
        <v>159</v>
      </c>
      <c r="I6" t="s">
        <v>160</v>
      </c>
      <c r="J6" t="s">
        <v>161</v>
      </c>
    </row>
    <row r="7" spans="1:10" x14ac:dyDescent="0.25">
      <c r="A7">
        <v>2018</v>
      </c>
      <c r="B7" t="s">
        <v>2</v>
      </c>
      <c r="C7" t="s">
        <v>162</v>
      </c>
      <c r="D7">
        <v>76</v>
      </c>
      <c r="E7">
        <v>56</v>
      </c>
      <c r="F7">
        <v>222</v>
      </c>
      <c r="H7" t="s">
        <v>163</v>
      </c>
      <c r="I7" t="s">
        <v>164</v>
      </c>
      <c r="J7" t="s">
        <v>151</v>
      </c>
    </row>
    <row r="8" spans="1:10" x14ac:dyDescent="0.25">
      <c r="A8">
        <v>2018</v>
      </c>
      <c r="B8" t="s">
        <v>2</v>
      </c>
      <c r="C8" t="s">
        <v>165</v>
      </c>
      <c r="D8">
        <v>82</v>
      </c>
      <c r="E8">
        <v>58</v>
      </c>
      <c r="F8">
        <v>224</v>
      </c>
      <c r="I8" t="s">
        <v>164</v>
      </c>
      <c r="J8" t="s">
        <v>153</v>
      </c>
    </row>
    <row r="9" spans="1:10" x14ac:dyDescent="0.25">
      <c r="A9">
        <v>2018</v>
      </c>
      <c r="B9" t="s">
        <v>2</v>
      </c>
      <c r="C9" t="s">
        <v>166</v>
      </c>
      <c r="D9">
        <v>89</v>
      </c>
      <c r="E9">
        <v>59.5</v>
      </c>
      <c r="F9">
        <v>226</v>
      </c>
      <c r="I9" t="s">
        <v>167</v>
      </c>
      <c r="J9" t="s">
        <v>156</v>
      </c>
    </row>
    <row r="10" spans="1:10" x14ac:dyDescent="0.25">
      <c r="A10">
        <v>2018</v>
      </c>
      <c r="B10" t="s">
        <v>2</v>
      </c>
      <c r="C10" t="s">
        <v>168</v>
      </c>
      <c r="D10">
        <v>99</v>
      </c>
      <c r="E10">
        <v>62</v>
      </c>
      <c r="F10">
        <v>229</v>
      </c>
      <c r="G10" t="s">
        <v>169</v>
      </c>
      <c r="H10" t="s">
        <v>170</v>
      </c>
      <c r="I10" t="s">
        <v>157</v>
      </c>
      <c r="J10" t="s">
        <v>171</v>
      </c>
    </row>
    <row r="11" spans="1:10" x14ac:dyDescent="0.25">
      <c r="A11">
        <v>2018</v>
      </c>
      <c r="B11" t="s">
        <v>2</v>
      </c>
      <c r="C11" t="s">
        <v>172</v>
      </c>
      <c r="D11">
        <v>85</v>
      </c>
      <c r="E11">
        <v>57.5</v>
      </c>
      <c r="F11">
        <v>225</v>
      </c>
      <c r="G11" t="s">
        <v>173</v>
      </c>
      <c r="H11" t="s">
        <v>174</v>
      </c>
      <c r="I11" t="s">
        <v>175</v>
      </c>
      <c r="J11" t="s">
        <v>176</v>
      </c>
    </row>
    <row r="12" spans="1:10" x14ac:dyDescent="0.25">
      <c r="A12">
        <v>2018</v>
      </c>
      <c r="B12" t="s">
        <v>2</v>
      </c>
      <c r="C12" t="s">
        <v>177</v>
      </c>
      <c r="D12">
        <v>95</v>
      </c>
      <c r="E12">
        <v>60</v>
      </c>
      <c r="F12">
        <v>227</v>
      </c>
      <c r="I12" t="s">
        <v>178</v>
      </c>
      <c r="J12" t="s">
        <v>156</v>
      </c>
    </row>
    <row r="13" spans="1:10" x14ac:dyDescent="0.25">
      <c r="A13">
        <v>2018</v>
      </c>
      <c r="B13" t="s">
        <v>2</v>
      </c>
      <c r="C13" t="s">
        <v>179</v>
      </c>
      <c r="D13">
        <v>105</v>
      </c>
      <c r="E13">
        <v>62.5</v>
      </c>
      <c r="F13">
        <v>229</v>
      </c>
      <c r="I13" t="s">
        <v>180</v>
      </c>
      <c r="J13" t="s">
        <v>181</v>
      </c>
    </row>
    <row r="14" spans="1:10" x14ac:dyDescent="0.25">
      <c r="A14">
        <v>2018</v>
      </c>
      <c r="B14" t="s">
        <v>2</v>
      </c>
      <c r="C14" t="s">
        <v>182</v>
      </c>
      <c r="D14">
        <v>115</v>
      </c>
      <c r="E14">
        <v>65</v>
      </c>
      <c r="F14">
        <v>231</v>
      </c>
      <c r="I14" t="s">
        <v>183</v>
      </c>
      <c r="J14" t="s">
        <v>184</v>
      </c>
    </row>
    <row r="15" spans="1:10" x14ac:dyDescent="0.25">
      <c r="A15">
        <v>2018</v>
      </c>
      <c r="B15" t="s">
        <v>2</v>
      </c>
      <c r="C15" t="s">
        <v>185</v>
      </c>
      <c r="D15">
        <v>85</v>
      </c>
      <c r="E15">
        <v>57.5</v>
      </c>
      <c r="F15">
        <v>225</v>
      </c>
      <c r="G15" t="s">
        <v>148</v>
      </c>
      <c r="H15" t="s">
        <v>174</v>
      </c>
      <c r="I15" t="s">
        <v>175</v>
      </c>
      <c r="J15" t="s">
        <v>176</v>
      </c>
    </row>
    <row r="16" spans="1:10" x14ac:dyDescent="0.25">
      <c r="A16">
        <v>2018</v>
      </c>
      <c r="B16" t="s">
        <v>2</v>
      </c>
      <c r="C16" t="s">
        <v>186</v>
      </c>
      <c r="D16">
        <v>95</v>
      </c>
      <c r="E16">
        <v>60</v>
      </c>
      <c r="F16">
        <v>227</v>
      </c>
      <c r="I16" t="s">
        <v>178</v>
      </c>
      <c r="J16" t="s">
        <v>156</v>
      </c>
    </row>
    <row r="17" spans="1:10" x14ac:dyDescent="0.25">
      <c r="A17">
        <v>2018</v>
      </c>
      <c r="B17" t="s">
        <v>2</v>
      </c>
      <c r="C17" t="s">
        <v>187</v>
      </c>
      <c r="D17">
        <v>105</v>
      </c>
      <c r="E17">
        <v>62.5</v>
      </c>
      <c r="F17">
        <v>229</v>
      </c>
      <c r="I17" t="s">
        <v>180</v>
      </c>
      <c r="J17" t="s">
        <v>181</v>
      </c>
    </row>
    <row r="18" spans="1:10" x14ac:dyDescent="0.25">
      <c r="A18">
        <v>2018</v>
      </c>
      <c r="B18" t="s">
        <v>2</v>
      </c>
      <c r="C18" t="s">
        <v>188</v>
      </c>
      <c r="D18">
        <v>115</v>
      </c>
      <c r="E18">
        <v>65</v>
      </c>
      <c r="F18">
        <v>231</v>
      </c>
      <c r="I18" t="s">
        <v>183</v>
      </c>
      <c r="J18" t="s">
        <v>184</v>
      </c>
    </row>
    <row r="19" spans="1:10" x14ac:dyDescent="0.25">
      <c r="A19">
        <v>2018</v>
      </c>
      <c r="B19" t="s">
        <v>2</v>
      </c>
      <c r="C19" t="s">
        <v>189</v>
      </c>
      <c r="D19">
        <v>85</v>
      </c>
      <c r="E19">
        <v>57.5</v>
      </c>
      <c r="F19">
        <v>225</v>
      </c>
      <c r="G19" t="s">
        <v>190</v>
      </c>
      <c r="H19" t="s">
        <v>174</v>
      </c>
      <c r="I19" t="s">
        <v>191</v>
      </c>
      <c r="J19" t="s">
        <v>176</v>
      </c>
    </row>
    <row r="20" spans="1:10" x14ac:dyDescent="0.25">
      <c r="A20">
        <v>2018</v>
      </c>
      <c r="B20" t="s">
        <v>2</v>
      </c>
      <c r="C20" t="s">
        <v>192</v>
      </c>
      <c r="D20">
        <v>95</v>
      </c>
      <c r="E20">
        <v>60</v>
      </c>
      <c r="F20">
        <v>227</v>
      </c>
      <c r="I20" t="s">
        <v>193</v>
      </c>
      <c r="J20" t="s">
        <v>156</v>
      </c>
    </row>
    <row r="21" spans="1:10" x14ac:dyDescent="0.25">
      <c r="A21">
        <v>2018</v>
      </c>
      <c r="B21" t="s">
        <v>2</v>
      </c>
      <c r="C21" t="s">
        <v>194</v>
      </c>
      <c r="D21">
        <v>105</v>
      </c>
      <c r="E21">
        <v>62.5</v>
      </c>
      <c r="F21">
        <v>229</v>
      </c>
      <c r="I21" t="s">
        <v>195</v>
      </c>
      <c r="J21" t="s">
        <v>181</v>
      </c>
    </row>
    <row r="22" spans="1:10" x14ac:dyDescent="0.25">
      <c r="A22">
        <v>2018</v>
      </c>
      <c r="B22" t="s">
        <v>2</v>
      </c>
      <c r="C22" t="s">
        <v>196</v>
      </c>
      <c r="D22">
        <v>86</v>
      </c>
      <c r="E22">
        <v>60</v>
      </c>
      <c r="F22">
        <v>228</v>
      </c>
      <c r="G22" t="s">
        <v>148</v>
      </c>
      <c r="H22" t="s">
        <v>197</v>
      </c>
      <c r="I22" t="s">
        <v>198</v>
      </c>
      <c r="J22" t="s">
        <v>151</v>
      </c>
    </row>
    <row r="23" spans="1:10" x14ac:dyDescent="0.25">
      <c r="A23">
        <v>2018</v>
      </c>
      <c r="B23" t="s">
        <v>2</v>
      </c>
      <c r="C23" t="s">
        <v>199</v>
      </c>
      <c r="D23">
        <v>93</v>
      </c>
      <c r="E23">
        <v>62</v>
      </c>
      <c r="F23">
        <v>225</v>
      </c>
      <c r="I23" t="s">
        <v>200</v>
      </c>
      <c r="J23" t="s">
        <v>201</v>
      </c>
    </row>
    <row r="24" spans="1:10" x14ac:dyDescent="0.25">
      <c r="A24">
        <v>2018</v>
      </c>
      <c r="B24" t="s">
        <v>2</v>
      </c>
      <c r="C24" t="s">
        <v>202</v>
      </c>
      <c r="D24">
        <v>100</v>
      </c>
      <c r="E24">
        <v>64</v>
      </c>
      <c r="F24">
        <v>228</v>
      </c>
      <c r="I24" t="s">
        <v>203</v>
      </c>
      <c r="J24" t="s">
        <v>156</v>
      </c>
    </row>
    <row r="25" spans="1:10" x14ac:dyDescent="0.25">
      <c r="A25">
        <v>2018</v>
      </c>
      <c r="B25" t="s">
        <v>2</v>
      </c>
      <c r="C25" t="s">
        <v>204</v>
      </c>
      <c r="D25">
        <v>108</v>
      </c>
      <c r="E25">
        <v>66.5</v>
      </c>
      <c r="F25">
        <v>226</v>
      </c>
      <c r="I25" t="s">
        <v>205</v>
      </c>
      <c r="J25" t="s">
        <v>206</v>
      </c>
    </row>
    <row r="26" spans="1:10" x14ac:dyDescent="0.25">
      <c r="A26">
        <v>2018</v>
      </c>
      <c r="B26" t="s">
        <v>2</v>
      </c>
      <c r="C26" t="s">
        <v>207</v>
      </c>
      <c r="D26">
        <v>98</v>
      </c>
      <c r="E26">
        <v>63</v>
      </c>
      <c r="F26">
        <v>239</v>
      </c>
      <c r="G26" t="s">
        <v>190</v>
      </c>
      <c r="H26" t="s">
        <v>197</v>
      </c>
      <c r="I26" t="s">
        <v>208</v>
      </c>
      <c r="J26" t="s">
        <v>184</v>
      </c>
    </row>
    <row r="27" spans="1:10" x14ac:dyDescent="0.25">
      <c r="A27">
        <v>2018</v>
      </c>
      <c r="B27" t="s">
        <v>2</v>
      </c>
      <c r="C27" t="s">
        <v>209</v>
      </c>
      <c r="D27">
        <v>105</v>
      </c>
      <c r="E27">
        <v>69</v>
      </c>
      <c r="F27">
        <v>239</v>
      </c>
      <c r="I27" t="s">
        <v>210</v>
      </c>
      <c r="J27" t="s">
        <v>211</v>
      </c>
    </row>
    <row r="28" spans="1:10" x14ac:dyDescent="0.25">
      <c r="A28">
        <v>2018</v>
      </c>
      <c r="B28" t="s">
        <v>2</v>
      </c>
      <c r="C28" t="s">
        <v>212</v>
      </c>
      <c r="D28">
        <v>112</v>
      </c>
      <c r="E28">
        <v>73</v>
      </c>
      <c r="F28">
        <v>239</v>
      </c>
      <c r="I28" t="s">
        <v>213</v>
      </c>
      <c r="J28" t="s">
        <v>214</v>
      </c>
    </row>
    <row r="29" spans="1:10" x14ac:dyDescent="0.25">
      <c r="A29">
        <v>2018</v>
      </c>
      <c r="B29" t="s">
        <v>2</v>
      </c>
      <c r="C29" t="s">
        <v>215</v>
      </c>
      <c r="D29">
        <v>120</v>
      </c>
      <c r="E29">
        <v>76</v>
      </c>
      <c r="F29">
        <v>242</v>
      </c>
      <c r="I29" t="s">
        <v>216</v>
      </c>
      <c r="J29" t="s">
        <v>217</v>
      </c>
    </row>
    <row r="30" spans="1:10" x14ac:dyDescent="0.25">
      <c r="A30">
        <v>2018</v>
      </c>
      <c r="B30" t="s">
        <v>2</v>
      </c>
      <c r="C30" t="s">
        <v>218</v>
      </c>
      <c r="D30">
        <v>133</v>
      </c>
      <c r="E30">
        <v>78</v>
      </c>
      <c r="F30">
        <v>246</v>
      </c>
      <c r="I30" t="s">
        <v>219</v>
      </c>
      <c r="J30" t="s">
        <v>220</v>
      </c>
    </row>
    <row r="31" spans="1:10" x14ac:dyDescent="0.25">
      <c r="A31">
        <v>2018</v>
      </c>
      <c r="B31" t="s">
        <v>2</v>
      </c>
      <c r="C31" t="s">
        <v>221</v>
      </c>
      <c r="D31">
        <v>146</v>
      </c>
      <c r="E31">
        <v>83</v>
      </c>
      <c r="F31">
        <v>250</v>
      </c>
      <c r="I31" t="s">
        <v>222</v>
      </c>
      <c r="J31" t="s">
        <v>223</v>
      </c>
    </row>
    <row r="32" spans="1:10" x14ac:dyDescent="0.25">
      <c r="A32">
        <v>2018</v>
      </c>
      <c r="B32" t="s">
        <v>2</v>
      </c>
      <c r="C32" t="s">
        <v>224</v>
      </c>
      <c r="D32">
        <v>120</v>
      </c>
      <c r="E32">
        <v>76</v>
      </c>
      <c r="F32">
        <v>242</v>
      </c>
      <c r="G32" t="s">
        <v>190</v>
      </c>
      <c r="H32" t="s">
        <v>225</v>
      </c>
      <c r="I32" t="s">
        <v>219</v>
      </c>
      <c r="J32" t="s">
        <v>217</v>
      </c>
    </row>
    <row r="33" spans="1:10" x14ac:dyDescent="0.25">
      <c r="A33">
        <v>2018</v>
      </c>
      <c r="B33" t="s">
        <v>2</v>
      </c>
      <c r="C33" t="s">
        <v>226</v>
      </c>
      <c r="D33">
        <v>133</v>
      </c>
      <c r="E33">
        <v>78</v>
      </c>
      <c r="F33">
        <v>246</v>
      </c>
      <c r="I33" t="s">
        <v>227</v>
      </c>
      <c r="J33" t="s">
        <v>220</v>
      </c>
    </row>
    <row r="34" spans="1:10" x14ac:dyDescent="0.25">
      <c r="A34">
        <v>2018</v>
      </c>
      <c r="B34" t="s">
        <v>2</v>
      </c>
      <c r="C34" t="s">
        <v>228</v>
      </c>
      <c r="D34">
        <v>112</v>
      </c>
      <c r="E34">
        <v>73</v>
      </c>
      <c r="F34">
        <v>239</v>
      </c>
      <c r="G34" t="s">
        <v>229</v>
      </c>
      <c r="H34" t="s">
        <v>197</v>
      </c>
      <c r="I34" t="s">
        <v>213</v>
      </c>
      <c r="J34" t="s">
        <v>214</v>
      </c>
    </row>
    <row r="35" spans="1:10" x14ac:dyDescent="0.25">
      <c r="A35">
        <v>2018</v>
      </c>
      <c r="B35" t="s">
        <v>2</v>
      </c>
      <c r="C35" t="s">
        <v>230</v>
      </c>
      <c r="D35">
        <v>98</v>
      </c>
      <c r="E35">
        <v>63</v>
      </c>
      <c r="F35">
        <v>239</v>
      </c>
      <c r="G35" t="s">
        <v>231</v>
      </c>
      <c r="H35" t="s">
        <v>197</v>
      </c>
      <c r="I35" t="s">
        <v>232</v>
      </c>
      <c r="J35" t="s">
        <v>184</v>
      </c>
    </row>
    <row r="36" spans="1:10" x14ac:dyDescent="0.25">
      <c r="A36">
        <v>2018</v>
      </c>
      <c r="B36" t="s">
        <v>2</v>
      </c>
      <c r="C36" t="s">
        <v>233</v>
      </c>
      <c r="D36">
        <v>105</v>
      </c>
      <c r="E36">
        <v>69</v>
      </c>
      <c r="F36">
        <v>239</v>
      </c>
      <c r="I36" t="s">
        <v>234</v>
      </c>
      <c r="J36" t="s">
        <v>211</v>
      </c>
    </row>
    <row r="37" spans="1:10" x14ac:dyDescent="0.25">
      <c r="A37">
        <v>2018</v>
      </c>
      <c r="B37" t="s">
        <v>2</v>
      </c>
      <c r="C37" t="s">
        <v>235</v>
      </c>
      <c r="D37">
        <v>112</v>
      </c>
      <c r="E37">
        <v>73</v>
      </c>
      <c r="F37">
        <v>239</v>
      </c>
      <c r="I37" t="s">
        <v>236</v>
      </c>
      <c r="J37" t="s">
        <v>214</v>
      </c>
    </row>
    <row r="38" spans="1:10" x14ac:dyDescent="0.25">
      <c r="A38">
        <v>2018</v>
      </c>
      <c r="B38" t="s">
        <v>2</v>
      </c>
      <c r="C38" t="s">
        <v>237</v>
      </c>
      <c r="D38">
        <v>120</v>
      </c>
      <c r="E38">
        <v>76</v>
      </c>
      <c r="F38">
        <v>242</v>
      </c>
      <c r="I38" t="s">
        <v>238</v>
      </c>
      <c r="J38" t="s">
        <v>217</v>
      </c>
    </row>
    <row r="39" spans="1:10" x14ac:dyDescent="0.25">
      <c r="A39">
        <v>2018</v>
      </c>
      <c r="B39" t="s">
        <v>2</v>
      </c>
      <c r="C39" t="s">
        <v>239</v>
      </c>
      <c r="D39">
        <v>133</v>
      </c>
      <c r="E39">
        <v>78</v>
      </c>
      <c r="F39">
        <v>246</v>
      </c>
      <c r="I39" t="s">
        <v>240</v>
      </c>
      <c r="J39" t="s">
        <v>220</v>
      </c>
    </row>
    <row r="40" spans="1:10" x14ac:dyDescent="0.25">
      <c r="A40">
        <v>2018</v>
      </c>
      <c r="B40" t="s">
        <v>2</v>
      </c>
      <c r="C40" t="s">
        <v>241</v>
      </c>
      <c r="D40">
        <v>146</v>
      </c>
      <c r="E40">
        <v>83</v>
      </c>
      <c r="F40">
        <v>250</v>
      </c>
      <c r="I40" t="s">
        <v>242</v>
      </c>
      <c r="J40" t="s">
        <v>223</v>
      </c>
    </row>
    <row r="41" spans="1:10" x14ac:dyDescent="0.25">
      <c r="A41">
        <v>2018</v>
      </c>
      <c r="B41" t="s">
        <v>2</v>
      </c>
      <c r="C41" t="s">
        <v>243</v>
      </c>
      <c r="D41">
        <v>156</v>
      </c>
      <c r="E41">
        <v>85</v>
      </c>
      <c r="F41">
        <v>252</v>
      </c>
      <c r="I41" t="s">
        <v>244</v>
      </c>
      <c r="J41" t="s">
        <v>245</v>
      </c>
    </row>
    <row r="42" spans="1:10" x14ac:dyDescent="0.25">
      <c r="A42">
        <v>2018</v>
      </c>
      <c r="B42" t="s">
        <v>2</v>
      </c>
      <c r="C42" t="s">
        <v>246</v>
      </c>
      <c r="D42">
        <v>156</v>
      </c>
      <c r="E42">
        <v>85</v>
      </c>
      <c r="F42">
        <v>252</v>
      </c>
      <c r="I42" t="s">
        <v>247</v>
      </c>
      <c r="J42" t="s">
        <v>245</v>
      </c>
    </row>
    <row r="43" spans="1:10" x14ac:dyDescent="0.25">
      <c r="A43">
        <v>2018</v>
      </c>
      <c r="B43" t="s">
        <v>2</v>
      </c>
      <c r="C43" t="s">
        <v>248</v>
      </c>
      <c r="D43">
        <v>100</v>
      </c>
      <c r="E43">
        <v>62</v>
      </c>
      <c r="F43">
        <v>231</v>
      </c>
      <c r="G43" t="s">
        <v>249</v>
      </c>
      <c r="H43" t="s">
        <v>250</v>
      </c>
      <c r="I43" t="s">
        <v>208</v>
      </c>
      <c r="J43" t="s">
        <v>251</v>
      </c>
    </row>
    <row r="44" spans="1:10" x14ac:dyDescent="0.25">
      <c r="A44">
        <v>2018</v>
      </c>
      <c r="B44" t="s">
        <v>2</v>
      </c>
      <c r="C44" t="s">
        <v>252</v>
      </c>
      <c r="D44">
        <v>115</v>
      </c>
      <c r="E44">
        <v>66</v>
      </c>
      <c r="F44">
        <v>232</v>
      </c>
      <c r="I44" t="s">
        <v>213</v>
      </c>
      <c r="J44" t="s">
        <v>253</v>
      </c>
    </row>
    <row r="45" spans="1:10" x14ac:dyDescent="0.25">
      <c r="A45">
        <v>2018</v>
      </c>
      <c r="B45" t="s">
        <v>2</v>
      </c>
      <c r="C45" t="s">
        <v>254</v>
      </c>
      <c r="D45">
        <v>130</v>
      </c>
      <c r="E45">
        <v>70</v>
      </c>
      <c r="F45">
        <v>233</v>
      </c>
      <c r="H45" t="s">
        <v>225</v>
      </c>
      <c r="I45" t="s">
        <v>219</v>
      </c>
      <c r="J45" t="s">
        <v>217</v>
      </c>
    </row>
    <row r="46" spans="1:10" x14ac:dyDescent="0.25">
      <c r="A46">
        <v>2018</v>
      </c>
      <c r="B46" t="s">
        <v>2</v>
      </c>
      <c r="C46" t="s">
        <v>255</v>
      </c>
      <c r="D46">
        <v>145</v>
      </c>
      <c r="E46">
        <v>77</v>
      </c>
      <c r="F46">
        <v>235</v>
      </c>
      <c r="I46" t="s">
        <v>227</v>
      </c>
      <c r="J46" t="s">
        <v>256</v>
      </c>
    </row>
    <row r="47" spans="1:10" x14ac:dyDescent="0.25">
      <c r="A47">
        <v>2018</v>
      </c>
      <c r="B47" t="s">
        <v>2</v>
      </c>
      <c r="C47" t="s">
        <v>257</v>
      </c>
      <c r="D47">
        <v>100</v>
      </c>
      <c r="E47">
        <v>62</v>
      </c>
      <c r="F47">
        <v>231</v>
      </c>
      <c r="G47" t="s">
        <v>190</v>
      </c>
      <c r="H47" t="s">
        <v>250</v>
      </c>
      <c r="I47" t="s">
        <v>208</v>
      </c>
      <c r="J47" t="s">
        <v>251</v>
      </c>
    </row>
    <row r="48" spans="1:10" x14ac:dyDescent="0.25">
      <c r="A48">
        <v>2018</v>
      </c>
      <c r="B48" t="s">
        <v>2</v>
      </c>
      <c r="C48" t="s">
        <v>258</v>
      </c>
      <c r="D48">
        <v>115</v>
      </c>
      <c r="E48">
        <v>66</v>
      </c>
      <c r="F48">
        <v>232</v>
      </c>
      <c r="I48" t="s">
        <v>213</v>
      </c>
      <c r="J48" t="s">
        <v>253</v>
      </c>
    </row>
    <row r="49" spans="1:10" x14ac:dyDescent="0.25">
      <c r="A49">
        <v>2018</v>
      </c>
      <c r="B49" t="s">
        <v>2</v>
      </c>
      <c r="C49" t="s">
        <v>259</v>
      </c>
      <c r="D49">
        <v>130</v>
      </c>
      <c r="E49">
        <v>70</v>
      </c>
      <c r="F49">
        <v>233</v>
      </c>
      <c r="H49" t="s">
        <v>225</v>
      </c>
      <c r="I49" t="s">
        <v>219</v>
      </c>
      <c r="J49" t="s">
        <v>217</v>
      </c>
    </row>
    <row r="50" spans="1:10" x14ac:dyDescent="0.25">
      <c r="A50">
        <v>2018</v>
      </c>
      <c r="B50" t="s">
        <v>2</v>
      </c>
      <c r="C50" t="s">
        <v>260</v>
      </c>
      <c r="D50">
        <v>145</v>
      </c>
      <c r="E50">
        <v>77</v>
      </c>
      <c r="F50">
        <v>235</v>
      </c>
      <c r="I50" t="s">
        <v>227</v>
      </c>
      <c r="J50" t="s">
        <v>256</v>
      </c>
    </row>
    <row r="51" spans="1:10" x14ac:dyDescent="0.25">
      <c r="A51">
        <v>2018</v>
      </c>
      <c r="B51" t="s">
        <v>2</v>
      </c>
      <c r="C51" t="s">
        <v>261</v>
      </c>
      <c r="D51">
        <v>89</v>
      </c>
      <c r="E51">
        <v>60</v>
      </c>
      <c r="F51">
        <v>235</v>
      </c>
      <c r="G51" t="s">
        <v>262</v>
      </c>
      <c r="H51" t="s">
        <v>263</v>
      </c>
      <c r="I51" t="s">
        <v>264</v>
      </c>
      <c r="J51" t="s">
        <v>251</v>
      </c>
    </row>
    <row r="52" spans="1:10" x14ac:dyDescent="0.25">
      <c r="A52">
        <v>2018</v>
      </c>
      <c r="B52" t="s">
        <v>2</v>
      </c>
      <c r="C52" t="s">
        <v>72</v>
      </c>
      <c r="D52">
        <v>98</v>
      </c>
      <c r="E52">
        <v>63</v>
      </c>
      <c r="F52">
        <v>235</v>
      </c>
      <c r="H52" t="s">
        <v>171</v>
      </c>
      <c r="I52" t="s">
        <v>171</v>
      </c>
      <c r="J52" t="s">
        <v>265</v>
      </c>
    </row>
    <row r="53" spans="1:10" x14ac:dyDescent="0.25">
      <c r="A53">
        <v>2018</v>
      </c>
      <c r="B53" t="s">
        <v>2</v>
      </c>
      <c r="C53" t="s">
        <v>266</v>
      </c>
      <c r="D53">
        <v>114</v>
      </c>
      <c r="E53">
        <v>71</v>
      </c>
      <c r="F53">
        <v>230</v>
      </c>
      <c r="G53" t="s">
        <v>267</v>
      </c>
      <c r="H53" t="s">
        <v>268</v>
      </c>
      <c r="I53" t="s">
        <v>264</v>
      </c>
      <c r="J53" t="s">
        <v>269</v>
      </c>
    </row>
    <row r="54" spans="1:10" x14ac:dyDescent="0.25">
      <c r="A54">
        <v>2018</v>
      </c>
      <c r="B54" t="s">
        <v>2</v>
      </c>
      <c r="C54" t="s">
        <v>64</v>
      </c>
      <c r="D54">
        <v>121</v>
      </c>
      <c r="E54">
        <v>75</v>
      </c>
      <c r="F54">
        <v>230</v>
      </c>
      <c r="H54" t="s">
        <v>171</v>
      </c>
      <c r="I54" t="s">
        <v>171</v>
      </c>
      <c r="J54" t="s">
        <v>270</v>
      </c>
    </row>
    <row r="55" spans="1:10" x14ac:dyDescent="0.25">
      <c r="A55">
        <v>2018</v>
      </c>
      <c r="B55" t="s">
        <v>2</v>
      </c>
      <c r="C55" t="s">
        <v>271</v>
      </c>
      <c r="D55">
        <v>129</v>
      </c>
      <c r="E55">
        <v>80</v>
      </c>
      <c r="F55">
        <v>230</v>
      </c>
      <c r="H55" t="s">
        <v>225</v>
      </c>
      <c r="I55" t="s">
        <v>264</v>
      </c>
      <c r="J55" t="s">
        <v>220</v>
      </c>
    </row>
    <row r="56" spans="1:10" x14ac:dyDescent="0.25">
      <c r="A56">
        <v>2018</v>
      </c>
      <c r="B56" t="s">
        <v>2</v>
      </c>
      <c r="C56" t="s">
        <v>68</v>
      </c>
      <c r="D56">
        <v>136</v>
      </c>
      <c r="E56">
        <v>85</v>
      </c>
      <c r="F56">
        <v>225</v>
      </c>
      <c r="H56" t="s">
        <v>171</v>
      </c>
      <c r="I56" t="s">
        <v>171</v>
      </c>
      <c r="J56" t="s">
        <v>223</v>
      </c>
    </row>
    <row r="57" spans="1:10" x14ac:dyDescent="0.25">
      <c r="A57">
        <v>2018</v>
      </c>
      <c r="B57" t="s">
        <v>2</v>
      </c>
      <c r="C57" t="s">
        <v>272</v>
      </c>
      <c r="D57">
        <v>159</v>
      </c>
      <c r="E57">
        <v>90</v>
      </c>
      <c r="F57">
        <v>230</v>
      </c>
      <c r="G57" t="s">
        <v>190</v>
      </c>
      <c r="H57" t="s">
        <v>225</v>
      </c>
      <c r="I57" t="s">
        <v>273</v>
      </c>
      <c r="J57" t="s">
        <v>245</v>
      </c>
    </row>
    <row r="58" spans="1:10" x14ac:dyDescent="0.25">
      <c r="A58">
        <v>2018</v>
      </c>
      <c r="B58" t="s">
        <v>2</v>
      </c>
      <c r="C58" t="s">
        <v>274</v>
      </c>
      <c r="D58">
        <v>54</v>
      </c>
      <c r="E58">
        <v>44</v>
      </c>
      <c r="F58">
        <v>230</v>
      </c>
      <c r="G58" t="s">
        <v>262</v>
      </c>
      <c r="H58" t="s">
        <v>263</v>
      </c>
      <c r="I58" t="s">
        <v>264</v>
      </c>
      <c r="J58" t="s">
        <v>157</v>
      </c>
    </row>
    <row r="59" spans="1:10" x14ac:dyDescent="0.25">
      <c r="A59">
        <v>2018</v>
      </c>
      <c r="B59" t="s">
        <v>2</v>
      </c>
      <c r="C59" t="s">
        <v>57</v>
      </c>
      <c r="D59">
        <v>70</v>
      </c>
      <c r="E59">
        <v>52.5</v>
      </c>
      <c r="F59">
        <v>230</v>
      </c>
      <c r="H59" t="s">
        <v>171</v>
      </c>
      <c r="I59" t="s">
        <v>171</v>
      </c>
      <c r="J59" t="s">
        <v>275</v>
      </c>
    </row>
    <row r="60" spans="1:10" x14ac:dyDescent="0.25">
      <c r="A60">
        <v>2018</v>
      </c>
      <c r="B60" t="s">
        <v>2</v>
      </c>
      <c r="C60" t="s">
        <v>276</v>
      </c>
      <c r="D60">
        <v>79</v>
      </c>
      <c r="E60">
        <v>56</v>
      </c>
      <c r="F60">
        <v>235</v>
      </c>
      <c r="H60" t="s">
        <v>171</v>
      </c>
      <c r="I60" t="s">
        <v>171</v>
      </c>
      <c r="J60" t="s">
        <v>184</v>
      </c>
    </row>
    <row r="61" spans="1:10" x14ac:dyDescent="0.25">
      <c r="A61">
        <v>2018</v>
      </c>
      <c r="B61" t="s">
        <v>2</v>
      </c>
      <c r="C61" t="s">
        <v>277</v>
      </c>
      <c r="D61">
        <v>172</v>
      </c>
      <c r="E61">
        <v>100</v>
      </c>
      <c r="F61">
        <v>230</v>
      </c>
      <c r="G61" t="s">
        <v>267</v>
      </c>
      <c r="H61" t="s">
        <v>278</v>
      </c>
      <c r="I61" t="s">
        <v>264</v>
      </c>
      <c r="J61" t="s">
        <v>279</v>
      </c>
    </row>
    <row r="62" spans="1:10" x14ac:dyDescent="0.25">
      <c r="A62">
        <v>2018</v>
      </c>
      <c r="B62" t="s">
        <v>2</v>
      </c>
      <c r="C62" t="s">
        <v>280</v>
      </c>
      <c r="D62">
        <v>160</v>
      </c>
      <c r="E62">
        <v>75</v>
      </c>
      <c r="F62">
        <v>275</v>
      </c>
      <c r="G62" t="s">
        <v>231</v>
      </c>
      <c r="H62" t="s">
        <v>197</v>
      </c>
      <c r="I62" t="s">
        <v>281</v>
      </c>
      <c r="J62" t="s">
        <v>223</v>
      </c>
    </row>
    <row r="63" spans="1:10" x14ac:dyDescent="0.25">
      <c r="A63">
        <v>2018</v>
      </c>
      <c r="B63" t="s">
        <v>2</v>
      </c>
      <c r="C63" t="s">
        <v>282</v>
      </c>
      <c r="D63">
        <v>190</v>
      </c>
      <c r="E63">
        <v>80</v>
      </c>
      <c r="F63">
        <v>280</v>
      </c>
      <c r="G63" t="s">
        <v>171</v>
      </c>
      <c r="H63" t="s">
        <v>171</v>
      </c>
      <c r="I63" t="s">
        <v>171</v>
      </c>
      <c r="J63" t="s">
        <v>171</v>
      </c>
    </row>
    <row r="64" spans="1:10" x14ac:dyDescent="0.25">
      <c r="A64">
        <v>2018</v>
      </c>
      <c r="B64" t="s">
        <v>2</v>
      </c>
      <c r="C64" t="s">
        <v>283</v>
      </c>
      <c r="D64">
        <v>220</v>
      </c>
      <c r="E64">
        <v>85</v>
      </c>
      <c r="F64">
        <v>285</v>
      </c>
      <c r="G64" t="s">
        <v>171</v>
      </c>
      <c r="H64" t="s">
        <v>171</v>
      </c>
      <c r="I64" t="s">
        <v>171</v>
      </c>
      <c r="J64" t="s">
        <v>171</v>
      </c>
    </row>
    <row r="65" spans="1:10" x14ac:dyDescent="0.25">
      <c r="A65">
        <v>2018</v>
      </c>
      <c r="B65" t="s">
        <v>2</v>
      </c>
      <c r="C65" t="s">
        <v>284</v>
      </c>
      <c r="D65">
        <v>240</v>
      </c>
      <c r="E65">
        <v>91</v>
      </c>
      <c r="F65">
        <v>290</v>
      </c>
      <c r="G65" t="s">
        <v>171</v>
      </c>
      <c r="H65" t="s">
        <v>171</v>
      </c>
      <c r="I65" t="s">
        <v>171</v>
      </c>
      <c r="J65" t="s">
        <v>171</v>
      </c>
    </row>
    <row r="66" spans="1:10" x14ac:dyDescent="0.25">
      <c r="A66">
        <v>2018</v>
      </c>
      <c r="B66" t="s">
        <v>2</v>
      </c>
      <c r="C66" t="s">
        <v>285</v>
      </c>
      <c r="D66">
        <v>355</v>
      </c>
      <c r="E66">
        <v>85.1</v>
      </c>
      <c r="F66">
        <v>335.3</v>
      </c>
      <c r="G66" t="s">
        <v>286</v>
      </c>
      <c r="H66" t="s">
        <v>287</v>
      </c>
      <c r="I66" t="s">
        <v>288</v>
      </c>
      <c r="J66" t="s">
        <v>289</v>
      </c>
    </row>
    <row r="67" spans="1:10" x14ac:dyDescent="0.25">
      <c r="A67">
        <v>2018</v>
      </c>
      <c r="B67" t="s">
        <v>2</v>
      </c>
      <c r="C67" t="s">
        <v>290</v>
      </c>
      <c r="D67">
        <v>355</v>
      </c>
      <c r="E67">
        <v>85.1</v>
      </c>
      <c r="F67">
        <v>335.3</v>
      </c>
      <c r="G67" t="s">
        <v>291</v>
      </c>
      <c r="H67" t="s">
        <v>287</v>
      </c>
      <c r="I67" t="s">
        <v>288</v>
      </c>
      <c r="J67" t="s">
        <v>289</v>
      </c>
    </row>
    <row r="68" spans="1:10" x14ac:dyDescent="0.25">
      <c r="A68">
        <v>2018</v>
      </c>
      <c r="B68" t="s">
        <v>2</v>
      </c>
      <c r="C68" t="s">
        <v>292</v>
      </c>
      <c r="D68">
        <v>112</v>
      </c>
      <c r="E68">
        <v>73</v>
      </c>
      <c r="F68">
        <v>239</v>
      </c>
      <c r="G68" t="s">
        <v>231</v>
      </c>
      <c r="H68" t="s">
        <v>197</v>
      </c>
      <c r="I68" t="s">
        <v>293</v>
      </c>
      <c r="J68" t="s">
        <v>211</v>
      </c>
    </row>
    <row r="69" spans="1:10" x14ac:dyDescent="0.25">
      <c r="A69">
        <v>2018</v>
      </c>
      <c r="B69" t="s">
        <v>2</v>
      </c>
      <c r="C69" t="s">
        <v>294</v>
      </c>
      <c r="D69">
        <v>187</v>
      </c>
      <c r="E69">
        <v>73.7</v>
      </c>
      <c r="F69">
        <v>274.3</v>
      </c>
      <c r="G69" t="s">
        <v>291</v>
      </c>
      <c r="H69" t="s">
        <v>287</v>
      </c>
      <c r="I69" t="s">
        <v>288</v>
      </c>
      <c r="J69" t="s">
        <v>289</v>
      </c>
    </row>
    <row r="70" spans="1:10" x14ac:dyDescent="0.25">
      <c r="A70">
        <v>2018</v>
      </c>
      <c r="B70" t="s">
        <v>2</v>
      </c>
      <c r="C70" t="s">
        <v>295</v>
      </c>
      <c r="D70">
        <v>505</v>
      </c>
      <c r="E70">
        <v>86.4</v>
      </c>
      <c r="F70">
        <v>487.6</v>
      </c>
      <c r="G70" t="s">
        <v>286</v>
      </c>
      <c r="H70" t="s">
        <v>287</v>
      </c>
      <c r="I70" t="s">
        <v>296</v>
      </c>
      <c r="J70" t="s">
        <v>289</v>
      </c>
    </row>
    <row r="71" spans="1:10" x14ac:dyDescent="0.25">
      <c r="A71">
        <v>2023</v>
      </c>
      <c r="B71" t="s">
        <v>2</v>
      </c>
      <c r="C71" t="s">
        <v>309</v>
      </c>
      <c r="D71">
        <v>69</v>
      </c>
      <c r="E71">
        <v>54</v>
      </c>
      <c r="F71">
        <v>220</v>
      </c>
      <c r="H71" t="s">
        <v>299</v>
      </c>
    </row>
    <row r="72" spans="1:10" x14ac:dyDescent="0.25">
      <c r="A72">
        <v>2023</v>
      </c>
      <c r="B72" t="s">
        <v>2</v>
      </c>
      <c r="C72" t="s">
        <v>162</v>
      </c>
      <c r="D72">
        <v>76</v>
      </c>
      <c r="E72">
        <v>56</v>
      </c>
      <c r="F72">
        <v>223</v>
      </c>
      <c r="H72" t="s">
        <v>299</v>
      </c>
    </row>
    <row r="73" spans="1:10" x14ac:dyDescent="0.25">
      <c r="A73">
        <v>2023</v>
      </c>
      <c r="B73" t="s">
        <v>2</v>
      </c>
      <c r="C73" t="s">
        <v>310</v>
      </c>
      <c r="D73">
        <v>81</v>
      </c>
      <c r="E73">
        <v>57.5</v>
      </c>
      <c r="F73">
        <v>224</v>
      </c>
      <c r="H73" t="s">
        <v>299</v>
      </c>
    </row>
    <row r="74" spans="1:10" x14ac:dyDescent="0.25">
      <c r="A74">
        <v>2023</v>
      </c>
      <c r="B74" t="s">
        <v>2</v>
      </c>
      <c r="C74" t="s">
        <v>311</v>
      </c>
      <c r="D74">
        <v>87</v>
      </c>
      <c r="E74">
        <v>59</v>
      </c>
      <c r="F74">
        <v>225</v>
      </c>
      <c r="H74" t="s">
        <v>299</v>
      </c>
    </row>
    <row r="75" spans="1:10" x14ac:dyDescent="0.25">
      <c r="A75">
        <v>2023</v>
      </c>
      <c r="B75" t="s">
        <v>2</v>
      </c>
      <c r="C75" t="s">
        <v>312</v>
      </c>
      <c r="D75">
        <v>93</v>
      </c>
      <c r="E75">
        <v>60</v>
      </c>
      <c r="F75">
        <v>226</v>
      </c>
      <c r="H75" t="s">
        <v>299</v>
      </c>
    </row>
    <row r="76" spans="1:10" x14ac:dyDescent="0.25">
      <c r="A76">
        <v>2023</v>
      </c>
      <c r="B76" t="s">
        <v>2</v>
      </c>
      <c r="C76" t="s">
        <v>168</v>
      </c>
      <c r="D76">
        <v>99</v>
      </c>
      <c r="E76">
        <v>62</v>
      </c>
      <c r="F76">
        <v>227</v>
      </c>
      <c r="H76" t="s">
        <v>299</v>
      </c>
    </row>
    <row r="77" spans="1:10" x14ac:dyDescent="0.25">
      <c r="A77">
        <v>2023</v>
      </c>
      <c r="B77" t="s">
        <v>2</v>
      </c>
      <c r="C77" t="s">
        <v>313</v>
      </c>
      <c r="D77">
        <v>107</v>
      </c>
      <c r="E77">
        <v>64</v>
      </c>
      <c r="F77">
        <v>230</v>
      </c>
      <c r="H77" t="s">
        <v>299</v>
      </c>
    </row>
    <row r="78" spans="1:10" x14ac:dyDescent="0.25">
      <c r="A78">
        <v>2023</v>
      </c>
      <c r="B78" t="s">
        <v>2</v>
      </c>
      <c r="C78" t="s">
        <v>314</v>
      </c>
      <c r="D78">
        <v>78</v>
      </c>
      <c r="E78">
        <v>56</v>
      </c>
      <c r="F78">
        <v>218</v>
      </c>
      <c r="H78" t="s">
        <v>300</v>
      </c>
    </row>
    <row r="79" spans="1:10" x14ac:dyDescent="0.25">
      <c r="A79">
        <v>2023</v>
      </c>
      <c r="B79" t="s">
        <v>2</v>
      </c>
      <c r="C79" t="s">
        <v>315</v>
      </c>
      <c r="D79">
        <v>84</v>
      </c>
      <c r="E79">
        <v>57.5</v>
      </c>
      <c r="F79">
        <v>220</v>
      </c>
      <c r="H79" t="s">
        <v>300</v>
      </c>
    </row>
    <row r="80" spans="1:10" x14ac:dyDescent="0.25">
      <c r="A80">
        <v>2023</v>
      </c>
      <c r="B80" t="s">
        <v>2</v>
      </c>
      <c r="C80" t="s">
        <v>316</v>
      </c>
      <c r="D80">
        <v>94</v>
      </c>
      <c r="E80">
        <v>60</v>
      </c>
      <c r="F80">
        <v>222</v>
      </c>
      <c r="H80" t="s">
        <v>300</v>
      </c>
    </row>
    <row r="81" spans="1:8" x14ac:dyDescent="0.25">
      <c r="A81">
        <v>2023</v>
      </c>
      <c r="B81" t="s">
        <v>2</v>
      </c>
      <c r="C81" t="s">
        <v>317</v>
      </c>
      <c r="D81">
        <v>104</v>
      </c>
      <c r="E81">
        <v>62</v>
      </c>
      <c r="F81">
        <v>224</v>
      </c>
      <c r="H81" t="s">
        <v>300</v>
      </c>
    </row>
    <row r="82" spans="1:8" x14ac:dyDescent="0.25">
      <c r="A82">
        <v>2023</v>
      </c>
      <c r="B82" t="s">
        <v>2</v>
      </c>
      <c r="C82" t="s">
        <v>318</v>
      </c>
      <c r="D82">
        <v>85</v>
      </c>
      <c r="E82">
        <v>60</v>
      </c>
      <c r="F82">
        <v>220</v>
      </c>
      <c r="H82" t="s">
        <v>197</v>
      </c>
    </row>
    <row r="83" spans="1:8" x14ac:dyDescent="0.25">
      <c r="A83">
        <v>2023</v>
      </c>
      <c r="B83" t="s">
        <v>2</v>
      </c>
      <c r="C83" t="s">
        <v>319</v>
      </c>
      <c r="D83">
        <v>91</v>
      </c>
      <c r="E83">
        <v>62</v>
      </c>
      <c r="F83">
        <v>216</v>
      </c>
      <c r="H83" t="s">
        <v>197</v>
      </c>
    </row>
    <row r="84" spans="1:8" x14ac:dyDescent="0.25">
      <c r="A84">
        <v>2023</v>
      </c>
      <c r="B84" t="s">
        <v>2</v>
      </c>
      <c r="C84" t="s">
        <v>320</v>
      </c>
      <c r="D84">
        <v>99</v>
      </c>
      <c r="E84">
        <v>65</v>
      </c>
      <c r="F84">
        <v>225</v>
      </c>
      <c r="H84" t="s">
        <v>197</v>
      </c>
    </row>
    <row r="85" spans="1:8" x14ac:dyDescent="0.25">
      <c r="A85">
        <v>2023</v>
      </c>
      <c r="B85" t="s">
        <v>2</v>
      </c>
      <c r="C85" t="s">
        <v>204</v>
      </c>
      <c r="D85">
        <v>108</v>
      </c>
      <c r="E85">
        <v>67</v>
      </c>
      <c r="F85">
        <v>226</v>
      </c>
      <c r="H85" t="s">
        <v>197</v>
      </c>
    </row>
    <row r="86" spans="1:8" x14ac:dyDescent="0.25">
      <c r="A86">
        <v>2023</v>
      </c>
      <c r="B86" t="s">
        <v>2</v>
      </c>
      <c r="C86" t="s">
        <v>321</v>
      </c>
      <c r="D86">
        <v>75</v>
      </c>
      <c r="E86">
        <v>56</v>
      </c>
      <c r="F86">
        <v>228</v>
      </c>
      <c r="H86" t="s">
        <v>302</v>
      </c>
    </row>
    <row r="87" spans="1:8" x14ac:dyDescent="0.25">
      <c r="A87">
        <v>2023</v>
      </c>
      <c r="B87" t="s">
        <v>2</v>
      </c>
      <c r="C87" t="s">
        <v>322</v>
      </c>
      <c r="D87">
        <v>85</v>
      </c>
      <c r="E87">
        <v>58.5</v>
      </c>
      <c r="F87">
        <v>229</v>
      </c>
      <c r="H87" t="s">
        <v>302</v>
      </c>
    </row>
    <row r="88" spans="1:8" x14ac:dyDescent="0.25">
      <c r="A88">
        <v>2023</v>
      </c>
      <c r="B88" t="s">
        <v>2</v>
      </c>
      <c r="C88" t="s">
        <v>323</v>
      </c>
      <c r="D88">
        <v>95</v>
      </c>
      <c r="E88">
        <v>61</v>
      </c>
      <c r="F88">
        <v>230</v>
      </c>
      <c r="H88" t="s">
        <v>302</v>
      </c>
    </row>
    <row r="89" spans="1:8" x14ac:dyDescent="0.25">
      <c r="A89">
        <v>2023</v>
      </c>
      <c r="B89" t="s">
        <v>2</v>
      </c>
      <c r="C89" t="s">
        <v>324</v>
      </c>
      <c r="D89">
        <v>105</v>
      </c>
      <c r="E89">
        <v>63</v>
      </c>
      <c r="F89">
        <v>231</v>
      </c>
      <c r="H89" t="s">
        <v>302</v>
      </c>
    </row>
    <row r="90" spans="1:8" x14ac:dyDescent="0.25">
      <c r="A90">
        <v>2023</v>
      </c>
      <c r="B90" t="s">
        <v>2</v>
      </c>
      <c r="C90" t="s">
        <v>325</v>
      </c>
      <c r="D90">
        <v>115</v>
      </c>
      <c r="E90">
        <v>65.5</v>
      </c>
      <c r="F90">
        <v>232</v>
      </c>
      <c r="H90" t="s">
        <v>302</v>
      </c>
    </row>
    <row r="91" spans="1:8" x14ac:dyDescent="0.25">
      <c r="A91">
        <v>2023</v>
      </c>
      <c r="B91" t="s">
        <v>2</v>
      </c>
      <c r="C91" t="s">
        <v>326</v>
      </c>
      <c r="D91">
        <v>125</v>
      </c>
      <c r="E91">
        <v>68</v>
      </c>
      <c r="F91">
        <v>234</v>
      </c>
      <c r="H91" t="s">
        <v>302</v>
      </c>
    </row>
    <row r="92" spans="1:8" x14ac:dyDescent="0.25">
      <c r="A92">
        <v>2023</v>
      </c>
      <c r="B92" t="s">
        <v>2</v>
      </c>
      <c r="C92" t="s">
        <v>327</v>
      </c>
      <c r="D92">
        <v>100</v>
      </c>
      <c r="E92">
        <v>62</v>
      </c>
      <c r="F92">
        <v>231</v>
      </c>
      <c r="H92" t="s">
        <v>304</v>
      </c>
    </row>
    <row r="93" spans="1:8" x14ac:dyDescent="0.25">
      <c r="A93">
        <v>2023</v>
      </c>
      <c r="B93" t="s">
        <v>2</v>
      </c>
      <c r="C93" t="s">
        <v>328</v>
      </c>
      <c r="D93">
        <v>117</v>
      </c>
      <c r="E93">
        <v>66</v>
      </c>
      <c r="F93">
        <v>232</v>
      </c>
      <c r="H93" t="s">
        <v>304</v>
      </c>
    </row>
    <row r="94" spans="1:8" x14ac:dyDescent="0.25">
      <c r="A94">
        <v>2023</v>
      </c>
      <c r="B94" t="s">
        <v>2</v>
      </c>
      <c r="C94" t="s">
        <v>329</v>
      </c>
      <c r="D94">
        <v>132</v>
      </c>
      <c r="E94">
        <v>70</v>
      </c>
      <c r="F94">
        <v>234</v>
      </c>
      <c r="H94" t="s">
        <v>304</v>
      </c>
    </row>
    <row r="95" spans="1:8" x14ac:dyDescent="0.25">
      <c r="A95">
        <v>2023</v>
      </c>
      <c r="B95" t="s">
        <v>2</v>
      </c>
      <c r="C95" t="s">
        <v>330</v>
      </c>
      <c r="D95">
        <v>147</v>
      </c>
      <c r="E95">
        <v>77</v>
      </c>
      <c r="F95">
        <v>236</v>
      </c>
      <c r="H95" t="s">
        <v>304</v>
      </c>
    </row>
    <row r="96" spans="1:8" x14ac:dyDescent="0.25">
      <c r="A96">
        <v>2023</v>
      </c>
      <c r="B96" t="s">
        <v>2</v>
      </c>
      <c r="C96" t="s">
        <v>331</v>
      </c>
      <c r="D96">
        <v>100</v>
      </c>
      <c r="E96">
        <v>66</v>
      </c>
      <c r="F96">
        <v>239</v>
      </c>
      <c r="H96" t="s">
        <v>197</v>
      </c>
    </row>
    <row r="97" spans="1:8" x14ac:dyDescent="0.25">
      <c r="A97">
        <v>2023</v>
      </c>
      <c r="B97" t="s">
        <v>2</v>
      </c>
      <c r="C97" t="s">
        <v>332</v>
      </c>
      <c r="D97">
        <v>110</v>
      </c>
      <c r="E97">
        <v>69</v>
      </c>
      <c r="F97">
        <v>239</v>
      </c>
      <c r="H97" t="s">
        <v>197</v>
      </c>
    </row>
    <row r="98" spans="1:8" x14ac:dyDescent="0.25">
      <c r="A98">
        <v>2023</v>
      </c>
      <c r="B98" t="s">
        <v>2</v>
      </c>
      <c r="C98" t="s">
        <v>333</v>
      </c>
      <c r="D98">
        <v>122</v>
      </c>
      <c r="E98">
        <v>76</v>
      </c>
      <c r="F98">
        <v>242</v>
      </c>
      <c r="H98" t="s">
        <v>197</v>
      </c>
    </row>
    <row r="99" spans="1:8" x14ac:dyDescent="0.25">
      <c r="A99">
        <v>2023</v>
      </c>
      <c r="B99" t="s">
        <v>2</v>
      </c>
      <c r="C99" t="s">
        <v>334</v>
      </c>
      <c r="D99">
        <v>135</v>
      </c>
      <c r="E99">
        <v>79</v>
      </c>
      <c r="F99">
        <v>246</v>
      </c>
      <c r="H99" t="s">
        <v>197</v>
      </c>
    </row>
    <row r="100" spans="1:8" x14ac:dyDescent="0.25">
      <c r="A100">
        <v>2023</v>
      </c>
      <c r="B100" t="s">
        <v>2</v>
      </c>
      <c r="C100" t="s">
        <v>335</v>
      </c>
      <c r="D100">
        <v>148</v>
      </c>
      <c r="E100">
        <v>83</v>
      </c>
      <c r="F100">
        <v>250</v>
      </c>
      <c r="H100" t="s">
        <v>197</v>
      </c>
    </row>
    <row r="101" spans="1:8" x14ac:dyDescent="0.25">
      <c r="A101">
        <v>2023</v>
      </c>
      <c r="B101" t="s">
        <v>2</v>
      </c>
      <c r="C101" t="s">
        <v>336</v>
      </c>
      <c r="D101">
        <v>156</v>
      </c>
      <c r="E101">
        <v>85</v>
      </c>
      <c r="F101">
        <v>252</v>
      </c>
      <c r="H101" t="s">
        <v>197</v>
      </c>
    </row>
    <row r="102" spans="1:8" x14ac:dyDescent="0.25">
      <c r="A102">
        <v>2023</v>
      </c>
      <c r="B102" t="s">
        <v>2</v>
      </c>
      <c r="C102" t="s">
        <v>337</v>
      </c>
      <c r="D102">
        <v>130</v>
      </c>
      <c r="E102">
        <v>70</v>
      </c>
      <c r="F102">
        <v>248</v>
      </c>
      <c r="H102" t="s">
        <v>197</v>
      </c>
    </row>
    <row r="103" spans="1:8" x14ac:dyDescent="0.25">
      <c r="A103">
        <v>2023</v>
      </c>
      <c r="B103" t="s">
        <v>2</v>
      </c>
      <c r="C103" t="s">
        <v>338</v>
      </c>
      <c r="D103">
        <v>150</v>
      </c>
      <c r="E103">
        <v>75</v>
      </c>
      <c r="F103">
        <v>250</v>
      </c>
      <c r="H103" t="s">
        <v>197</v>
      </c>
    </row>
    <row r="104" spans="1:8" x14ac:dyDescent="0.25">
      <c r="A104">
        <v>2023</v>
      </c>
      <c r="B104" t="s">
        <v>2</v>
      </c>
      <c r="C104" t="s">
        <v>339</v>
      </c>
      <c r="D104">
        <v>94</v>
      </c>
      <c r="E104">
        <v>61</v>
      </c>
      <c r="F104">
        <v>230</v>
      </c>
      <c r="H104" t="s">
        <v>250</v>
      </c>
    </row>
    <row r="105" spans="1:8" x14ac:dyDescent="0.25">
      <c r="A105">
        <v>2023</v>
      </c>
      <c r="B105" t="s">
        <v>2</v>
      </c>
      <c r="C105" t="s">
        <v>340</v>
      </c>
      <c r="D105">
        <v>110</v>
      </c>
      <c r="E105">
        <v>70</v>
      </c>
      <c r="F105">
        <v>230</v>
      </c>
      <c r="H105" t="s">
        <v>304</v>
      </c>
    </row>
    <row r="106" spans="1:8" x14ac:dyDescent="0.25">
      <c r="A106">
        <v>2023</v>
      </c>
      <c r="B106" t="s">
        <v>2</v>
      </c>
      <c r="C106" t="s">
        <v>341</v>
      </c>
      <c r="D106">
        <v>128</v>
      </c>
      <c r="E106">
        <v>80</v>
      </c>
      <c r="F106">
        <v>232</v>
      </c>
      <c r="H106" t="s">
        <v>304</v>
      </c>
    </row>
    <row r="107" spans="1:8" x14ac:dyDescent="0.25">
      <c r="A107">
        <v>2023</v>
      </c>
      <c r="B107" t="s">
        <v>2</v>
      </c>
      <c r="C107" t="s">
        <v>342</v>
      </c>
      <c r="D107">
        <v>138</v>
      </c>
      <c r="E107">
        <v>85</v>
      </c>
      <c r="F107">
        <v>232</v>
      </c>
      <c r="H107" t="s">
        <v>304</v>
      </c>
    </row>
    <row r="108" spans="1:8" x14ac:dyDescent="0.25">
      <c r="A108">
        <v>2023</v>
      </c>
      <c r="B108" t="s">
        <v>2</v>
      </c>
      <c r="C108" t="s">
        <v>343</v>
      </c>
      <c r="D108">
        <v>158</v>
      </c>
      <c r="E108">
        <v>90</v>
      </c>
      <c r="F108">
        <v>235</v>
      </c>
      <c r="H108" t="s">
        <v>304</v>
      </c>
    </row>
    <row r="109" spans="1:8" x14ac:dyDescent="0.25">
      <c r="A109">
        <v>2023</v>
      </c>
      <c r="B109" t="s">
        <v>2</v>
      </c>
      <c r="C109" t="s">
        <v>344</v>
      </c>
      <c r="D109">
        <v>80</v>
      </c>
      <c r="E109">
        <v>58</v>
      </c>
      <c r="F109">
        <v>235</v>
      </c>
      <c r="H109" t="s">
        <v>250</v>
      </c>
    </row>
    <row r="110" spans="1:8" x14ac:dyDescent="0.25">
      <c r="A110">
        <v>2023</v>
      </c>
      <c r="B110" t="s">
        <v>2</v>
      </c>
      <c r="C110" t="s">
        <v>345</v>
      </c>
      <c r="D110">
        <v>90</v>
      </c>
      <c r="E110">
        <v>62</v>
      </c>
      <c r="F110">
        <v>235</v>
      </c>
      <c r="H110" t="s">
        <v>250</v>
      </c>
    </row>
    <row r="111" spans="1:8" x14ac:dyDescent="0.25">
      <c r="A111">
        <v>2023</v>
      </c>
      <c r="B111" t="s">
        <v>2</v>
      </c>
      <c r="C111" t="s">
        <v>346</v>
      </c>
      <c r="D111">
        <v>97</v>
      </c>
      <c r="E111">
        <v>63</v>
      </c>
      <c r="F111">
        <v>235</v>
      </c>
      <c r="H111" t="s">
        <v>250</v>
      </c>
    </row>
    <row r="112" spans="1:8" x14ac:dyDescent="0.25">
      <c r="A112">
        <v>2023</v>
      </c>
      <c r="B112" t="s">
        <v>2</v>
      </c>
      <c r="C112" t="s">
        <v>347</v>
      </c>
      <c r="D112">
        <v>107</v>
      </c>
      <c r="E112">
        <v>69</v>
      </c>
      <c r="F112">
        <v>230</v>
      </c>
      <c r="H112" t="s">
        <v>304</v>
      </c>
    </row>
    <row r="113" spans="1:10" x14ac:dyDescent="0.25">
      <c r="A113">
        <v>2023</v>
      </c>
      <c r="B113" t="s">
        <v>2</v>
      </c>
      <c r="C113" t="s">
        <v>348</v>
      </c>
      <c r="D113">
        <v>116</v>
      </c>
      <c r="E113">
        <v>71</v>
      </c>
      <c r="F113">
        <v>230</v>
      </c>
      <c r="H113" t="s">
        <v>304</v>
      </c>
    </row>
    <row r="114" spans="1:10" x14ac:dyDescent="0.25">
      <c r="A114">
        <v>2023</v>
      </c>
      <c r="B114" t="s">
        <v>2</v>
      </c>
      <c r="C114" t="s">
        <v>64</v>
      </c>
      <c r="D114">
        <v>121</v>
      </c>
      <c r="E114">
        <v>77</v>
      </c>
      <c r="F114">
        <v>230</v>
      </c>
      <c r="H114" t="s">
        <v>304</v>
      </c>
    </row>
    <row r="115" spans="1:10" x14ac:dyDescent="0.25">
      <c r="A115">
        <v>2023</v>
      </c>
      <c r="B115" t="s">
        <v>2</v>
      </c>
      <c r="C115" t="s">
        <v>349</v>
      </c>
      <c r="D115">
        <v>130</v>
      </c>
      <c r="E115">
        <v>80</v>
      </c>
      <c r="F115">
        <v>228</v>
      </c>
      <c r="H115" t="s">
        <v>304</v>
      </c>
    </row>
    <row r="116" spans="1:10" x14ac:dyDescent="0.25">
      <c r="A116">
        <v>2023</v>
      </c>
      <c r="B116" t="s">
        <v>2</v>
      </c>
      <c r="C116" t="s">
        <v>350</v>
      </c>
      <c r="D116">
        <v>140</v>
      </c>
      <c r="E116">
        <v>85</v>
      </c>
      <c r="F116">
        <v>228</v>
      </c>
      <c r="H116" t="s">
        <v>304</v>
      </c>
    </row>
    <row r="117" spans="1:10" x14ac:dyDescent="0.25">
      <c r="A117">
        <v>2023</v>
      </c>
      <c r="B117" t="s">
        <v>2</v>
      </c>
      <c r="C117" t="s">
        <v>351</v>
      </c>
      <c r="D117">
        <v>115</v>
      </c>
      <c r="E117">
        <v>70</v>
      </c>
      <c r="F117">
        <v>204</v>
      </c>
      <c r="H117" t="s">
        <v>308</v>
      </c>
    </row>
    <row r="118" spans="1:10" x14ac:dyDescent="0.25">
      <c r="A118">
        <v>2023</v>
      </c>
      <c r="B118" t="s">
        <v>2</v>
      </c>
      <c r="C118" t="s">
        <v>352</v>
      </c>
      <c r="D118">
        <v>130</v>
      </c>
      <c r="E118">
        <v>75</v>
      </c>
      <c r="F118">
        <v>211</v>
      </c>
      <c r="H118" t="s">
        <v>308</v>
      </c>
    </row>
    <row r="119" spans="1:10" x14ac:dyDescent="0.25">
      <c r="A119">
        <v>2023</v>
      </c>
      <c r="B119" t="s">
        <v>2</v>
      </c>
      <c r="C119" t="s">
        <v>353</v>
      </c>
      <c r="D119">
        <v>140</v>
      </c>
      <c r="E119">
        <v>80</v>
      </c>
      <c r="F119">
        <v>215</v>
      </c>
      <c r="H119" t="s">
        <v>304</v>
      </c>
    </row>
    <row r="120" spans="1:10" x14ac:dyDescent="0.25">
      <c r="A120">
        <v>2023</v>
      </c>
      <c r="B120" t="s">
        <v>2</v>
      </c>
      <c r="C120" t="s">
        <v>354</v>
      </c>
      <c r="D120">
        <v>170</v>
      </c>
      <c r="E120">
        <v>85</v>
      </c>
      <c r="F120">
        <v>220</v>
      </c>
      <c r="H120" t="s">
        <v>304</v>
      </c>
    </row>
    <row r="121" spans="1:10" x14ac:dyDescent="0.25">
      <c r="A121">
        <v>2023</v>
      </c>
      <c r="B121" t="s">
        <v>2</v>
      </c>
      <c r="C121" t="s">
        <v>355</v>
      </c>
      <c r="D121">
        <v>180</v>
      </c>
      <c r="E121">
        <v>91</v>
      </c>
      <c r="F121">
        <v>220</v>
      </c>
      <c r="H121" t="s">
        <v>304</v>
      </c>
    </row>
    <row r="122" spans="1:10" x14ac:dyDescent="0.25">
      <c r="A122">
        <v>1992</v>
      </c>
      <c r="B122" t="s">
        <v>363</v>
      </c>
      <c r="C122" t="s">
        <v>364</v>
      </c>
      <c r="D122">
        <v>88</v>
      </c>
      <c r="E122">
        <v>55</v>
      </c>
      <c r="F122">
        <v>260</v>
      </c>
      <c r="H122" t="s">
        <v>356</v>
      </c>
    </row>
    <row r="123" spans="1:10" x14ac:dyDescent="0.25">
      <c r="A123">
        <v>2024</v>
      </c>
      <c r="B123" t="s">
        <v>369</v>
      </c>
      <c r="C123" t="s">
        <v>365</v>
      </c>
      <c r="D123">
        <v>78</v>
      </c>
      <c r="E123">
        <v>55</v>
      </c>
      <c r="F123">
        <v>233</v>
      </c>
      <c r="H123" t="s">
        <v>357</v>
      </c>
      <c r="J123" t="s">
        <v>358</v>
      </c>
    </row>
    <row r="124" spans="1:10" x14ac:dyDescent="0.25">
      <c r="A124">
        <v>2024</v>
      </c>
      <c r="B124" t="s">
        <v>369</v>
      </c>
      <c r="C124" t="s">
        <v>366</v>
      </c>
      <c r="D124">
        <v>97</v>
      </c>
      <c r="E124">
        <v>62.5</v>
      </c>
      <c r="F124">
        <v>233</v>
      </c>
      <c r="H124" t="s">
        <v>357</v>
      </c>
      <c r="J124" t="s">
        <v>359</v>
      </c>
    </row>
    <row r="125" spans="1:10" x14ac:dyDescent="0.25">
      <c r="A125">
        <v>2024</v>
      </c>
      <c r="B125" t="s">
        <v>369</v>
      </c>
      <c r="C125" t="s">
        <v>367</v>
      </c>
      <c r="D125">
        <v>117</v>
      </c>
      <c r="E125">
        <v>72</v>
      </c>
      <c r="F125">
        <v>228</v>
      </c>
      <c r="H125" t="s">
        <v>360</v>
      </c>
      <c r="J125" t="s">
        <v>361</v>
      </c>
    </row>
    <row r="126" spans="1:10" x14ac:dyDescent="0.25">
      <c r="A126">
        <v>2024</v>
      </c>
      <c r="B126" t="s">
        <v>369</v>
      </c>
      <c r="C126" t="s">
        <v>368</v>
      </c>
      <c r="D126">
        <v>139</v>
      </c>
      <c r="E126">
        <v>85</v>
      </c>
      <c r="F126">
        <v>228</v>
      </c>
      <c r="H126" t="s">
        <v>360</v>
      </c>
      <c r="J126" t="s">
        <v>362</v>
      </c>
    </row>
    <row r="127" spans="1:10" x14ac:dyDescent="0.25">
      <c r="A127">
        <v>2026</v>
      </c>
      <c r="B127" t="s">
        <v>369</v>
      </c>
      <c r="C127" t="s">
        <v>366</v>
      </c>
      <c r="D127">
        <v>97</v>
      </c>
      <c r="E127">
        <v>62.5</v>
      </c>
      <c r="F127">
        <v>230</v>
      </c>
      <c r="G127" t="s">
        <v>370</v>
      </c>
      <c r="H127" t="s">
        <v>357</v>
      </c>
      <c r="I127" t="s">
        <v>289</v>
      </c>
      <c r="J127" t="s">
        <v>371</v>
      </c>
    </row>
    <row r="128" spans="1:10" x14ac:dyDescent="0.25">
      <c r="A128">
        <v>2026</v>
      </c>
      <c r="B128" t="s">
        <v>369</v>
      </c>
      <c r="C128" t="s">
        <v>376</v>
      </c>
      <c r="D128">
        <v>105</v>
      </c>
      <c r="E128">
        <v>66</v>
      </c>
      <c r="F128">
        <v>230</v>
      </c>
      <c r="G128" t="s">
        <v>370</v>
      </c>
      <c r="H128" t="s">
        <v>357</v>
      </c>
      <c r="I128" t="s">
        <v>289</v>
      </c>
      <c r="J128" t="s">
        <v>372</v>
      </c>
    </row>
    <row r="129" spans="1:10" x14ac:dyDescent="0.25">
      <c r="A129">
        <v>2026</v>
      </c>
      <c r="B129" t="s">
        <v>369</v>
      </c>
      <c r="C129" t="s">
        <v>367</v>
      </c>
      <c r="D129">
        <v>117</v>
      </c>
      <c r="E129">
        <v>72</v>
      </c>
      <c r="F129">
        <v>228</v>
      </c>
      <c r="G129" t="s">
        <v>370</v>
      </c>
      <c r="H129" t="s">
        <v>357</v>
      </c>
      <c r="I129" t="s">
        <v>289</v>
      </c>
      <c r="J129" t="s">
        <v>373</v>
      </c>
    </row>
    <row r="130" spans="1:10" x14ac:dyDescent="0.25">
      <c r="A130">
        <v>2026</v>
      </c>
      <c r="B130" t="s">
        <v>369</v>
      </c>
      <c r="C130" t="s">
        <v>377</v>
      </c>
      <c r="D130">
        <v>125</v>
      </c>
      <c r="E130">
        <v>76</v>
      </c>
      <c r="F130">
        <v>228</v>
      </c>
      <c r="G130" t="s">
        <v>370</v>
      </c>
      <c r="H130" t="s">
        <v>357</v>
      </c>
      <c r="I130" t="s">
        <v>289</v>
      </c>
      <c r="J130" t="s">
        <v>374</v>
      </c>
    </row>
    <row r="131" spans="1:10" x14ac:dyDescent="0.25">
      <c r="A131">
        <v>2026</v>
      </c>
      <c r="B131" t="s">
        <v>369</v>
      </c>
      <c r="C131" t="s">
        <v>368</v>
      </c>
      <c r="D131">
        <v>139</v>
      </c>
      <c r="E131">
        <v>85</v>
      </c>
      <c r="F131">
        <v>228</v>
      </c>
      <c r="G131" t="s">
        <v>370</v>
      </c>
      <c r="H131" t="s">
        <v>357</v>
      </c>
      <c r="I131" t="s">
        <v>289</v>
      </c>
      <c r="J131" t="s">
        <v>375</v>
      </c>
    </row>
  </sheetData>
  <autoFilter ref="A1:J121" xr:uid="{C43EE7DF-6394-4A61-9462-EC4D65F15DB9}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DC00B-19AA-4837-A920-18B82D7DD7FE}">
  <dimension ref="A2:J28"/>
  <sheetViews>
    <sheetView workbookViewId="0">
      <selection activeCell="K35" sqref="K35"/>
    </sheetView>
  </sheetViews>
  <sheetFormatPr defaultRowHeight="15" x14ac:dyDescent="0.25"/>
  <cols>
    <col min="10" max="10" width="14.140625" bestFit="1" customWidth="1"/>
  </cols>
  <sheetData>
    <row r="2" spans="1:10" x14ac:dyDescent="0.25">
      <c r="A2" s="7" t="s">
        <v>297</v>
      </c>
      <c r="B2" s="7" t="s">
        <v>6</v>
      </c>
      <c r="C2" s="7" t="s">
        <v>136</v>
      </c>
      <c r="D2" s="7" t="s">
        <v>137</v>
      </c>
      <c r="E2" s="7" t="s">
        <v>138</v>
      </c>
      <c r="F2" s="7" t="s">
        <v>139</v>
      </c>
      <c r="G2" s="7" t="s">
        <v>140</v>
      </c>
      <c r="H2" s="7" t="s">
        <v>141</v>
      </c>
      <c r="I2" s="7" t="s">
        <v>142</v>
      </c>
      <c r="J2" s="7" t="s">
        <v>143</v>
      </c>
    </row>
    <row r="3" spans="1:10" x14ac:dyDescent="0.25">
      <c r="B3" s="9"/>
      <c r="C3" s="9"/>
      <c r="D3" s="9"/>
      <c r="E3" s="9"/>
      <c r="F3" s="9"/>
      <c r="G3" s="9"/>
      <c r="H3" s="9"/>
      <c r="I3" s="9"/>
      <c r="J3" s="9"/>
    </row>
    <row r="4" spans="1:10" x14ac:dyDescent="0.25">
      <c r="B4" s="8"/>
      <c r="C4" s="8"/>
      <c r="D4" s="8"/>
      <c r="E4" s="8"/>
      <c r="F4" s="8"/>
      <c r="G4" s="8"/>
      <c r="H4" s="8"/>
      <c r="I4" s="8"/>
      <c r="J4" s="8"/>
    </row>
    <row r="5" spans="1:10" x14ac:dyDescent="0.25">
      <c r="B5" s="8"/>
      <c r="C5" s="8"/>
      <c r="D5" s="8"/>
      <c r="E5" s="8"/>
      <c r="F5" s="8"/>
      <c r="G5" s="8"/>
      <c r="H5" s="8"/>
      <c r="I5" s="8"/>
      <c r="J5" s="8"/>
    </row>
    <row r="6" spans="1:10" x14ac:dyDescent="0.25">
      <c r="B6" s="8"/>
      <c r="C6" s="8"/>
      <c r="D6" s="8"/>
      <c r="E6" s="8"/>
      <c r="F6" s="8"/>
      <c r="G6" s="8"/>
      <c r="H6" s="8"/>
      <c r="I6" s="8"/>
      <c r="J6" s="8"/>
    </row>
    <row r="7" spans="1:10" x14ac:dyDescent="0.25">
      <c r="B7" s="8"/>
      <c r="C7" s="8"/>
      <c r="D7" s="8"/>
      <c r="E7" s="8"/>
      <c r="F7" s="8"/>
      <c r="G7" s="8"/>
      <c r="H7" s="8"/>
      <c r="I7" s="8"/>
      <c r="J7" s="8"/>
    </row>
    <row r="8" spans="1:10" x14ac:dyDescent="0.25">
      <c r="B8" s="8"/>
      <c r="C8" s="8"/>
      <c r="D8" s="8"/>
      <c r="E8" s="8"/>
      <c r="F8" s="8"/>
      <c r="G8" s="8"/>
      <c r="H8" s="8"/>
      <c r="I8" s="8"/>
      <c r="J8" s="8"/>
    </row>
    <row r="10" spans="1:10" x14ac:dyDescent="0.25">
      <c r="B10" s="8"/>
      <c r="C10" s="8"/>
      <c r="D10" s="8"/>
      <c r="E10" s="8"/>
      <c r="F10" s="8"/>
      <c r="G10" s="8"/>
      <c r="H10" s="8"/>
      <c r="I10" s="8"/>
    </row>
    <row r="11" spans="1:10" x14ac:dyDescent="0.25">
      <c r="B11" s="8"/>
      <c r="C11" s="8"/>
      <c r="D11" s="8"/>
      <c r="E11" s="8"/>
      <c r="F11" s="8"/>
      <c r="G11" s="8"/>
      <c r="H11" s="8"/>
      <c r="I11" s="8"/>
    </row>
    <row r="12" spans="1:10" x14ac:dyDescent="0.25">
      <c r="B12" s="8"/>
      <c r="C12" s="8"/>
      <c r="D12" s="8"/>
      <c r="E12" s="8"/>
      <c r="F12" s="8"/>
      <c r="G12" s="8"/>
      <c r="H12" s="8"/>
      <c r="I12" s="8"/>
    </row>
    <row r="14" spans="1:10" x14ac:dyDescent="0.25">
      <c r="B14" s="8"/>
      <c r="C14" s="8"/>
      <c r="D14" s="8"/>
      <c r="E14" s="8"/>
      <c r="F14" s="8"/>
      <c r="G14" s="8"/>
      <c r="H14" s="8"/>
      <c r="I14" s="8"/>
    </row>
    <row r="15" spans="1:10" x14ac:dyDescent="0.25">
      <c r="B15" s="8"/>
      <c r="C15" s="8"/>
      <c r="D15" s="8"/>
      <c r="E15" s="8"/>
      <c r="F15" s="8"/>
      <c r="G15" s="8"/>
      <c r="H15" s="8"/>
      <c r="I15" s="8"/>
    </row>
    <row r="16" spans="1:10" x14ac:dyDescent="0.25">
      <c r="B16" s="8"/>
      <c r="C16" s="8"/>
      <c r="D16" s="8"/>
      <c r="E16" s="8"/>
      <c r="F16" s="8"/>
      <c r="G16" s="8"/>
      <c r="H16" s="8"/>
      <c r="I16" s="8"/>
    </row>
    <row r="18" spans="2:9" x14ac:dyDescent="0.25">
      <c r="B18" s="8"/>
      <c r="C18" s="8"/>
      <c r="D18" s="8"/>
      <c r="E18" s="8"/>
      <c r="F18" s="8"/>
      <c r="G18" s="8"/>
      <c r="H18" s="8"/>
      <c r="I18" s="8"/>
    </row>
    <row r="19" spans="2:9" x14ac:dyDescent="0.25">
      <c r="B19" s="8"/>
      <c r="C19" s="8"/>
      <c r="D19" s="8"/>
      <c r="E19" s="8"/>
      <c r="F19" s="8"/>
      <c r="G19" s="8"/>
      <c r="H19" s="8"/>
      <c r="I19" s="8"/>
    </row>
    <row r="20" spans="2:9" x14ac:dyDescent="0.25">
      <c r="B20" s="8"/>
      <c r="C20" s="8"/>
      <c r="D20" s="8"/>
      <c r="E20" s="8"/>
      <c r="F20" s="8"/>
      <c r="G20" s="8"/>
      <c r="H20" s="8"/>
      <c r="I20" s="8"/>
    </row>
    <row r="22" spans="2:9" x14ac:dyDescent="0.25">
      <c r="B22" s="8"/>
      <c r="C22" s="8"/>
      <c r="D22" s="8"/>
      <c r="E22" s="8"/>
      <c r="F22" s="8"/>
      <c r="G22" s="8"/>
      <c r="H22" s="8"/>
      <c r="I22" s="8"/>
    </row>
    <row r="23" spans="2:9" x14ac:dyDescent="0.25">
      <c r="B23" s="8"/>
      <c r="C23" s="8"/>
      <c r="D23" s="8"/>
      <c r="E23" s="8"/>
      <c r="F23" s="8"/>
      <c r="G23" s="8"/>
      <c r="H23" s="8"/>
      <c r="I23" s="8"/>
    </row>
    <row r="24" spans="2:9" x14ac:dyDescent="0.25">
      <c r="B24" s="8"/>
      <c r="C24" s="8"/>
      <c r="D24" s="8"/>
      <c r="E24" s="8"/>
      <c r="F24" s="8"/>
      <c r="G24" s="8"/>
      <c r="H24" s="8"/>
      <c r="I24" s="8"/>
    </row>
    <row r="26" spans="2:9" x14ac:dyDescent="0.25">
      <c r="B26" s="8"/>
      <c r="C26" s="8"/>
      <c r="D26" s="8"/>
      <c r="E26" s="8"/>
      <c r="F26" s="8"/>
      <c r="G26" s="8"/>
      <c r="H26" s="8"/>
      <c r="I26" s="8"/>
    </row>
    <row r="27" spans="2:9" x14ac:dyDescent="0.25">
      <c r="B27" s="8"/>
      <c r="C27" s="8"/>
      <c r="D27" s="8"/>
      <c r="E27" s="8"/>
      <c r="F27" s="8"/>
      <c r="G27" s="8"/>
      <c r="H27" s="8"/>
      <c r="I27" s="8"/>
    </row>
    <row r="28" spans="2:9" x14ac:dyDescent="0.25">
      <c r="B28" s="8"/>
      <c r="C28" s="8"/>
      <c r="D28" s="8"/>
      <c r="E28" s="8"/>
      <c r="F28" s="8"/>
      <c r="G28" s="8"/>
      <c r="H28" s="8"/>
      <c r="I28" s="8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0786C-3453-4191-B20E-82A216C2B17F}">
  <dimension ref="A1:G69"/>
  <sheetViews>
    <sheetView zoomScale="70" zoomScaleNormal="70" workbookViewId="0">
      <selection activeCell="A2" sqref="A2:C71"/>
    </sheetView>
  </sheetViews>
  <sheetFormatPr defaultRowHeight="15" x14ac:dyDescent="0.25"/>
  <sheetData>
    <row r="1" spans="1:7" x14ac:dyDescent="0.25">
      <c r="A1" t="s">
        <v>145</v>
      </c>
      <c r="B1" t="s">
        <v>146</v>
      </c>
      <c r="C1" t="s">
        <v>147</v>
      </c>
      <c r="E1">
        <f>_xlfn.REGEXREPLACE(A1,"[^0-9.]","")+0</f>
        <v>76</v>
      </c>
      <c r="F1">
        <f t="shared" ref="F1:G1" si="0">_xlfn.REGEXREPLACE(B1,"[^0-9.]","")+0</f>
        <v>55</v>
      </c>
      <c r="G1">
        <f t="shared" si="0"/>
        <v>212</v>
      </c>
    </row>
    <row r="2" spans="1:7" x14ac:dyDescent="0.25">
      <c r="E2" t="e">
        <f t="shared" ref="E2:E65" si="1">_xlfn.REGEXREPLACE(A2,"[^0-9.]","")+0</f>
        <v>#VALUE!</v>
      </c>
      <c r="F2" t="e">
        <f t="shared" ref="F2:F65" si="2">_xlfn.REGEXREPLACE(B2,"[^0-9.]","")+0</f>
        <v>#VALUE!</v>
      </c>
      <c r="G2" t="e">
        <f t="shared" ref="G2:G65" si="3">_xlfn.REGEXREPLACE(C2,"[^0-9.]","")+0</f>
        <v>#VALUE!</v>
      </c>
    </row>
    <row r="3" spans="1:7" x14ac:dyDescent="0.25">
      <c r="E3" t="e">
        <f t="shared" si="1"/>
        <v>#VALUE!</v>
      </c>
      <c r="F3" t="e">
        <f t="shared" si="2"/>
        <v>#VALUE!</v>
      </c>
      <c r="G3" t="e">
        <f t="shared" si="3"/>
        <v>#VALUE!</v>
      </c>
    </row>
    <row r="4" spans="1:7" x14ac:dyDescent="0.25">
      <c r="E4" t="e">
        <f t="shared" si="1"/>
        <v>#VALUE!</v>
      </c>
      <c r="F4" t="e">
        <f t="shared" si="2"/>
        <v>#VALUE!</v>
      </c>
      <c r="G4" t="e">
        <f t="shared" si="3"/>
        <v>#VALUE!</v>
      </c>
    </row>
    <row r="5" spans="1:7" x14ac:dyDescent="0.25">
      <c r="E5" t="e">
        <f t="shared" si="1"/>
        <v>#VALUE!</v>
      </c>
      <c r="F5" t="e">
        <f t="shared" si="2"/>
        <v>#VALUE!</v>
      </c>
      <c r="G5" t="e">
        <f t="shared" si="3"/>
        <v>#VALUE!</v>
      </c>
    </row>
    <row r="6" spans="1:7" x14ac:dyDescent="0.25">
      <c r="E6" t="e">
        <f t="shared" si="1"/>
        <v>#VALUE!</v>
      </c>
      <c r="F6" t="e">
        <f t="shared" si="2"/>
        <v>#VALUE!</v>
      </c>
      <c r="G6" t="e">
        <f t="shared" si="3"/>
        <v>#VALUE!</v>
      </c>
    </row>
    <row r="7" spans="1:7" x14ac:dyDescent="0.25">
      <c r="E7" t="e">
        <f t="shared" si="1"/>
        <v>#VALUE!</v>
      </c>
      <c r="F7" t="e">
        <f t="shared" si="2"/>
        <v>#VALUE!</v>
      </c>
      <c r="G7" t="e">
        <f t="shared" si="3"/>
        <v>#VALUE!</v>
      </c>
    </row>
    <row r="8" spans="1:7" x14ac:dyDescent="0.25">
      <c r="E8" t="e">
        <f t="shared" si="1"/>
        <v>#VALUE!</v>
      </c>
      <c r="F8" t="e">
        <f t="shared" si="2"/>
        <v>#VALUE!</v>
      </c>
      <c r="G8" t="e">
        <f t="shared" si="3"/>
        <v>#VALUE!</v>
      </c>
    </row>
    <row r="9" spans="1:7" x14ac:dyDescent="0.25">
      <c r="E9" t="e">
        <f t="shared" si="1"/>
        <v>#VALUE!</v>
      </c>
      <c r="F9" t="e">
        <f t="shared" si="2"/>
        <v>#VALUE!</v>
      </c>
      <c r="G9" t="e">
        <f t="shared" si="3"/>
        <v>#VALUE!</v>
      </c>
    </row>
    <row r="10" spans="1:7" x14ac:dyDescent="0.25">
      <c r="E10" t="e">
        <f t="shared" si="1"/>
        <v>#VALUE!</v>
      </c>
      <c r="F10" t="e">
        <f t="shared" si="2"/>
        <v>#VALUE!</v>
      </c>
      <c r="G10" t="e">
        <f t="shared" si="3"/>
        <v>#VALUE!</v>
      </c>
    </row>
    <row r="11" spans="1:7" x14ac:dyDescent="0.25">
      <c r="E11" t="e">
        <f t="shared" si="1"/>
        <v>#VALUE!</v>
      </c>
      <c r="F11" t="e">
        <f t="shared" si="2"/>
        <v>#VALUE!</v>
      </c>
      <c r="G11" t="e">
        <f t="shared" si="3"/>
        <v>#VALUE!</v>
      </c>
    </row>
    <row r="12" spans="1:7" x14ac:dyDescent="0.25">
      <c r="E12" t="e">
        <f t="shared" si="1"/>
        <v>#VALUE!</v>
      </c>
      <c r="F12" t="e">
        <f t="shared" si="2"/>
        <v>#VALUE!</v>
      </c>
      <c r="G12" t="e">
        <f t="shared" si="3"/>
        <v>#VALUE!</v>
      </c>
    </row>
    <row r="13" spans="1:7" x14ac:dyDescent="0.25">
      <c r="E13" t="e">
        <f t="shared" si="1"/>
        <v>#VALUE!</v>
      </c>
      <c r="F13" t="e">
        <f t="shared" si="2"/>
        <v>#VALUE!</v>
      </c>
      <c r="G13" t="e">
        <f t="shared" si="3"/>
        <v>#VALUE!</v>
      </c>
    </row>
    <row r="14" spans="1:7" x14ac:dyDescent="0.25">
      <c r="E14" t="e">
        <f t="shared" si="1"/>
        <v>#VALUE!</v>
      </c>
      <c r="F14" t="e">
        <f t="shared" si="2"/>
        <v>#VALUE!</v>
      </c>
      <c r="G14" t="e">
        <f t="shared" si="3"/>
        <v>#VALUE!</v>
      </c>
    </row>
    <row r="15" spans="1:7" x14ac:dyDescent="0.25">
      <c r="E15" t="e">
        <f t="shared" si="1"/>
        <v>#VALUE!</v>
      </c>
      <c r="F15" t="e">
        <f t="shared" si="2"/>
        <v>#VALUE!</v>
      </c>
      <c r="G15" t="e">
        <f t="shared" si="3"/>
        <v>#VALUE!</v>
      </c>
    </row>
    <row r="16" spans="1:7" x14ac:dyDescent="0.25">
      <c r="E16" t="e">
        <f t="shared" si="1"/>
        <v>#VALUE!</v>
      </c>
      <c r="F16" t="e">
        <f t="shared" si="2"/>
        <v>#VALUE!</v>
      </c>
      <c r="G16" t="e">
        <f t="shared" si="3"/>
        <v>#VALUE!</v>
      </c>
    </row>
    <row r="17" spans="5:7" x14ac:dyDescent="0.25">
      <c r="E17" t="e">
        <f t="shared" si="1"/>
        <v>#VALUE!</v>
      </c>
      <c r="F17" t="e">
        <f t="shared" si="2"/>
        <v>#VALUE!</v>
      </c>
      <c r="G17" t="e">
        <f t="shared" si="3"/>
        <v>#VALUE!</v>
      </c>
    </row>
    <row r="18" spans="5:7" x14ac:dyDescent="0.25">
      <c r="E18" t="e">
        <f t="shared" si="1"/>
        <v>#VALUE!</v>
      </c>
      <c r="F18" t="e">
        <f t="shared" si="2"/>
        <v>#VALUE!</v>
      </c>
      <c r="G18" t="e">
        <f t="shared" si="3"/>
        <v>#VALUE!</v>
      </c>
    </row>
    <row r="19" spans="5:7" x14ac:dyDescent="0.25">
      <c r="E19" t="e">
        <f t="shared" si="1"/>
        <v>#VALUE!</v>
      </c>
      <c r="F19" t="e">
        <f t="shared" si="2"/>
        <v>#VALUE!</v>
      </c>
      <c r="G19" t="e">
        <f t="shared" si="3"/>
        <v>#VALUE!</v>
      </c>
    </row>
    <row r="20" spans="5:7" x14ac:dyDescent="0.25">
      <c r="E20" t="e">
        <f t="shared" si="1"/>
        <v>#VALUE!</v>
      </c>
      <c r="F20" t="e">
        <f t="shared" si="2"/>
        <v>#VALUE!</v>
      </c>
      <c r="G20" t="e">
        <f t="shared" si="3"/>
        <v>#VALUE!</v>
      </c>
    </row>
    <row r="21" spans="5:7" x14ac:dyDescent="0.25">
      <c r="E21" t="e">
        <f t="shared" si="1"/>
        <v>#VALUE!</v>
      </c>
      <c r="F21" t="e">
        <f t="shared" si="2"/>
        <v>#VALUE!</v>
      </c>
      <c r="G21" t="e">
        <f t="shared" si="3"/>
        <v>#VALUE!</v>
      </c>
    </row>
    <row r="22" spans="5:7" x14ac:dyDescent="0.25">
      <c r="E22" t="e">
        <f t="shared" si="1"/>
        <v>#VALUE!</v>
      </c>
      <c r="F22" t="e">
        <f t="shared" si="2"/>
        <v>#VALUE!</v>
      </c>
      <c r="G22" t="e">
        <f t="shared" si="3"/>
        <v>#VALUE!</v>
      </c>
    </row>
    <row r="23" spans="5:7" x14ac:dyDescent="0.25">
      <c r="E23" t="e">
        <f t="shared" si="1"/>
        <v>#VALUE!</v>
      </c>
      <c r="F23" t="e">
        <f t="shared" si="2"/>
        <v>#VALUE!</v>
      </c>
      <c r="G23" t="e">
        <f t="shared" si="3"/>
        <v>#VALUE!</v>
      </c>
    </row>
    <row r="24" spans="5:7" x14ac:dyDescent="0.25">
      <c r="E24" t="e">
        <f t="shared" si="1"/>
        <v>#VALUE!</v>
      </c>
      <c r="F24" t="e">
        <f t="shared" si="2"/>
        <v>#VALUE!</v>
      </c>
      <c r="G24" t="e">
        <f t="shared" si="3"/>
        <v>#VALUE!</v>
      </c>
    </row>
    <row r="25" spans="5:7" x14ac:dyDescent="0.25">
      <c r="E25" t="e">
        <f t="shared" si="1"/>
        <v>#VALUE!</v>
      </c>
      <c r="F25" t="e">
        <f t="shared" si="2"/>
        <v>#VALUE!</v>
      </c>
      <c r="G25" t="e">
        <f t="shared" si="3"/>
        <v>#VALUE!</v>
      </c>
    </row>
    <row r="26" spans="5:7" x14ac:dyDescent="0.25">
      <c r="E26" t="e">
        <f t="shared" si="1"/>
        <v>#VALUE!</v>
      </c>
      <c r="F26" t="e">
        <f t="shared" si="2"/>
        <v>#VALUE!</v>
      </c>
      <c r="G26" t="e">
        <f t="shared" si="3"/>
        <v>#VALUE!</v>
      </c>
    </row>
    <row r="27" spans="5:7" x14ac:dyDescent="0.25">
      <c r="E27" t="e">
        <f t="shared" si="1"/>
        <v>#VALUE!</v>
      </c>
      <c r="F27" t="e">
        <f t="shared" si="2"/>
        <v>#VALUE!</v>
      </c>
      <c r="G27" t="e">
        <f t="shared" si="3"/>
        <v>#VALUE!</v>
      </c>
    </row>
    <row r="28" spans="5:7" x14ac:dyDescent="0.25">
      <c r="E28" t="e">
        <f t="shared" si="1"/>
        <v>#VALUE!</v>
      </c>
      <c r="F28" t="e">
        <f t="shared" si="2"/>
        <v>#VALUE!</v>
      </c>
      <c r="G28" t="e">
        <f t="shared" si="3"/>
        <v>#VALUE!</v>
      </c>
    </row>
    <row r="29" spans="5:7" x14ac:dyDescent="0.25">
      <c r="E29" t="e">
        <f t="shared" si="1"/>
        <v>#VALUE!</v>
      </c>
      <c r="F29" t="e">
        <f t="shared" si="2"/>
        <v>#VALUE!</v>
      </c>
      <c r="G29" t="e">
        <f t="shared" si="3"/>
        <v>#VALUE!</v>
      </c>
    </row>
    <row r="30" spans="5:7" x14ac:dyDescent="0.25">
      <c r="E30" t="e">
        <f t="shared" si="1"/>
        <v>#VALUE!</v>
      </c>
      <c r="F30" t="e">
        <f t="shared" si="2"/>
        <v>#VALUE!</v>
      </c>
      <c r="G30" t="e">
        <f t="shared" si="3"/>
        <v>#VALUE!</v>
      </c>
    </row>
    <row r="31" spans="5:7" x14ac:dyDescent="0.25">
      <c r="E31" t="e">
        <f t="shared" si="1"/>
        <v>#VALUE!</v>
      </c>
      <c r="F31" t="e">
        <f t="shared" si="2"/>
        <v>#VALUE!</v>
      </c>
      <c r="G31" t="e">
        <f t="shared" si="3"/>
        <v>#VALUE!</v>
      </c>
    </row>
    <row r="32" spans="5:7" x14ac:dyDescent="0.25">
      <c r="E32" t="e">
        <f t="shared" si="1"/>
        <v>#VALUE!</v>
      </c>
      <c r="F32" t="e">
        <f t="shared" si="2"/>
        <v>#VALUE!</v>
      </c>
      <c r="G32" t="e">
        <f t="shared" si="3"/>
        <v>#VALUE!</v>
      </c>
    </row>
    <row r="33" spans="5:7" x14ac:dyDescent="0.25">
      <c r="E33" t="e">
        <f t="shared" si="1"/>
        <v>#VALUE!</v>
      </c>
      <c r="F33" t="e">
        <f t="shared" si="2"/>
        <v>#VALUE!</v>
      </c>
      <c r="G33" t="e">
        <f t="shared" si="3"/>
        <v>#VALUE!</v>
      </c>
    </row>
    <row r="34" spans="5:7" x14ac:dyDescent="0.25">
      <c r="E34" t="e">
        <f t="shared" si="1"/>
        <v>#VALUE!</v>
      </c>
      <c r="F34" t="e">
        <f t="shared" si="2"/>
        <v>#VALUE!</v>
      </c>
      <c r="G34" t="e">
        <f t="shared" si="3"/>
        <v>#VALUE!</v>
      </c>
    </row>
    <row r="35" spans="5:7" x14ac:dyDescent="0.25">
      <c r="E35" t="e">
        <f t="shared" si="1"/>
        <v>#VALUE!</v>
      </c>
      <c r="F35" t="e">
        <f t="shared" si="2"/>
        <v>#VALUE!</v>
      </c>
      <c r="G35" t="e">
        <f t="shared" si="3"/>
        <v>#VALUE!</v>
      </c>
    </row>
    <row r="36" spans="5:7" x14ac:dyDescent="0.25">
      <c r="E36" t="e">
        <f t="shared" si="1"/>
        <v>#VALUE!</v>
      </c>
      <c r="F36" t="e">
        <f t="shared" si="2"/>
        <v>#VALUE!</v>
      </c>
      <c r="G36" t="e">
        <f t="shared" si="3"/>
        <v>#VALUE!</v>
      </c>
    </row>
    <row r="37" spans="5:7" x14ac:dyDescent="0.25">
      <c r="E37" t="e">
        <f t="shared" si="1"/>
        <v>#VALUE!</v>
      </c>
      <c r="F37" t="e">
        <f t="shared" si="2"/>
        <v>#VALUE!</v>
      </c>
      <c r="G37" t="e">
        <f t="shared" si="3"/>
        <v>#VALUE!</v>
      </c>
    </row>
    <row r="38" spans="5:7" x14ac:dyDescent="0.25">
      <c r="E38" t="e">
        <f t="shared" si="1"/>
        <v>#VALUE!</v>
      </c>
      <c r="F38" t="e">
        <f t="shared" si="2"/>
        <v>#VALUE!</v>
      </c>
      <c r="G38" t="e">
        <f t="shared" si="3"/>
        <v>#VALUE!</v>
      </c>
    </row>
    <row r="39" spans="5:7" x14ac:dyDescent="0.25">
      <c r="E39" t="e">
        <f t="shared" si="1"/>
        <v>#VALUE!</v>
      </c>
      <c r="F39" t="e">
        <f t="shared" si="2"/>
        <v>#VALUE!</v>
      </c>
      <c r="G39" t="e">
        <f t="shared" si="3"/>
        <v>#VALUE!</v>
      </c>
    </row>
    <row r="40" spans="5:7" x14ac:dyDescent="0.25">
      <c r="E40" t="e">
        <f t="shared" si="1"/>
        <v>#VALUE!</v>
      </c>
      <c r="F40" t="e">
        <f t="shared" si="2"/>
        <v>#VALUE!</v>
      </c>
      <c r="G40" t="e">
        <f t="shared" si="3"/>
        <v>#VALUE!</v>
      </c>
    </row>
    <row r="41" spans="5:7" x14ac:dyDescent="0.25">
      <c r="E41" t="e">
        <f t="shared" si="1"/>
        <v>#VALUE!</v>
      </c>
      <c r="F41" t="e">
        <f t="shared" si="2"/>
        <v>#VALUE!</v>
      </c>
      <c r="G41" t="e">
        <f t="shared" si="3"/>
        <v>#VALUE!</v>
      </c>
    </row>
    <row r="42" spans="5:7" x14ac:dyDescent="0.25">
      <c r="E42" t="e">
        <f t="shared" si="1"/>
        <v>#VALUE!</v>
      </c>
      <c r="F42" t="e">
        <f t="shared" si="2"/>
        <v>#VALUE!</v>
      </c>
      <c r="G42" t="e">
        <f t="shared" si="3"/>
        <v>#VALUE!</v>
      </c>
    </row>
    <row r="43" spans="5:7" x14ac:dyDescent="0.25">
      <c r="E43" t="e">
        <f t="shared" si="1"/>
        <v>#VALUE!</v>
      </c>
      <c r="F43" t="e">
        <f t="shared" si="2"/>
        <v>#VALUE!</v>
      </c>
      <c r="G43" t="e">
        <f t="shared" si="3"/>
        <v>#VALUE!</v>
      </c>
    </row>
    <row r="44" spans="5:7" x14ac:dyDescent="0.25">
      <c r="E44" t="e">
        <f t="shared" si="1"/>
        <v>#VALUE!</v>
      </c>
      <c r="F44" t="e">
        <f t="shared" si="2"/>
        <v>#VALUE!</v>
      </c>
      <c r="G44" t="e">
        <f t="shared" si="3"/>
        <v>#VALUE!</v>
      </c>
    </row>
    <row r="45" spans="5:7" x14ac:dyDescent="0.25">
      <c r="E45" t="e">
        <f t="shared" si="1"/>
        <v>#VALUE!</v>
      </c>
      <c r="F45" t="e">
        <f t="shared" si="2"/>
        <v>#VALUE!</v>
      </c>
      <c r="G45" t="e">
        <f t="shared" si="3"/>
        <v>#VALUE!</v>
      </c>
    </row>
    <row r="46" spans="5:7" x14ac:dyDescent="0.25">
      <c r="E46" t="e">
        <f t="shared" si="1"/>
        <v>#VALUE!</v>
      </c>
      <c r="F46" t="e">
        <f t="shared" si="2"/>
        <v>#VALUE!</v>
      </c>
      <c r="G46" t="e">
        <f t="shared" si="3"/>
        <v>#VALUE!</v>
      </c>
    </row>
    <row r="47" spans="5:7" x14ac:dyDescent="0.25">
      <c r="E47" t="e">
        <f t="shared" si="1"/>
        <v>#VALUE!</v>
      </c>
      <c r="F47" t="e">
        <f t="shared" si="2"/>
        <v>#VALUE!</v>
      </c>
      <c r="G47" t="e">
        <f t="shared" si="3"/>
        <v>#VALUE!</v>
      </c>
    </row>
    <row r="48" spans="5:7" x14ac:dyDescent="0.25">
      <c r="E48" t="e">
        <f t="shared" si="1"/>
        <v>#VALUE!</v>
      </c>
      <c r="F48" t="e">
        <f t="shared" si="2"/>
        <v>#VALUE!</v>
      </c>
      <c r="G48" t="e">
        <f t="shared" si="3"/>
        <v>#VALUE!</v>
      </c>
    </row>
    <row r="49" spans="5:7" x14ac:dyDescent="0.25">
      <c r="E49" t="e">
        <f t="shared" si="1"/>
        <v>#VALUE!</v>
      </c>
      <c r="F49" t="e">
        <f t="shared" si="2"/>
        <v>#VALUE!</v>
      </c>
      <c r="G49" t="e">
        <f t="shared" si="3"/>
        <v>#VALUE!</v>
      </c>
    </row>
    <row r="50" spans="5:7" x14ac:dyDescent="0.25">
      <c r="E50" t="e">
        <f t="shared" si="1"/>
        <v>#VALUE!</v>
      </c>
      <c r="F50" t="e">
        <f t="shared" si="2"/>
        <v>#VALUE!</v>
      </c>
      <c r="G50" t="e">
        <f t="shared" si="3"/>
        <v>#VALUE!</v>
      </c>
    </row>
    <row r="51" spans="5:7" x14ac:dyDescent="0.25">
      <c r="E51" t="e">
        <f t="shared" si="1"/>
        <v>#VALUE!</v>
      </c>
      <c r="F51" t="e">
        <f t="shared" si="2"/>
        <v>#VALUE!</v>
      </c>
      <c r="G51" t="e">
        <f t="shared" si="3"/>
        <v>#VALUE!</v>
      </c>
    </row>
    <row r="52" spans="5:7" x14ac:dyDescent="0.25">
      <c r="E52" t="e">
        <f t="shared" si="1"/>
        <v>#VALUE!</v>
      </c>
      <c r="F52" t="e">
        <f t="shared" si="2"/>
        <v>#VALUE!</v>
      </c>
      <c r="G52" t="e">
        <f t="shared" si="3"/>
        <v>#VALUE!</v>
      </c>
    </row>
    <row r="53" spans="5:7" x14ac:dyDescent="0.25">
      <c r="E53" t="e">
        <f t="shared" si="1"/>
        <v>#VALUE!</v>
      </c>
      <c r="F53" t="e">
        <f t="shared" si="2"/>
        <v>#VALUE!</v>
      </c>
      <c r="G53" t="e">
        <f t="shared" si="3"/>
        <v>#VALUE!</v>
      </c>
    </row>
    <row r="54" spans="5:7" x14ac:dyDescent="0.25">
      <c r="E54" t="e">
        <f t="shared" si="1"/>
        <v>#VALUE!</v>
      </c>
      <c r="F54" t="e">
        <f t="shared" si="2"/>
        <v>#VALUE!</v>
      </c>
      <c r="G54" t="e">
        <f t="shared" si="3"/>
        <v>#VALUE!</v>
      </c>
    </row>
    <row r="55" spans="5:7" x14ac:dyDescent="0.25">
      <c r="E55" t="e">
        <f t="shared" si="1"/>
        <v>#VALUE!</v>
      </c>
      <c r="F55" t="e">
        <f t="shared" si="2"/>
        <v>#VALUE!</v>
      </c>
      <c r="G55" t="e">
        <f t="shared" si="3"/>
        <v>#VALUE!</v>
      </c>
    </row>
    <row r="56" spans="5:7" x14ac:dyDescent="0.25">
      <c r="E56" t="e">
        <f t="shared" si="1"/>
        <v>#VALUE!</v>
      </c>
      <c r="F56" t="e">
        <f t="shared" si="2"/>
        <v>#VALUE!</v>
      </c>
      <c r="G56" t="e">
        <f t="shared" si="3"/>
        <v>#VALUE!</v>
      </c>
    </row>
    <row r="57" spans="5:7" x14ac:dyDescent="0.25">
      <c r="E57" t="e">
        <f t="shared" si="1"/>
        <v>#VALUE!</v>
      </c>
      <c r="F57" t="e">
        <f t="shared" si="2"/>
        <v>#VALUE!</v>
      </c>
      <c r="G57" t="e">
        <f t="shared" si="3"/>
        <v>#VALUE!</v>
      </c>
    </row>
    <row r="58" spans="5:7" x14ac:dyDescent="0.25">
      <c r="E58" t="e">
        <f t="shared" si="1"/>
        <v>#VALUE!</v>
      </c>
      <c r="F58" t="e">
        <f t="shared" si="2"/>
        <v>#VALUE!</v>
      </c>
      <c r="G58" t="e">
        <f t="shared" si="3"/>
        <v>#VALUE!</v>
      </c>
    </row>
    <row r="59" spans="5:7" x14ac:dyDescent="0.25">
      <c r="E59" t="e">
        <f t="shared" si="1"/>
        <v>#VALUE!</v>
      </c>
      <c r="F59" t="e">
        <f t="shared" si="2"/>
        <v>#VALUE!</v>
      </c>
      <c r="G59" t="e">
        <f t="shared" si="3"/>
        <v>#VALUE!</v>
      </c>
    </row>
    <row r="60" spans="5:7" x14ac:dyDescent="0.25">
      <c r="E60" t="e">
        <f t="shared" si="1"/>
        <v>#VALUE!</v>
      </c>
      <c r="F60" t="e">
        <f t="shared" si="2"/>
        <v>#VALUE!</v>
      </c>
      <c r="G60" t="e">
        <f t="shared" si="3"/>
        <v>#VALUE!</v>
      </c>
    </row>
    <row r="61" spans="5:7" x14ac:dyDescent="0.25">
      <c r="E61" t="e">
        <f t="shared" si="1"/>
        <v>#VALUE!</v>
      </c>
      <c r="F61" t="e">
        <f t="shared" si="2"/>
        <v>#VALUE!</v>
      </c>
      <c r="G61" t="e">
        <f t="shared" si="3"/>
        <v>#VALUE!</v>
      </c>
    </row>
    <row r="62" spans="5:7" x14ac:dyDescent="0.25">
      <c r="E62" t="e">
        <f t="shared" si="1"/>
        <v>#VALUE!</v>
      </c>
      <c r="F62" t="e">
        <f t="shared" si="2"/>
        <v>#VALUE!</v>
      </c>
      <c r="G62" t="e">
        <f t="shared" si="3"/>
        <v>#VALUE!</v>
      </c>
    </row>
    <row r="63" spans="5:7" x14ac:dyDescent="0.25">
      <c r="E63" t="e">
        <f t="shared" si="1"/>
        <v>#VALUE!</v>
      </c>
      <c r="F63" t="e">
        <f t="shared" si="2"/>
        <v>#VALUE!</v>
      </c>
      <c r="G63" t="e">
        <f t="shared" si="3"/>
        <v>#VALUE!</v>
      </c>
    </row>
    <row r="64" spans="5:7" x14ac:dyDescent="0.25">
      <c r="E64" t="e">
        <f t="shared" si="1"/>
        <v>#VALUE!</v>
      </c>
      <c r="F64" t="e">
        <f t="shared" si="2"/>
        <v>#VALUE!</v>
      </c>
      <c r="G64" t="e">
        <f t="shared" si="3"/>
        <v>#VALUE!</v>
      </c>
    </row>
    <row r="65" spans="5:7" x14ac:dyDescent="0.25">
      <c r="E65" t="e">
        <f t="shared" si="1"/>
        <v>#VALUE!</v>
      </c>
      <c r="F65" t="e">
        <f t="shared" si="2"/>
        <v>#VALUE!</v>
      </c>
      <c r="G65" t="e">
        <f t="shared" si="3"/>
        <v>#VALUE!</v>
      </c>
    </row>
    <row r="66" spans="5:7" x14ac:dyDescent="0.25">
      <c r="E66" t="e">
        <f t="shared" ref="E66:E69" si="4">_xlfn.REGEXREPLACE(A66,"[^0-9.]","")+0</f>
        <v>#VALUE!</v>
      </c>
      <c r="F66" t="e">
        <f t="shared" ref="F66:F69" si="5">_xlfn.REGEXREPLACE(B66,"[^0-9.]","")+0</f>
        <v>#VALUE!</v>
      </c>
      <c r="G66" t="e">
        <f t="shared" ref="G66:G69" si="6">_xlfn.REGEXREPLACE(C66,"[^0-9.]","")+0</f>
        <v>#VALUE!</v>
      </c>
    </row>
    <row r="67" spans="5:7" x14ac:dyDescent="0.25">
      <c r="E67" t="e">
        <f t="shared" si="4"/>
        <v>#VALUE!</v>
      </c>
      <c r="F67" t="e">
        <f t="shared" si="5"/>
        <v>#VALUE!</v>
      </c>
      <c r="G67" t="e">
        <f t="shared" si="6"/>
        <v>#VALUE!</v>
      </c>
    </row>
    <row r="68" spans="5:7" x14ac:dyDescent="0.25">
      <c r="E68" t="e">
        <f t="shared" si="4"/>
        <v>#VALUE!</v>
      </c>
      <c r="F68" t="e">
        <f t="shared" si="5"/>
        <v>#VALUE!</v>
      </c>
      <c r="G68" t="e">
        <f t="shared" si="6"/>
        <v>#VALUE!</v>
      </c>
    </row>
    <row r="69" spans="5:7" x14ac:dyDescent="0.25">
      <c r="E69" t="e">
        <f t="shared" si="4"/>
        <v>#VALUE!</v>
      </c>
      <c r="F69" t="e">
        <f t="shared" si="5"/>
        <v>#VALUE!</v>
      </c>
      <c r="G69" t="e">
        <f t="shared" si="6"/>
        <v>#VALUE!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2162-D9A1-47E6-977C-1FA88344B15A}">
  <dimension ref="A1:A8"/>
  <sheetViews>
    <sheetView workbookViewId="0">
      <selection activeCell="B1" sqref="B1"/>
    </sheetView>
  </sheetViews>
  <sheetFormatPr defaultRowHeight="15" x14ac:dyDescent="0.25"/>
  <cols>
    <col min="1" max="1" width="14.140625" customWidth="1"/>
  </cols>
  <sheetData>
    <row r="1" spans="1:1" x14ac:dyDescent="0.25">
      <c r="A1" t="s">
        <v>298</v>
      </c>
    </row>
    <row r="2" spans="1:1" x14ac:dyDescent="0.25">
      <c r="A2" s="6" t="s">
        <v>132</v>
      </c>
    </row>
    <row r="3" spans="1:1" ht="28.5" x14ac:dyDescent="0.25">
      <c r="A3" s="6" t="s">
        <v>301</v>
      </c>
    </row>
    <row r="4" spans="1:1" ht="28.5" x14ac:dyDescent="0.25">
      <c r="A4" s="6" t="s">
        <v>80</v>
      </c>
    </row>
    <row r="5" spans="1:1" x14ac:dyDescent="0.25">
      <c r="A5" s="6" t="s">
        <v>303</v>
      </c>
    </row>
    <row r="6" spans="1:1" ht="28.5" x14ac:dyDescent="0.25">
      <c r="A6" s="6" t="s">
        <v>305</v>
      </c>
    </row>
    <row r="7" spans="1:1" x14ac:dyDescent="0.25">
      <c r="A7" s="6" t="s">
        <v>306</v>
      </c>
    </row>
    <row r="8" spans="1:1" x14ac:dyDescent="0.25">
      <c r="A8" s="6" t="s">
        <v>307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404E3-320F-46BB-B592-F2BB3F9758C1}">
  <dimension ref="A1:A4"/>
  <sheetViews>
    <sheetView workbookViewId="0">
      <selection activeCell="A5" sqref="A5"/>
    </sheetView>
  </sheetViews>
  <sheetFormatPr defaultRowHeight="15" x14ac:dyDescent="0.25"/>
  <sheetData>
    <row r="1" spans="1:1" x14ac:dyDescent="0.25">
      <c r="A1" t="s">
        <v>1</v>
      </c>
    </row>
    <row r="2" spans="1:1" x14ac:dyDescent="0.25">
      <c r="A2" t="s">
        <v>2</v>
      </c>
    </row>
    <row r="3" spans="1:1" x14ac:dyDescent="0.25">
      <c r="A3" t="s">
        <v>3</v>
      </c>
    </row>
    <row r="4" spans="1:1" x14ac:dyDescent="0.25">
      <c r="A4" t="s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18FD-0C2A-48D0-8033-2B559F17ED64}">
  <dimension ref="A1:A18"/>
  <sheetViews>
    <sheetView workbookViewId="0">
      <selection activeCell="H46" sqref="H46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>
        <v>2007</v>
      </c>
    </row>
    <row r="3" spans="1:1" x14ac:dyDescent="0.25">
      <c r="A3">
        <v>2008</v>
      </c>
    </row>
    <row r="4" spans="1:1" x14ac:dyDescent="0.25">
      <c r="A4">
        <v>2009</v>
      </c>
    </row>
    <row r="5" spans="1:1" x14ac:dyDescent="0.25">
      <c r="A5">
        <v>2010</v>
      </c>
    </row>
    <row r="6" spans="1:1" x14ac:dyDescent="0.25">
      <c r="A6">
        <v>2011</v>
      </c>
    </row>
    <row r="7" spans="1:1" x14ac:dyDescent="0.25">
      <c r="A7">
        <v>2012</v>
      </c>
    </row>
    <row r="8" spans="1:1" x14ac:dyDescent="0.25">
      <c r="A8">
        <v>2013</v>
      </c>
    </row>
    <row r="9" spans="1:1" x14ac:dyDescent="0.25">
      <c r="A9">
        <v>2014</v>
      </c>
    </row>
    <row r="10" spans="1:1" x14ac:dyDescent="0.25">
      <c r="A10">
        <v>2015</v>
      </c>
    </row>
    <row r="11" spans="1:1" x14ac:dyDescent="0.25">
      <c r="A11">
        <v>2016</v>
      </c>
    </row>
    <row r="12" spans="1:1" x14ac:dyDescent="0.25">
      <c r="A12">
        <v>2017</v>
      </c>
    </row>
    <row r="13" spans="1:1" x14ac:dyDescent="0.25">
      <c r="A13">
        <v>2018</v>
      </c>
    </row>
    <row r="14" spans="1:1" x14ac:dyDescent="0.25">
      <c r="A14">
        <v>2019</v>
      </c>
    </row>
    <row r="15" spans="1:1" x14ac:dyDescent="0.25">
      <c r="A15">
        <v>2020</v>
      </c>
    </row>
    <row r="16" spans="1:1" x14ac:dyDescent="0.25">
      <c r="A16">
        <v>2021</v>
      </c>
    </row>
    <row r="17" spans="1:1" x14ac:dyDescent="0.25">
      <c r="A17">
        <v>2022</v>
      </c>
    </row>
    <row r="18" spans="1:1" x14ac:dyDescent="0.25">
      <c r="A18">
        <v>2023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Boards</vt:lpstr>
      <vt:lpstr>Boards Catalogue</vt:lpstr>
      <vt:lpstr>To Add After Review</vt:lpstr>
      <vt:lpstr>Temp</vt:lpstr>
      <vt:lpstr>Category</vt:lpstr>
      <vt:lpstr>Brands</vt:lpstr>
      <vt:lpstr>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Johansson</dc:creator>
  <cp:lastModifiedBy>Björn Johansson</cp:lastModifiedBy>
  <dcterms:created xsi:type="dcterms:W3CDTF">2015-06-05T18:17:20Z</dcterms:created>
  <dcterms:modified xsi:type="dcterms:W3CDTF">2026-04-19T14:20:34Z</dcterms:modified>
</cp:coreProperties>
</file>