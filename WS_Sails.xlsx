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"/>
    </mc:Choice>
  </mc:AlternateContent>
  <xr:revisionPtr revIDLastSave="0" documentId="13_ncr:1_{F870C885-F2C0-48E3-85CE-72F510FB63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ils" sheetId="1" r:id="rId1"/>
    <sheet name="GPS_Validation" sheetId="2" r:id="rId2"/>
    <sheet name="Temp-Ber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10" i="2"/>
  <c r="Q11" i="2"/>
  <c r="Q12" i="2"/>
  <c r="Q13" i="2"/>
  <c r="Q14" i="2"/>
  <c r="Q15" i="2"/>
  <c r="Q2" i="2"/>
  <c r="P3" i="2"/>
  <c r="P4" i="2"/>
  <c r="P5" i="2"/>
  <c r="P6" i="2"/>
  <c r="P7" i="2"/>
  <c r="P8" i="2"/>
  <c r="P10" i="2"/>
  <c r="P11" i="2"/>
  <c r="P12" i="2"/>
  <c r="P13" i="2"/>
  <c r="P14" i="2"/>
  <c r="P15" i="2"/>
  <c r="P2" i="2"/>
  <c r="K3" i="2"/>
  <c r="K4" i="2"/>
  <c r="K5" i="2"/>
  <c r="K6" i="2"/>
  <c r="K7" i="2"/>
  <c r="K8" i="2"/>
  <c r="K9" i="2"/>
  <c r="P9" i="2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A9" i="1"/>
  <c r="A10" i="1"/>
  <c r="A11" i="1"/>
  <c r="A12" i="1"/>
  <c r="A13" i="1"/>
  <c r="A14" i="1"/>
  <c r="A3" i="1"/>
  <c r="A4" i="1"/>
  <c r="A5" i="1"/>
  <c r="A6" i="1"/>
  <c r="A7" i="1"/>
  <c r="A8" i="1"/>
  <c r="A2" i="1"/>
  <c r="Q9" i="2" l="1"/>
</calcChain>
</file>

<file path=xl/sharedStrings.xml><?xml version="1.0" encoding="utf-8"?>
<sst xmlns="http://schemas.openxmlformats.org/spreadsheetml/2006/main" count="159" uniqueCount="62">
  <si>
    <t>Luff</t>
  </si>
  <si>
    <t>Boom</t>
  </si>
  <si>
    <t>Battens</t>
  </si>
  <si>
    <t>Cams</t>
  </si>
  <si>
    <t>Weight</t>
  </si>
  <si>
    <t>Head</t>
  </si>
  <si>
    <t>Mast</t>
  </si>
  <si>
    <t>SDM/RDM</t>
  </si>
  <si>
    <t>4 x RDM</t>
  </si>
  <si>
    <t>FIXED</t>
  </si>
  <si>
    <t>SEVERNE 400/370</t>
  </si>
  <si>
    <t>RDM or SDM</t>
  </si>
  <si>
    <t>SEVERNE 400</t>
  </si>
  <si>
    <t>SEVERNE 430</t>
  </si>
  <si>
    <t>4 x SDM</t>
  </si>
  <si>
    <t>SDM</t>
  </si>
  <si>
    <t>SEVERNE 460</t>
  </si>
  <si>
    <t>SEVERNE 490</t>
  </si>
  <si>
    <t>ID</t>
  </si>
  <si>
    <t>Brand</t>
  </si>
  <si>
    <t>Type</t>
  </si>
  <si>
    <t>Size</t>
  </si>
  <si>
    <t>Year</t>
  </si>
  <si>
    <t>Class</t>
  </si>
  <si>
    <t>Sessions</t>
  </si>
  <si>
    <t>Severne</t>
  </si>
  <si>
    <t>ID2</t>
  </si>
  <si>
    <t>Temp Notes</t>
  </si>
  <si>
    <t>XMATCH</t>
  </si>
  <si>
    <t>XLookUp "-1"</t>
  </si>
  <si>
    <t>Mach 4</t>
  </si>
  <si>
    <t>SIZE</t>
  </si>
  <si>
    <t>BOOM</t>
  </si>
  <si>
    <t>LUFF</t>
  </si>
  <si>
    <t>B-Ext</t>
  </si>
  <si>
    <t>L-Ext</t>
  </si>
  <si>
    <t>MAST</t>
  </si>
  <si>
    <t>TOP</t>
  </si>
  <si>
    <t>BATTENS</t>
  </si>
  <si>
    <t>5.5</t>
  </si>
  <si>
    <t>180+6</t>
  </si>
  <si>
    <t>400/19</t>
  </si>
  <si>
    <t>fixed</t>
  </si>
  <si>
    <t>6.2</t>
  </si>
  <si>
    <t>180+14</t>
  </si>
  <si>
    <t>430/21</t>
  </si>
  <si>
    <t>7.0</t>
  </si>
  <si>
    <t>200+6</t>
  </si>
  <si>
    <t>460/25</t>
  </si>
  <si>
    <t>7.8</t>
  </si>
  <si>
    <t>200+18</t>
  </si>
  <si>
    <t>8.6</t>
  </si>
  <si>
    <t>200+28</t>
  </si>
  <si>
    <t>490/29</t>
  </si>
  <si>
    <t>9.5</t>
  </si>
  <si>
    <t>230+14</t>
  </si>
  <si>
    <t>520/34</t>
  </si>
  <si>
    <t>Simmer Sails</t>
  </si>
  <si>
    <t>SCR</t>
  </si>
  <si>
    <t>Simmer</t>
  </si>
  <si>
    <t>&lt;- Paste Data to validate to the left</t>
  </si>
  <si>
    <t>View result in formulas to the right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</si>
</sst>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onsolas"/>
      <family val="3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0" fillId="5" borderId="0" xfId="0" applyFill="1"/>
    <xf numFmtId="0" fontId="0" fillId="2" borderId="0" xfId="0" applyFill="1"/>
    <xf numFmtId="0" fontId="1" fillId="4" borderId="0" xfId="0" applyFont="1" applyFill="1"/>
    <xf numFmtId="0" fontId="1" fillId="2" borderId="1" xfId="0" applyFont="1" applyFill="1" applyBorder="1"/>
    <xf numFmtId="0" fontId="3" fillId="6" borderId="0" xfId="0" applyFont="1" applyFill="1"/>
    <xf numFmtId="0" fontId="1" fillId="0" borderId="2" xfId="0" applyFont="1" applyBorder="1"/>
    <xf numFmtId="0" fontId="0" fillId="7" borderId="3" xfId="0" applyFill="1" applyBorder="1"/>
    <xf numFmtId="0" fontId="4" fillId="2" borderId="0" xfId="0" applyFont="1" applyFill="1"/>
    <xf numFmtId="0" fontId="0" fillId="6" borderId="0" xfId="0" applyFill="1"/>
    <xf numFmtId="0" fontId="5" fillId="6" borderId="0" xfId="0" applyFont="1" applyFill="1"/>
    <xf numFmtId="0" fontId="0" fillId="0" borderId="0" xfId="0" quotePrefix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M14"/>
  <sheetViews>
    <sheetView tabSelected="1" workbookViewId="0">
      <selection activeCell="Q8" sqref="Q8"/>
    </sheetView>
  </sheetViews>
  <sheetFormatPr defaultRowHeight="15" x14ac:dyDescent="0.25"/>
  <cols>
    <col min="1" max="1" width="25" customWidth="1"/>
    <col min="2" max="2" width="12.28515625" customWidth="1"/>
    <col min="4" max="4" width="7.7109375" style="4" customWidth="1"/>
    <col min="5" max="5" width="13.85546875" customWidth="1"/>
    <col min="12" max="12" width="16.28515625" bestFit="1" customWidth="1"/>
    <col min="13" max="13" width="11.85546875" bestFit="1" customWidth="1"/>
    <col min="14" max="14" width="13.140625" bestFit="1" customWidth="1"/>
  </cols>
  <sheetData>
    <row r="1" spans="1:13" x14ac:dyDescent="0.25">
      <c r="A1" s="1" t="s">
        <v>18</v>
      </c>
      <c r="B1" s="1" t="s">
        <v>19</v>
      </c>
      <c r="C1" s="1" t="s">
        <v>20</v>
      </c>
      <c r="D1" s="3" t="s">
        <v>21</v>
      </c>
      <c r="E1" s="1" t="s">
        <v>22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3" x14ac:dyDescent="0.25">
      <c r="A2" s="9" t="str">
        <f>_xlfn.CONCAT(E2,"-",LEFT(B2,2),"-",SUBSTITUTE(C2," ",""),"-",D2)</f>
        <v>2021-Se-Mach4-5</v>
      </c>
      <c r="B2" t="s">
        <v>25</v>
      </c>
      <c r="C2" t="s">
        <v>30</v>
      </c>
      <c r="D2" s="4">
        <v>5</v>
      </c>
      <c r="E2">
        <v>2021</v>
      </c>
      <c r="F2">
        <v>400</v>
      </c>
      <c r="G2">
        <v>176</v>
      </c>
      <c r="H2">
        <v>7</v>
      </c>
      <c r="I2" t="s">
        <v>8</v>
      </c>
      <c r="J2">
        <v>4.25</v>
      </c>
      <c r="K2" t="s">
        <v>9</v>
      </c>
      <c r="L2" t="s">
        <v>10</v>
      </c>
      <c r="M2" t="s">
        <v>11</v>
      </c>
    </row>
    <row r="3" spans="1:13" x14ac:dyDescent="0.25">
      <c r="A3" s="9" t="str">
        <f t="shared" ref="A3:A14" si="0">_xlfn.CONCAT(E3,"-",LEFT(B3,2),"-",SUBSTITUTE(C3," ",""),"-",D3)</f>
        <v>2021-Se-Mach4-5.5</v>
      </c>
      <c r="B3" t="s">
        <v>25</v>
      </c>
      <c r="C3" t="s">
        <v>30</v>
      </c>
      <c r="D3" s="4">
        <v>5.5</v>
      </c>
      <c r="E3">
        <v>2021</v>
      </c>
      <c r="F3">
        <v>411</v>
      </c>
      <c r="G3">
        <v>184</v>
      </c>
      <c r="H3">
        <v>7</v>
      </c>
      <c r="I3" t="s">
        <v>8</v>
      </c>
      <c r="J3">
        <v>4.45</v>
      </c>
      <c r="K3" t="s">
        <v>9</v>
      </c>
      <c r="L3" t="s">
        <v>12</v>
      </c>
      <c r="M3" t="s">
        <v>11</v>
      </c>
    </row>
    <row r="4" spans="1:13" x14ac:dyDescent="0.25">
      <c r="A4" s="9" t="str">
        <f t="shared" si="0"/>
        <v>2021-Se-Mach4-6.2</v>
      </c>
      <c r="B4" t="s">
        <v>25</v>
      </c>
      <c r="C4" t="s">
        <v>30</v>
      </c>
      <c r="D4" s="4">
        <v>6.2</v>
      </c>
      <c r="E4">
        <v>2021</v>
      </c>
      <c r="F4">
        <v>433</v>
      </c>
      <c r="G4">
        <v>190</v>
      </c>
      <c r="H4">
        <v>7</v>
      </c>
      <c r="I4" t="s">
        <v>8</v>
      </c>
      <c r="J4">
        <v>4.6500000000000004</v>
      </c>
      <c r="K4" t="s">
        <v>9</v>
      </c>
      <c r="L4" t="s">
        <v>13</v>
      </c>
      <c r="M4" t="s">
        <v>11</v>
      </c>
    </row>
    <row r="5" spans="1:13" x14ac:dyDescent="0.25">
      <c r="A5" s="9" t="str">
        <f t="shared" si="0"/>
        <v>2021-Se-Mach4-7</v>
      </c>
      <c r="B5" t="s">
        <v>25</v>
      </c>
      <c r="C5" t="s">
        <v>30</v>
      </c>
      <c r="D5" s="4">
        <v>7</v>
      </c>
      <c r="E5">
        <v>2021</v>
      </c>
      <c r="F5">
        <v>461</v>
      </c>
      <c r="G5">
        <v>202</v>
      </c>
      <c r="H5">
        <v>7</v>
      </c>
      <c r="I5" t="s">
        <v>14</v>
      </c>
      <c r="J5">
        <v>5.15</v>
      </c>
      <c r="K5" t="s">
        <v>9</v>
      </c>
      <c r="L5" t="s">
        <v>13</v>
      </c>
      <c r="M5" t="s">
        <v>15</v>
      </c>
    </row>
    <row r="6" spans="1:13" x14ac:dyDescent="0.25">
      <c r="A6" s="9" t="str">
        <f t="shared" si="0"/>
        <v>2021-Se-Mach4-7.8</v>
      </c>
      <c r="B6" t="s">
        <v>25</v>
      </c>
      <c r="C6" t="s">
        <v>30</v>
      </c>
      <c r="D6" s="4">
        <v>7.8</v>
      </c>
      <c r="E6">
        <v>2021</v>
      </c>
      <c r="F6">
        <v>488</v>
      </c>
      <c r="G6">
        <v>210</v>
      </c>
      <c r="H6">
        <v>7</v>
      </c>
      <c r="I6" t="s">
        <v>14</v>
      </c>
      <c r="J6">
        <v>5.45</v>
      </c>
      <c r="K6" t="s">
        <v>9</v>
      </c>
      <c r="L6" t="s">
        <v>16</v>
      </c>
      <c r="M6" t="s">
        <v>15</v>
      </c>
    </row>
    <row r="7" spans="1:13" x14ac:dyDescent="0.25">
      <c r="A7" s="9" t="str">
        <f t="shared" si="0"/>
        <v>2021-Se-Mach4-8.6</v>
      </c>
      <c r="B7" t="s">
        <v>25</v>
      </c>
      <c r="C7" t="s">
        <v>30</v>
      </c>
      <c r="D7" s="4">
        <v>8.6</v>
      </c>
      <c r="E7">
        <v>2021</v>
      </c>
      <c r="F7">
        <v>518</v>
      </c>
      <c r="G7">
        <v>222</v>
      </c>
      <c r="H7">
        <v>7</v>
      </c>
      <c r="I7" t="s">
        <v>14</v>
      </c>
      <c r="J7">
        <v>5.75</v>
      </c>
      <c r="K7" t="s">
        <v>9</v>
      </c>
      <c r="L7" t="s">
        <v>17</v>
      </c>
      <c r="M7" t="s">
        <v>15</v>
      </c>
    </row>
    <row r="8" spans="1:13" x14ac:dyDescent="0.25">
      <c r="A8" s="9" t="str">
        <f t="shared" si="0"/>
        <v>2021-Se-Mach4-9.4</v>
      </c>
      <c r="B8" t="s">
        <v>25</v>
      </c>
      <c r="C8" t="s">
        <v>30</v>
      </c>
      <c r="D8" s="4">
        <v>9.4</v>
      </c>
      <c r="E8">
        <v>2021</v>
      </c>
      <c r="F8">
        <v>518</v>
      </c>
      <c r="G8">
        <v>240</v>
      </c>
      <c r="H8">
        <v>7</v>
      </c>
      <c r="I8" t="s">
        <v>14</v>
      </c>
      <c r="J8">
        <v>6</v>
      </c>
      <c r="K8" t="s">
        <v>9</v>
      </c>
      <c r="L8" t="s">
        <v>17</v>
      </c>
      <c r="M8" t="s">
        <v>15</v>
      </c>
    </row>
    <row r="9" spans="1:13" x14ac:dyDescent="0.25">
      <c r="A9" s="9" t="str">
        <f t="shared" si="0"/>
        <v>2013-Si-SCR-5.5</v>
      </c>
      <c r="B9" t="s">
        <v>57</v>
      </c>
      <c r="C9" t="s">
        <v>58</v>
      </c>
      <c r="D9" s="4">
        <v>5.5</v>
      </c>
      <c r="E9">
        <v>2013</v>
      </c>
      <c r="F9">
        <v>417</v>
      </c>
      <c r="G9">
        <v>184</v>
      </c>
      <c r="H9">
        <v>7</v>
      </c>
      <c r="I9">
        <v>4</v>
      </c>
      <c r="K9" t="s">
        <v>9</v>
      </c>
      <c r="L9" t="s">
        <v>41</v>
      </c>
      <c r="M9" t="s">
        <v>15</v>
      </c>
    </row>
    <row r="10" spans="1:13" x14ac:dyDescent="0.25">
      <c r="A10" s="9" t="str">
        <f t="shared" si="0"/>
        <v>2013-Si-SCR-6.2</v>
      </c>
      <c r="B10" t="s">
        <v>57</v>
      </c>
      <c r="C10" t="s">
        <v>58</v>
      </c>
      <c r="D10" s="4">
        <v>6.2</v>
      </c>
      <c r="E10">
        <v>2013</v>
      </c>
      <c r="F10">
        <v>438</v>
      </c>
      <c r="G10">
        <v>193</v>
      </c>
      <c r="H10">
        <v>7</v>
      </c>
      <c r="I10">
        <v>4</v>
      </c>
      <c r="K10" t="s">
        <v>9</v>
      </c>
      <c r="L10" t="s">
        <v>45</v>
      </c>
      <c r="M10" t="s">
        <v>15</v>
      </c>
    </row>
    <row r="11" spans="1:13" x14ac:dyDescent="0.25">
      <c r="A11" s="9" t="str">
        <f t="shared" si="0"/>
        <v>2013-Si-SCR-7</v>
      </c>
      <c r="B11" t="s">
        <v>57</v>
      </c>
      <c r="C11" t="s">
        <v>58</v>
      </c>
      <c r="D11" s="4">
        <v>7</v>
      </c>
      <c r="E11">
        <v>2013</v>
      </c>
      <c r="F11">
        <v>465</v>
      </c>
      <c r="G11">
        <v>205</v>
      </c>
      <c r="H11">
        <v>8</v>
      </c>
      <c r="I11">
        <v>4</v>
      </c>
      <c r="K11" t="s">
        <v>9</v>
      </c>
      <c r="L11" t="s">
        <v>48</v>
      </c>
      <c r="M11" t="s">
        <v>15</v>
      </c>
    </row>
    <row r="12" spans="1:13" x14ac:dyDescent="0.25">
      <c r="A12" s="9" t="str">
        <f t="shared" si="0"/>
        <v>2013-Si-SCR-7.8</v>
      </c>
      <c r="B12" t="s">
        <v>57</v>
      </c>
      <c r="C12" t="s">
        <v>58</v>
      </c>
      <c r="D12" s="4">
        <v>7.8</v>
      </c>
      <c r="E12">
        <v>2013</v>
      </c>
      <c r="F12">
        <v>483</v>
      </c>
      <c r="G12">
        <v>217</v>
      </c>
      <c r="H12">
        <v>8</v>
      </c>
      <c r="I12">
        <v>4</v>
      </c>
      <c r="K12" t="s">
        <v>9</v>
      </c>
      <c r="L12" t="s">
        <v>48</v>
      </c>
      <c r="M12" t="s">
        <v>15</v>
      </c>
    </row>
    <row r="13" spans="1:13" x14ac:dyDescent="0.25">
      <c r="A13" s="9" t="str">
        <f t="shared" si="0"/>
        <v>2013-Si-SCR-8.6</v>
      </c>
      <c r="B13" t="s">
        <v>57</v>
      </c>
      <c r="C13" t="s">
        <v>58</v>
      </c>
      <c r="D13" s="4">
        <v>8.6</v>
      </c>
      <c r="E13">
        <v>2013</v>
      </c>
      <c r="F13">
        <v>507</v>
      </c>
      <c r="G13">
        <v>227</v>
      </c>
      <c r="H13">
        <v>8</v>
      </c>
      <c r="I13">
        <v>4</v>
      </c>
      <c r="K13" t="s">
        <v>9</v>
      </c>
      <c r="L13" t="s">
        <v>53</v>
      </c>
      <c r="M13" t="s">
        <v>15</v>
      </c>
    </row>
    <row r="14" spans="1:13" x14ac:dyDescent="0.25">
      <c r="A14" s="9" t="str">
        <f t="shared" si="0"/>
        <v>2013-Si-SCR-9.5</v>
      </c>
      <c r="B14" t="s">
        <v>57</v>
      </c>
      <c r="C14" t="s">
        <v>58</v>
      </c>
      <c r="D14" s="4">
        <v>9.5</v>
      </c>
      <c r="E14">
        <v>2013</v>
      </c>
      <c r="F14">
        <v>536</v>
      </c>
      <c r="G14">
        <v>243</v>
      </c>
      <c r="H14">
        <v>8</v>
      </c>
      <c r="I14">
        <v>4</v>
      </c>
      <c r="K14" t="s">
        <v>9</v>
      </c>
      <c r="L14" t="s">
        <v>56</v>
      </c>
      <c r="M14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DCBD-187B-4D4A-924E-A9870E38DFAB}">
  <sheetPr>
    <tabColor theme="5" tint="0.59999389629810485"/>
  </sheetPr>
  <dimension ref="A1:Q26"/>
  <sheetViews>
    <sheetView workbookViewId="0">
      <selection activeCell="L27" sqref="L27"/>
    </sheetView>
  </sheetViews>
  <sheetFormatPr defaultRowHeight="15" x14ac:dyDescent="0.25"/>
  <cols>
    <col min="1" max="1" width="6" bestFit="1" customWidth="1"/>
    <col min="2" max="2" width="11.7109375" customWidth="1"/>
    <col min="3" max="3" width="14.5703125" customWidth="1"/>
    <col min="4" max="4" width="9.42578125" customWidth="1"/>
    <col min="5" max="5" width="17.5703125" customWidth="1"/>
    <col min="7" max="7" width="16.85546875" bestFit="1" customWidth="1"/>
    <col min="8" max="8" width="34.7109375" bestFit="1" customWidth="1"/>
    <col min="9" max="9" width="11.7109375" bestFit="1" customWidth="1"/>
    <col min="10" max="10" width="4.7109375" customWidth="1"/>
    <col min="11" max="11" width="20" customWidth="1"/>
    <col min="16" max="16" width="14" customWidth="1"/>
    <col min="17" max="17" width="22.140625" bestFit="1" customWidth="1"/>
  </cols>
  <sheetData>
    <row r="1" spans="1:17" x14ac:dyDescent="0.25">
      <c r="A1" s="5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6" t="s">
        <v>23</v>
      </c>
      <c r="G1" s="6" t="s">
        <v>24</v>
      </c>
      <c r="I1" s="10" t="s">
        <v>27</v>
      </c>
      <c r="K1" s="8" t="s">
        <v>26</v>
      </c>
      <c r="P1" s="1" t="s">
        <v>28</v>
      </c>
      <c r="Q1" s="12" t="s">
        <v>29</v>
      </c>
    </row>
    <row r="2" spans="1:17" x14ac:dyDescent="0.25">
      <c r="B2" t="s">
        <v>25</v>
      </c>
      <c r="C2" t="s">
        <v>30</v>
      </c>
      <c r="D2">
        <v>5</v>
      </c>
      <c r="E2">
        <v>2021</v>
      </c>
      <c r="H2" s="15" t="s">
        <v>60</v>
      </c>
      <c r="I2" s="11"/>
      <c r="K2" s="9" t="str">
        <f>_xlfn.CONCAT(E2,"-",LEFT(B2,2),"-",SUBSTITUTE(C2," ",""),"-",D2)</f>
        <v>2021-Se-Mach4-5</v>
      </c>
      <c r="P2" s="13">
        <f>_xlfn.IFNA(_xlfn.XMATCH(K2,Sails!A:A),-1)</f>
        <v>2</v>
      </c>
      <c r="Q2" s="14" t="str">
        <f>_xlfn.XLOOKUP(K2,Sails!A:A,Sails!A:A,,-1)</f>
        <v>2021-Se-Mach4-5</v>
      </c>
    </row>
    <row r="3" spans="1:17" x14ac:dyDescent="0.25">
      <c r="B3" t="s">
        <v>25</v>
      </c>
      <c r="C3" t="s">
        <v>30</v>
      </c>
      <c r="D3">
        <v>5.5</v>
      </c>
      <c r="E3">
        <v>2021</v>
      </c>
      <c r="H3" t="s">
        <v>61</v>
      </c>
      <c r="I3" s="11"/>
      <c r="K3" s="9" t="str">
        <f t="shared" ref="K3:K26" si="0">_xlfn.CONCAT(E3,"-",LEFT(B3,2),"-",SUBSTITUTE(C3," ",""),"-",D3)</f>
        <v>2021-Se-Mach4-5.5</v>
      </c>
      <c r="P3" s="13">
        <f>_xlfn.IFNA(_xlfn.XMATCH(K3,Sails!A:A),-1)</f>
        <v>3</v>
      </c>
      <c r="Q3" s="14" t="str">
        <f>_xlfn.XLOOKUP(K3,Sails!A:A,Sails!A:A,,-1)</f>
        <v>2021-Se-Mach4-5.5</v>
      </c>
    </row>
    <row r="4" spans="1:17" x14ac:dyDescent="0.25">
      <c r="B4" t="s">
        <v>25</v>
      </c>
      <c r="C4" t="s">
        <v>30</v>
      </c>
      <c r="D4">
        <v>6.2</v>
      </c>
      <c r="E4">
        <v>2021</v>
      </c>
      <c r="K4" s="9" t="str">
        <f t="shared" si="0"/>
        <v>2021-Se-Mach4-6.2</v>
      </c>
      <c r="P4" s="13">
        <f>_xlfn.IFNA(_xlfn.XMATCH(K4,Sails!A:A),-1)</f>
        <v>4</v>
      </c>
      <c r="Q4" s="14" t="str">
        <f>_xlfn.XLOOKUP(K4,Sails!A:A,Sails!A:A,,-1)</f>
        <v>2021-Se-Mach4-6.2</v>
      </c>
    </row>
    <row r="5" spans="1:17" x14ac:dyDescent="0.25">
      <c r="B5" t="s">
        <v>25</v>
      </c>
      <c r="C5" t="s">
        <v>30</v>
      </c>
      <c r="D5">
        <v>7</v>
      </c>
      <c r="E5">
        <v>2021</v>
      </c>
      <c r="K5" s="9" t="str">
        <f t="shared" si="0"/>
        <v>2021-Se-Mach4-7</v>
      </c>
      <c r="P5" s="13">
        <f>_xlfn.IFNA(_xlfn.XMATCH(K5,Sails!A:A),-1)</f>
        <v>5</v>
      </c>
      <c r="Q5" s="14" t="str">
        <f>_xlfn.XLOOKUP(K5,Sails!A:A,Sails!A:A,,-1)</f>
        <v>2021-Se-Mach4-7</v>
      </c>
    </row>
    <row r="6" spans="1:17" x14ac:dyDescent="0.25">
      <c r="B6" t="s">
        <v>25</v>
      </c>
      <c r="C6" t="s">
        <v>30</v>
      </c>
      <c r="D6">
        <v>7.8</v>
      </c>
      <c r="E6">
        <v>2021</v>
      </c>
      <c r="K6" s="9" t="str">
        <f t="shared" si="0"/>
        <v>2021-Se-Mach4-7.8</v>
      </c>
      <c r="P6" s="13">
        <f>_xlfn.IFNA(_xlfn.XMATCH(K6,Sails!A:A),-1)</f>
        <v>6</v>
      </c>
      <c r="Q6" s="14" t="str">
        <f>_xlfn.XLOOKUP(K6,Sails!A:A,Sails!A:A,,-1)</f>
        <v>2021-Se-Mach4-7.8</v>
      </c>
    </row>
    <row r="7" spans="1:17" x14ac:dyDescent="0.25">
      <c r="B7" t="s">
        <v>25</v>
      </c>
      <c r="C7" t="s">
        <v>30</v>
      </c>
      <c r="D7">
        <v>8.6</v>
      </c>
      <c r="E7">
        <v>2021</v>
      </c>
      <c r="K7" s="9" t="str">
        <f t="shared" si="0"/>
        <v>2021-Se-Mach4-8.6</v>
      </c>
      <c r="P7" s="13">
        <f>_xlfn.IFNA(_xlfn.XMATCH(K7,Sails!A:A),-1)</f>
        <v>7</v>
      </c>
      <c r="Q7" s="14" t="str">
        <f>_xlfn.XLOOKUP(K7,Sails!A:A,Sails!A:A,,-1)</f>
        <v>2021-Se-Mach4-8.6</v>
      </c>
    </row>
    <row r="8" spans="1:17" x14ac:dyDescent="0.25">
      <c r="B8" t="s">
        <v>25</v>
      </c>
      <c r="C8" t="s">
        <v>30</v>
      </c>
      <c r="D8">
        <v>9.4</v>
      </c>
      <c r="E8">
        <v>2021</v>
      </c>
      <c r="K8" s="9" t="str">
        <f t="shared" si="0"/>
        <v>2021-Se-Mach4-9.4</v>
      </c>
      <c r="P8" s="13">
        <f>_xlfn.IFNA(_xlfn.XMATCH(K8,Sails!A:A),-1)</f>
        <v>8</v>
      </c>
      <c r="Q8" s="14" t="str">
        <f>_xlfn.XLOOKUP(K8,Sails!A:A,Sails!A:A,,-1)</f>
        <v>2021-Se-Mach4-9.4</v>
      </c>
    </row>
    <row r="9" spans="1:17" x14ac:dyDescent="0.25">
      <c r="B9" t="s">
        <v>59</v>
      </c>
      <c r="C9" t="s">
        <v>58</v>
      </c>
      <c r="D9">
        <v>7</v>
      </c>
      <c r="E9">
        <v>2013</v>
      </c>
      <c r="K9" s="9" t="str">
        <f t="shared" si="0"/>
        <v>2013-Si-SCR-7</v>
      </c>
      <c r="P9" s="13">
        <f>_xlfn.IFNA(_xlfn.XMATCH(K9,Sails!A:A),-1)</f>
        <v>11</v>
      </c>
      <c r="Q9" s="14" t="str">
        <f>_xlfn.XLOOKUP(K9,Sails!A:A,Sails!A:A,,-1)</f>
        <v>2013-Si-SCR-7</v>
      </c>
    </row>
    <row r="10" spans="1:17" x14ac:dyDescent="0.25">
      <c r="K10" s="9" t="str">
        <f t="shared" si="0"/>
        <v>---</v>
      </c>
      <c r="P10" s="13">
        <f>_xlfn.IFNA(_xlfn.XMATCH(K10,Sails!A:A),-1)</f>
        <v>-1</v>
      </c>
      <c r="Q10" s="14" t="e">
        <f>_xlfn.XLOOKUP(K10,Sails!A:A,Sails!A:A,,-1)</f>
        <v>#N/A</v>
      </c>
    </row>
    <row r="11" spans="1:17" x14ac:dyDescent="0.25">
      <c r="K11" s="9" t="str">
        <f t="shared" si="0"/>
        <v>---</v>
      </c>
      <c r="P11" s="13">
        <f>_xlfn.IFNA(_xlfn.XMATCH(K11,Sails!A:A),-1)</f>
        <v>-1</v>
      </c>
      <c r="Q11" s="14" t="e">
        <f>_xlfn.XLOOKUP(K11,Sails!A:A,Sails!A:A,,-1)</f>
        <v>#N/A</v>
      </c>
    </row>
    <row r="12" spans="1:17" x14ac:dyDescent="0.25">
      <c r="K12" s="9" t="str">
        <f t="shared" si="0"/>
        <v>---</v>
      </c>
      <c r="P12" s="13">
        <f>_xlfn.IFNA(_xlfn.XMATCH(K12,Sails!A:A),-1)</f>
        <v>-1</v>
      </c>
      <c r="Q12" s="14" t="e">
        <f>_xlfn.XLOOKUP(K12,Sails!A:A,Sails!A:A,,-1)</f>
        <v>#N/A</v>
      </c>
    </row>
    <row r="13" spans="1:17" x14ac:dyDescent="0.25">
      <c r="K13" s="9" t="str">
        <f t="shared" si="0"/>
        <v>---</v>
      </c>
      <c r="P13" s="13">
        <f>_xlfn.IFNA(_xlfn.XMATCH(K13,Sails!A:A),-1)</f>
        <v>-1</v>
      </c>
      <c r="Q13" s="14" t="e">
        <f>_xlfn.XLOOKUP(K13,Sails!A:A,Sails!A:A,,-1)</f>
        <v>#N/A</v>
      </c>
    </row>
    <row r="14" spans="1:17" x14ac:dyDescent="0.25">
      <c r="K14" s="9" t="str">
        <f t="shared" si="0"/>
        <v>---</v>
      </c>
      <c r="P14" s="13">
        <f>_xlfn.IFNA(_xlfn.XMATCH(K14,Sails!A:A),-1)</f>
        <v>-1</v>
      </c>
      <c r="Q14" s="14" t="e">
        <f>_xlfn.XLOOKUP(K14,Sails!A:A,Sails!A:A,,-1)</f>
        <v>#N/A</v>
      </c>
    </row>
    <row r="15" spans="1:17" x14ac:dyDescent="0.25">
      <c r="K15" s="9" t="str">
        <f t="shared" si="0"/>
        <v>---</v>
      </c>
      <c r="P15" s="13">
        <f>_xlfn.IFNA(_xlfn.XMATCH(K15,Sails!A:A),-1)</f>
        <v>-1</v>
      </c>
      <c r="Q15" s="14" t="e">
        <f>_xlfn.XLOOKUP(K15,Sails!A:A,Sails!A:A,,-1)</f>
        <v>#N/A</v>
      </c>
    </row>
    <row r="16" spans="1:17" x14ac:dyDescent="0.25">
      <c r="K16" s="9" t="str">
        <f t="shared" si="0"/>
        <v>---</v>
      </c>
    </row>
    <row r="17" spans="11:11" x14ac:dyDescent="0.25">
      <c r="K17" s="9" t="str">
        <f t="shared" si="0"/>
        <v>---</v>
      </c>
    </row>
    <row r="18" spans="11:11" x14ac:dyDescent="0.25">
      <c r="K18" s="9" t="str">
        <f t="shared" si="0"/>
        <v>---</v>
      </c>
    </row>
    <row r="19" spans="11:11" x14ac:dyDescent="0.25">
      <c r="K19" s="9" t="str">
        <f t="shared" si="0"/>
        <v>---</v>
      </c>
    </row>
    <row r="20" spans="11:11" x14ac:dyDescent="0.25">
      <c r="K20" s="9" t="str">
        <f t="shared" si="0"/>
        <v>---</v>
      </c>
    </row>
    <row r="21" spans="11:11" x14ac:dyDescent="0.25">
      <c r="K21" s="9" t="str">
        <f t="shared" si="0"/>
        <v>---</v>
      </c>
    </row>
    <row r="22" spans="11:11" x14ac:dyDescent="0.25">
      <c r="K22" s="9" t="str">
        <f t="shared" si="0"/>
        <v>---</v>
      </c>
    </row>
    <row r="23" spans="11:11" x14ac:dyDescent="0.25">
      <c r="K23" s="9" t="str">
        <f t="shared" si="0"/>
        <v>---</v>
      </c>
    </row>
    <row r="24" spans="11:11" x14ac:dyDescent="0.25">
      <c r="K24" s="9" t="str">
        <f t="shared" si="0"/>
        <v>---</v>
      </c>
    </row>
    <row r="25" spans="11:11" x14ac:dyDescent="0.25">
      <c r="K25" s="9" t="str">
        <f t="shared" si="0"/>
        <v>---</v>
      </c>
    </row>
    <row r="26" spans="11:11" x14ac:dyDescent="0.25">
      <c r="K26" s="9" t="str">
        <f t="shared" si="0"/>
        <v>---</v>
      </c>
    </row>
  </sheetData>
  <phoneticPr fontId="2" type="noConversion"/>
  <conditionalFormatting sqref="P1:Q15">
    <cfRule type="expression" dxfId="0" priority="1">
      <formula>$P1=-1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EAC9-CAA6-47A8-8198-4A8F2BA433E6}">
  <sheetPr>
    <tabColor theme="4" tint="0.39997558519241921"/>
  </sheetPr>
  <dimension ref="A1:Q9"/>
  <sheetViews>
    <sheetView workbookViewId="0">
      <selection activeCell="I45" sqref="I45"/>
    </sheetView>
  </sheetViews>
  <sheetFormatPr defaultRowHeight="15" x14ac:dyDescent="0.25"/>
  <sheetData>
    <row r="1" spans="1:17" x14ac:dyDescent="0.25">
      <c r="A1" s="1" t="s">
        <v>18</v>
      </c>
      <c r="B1" s="1" t="s">
        <v>19</v>
      </c>
      <c r="C1" s="1" t="s">
        <v>20</v>
      </c>
      <c r="D1" s="3" t="s">
        <v>21</v>
      </c>
      <c r="E1" s="1" t="s">
        <v>22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</row>
    <row r="3" spans="1:17" x14ac:dyDescent="0.25">
      <c r="C3" t="s">
        <v>31</v>
      </c>
      <c r="F3" t="s">
        <v>33</v>
      </c>
      <c r="G3" t="s">
        <v>32</v>
      </c>
      <c r="H3" t="s">
        <v>38</v>
      </c>
      <c r="L3" t="s">
        <v>36</v>
      </c>
      <c r="O3" t="s">
        <v>37</v>
      </c>
      <c r="P3" t="s">
        <v>34</v>
      </c>
      <c r="Q3" t="s">
        <v>35</v>
      </c>
    </row>
    <row r="4" spans="1:17" x14ac:dyDescent="0.25">
      <c r="C4" t="s">
        <v>39</v>
      </c>
      <c r="F4">
        <v>417</v>
      </c>
      <c r="G4">
        <v>184</v>
      </c>
      <c r="H4">
        <v>7</v>
      </c>
      <c r="I4">
        <v>4</v>
      </c>
      <c r="L4" t="s">
        <v>41</v>
      </c>
      <c r="O4" t="s">
        <v>42</v>
      </c>
      <c r="P4" t="s">
        <v>40</v>
      </c>
      <c r="Q4">
        <v>19</v>
      </c>
    </row>
    <row r="5" spans="1:17" x14ac:dyDescent="0.25">
      <c r="C5" t="s">
        <v>43</v>
      </c>
      <c r="F5">
        <v>438</v>
      </c>
      <c r="G5">
        <v>193</v>
      </c>
      <c r="H5">
        <v>7</v>
      </c>
      <c r="I5">
        <v>4</v>
      </c>
      <c r="L5" t="s">
        <v>45</v>
      </c>
      <c r="O5" t="s">
        <v>42</v>
      </c>
      <c r="P5" t="s">
        <v>44</v>
      </c>
      <c r="Q5">
        <v>9</v>
      </c>
    </row>
    <row r="6" spans="1:17" x14ac:dyDescent="0.25">
      <c r="C6" t="s">
        <v>46</v>
      </c>
      <c r="F6">
        <v>465</v>
      </c>
      <c r="G6">
        <v>205</v>
      </c>
      <c r="H6">
        <v>8</v>
      </c>
      <c r="I6">
        <v>4</v>
      </c>
      <c r="L6" t="s">
        <v>48</v>
      </c>
      <c r="O6" t="s">
        <v>42</v>
      </c>
      <c r="P6" t="s">
        <v>47</v>
      </c>
      <c r="Q6">
        <v>5</v>
      </c>
    </row>
    <row r="7" spans="1:17" x14ac:dyDescent="0.25">
      <c r="C7" t="s">
        <v>49</v>
      </c>
      <c r="F7">
        <v>483</v>
      </c>
      <c r="G7">
        <v>217</v>
      </c>
      <c r="H7">
        <v>8</v>
      </c>
      <c r="I7">
        <v>4</v>
      </c>
      <c r="L7" t="s">
        <v>48</v>
      </c>
      <c r="O7" t="s">
        <v>42</v>
      </c>
      <c r="P7" t="s">
        <v>50</v>
      </c>
      <c r="Q7">
        <v>23</v>
      </c>
    </row>
    <row r="8" spans="1:17" x14ac:dyDescent="0.25">
      <c r="C8" t="s">
        <v>51</v>
      </c>
      <c r="F8">
        <v>507</v>
      </c>
      <c r="G8">
        <v>227</v>
      </c>
      <c r="H8">
        <v>8</v>
      </c>
      <c r="I8">
        <v>4</v>
      </c>
      <c r="L8" t="s">
        <v>53</v>
      </c>
      <c r="O8" t="s">
        <v>42</v>
      </c>
      <c r="P8" t="s">
        <v>52</v>
      </c>
      <c r="Q8">
        <v>17</v>
      </c>
    </row>
    <row r="9" spans="1:17" x14ac:dyDescent="0.25">
      <c r="C9" t="s">
        <v>54</v>
      </c>
      <c r="F9">
        <v>536</v>
      </c>
      <c r="G9">
        <v>243</v>
      </c>
      <c r="H9">
        <v>8</v>
      </c>
      <c r="I9">
        <v>4</v>
      </c>
      <c r="L9" t="s">
        <v>56</v>
      </c>
      <c r="O9" t="s">
        <v>42</v>
      </c>
      <c r="P9" t="s">
        <v>55</v>
      </c>
      <c r="Q9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574437-CA01-4B3A-BFC1-C80E8F6A7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Sails</vt:lpstr>
      <vt:lpstr>GPS_Validation</vt:lpstr>
      <vt:lpstr>Temp-Berra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2026-04-20T11:37:03Z</dcterms:modified>
</cp:coreProperties>
</file>