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bjorn\Documents\bjorn76\WS\"/>
    </mc:Choice>
  </mc:AlternateContent>
  <xr:revisionPtr revIDLastSave="0" documentId="13_ncr:1_{E1DD96FD-3D00-4232-BF62-627A5FED504F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ails" sheetId="1" r:id="rId1"/>
    <sheet name="GPS_Validation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2" i="1"/>
  <c r="K4" i="2"/>
  <c r="P4" i="2" s="1"/>
  <c r="K5" i="2"/>
  <c r="P5" i="2" s="1"/>
  <c r="K6" i="2"/>
  <c r="P6" i="2" s="1"/>
  <c r="K7" i="2"/>
  <c r="P7" i="2" s="1"/>
  <c r="K8" i="2"/>
  <c r="P8" i="2" s="1"/>
  <c r="P9" i="2"/>
  <c r="P10" i="2"/>
  <c r="P11" i="2"/>
  <c r="P12" i="2"/>
  <c r="P13" i="2"/>
  <c r="P14" i="2"/>
  <c r="P15" i="2"/>
  <c r="K3" i="2"/>
  <c r="P3" i="2" s="1"/>
  <c r="K2" i="2"/>
  <c r="P2" i="2" s="1"/>
  <c r="Q2" i="2" l="1"/>
  <c r="Q3" i="2"/>
</calcChain>
</file>

<file path=xl/sharedStrings.xml><?xml version="1.0" encoding="utf-8"?>
<sst xmlns="http://schemas.openxmlformats.org/spreadsheetml/2006/main" count="83" uniqueCount="35">
  <si>
    <t>Luff</t>
  </si>
  <si>
    <t>Boom</t>
  </si>
  <si>
    <t>Battens</t>
  </si>
  <si>
    <t>Cams</t>
  </si>
  <si>
    <t>Weight</t>
  </si>
  <si>
    <t>Head</t>
  </si>
  <si>
    <t>Mast</t>
  </si>
  <si>
    <t>SDM/RDM</t>
  </si>
  <si>
    <t>4 x RDM</t>
  </si>
  <si>
    <t>FIXED</t>
  </si>
  <si>
    <t>SEVERNE 400/370</t>
  </si>
  <si>
    <t>RDM or SDM</t>
  </si>
  <si>
    <t>SEVERNE 400</t>
  </si>
  <si>
    <t>SEVERNE 430</t>
  </si>
  <si>
    <t>4 x SDM</t>
  </si>
  <si>
    <t>SDM</t>
  </si>
  <si>
    <t>SEVERNE 460</t>
  </si>
  <si>
    <t>SEVERNE 490</t>
  </si>
  <si>
    <t>ID</t>
  </si>
  <si>
    <t>Brand</t>
  </si>
  <si>
    <t>Type</t>
  </si>
  <si>
    <t>Size</t>
  </si>
  <si>
    <t>Year</t>
  </si>
  <si>
    <t>Class</t>
  </si>
  <si>
    <t>Sessions</t>
  </si>
  <si>
    <t>Severne</t>
  </si>
  <si>
    <t xml:space="preserve"> Mach 4</t>
  </si>
  <si>
    <t>ID2</t>
  </si>
  <si>
    <t>Temp Notes</t>
  </si>
  <si>
    <t>XMATCH</t>
  </si>
  <si>
    <t>XLookUp "-1"</t>
  </si>
  <si>
    <t>O</t>
  </si>
  <si>
    <t>P</t>
  </si>
  <si>
    <t>Q</t>
  </si>
  <si>
    <t>Mach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</si>
</sst>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onsolas"/>
      <family val="3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164" fontId="1" fillId="2" borderId="0" xfId="0" applyNumberFormat="1" applyFont="1" applyFill="1"/>
    <xf numFmtId="164" fontId="0" fillId="0" borderId="0" xfId="0" applyNumberFormat="1"/>
    <xf numFmtId="0" fontId="0" fillId="5" borderId="0" xfId="0" applyFill="1"/>
    <xf numFmtId="0" fontId="0" fillId="2" borderId="0" xfId="0" applyFill="1"/>
    <xf numFmtId="0" fontId="1" fillId="4" borderId="0" xfId="0" applyFont="1" applyFill="1"/>
    <xf numFmtId="0" fontId="1" fillId="2" borderId="1" xfId="0" applyFont="1" applyFill="1" applyBorder="1"/>
    <xf numFmtId="0" fontId="3" fillId="6" borderId="0" xfId="0" applyFont="1" applyFill="1"/>
    <xf numFmtId="0" fontId="1" fillId="0" borderId="2" xfId="0" applyFont="1" applyBorder="1"/>
    <xf numFmtId="0" fontId="0" fillId="7" borderId="3" xfId="0" applyFill="1" applyBorder="1"/>
    <xf numFmtId="0" fontId="4" fillId="2" borderId="0" xfId="0" applyFont="1" applyFill="1"/>
    <xf numFmtId="0" fontId="0" fillId="6" borderId="0" xfId="0" applyFill="1"/>
    <xf numFmtId="0" fontId="5" fillId="6" borderId="0" xfId="0" applyFont="1" applyFill="1"/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jorn\Documents\bjorn76\WS\WS_Boards.xlsx" TargetMode="External"/><Relationship Id="rId1" Type="http://schemas.openxmlformats.org/officeDocument/2006/relationships/externalLinkPath" Target="WS_Board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s Catalogue"/>
      <sheetName val="GPS-Boards-Validation"/>
      <sheetName val="Temp-Berra-ToAddAfterReview"/>
      <sheetName val="Temp-Berra-unit-remove"/>
    </sheetNames>
    <sheetDataSet>
      <sheetData sheetId="0">
        <row r="1">
          <cell r="A1" t="str">
            <v>ID</v>
          </cell>
        </row>
        <row r="2">
          <cell r="A2" t="str">
            <v>1992-Ti-260-88-55-260</v>
          </cell>
        </row>
        <row r="3">
          <cell r="A3" t="str">
            <v>2010-Fa-Fal-102-63-235</v>
          </cell>
        </row>
        <row r="4">
          <cell r="A4" t="str">
            <v>2010-Fa-Fal-112-69-235</v>
          </cell>
        </row>
        <row r="5">
          <cell r="A5" t="str">
            <v>2010-Fa-Fal-122-75-230</v>
          </cell>
        </row>
        <row r="6">
          <cell r="A6" t="str">
            <v>2010-Fa-Fal-133-79-230</v>
          </cell>
        </row>
        <row r="7">
          <cell r="A7" t="str">
            <v>2010-Fa-Fal-145-85-230</v>
          </cell>
        </row>
        <row r="8">
          <cell r="A8" t="str">
            <v>2010-Fa-Fal-68-48-242</v>
          </cell>
        </row>
        <row r="9">
          <cell r="A9" t="str">
            <v>2010-Fa-Fal-86-58-240</v>
          </cell>
        </row>
        <row r="10">
          <cell r="A10" t="str">
            <v>2010-Fa-Fre-105-63-242</v>
          </cell>
        </row>
        <row r="11">
          <cell r="A11" t="str">
            <v>2010-Fa-Fre-105-63-242</v>
          </cell>
        </row>
        <row r="12">
          <cell r="A12" t="str">
            <v>2010-Fa-Fre-115-66-244</v>
          </cell>
        </row>
        <row r="13">
          <cell r="A13" t="str">
            <v>2010-Fa-Fre-115-66-244</v>
          </cell>
        </row>
        <row r="14">
          <cell r="A14" t="str">
            <v>2010-Fa-Fre-75-56-235</v>
          </cell>
        </row>
        <row r="15">
          <cell r="A15" t="str">
            <v>2010-Fa-Fre-75-56-235</v>
          </cell>
        </row>
        <row r="16">
          <cell r="A16" t="str">
            <v>2010-Fa-Fre-85-58-238</v>
          </cell>
        </row>
        <row r="17">
          <cell r="A17" t="str">
            <v>2010-Fa-Fre-85-58-238</v>
          </cell>
        </row>
        <row r="18">
          <cell r="A18" t="str">
            <v>2010-Fa-Fre-95-61-240</v>
          </cell>
        </row>
        <row r="19">
          <cell r="A19" t="str">
            <v>2010-Fa-Fre-95-61-240</v>
          </cell>
        </row>
        <row r="20">
          <cell r="A20" t="str">
            <v>2010-Fa-Haw-100-62-245</v>
          </cell>
        </row>
        <row r="21">
          <cell r="A21" t="str">
            <v>2010-Fa-Haw-100-62-245</v>
          </cell>
        </row>
        <row r="22">
          <cell r="A22" t="str">
            <v>2010-Fa-Haw-120-68-249</v>
          </cell>
        </row>
        <row r="23">
          <cell r="A23" t="str">
            <v>2010-Fa-Haw-120-68-249</v>
          </cell>
        </row>
        <row r="24">
          <cell r="A24" t="str">
            <v>2010-Fa-Haw-135-73-249</v>
          </cell>
        </row>
        <row r="25">
          <cell r="A25" t="str">
            <v>2010-Fa-Haw-135-73-249</v>
          </cell>
        </row>
        <row r="26">
          <cell r="A26" t="str">
            <v>2010-Fa-New-69-53-232</v>
          </cell>
        </row>
        <row r="27">
          <cell r="A27" t="str">
            <v>2010-Fa-New-72-53-230</v>
          </cell>
        </row>
        <row r="28">
          <cell r="A28" t="str">
            <v>2010-Fa-New-76-55-234</v>
          </cell>
        </row>
        <row r="29">
          <cell r="A29" t="str">
            <v>2010-Fa-New-79-55-232</v>
          </cell>
        </row>
        <row r="30">
          <cell r="A30" t="str">
            <v>2010-Fa-New-83-57-236</v>
          </cell>
        </row>
        <row r="31">
          <cell r="A31" t="str">
            <v>2010-Fa-New-86-57-234</v>
          </cell>
        </row>
        <row r="32">
          <cell r="A32" t="str">
            <v>2010-Fa-New-91-59-243</v>
          </cell>
        </row>
        <row r="33">
          <cell r="A33" t="str">
            <v>2010-Fa-New-93-59-236</v>
          </cell>
        </row>
        <row r="34">
          <cell r="A34" t="str">
            <v>2010-Fa-Ray-110-65-245</v>
          </cell>
        </row>
        <row r="35">
          <cell r="A35" t="str">
            <v>2010-Fa-Ray-125-70-245</v>
          </cell>
        </row>
        <row r="36">
          <cell r="A36" t="str">
            <v>2010-Fa-Ray-140-77-245</v>
          </cell>
        </row>
        <row r="37">
          <cell r="A37" t="str">
            <v>2010-Fa-Ray-95-59-245</v>
          </cell>
        </row>
        <row r="38">
          <cell r="A38" t="str">
            <v>2010-Fa-Rip-102-69-242</v>
          </cell>
        </row>
        <row r="39">
          <cell r="A39" t="str">
            <v>2010-Fa-Sha-100-63-245</v>
          </cell>
        </row>
        <row r="40">
          <cell r="A40" t="str">
            <v>2010-Fa-Sha-115-66-247</v>
          </cell>
        </row>
        <row r="41">
          <cell r="A41" t="str">
            <v>2010-Fa-Sha-125-69-249</v>
          </cell>
        </row>
        <row r="42">
          <cell r="A42" t="str">
            <v>2010-Fa-Sha-135-73-245</v>
          </cell>
        </row>
        <row r="43">
          <cell r="A43" t="str">
            <v>2010-Fa-Sha-135-73-245</v>
          </cell>
        </row>
        <row r="44">
          <cell r="A44" t="str">
            <v>2010-Fa-Sha-150-78-250</v>
          </cell>
        </row>
        <row r="45">
          <cell r="A45" t="str">
            <v>2010-Fa-Sha-150-78-250</v>
          </cell>
        </row>
        <row r="46">
          <cell r="A46" t="str">
            <v>2010-Fa-Sha-165-83-255</v>
          </cell>
        </row>
        <row r="47">
          <cell r="A47" t="str">
            <v>2010-Fa-Ska-100-63-235</v>
          </cell>
        </row>
        <row r="48">
          <cell r="A48" t="str">
            <v>2010-Fa-Ska-100-63-235</v>
          </cell>
        </row>
        <row r="49">
          <cell r="A49" t="str">
            <v>2010-Fa-Ska-110-66-237</v>
          </cell>
        </row>
        <row r="50">
          <cell r="A50" t="str">
            <v>2010-Fa-Ska-110-66-237</v>
          </cell>
        </row>
        <row r="51">
          <cell r="A51" t="str">
            <v>2010-Fa-Ska-90-60-232</v>
          </cell>
        </row>
        <row r="52">
          <cell r="A52" t="str">
            <v>2010-Fa-Vip-150-70-270</v>
          </cell>
        </row>
        <row r="53">
          <cell r="A53" t="str">
            <v>2010-Fa-Vip-160-75-275</v>
          </cell>
        </row>
        <row r="54">
          <cell r="A54" t="str">
            <v>2010-Fa-Vip-190-80-280</v>
          </cell>
        </row>
        <row r="55">
          <cell r="A55" t="str">
            <v>2010-Fa-Vip-220-85-285</v>
          </cell>
        </row>
        <row r="56">
          <cell r="A56" t="str">
            <v>2016-Fa-Fal-112-70-230</v>
          </cell>
        </row>
        <row r="57">
          <cell r="A57" t="str">
            <v>2016-Fa-Fal-121-75-230</v>
          </cell>
        </row>
        <row r="58">
          <cell r="A58" t="str">
            <v>2016-Fa-Fal-129-80-230</v>
          </cell>
        </row>
        <row r="59">
          <cell r="A59" t="str">
            <v>2016-Fa-Fal-138-85-230</v>
          </cell>
        </row>
        <row r="60">
          <cell r="A60" t="str">
            <v>2016-Fa-Fal-152-90-230</v>
          </cell>
        </row>
        <row r="61">
          <cell r="A61" t="str">
            <v>2016-Fa-Fal-172-100-230</v>
          </cell>
        </row>
        <row r="62">
          <cell r="A62" t="str">
            <v>2016-Fa-Fal-54-44-230</v>
          </cell>
        </row>
        <row r="63">
          <cell r="A63" t="str">
            <v>2016-Fa-Fal-68-50-230</v>
          </cell>
        </row>
        <row r="64">
          <cell r="A64" t="str">
            <v>2016-Fa-Fal-79-56-235</v>
          </cell>
        </row>
        <row r="65">
          <cell r="A65" t="str">
            <v>2016-Fa-Fal-90-59-235</v>
          </cell>
        </row>
        <row r="66">
          <cell r="A66" t="str">
            <v>2016-Fa-Fal-99-63-235</v>
          </cell>
        </row>
        <row r="67">
          <cell r="A67" t="str">
            <v>2016-Fa-Fre-106-63-235</v>
          </cell>
        </row>
        <row r="68">
          <cell r="A68" t="str">
            <v>2016-Fa-Fre-116-66-236</v>
          </cell>
        </row>
        <row r="69">
          <cell r="A69" t="str">
            <v>2016-Fa-Fre-76-56-232</v>
          </cell>
        </row>
        <row r="70">
          <cell r="A70" t="str">
            <v>2016-Fa-Fre-86-58-233</v>
          </cell>
        </row>
        <row r="71">
          <cell r="A71" t="str">
            <v>2016-Fa-Fre-96-61-234</v>
          </cell>
        </row>
        <row r="72">
          <cell r="A72" t="str">
            <v>2016-Fa-Gec-105-69-239</v>
          </cell>
        </row>
        <row r="73">
          <cell r="A73" t="str">
            <v>2016-Fa-Gec-112-73-239</v>
          </cell>
        </row>
        <row r="74">
          <cell r="A74" t="str">
            <v>2016-Fa-Gec-120-76-242</v>
          </cell>
        </row>
        <row r="75">
          <cell r="A75" t="str">
            <v>2016-Fa-Gec-133-78-246</v>
          </cell>
        </row>
        <row r="76">
          <cell r="A76" t="str">
            <v>2016-Fa-Gec-146-83-250</v>
          </cell>
        </row>
        <row r="77">
          <cell r="A77" t="str">
            <v>2016-Fa-Gec-156-85-252</v>
          </cell>
        </row>
        <row r="78">
          <cell r="A78" t="str">
            <v>2016-Fa-Gec-98-63-239</v>
          </cell>
        </row>
        <row r="79">
          <cell r="A79" t="str">
            <v>2016-Fa-Haw-113-66-241</v>
          </cell>
        </row>
        <row r="80">
          <cell r="A80" t="str">
            <v>2016-Fa-Haw-124-70-242</v>
          </cell>
        </row>
        <row r="81">
          <cell r="A81" t="str">
            <v>2016-Fa-Haw-99-62-239</v>
          </cell>
        </row>
        <row r="82">
          <cell r="A82" t="str">
            <v>2016-Fa-Qua-69-53-224</v>
          </cell>
        </row>
        <row r="83">
          <cell r="A83" t="str">
            <v>2016-Fa-Qua-75-55-225</v>
          </cell>
        </row>
        <row r="84">
          <cell r="A84" t="str">
            <v>2016-Fa-Qua-81-57-226</v>
          </cell>
        </row>
        <row r="85">
          <cell r="A85" t="str">
            <v>2016-Fa-Qua-90-59-227</v>
          </cell>
        </row>
        <row r="86">
          <cell r="A86" t="str">
            <v>2016-Fa-Rip-102-69-242</v>
          </cell>
        </row>
        <row r="87">
          <cell r="A87" t="str">
            <v>2016-Fa-Rip-120-69-245</v>
          </cell>
        </row>
        <row r="88">
          <cell r="A88" t="str">
            <v>2016-Fa-Rip-187-73-274</v>
          </cell>
        </row>
        <row r="89">
          <cell r="A89" t="str">
            <v>2016-Fa-Ska-100-63-235</v>
          </cell>
        </row>
        <row r="90">
          <cell r="A90" t="str">
            <v>2016-Fa-Ska-100-64-228</v>
          </cell>
        </row>
        <row r="91">
          <cell r="A91" t="str">
            <v>2016-Fa-Ska-108-66-226</v>
          </cell>
        </row>
        <row r="92">
          <cell r="A92" t="str">
            <v>2016-Fa-Ska-110-66-237</v>
          </cell>
        </row>
        <row r="93">
          <cell r="A93" t="str">
            <v>2016-Fa-Ska-86-60-228</v>
          </cell>
        </row>
        <row r="94">
          <cell r="A94" t="str">
            <v>2016-Fa-Ska-94-62-228</v>
          </cell>
        </row>
        <row r="95">
          <cell r="A95" t="str">
            <v>2016-Fa-Stu-77-55-212</v>
          </cell>
        </row>
        <row r="96">
          <cell r="A96" t="str">
            <v>2016-Fa-Stu-88-57-215</v>
          </cell>
        </row>
        <row r="97">
          <cell r="A97" t="str">
            <v>2016-Fa-Tri-74-56-222</v>
          </cell>
        </row>
        <row r="98">
          <cell r="A98" t="str">
            <v>2016-Fa-Tri-82-58-224</v>
          </cell>
        </row>
        <row r="99">
          <cell r="A99" t="str">
            <v>2016-Fa-Tri-89-59-227</v>
          </cell>
        </row>
        <row r="100">
          <cell r="A100" t="str">
            <v>2016-Fa-Tri-99-62-229</v>
          </cell>
        </row>
        <row r="101">
          <cell r="A101" t="str">
            <v>2016-Fa-Vip-150-70-270</v>
          </cell>
        </row>
        <row r="102">
          <cell r="A102" t="str">
            <v>2016-Fa-Vip-160-75-275</v>
          </cell>
        </row>
        <row r="103">
          <cell r="A103" t="str">
            <v>2016-Fa-Vip-190-80-280</v>
          </cell>
        </row>
        <row r="104">
          <cell r="A104" t="str">
            <v>2016-Fa-Vip-220-85-285</v>
          </cell>
        </row>
        <row r="105">
          <cell r="A105" t="str">
            <v>2016-Fa-Vip-240-91-290</v>
          </cell>
        </row>
        <row r="106">
          <cell r="A106" t="str">
            <v>2016-Fa-Vip-315-85-300</v>
          </cell>
        </row>
        <row r="107">
          <cell r="A107" t="str">
            <v>2018-AV-Mod-90-58-229</v>
          </cell>
        </row>
        <row r="108">
          <cell r="A108" t="str">
            <v>2018-Fa-Bla-100-62-231</v>
          </cell>
        </row>
        <row r="109">
          <cell r="A109" t="str">
            <v>2018-Fa-Bla-100-62-231</v>
          </cell>
        </row>
        <row r="110">
          <cell r="A110" t="str">
            <v>2018-Fa-Bla-115-66-232</v>
          </cell>
        </row>
        <row r="111">
          <cell r="A111" t="str">
            <v>2018-Fa-Bla-115-66-232</v>
          </cell>
        </row>
        <row r="112">
          <cell r="A112" t="str">
            <v>2018-Fa-Bla-130-70-233</v>
          </cell>
        </row>
        <row r="113">
          <cell r="A113" t="str">
            <v>2018-Fa-Bla-130-70-233</v>
          </cell>
        </row>
        <row r="114">
          <cell r="A114" t="str">
            <v>2018-Fa-Bla-145-77-235</v>
          </cell>
        </row>
        <row r="115">
          <cell r="A115" t="str">
            <v>2018-Fa-Bla-145-77-235</v>
          </cell>
        </row>
        <row r="116">
          <cell r="A116" t="str">
            <v>2018-Fa-Fal-114-71-230</v>
          </cell>
        </row>
        <row r="117">
          <cell r="A117" t="str">
            <v>2018-Fa-Fal-121-75-230</v>
          </cell>
        </row>
        <row r="118">
          <cell r="A118" t="str">
            <v>2018-Fa-Fal-129-80-230</v>
          </cell>
        </row>
        <row r="119">
          <cell r="A119" t="str">
            <v>2018-Fa-Fal-136-85-225</v>
          </cell>
        </row>
        <row r="120">
          <cell r="A120" t="str">
            <v>2018-Fa-Fal-159-90-230</v>
          </cell>
        </row>
        <row r="121">
          <cell r="A121" t="str">
            <v>2018-Fa-Fal-172-100-230</v>
          </cell>
        </row>
        <row r="122">
          <cell r="A122" t="str">
            <v>2018-Fa-Fal-54-44-230</v>
          </cell>
        </row>
        <row r="123">
          <cell r="A123" t="str">
            <v>2018-Fa-Fal-70-52-230</v>
          </cell>
        </row>
        <row r="124">
          <cell r="A124" t="str">
            <v>2018-Fa-Fal-79-56-235</v>
          </cell>
        </row>
        <row r="125">
          <cell r="A125" t="str">
            <v>2018-Fa-Fal-89-60-235</v>
          </cell>
        </row>
        <row r="126">
          <cell r="A126" t="str">
            <v>2018-Fa-Fal-98-63-235</v>
          </cell>
        </row>
        <row r="127">
          <cell r="A127" t="str">
            <v>2018-Fa-Fre-105-62-229</v>
          </cell>
        </row>
        <row r="128">
          <cell r="A128" t="str">
            <v>2018-Fa-Fre-105-62-229</v>
          </cell>
        </row>
        <row r="129">
          <cell r="A129" t="str">
            <v>2018-Fa-Fre-105-62-229</v>
          </cell>
        </row>
        <row r="130">
          <cell r="A130" t="str">
            <v>2018-Fa-Fre-115-65-231</v>
          </cell>
        </row>
        <row r="131">
          <cell r="A131" t="str">
            <v>2018-Fa-Fre-115-65-231</v>
          </cell>
        </row>
        <row r="132">
          <cell r="A132" t="str">
            <v>2018-Fa-Fre-85-57-225</v>
          </cell>
        </row>
        <row r="133">
          <cell r="A133" t="str">
            <v>2018-Fa-Fre-85-57-225</v>
          </cell>
        </row>
        <row r="134">
          <cell r="A134" t="str">
            <v>2018-Fa-Fre-85-57-225</v>
          </cell>
        </row>
        <row r="135">
          <cell r="A135" t="str">
            <v>2018-Fa-Fre-95-60-227</v>
          </cell>
        </row>
        <row r="136">
          <cell r="A136" t="str">
            <v>2018-Fa-Fre-95-60-227</v>
          </cell>
        </row>
        <row r="137">
          <cell r="A137" t="str">
            <v>2018-Fa-Fre-95-60-227</v>
          </cell>
        </row>
        <row r="138">
          <cell r="A138" t="str">
            <v>2018-Fa-Gec-105-69-239</v>
          </cell>
        </row>
        <row r="139">
          <cell r="A139" t="str">
            <v>2018-Fa-Gec-105-69-239</v>
          </cell>
        </row>
        <row r="140">
          <cell r="A140" t="str">
            <v>2018-Fa-Gec-112-73-239</v>
          </cell>
        </row>
        <row r="141">
          <cell r="A141" t="str">
            <v>2018-Fa-Gec-112-73-239</v>
          </cell>
        </row>
        <row r="142">
          <cell r="A142" t="str">
            <v>2018-Fa-Gec-112-73-239</v>
          </cell>
        </row>
        <row r="143">
          <cell r="A143" t="str">
            <v>2018-Fa-Gec-120-76-242</v>
          </cell>
        </row>
        <row r="144">
          <cell r="A144" t="str">
            <v>2018-Fa-Gec-120-76-242</v>
          </cell>
        </row>
        <row r="145">
          <cell r="A145" t="str">
            <v>2018-Fa-Gec-120-76-242</v>
          </cell>
        </row>
        <row r="146">
          <cell r="A146" t="str">
            <v>2018-Fa-Gec-133-78-246</v>
          </cell>
        </row>
        <row r="147">
          <cell r="A147" t="str">
            <v>2018-Fa-Gec-133-78-246</v>
          </cell>
        </row>
        <row r="148">
          <cell r="A148" t="str">
            <v>2018-Fa-Gec-133-78-246</v>
          </cell>
        </row>
        <row r="149">
          <cell r="A149" t="str">
            <v>2018-Fa-Gec-146-83-250</v>
          </cell>
        </row>
        <row r="150">
          <cell r="A150" t="str">
            <v>2018-Fa-Gec-146-83-250</v>
          </cell>
        </row>
        <row r="151">
          <cell r="A151" t="str">
            <v>2018-Fa-Gec-156-85-252</v>
          </cell>
        </row>
        <row r="152">
          <cell r="A152" t="str">
            <v>2018-Fa-Gec-156-85-252</v>
          </cell>
        </row>
        <row r="153">
          <cell r="A153" t="str">
            <v>2018-Fa-Gec-98-63-239</v>
          </cell>
        </row>
        <row r="154">
          <cell r="A154" t="str">
            <v>2018-Fa-Gec-98-63-239</v>
          </cell>
        </row>
        <row r="155">
          <cell r="A155" t="str">
            <v>2018-Fa-Gri-68-54-220</v>
          </cell>
        </row>
        <row r="156">
          <cell r="A156" t="str">
            <v>2018-Fa-Gri-76-56-222</v>
          </cell>
        </row>
        <row r="157">
          <cell r="A157" t="str">
            <v>2018-Fa-Gri-82-58-224</v>
          </cell>
        </row>
        <row r="158">
          <cell r="A158" t="str">
            <v>2018-Fa-Gri-89-59-226</v>
          </cell>
        </row>
        <row r="159">
          <cell r="A159" t="str">
            <v>2018-Fa-Gri-99-62-229</v>
          </cell>
        </row>
        <row r="160">
          <cell r="A160" t="str">
            <v>2018-Fa-Rip-112-73-239</v>
          </cell>
        </row>
        <row r="161">
          <cell r="A161" t="str">
            <v>2018-Fa-Rip-187-73-274</v>
          </cell>
        </row>
        <row r="162">
          <cell r="A162" t="str">
            <v>2018-Fa-Ska-100-64-228</v>
          </cell>
        </row>
        <row r="163">
          <cell r="A163" t="str">
            <v>2018-Fa-Ska-108-66-226</v>
          </cell>
        </row>
        <row r="164">
          <cell r="A164" t="str">
            <v>2018-Fa-Ska-86-60-228</v>
          </cell>
        </row>
        <row r="165">
          <cell r="A165" t="str">
            <v>2018-Fa-Ska-93-62-225</v>
          </cell>
        </row>
        <row r="166">
          <cell r="A166" t="str">
            <v>2018-Fa-Stu-76-55-212</v>
          </cell>
        </row>
        <row r="167">
          <cell r="A167" t="str">
            <v>2018-Fa-Stu-82-56-214</v>
          </cell>
        </row>
        <row r="168">
          <cell r="A168" t="str">
            <v>2018-Fa-Stu-89-57-215</v>
          </cell>
        </row>
        <row r="169">
          <cell r="A169" t="str">
            <v>2018-Fa-Stu-99-60-218</v>
          </cell>
        </row>
        <row r="170">
          <cell r="A170" t="str">
            <v>2018-Fa-Tan-505-86-487</v>
          </cell>
        </row>
        <row r="171">
          <cell r="A171" t="str">
            <v>2018-Fa-Vip-160-75-275</v>
          </cell>
        </row>
        <row r="172">
          <cell r="A172" t="str">
            <v>2018-Fa-Vip-190-80-280</v>
          </cell>
        </row>
        <row r="173">
          <cell r="A173" t="str">
            <v>2018-Fa-Vip-220-85-285</v>
          </cell>
        </row>
        <row r="174">
          <cell r="A174" t="str">
            <v>2018-Fa-Vip-240-91-290</v>
          </cell>
        </row>
        <row r="175">
          <cell r="A175" t="str">
            <v>2018-Fa-Vip-355-85-335</v>
          </cell>
        </row>
        <row r="176">
          <cell r="A176" t="str">
            <v>2018-Fa-Vip-355-85-335</v>
          </cell>
        </row>
        <row r="177">
          <cell r="A177" t="str">
            <v>2020-Fa-Bla-100-62-231</v>
          </cell>
        </row>
        <row r="178">
          <cell r="A178" t="str">
            <v>2020-Fa-Bla-100-62-231</v>
          </cell>
        </row>
        <row r="179">
          <cell r="A179" t="str">
            <v>2020-Fa-Bla-115-66-232</v>
          </cell>
        </row>
        <row r="180">
          <cell r="A180" t="str">
            <v>2020-Fa-Bla-115-66-232</v>
          </cell>
        </row>
        <row r="181">
          <cell r="A181" t="str">
            <v>2020-Fa-Bla-130-70-233</v>
          </cell>
        </row>
        <row r="182">
          <cell r="A182" t="str">
            <v>2020-Fa-Bla-130-70-233</v>
          </cell>
        </row>
        <row r="183">
          <cell r="A183" t="str">
            <v>2020-Fa-Bla-145-77-235</v>
          </cell>
        </row>
        <row r="184">
          <cell r="A184" t="str">
            <v>2020-Fa-Bla-145-77-235</v>
          </cell>
        </row>
        <row r="185">
          <cell r="A185" t="str">
            <v>2020-Fa-Fal-106-68-235</v>
          </cell>
        </row>
        <row r="186">
          <cell r="A186" t="str">
            <v>2020-Fa-Fal-115-71-230</v>
          </cell>
        </row>
        <row r="187">
          <cell r="A187" t="str">
            <v>2020-Fa-Fal-121-75-230</v>
          </cell>
        </row>
        <row r="188">
          <cell r="A188" t="str">
            <v>2020-Fa-Fal-130-80-228</v>
          </cell>
        </row>
        <row r="189">
          <cell r="A189" t="str">
            <v>2020-Fa-Fal-140-85-228</v>
          </cell>
        </row>
        <row r="190">
          <cell r="A190" t="str">
            <v>2020-Fa-Fal-159-90-230</v>
          </cell>
        </row>
        <row r="191">
          <cell r="A191" t="str">
            <v>2020-Fa-Fal-180-91-230</v>
          </cell>
        </row>
        <row r="192">
          <cell r="A192" t="str">
            <v>2020-Fa-Fal-54-44-230</v>
          </cell>
        </row>
        <row r="193">
          <cell r="A193" t="str">
            <v>2020-Fa-Fal-70-52-230</v>
          </cell>
        </row>
        <row r="194">
          <cell r="A194" t="str">
            <v>2020-Fa-Fal-80-56-233</v>
          </cell>
        </row>
        <row r="195">
          <cell r="A195" t="str">
            <v>2020-Fa-Fal-90-60-233</v>
          </cell>
        </row>
        <row r="196">
          <cell r="A196" t="str">
            <v>2020-Fa-Fal-97-62-233</v>
          </cell>
        </row>
        <row r="197">
          <cell r="A197" t="str">
            <v>2020-Fa-Fre-105-63-231</v>
          </cell>
        </row>
        <row r="198">
          <cell r="A198" t="str">
            <v>2020-Fa-Fre-105-63-231</v>
          </cell>
        </row>
        <row r="199">
          <cell r="A199" t="str">
            <v>2020-Fa-Fre-105-63-231</v>
          </cell>
        </row>
        <row r="200">
          <cell r="A200" t="str">
            <v>2020-Fa-Fre-115-65-232</v>
          </cell>
        </row>
        <row r="201">
          <cell r="A201" t="str">
            <v>2020-Fa-Fre-115-65-232</v>
          </cell>
        </row>
        <row r="202">
          <cell r="A202" t="str">
            <v>2020-Fa-Fre-75-56-228</v>
          </cell>
        </row>
        <row r="203">
          <cell r="A203" t="str">
            <v>2020-Fa-Fre-75-56-228</v>
          </cell>
        </row>
        <row r="204">
          <cell r="A204" t="str">
            <v>2020-Fa-Fre-85-58-229</v>
          </cell>
        </row>
        <row r="205">
          <cell r="A205" t="str">
            <v>2020-Fa-Fre-85-58-229</v>
          </cell>
        </row>
        <row r="206">
          <cell r="A206" t="str">
            <v>2020-Fa-Fre-85-58-229</v>
          </cell>
        </row>
        <row r="207">
          <cell r="A207" t="str">
            <v>2020-Fa-Fre-95-61-230</v>
          </cell>
        </row>
        <row r="208">
          <cell r="A208" t="str">
            <v>2020-Fa-Fre-95-61-230</v>
          </cell>
        </row>
        <row r="209">
          <cell r="A209" t="str">
            <v>2020-Fa-Fre-95-61-230</v>
          </cell>
        </row>
        <row r="210">
          <cell r="A210" t="str">
            <v>2020-Fa-Gec-100-66-239</v>
          </cell>
        </row>
        <row r="211">
          <cell r="A211" t="str">
            <v>2020-Fa-Gec-100-66-239</v>
          </cell>
        </row>
        <row r="212">
          <cell r="A212" t="str">
            <v>2020-Fa-Gec-110-72-239</v>
          </cell>
        </row>
        <row r="213">
          <cell r="A213" t="str">
            <v>2020-Fa-Gec-110-72-239</v>
          </cell>
        </row>
        <row r="214">
          <cell r="A214" t="str">
            <v>2020-Fa-Gec-110-72-239</v>
          </cell>
        </row>
        <row r="215">
          <cell r="A215" t="str">
            <v>2020-Fa-Gec-122-77-242</v>
          </cell>
        </row>
        <row r="216">
          <cell r="A216" t="str">
            <v>2020-Fa-Gec-122-77-242</v>
          </cell>
        </row>
        <row r="217">
          <cell r="A217" t="str">
            <v>2020-Fa-Gec-122-77-242</v>
          </cell>
        </row>
        <row r="218">
          <cell r="A218" t="str">
            <v>2020-Fa-Gec-135-79-246</v>
          </cell>
        </row>
        <row r="219">
          <cell r="A219" t="str">
            <v>2020-Fa-Gec-135-79-246</v>
          </cell>
        </row>
        <row r="220">
          <cell r="A220" t="str">
            <v>2020-Fa-Gec-135-79-246</v>
          </cell>
        </row>
        <row r="221">
          <cell r="A221" t="str">
            <v>2020-Fa-Gec-135-79-246</v>
          </cell>
        </row>
        <row r="222">
          <cell r="A222" t="str">
            <v>2020-Fa-Gec-135-79-246</v>
          </cell>
        </row>
        <row r="223">
          <cell r="A223" t="str">
            <v>2020-Fa-Gec-148-83-250</v>
          </cell>
        </row>
        <row r="224">
          <cell r="A224" t="str">
            <v>2020-Fa-Gec-148-83-250</v>
          </cell>
        </row>
        <row r="225">
          <cell r="A225" t="str">
            <v>2020-Fa-Gec-156-85-252</v>
          </cell>
        </row>
        <row r="226">
          <cell r="A226" t="str">
            <v>2020-Fa-Gec-156-85-252</v>
          </cell>
        </row>
        <row r="227">
          <cell r="A227" t="str">
            <v>2020-Fa-Gri-102-61-228</v>
          </cell>
        </row>
        <row r="228">
          <cell r="A228" t="str">
            <v>2020-Fa-Gri-60-52-218</v>
          </cell>
        </row>
        <row r="229">
          <cell r="A229" t="str">
            <v>2020-Fa-Gri-68-54-220</v>
          </cell>
        </row>
        <row r="230">
          <cell r="A230" t="str">
            <v>2020-Fa-Gri-75-56-222</v>
          </cell>
        </row>
        <row r="231">
          <cell r="A231" t="str">
            <v>2020-Fa-Gri-82-58-224</v>
          </cell>
        </row>
        <row r="232">
          <cell r="A232" t="str">
            <v>2020-Fa-Gri-86-58-225</v>
          </cell>
        </row>
        <row r="233">
          <cell r="A233" t="str">
            <v>2020-Fa-Gri-92-59-226</v>
          </cell>
        </row>
        <row r="234">
          <cell r="A234" t="str">
            <v>2020-Fa-Jag-108-69-235</v>
          </cell>
        </row>
        <row r="235">
          <cell r="A235" t="str">
            <v>2020-Fa-Jag-125-75-235</v>
          </cell>
        </row>
        <row r="236">
          <cell r="A236" t="str">
            <v>2020-Fa-Jag-135-82-235</v>
          </cell>
        </row>
        <row r="237">
          <cell r="A237" t="str">
            <v>2020-Fa-Jag-94-61-235</v>
          </cell>
        </row>
        <row r="238">
          <cell r="A238" t="str">
            <v>2020-Fa-Rip-112-73-239</v>
          </cell>
        </row>
        <row r="239">
          <cell r="A239" t="str">
            <v>2020-Fa-Rip-187-73-274</v>
          </cell>
        </row>
        <row r="240">
          <cell r="A240" t="str">
            <v>2020-Fa-Ska-108-66-226</v>
          </cell>
        </row>
        <row r="241">
          <cell r="A241" t="str">
            <v>2020-Fa-Ska-85-60-225</v>
          </cell>
        </row>
        <row r="242">
          <cell r="A242" t="str">
            <v>2020-Fa-Ska-92-62-220</v>
          </cell>
        </row>
        <row r="243">
          <cell r="A243" t="str">
            <v>2020-Fa-Ska-99-65-225</v>
          </cell>
        </row>
        <row r="244">
          <cell r="A244" t="str">
            <v>2020-Fa-Sti-110-65-215</v>
          </cell>
        </row>
        <row r="245">
          <cell r="A245" t="str">
            <v>2020-Fa-Sti-125-75-228</v>
          </cell>
        </row>
        <row r="246">
          <cell r="A246" t="str">
            <v>2020-Fa-Sti-125-75-228</v>
          </cell>
        </row>
        <row r="247">
          <cell r="A247" t="str">
            <v>2020-Fa-Sti-140-85-228</v>
          </cell>
        </row>
        <row r="248">
          <cell r="A248" t="str">
            <v>2020-Fa-Sti-140-85-228</v>
          </cell>
        </row>
        <row r="249">
          <cell r="A249" t="str">
            <v>2020-Fa-Stu-76-55-212</v>
          </cell>
        </row>
        <row r="250">
          <cell r="A250" t="str">
            <v>2020-Fa-Stu-82-56-214</v>
          </cell>
        </row>
        <row r="251">
          <cell r="A251" t="str">
            <v>2020-Fa-Stu-89-57-215</v>
          </cell>
        </row>
        <row r="252">
          <cell r="A252" t="str">
            <v>2020-Fa-Stu-99-60-218</v>
          </cell>
        </row>
        <row r="253">
          <cell r="A253" t="str">
            <v>2020-Fa-Tan-505-86-487</v>
          </cell>
        </row>
        <row r="254">
          <cell r="A254" t="str">
            <v>2020-Fa-Vip-160-75-275</v>
          </cell>
        </row>
        <row r="255">
          <cell r="A255" t="str">
            <v>2020-Fa-Vip-190-80-280</v>
          </cell>
        </row>
        <row r="256">
          <cell r="A256" t="str">
            <v>2020-Fa-Vip-220-85-285</v>
          </cell>
        </row>
        <row r="257">
          <cell r="A257" t="str">
            <v>2020-Fa-Vip-240-91-290</v>
          </cell>
        </row>
        <row r="258">
          <cell r="A258" t="str">
            <v>2020-Fa-Vip-355-85-335</v>
          </cell>
        </row>
        <row r="259">
          <cell r="A259" t="str">
            <v>2020-Fa-Vip-355-85-335</v>
          </cell>
        </row>
        <row r="260">
          <cell r="A260" t="str">
            <v>2020-FM-Inv-74-52-225</v>
          </cell>
        </row>
        <row r="261">
          <cell r="A261" t="str">
            <v>2023-Fa-Bla-100-62-231</v>
          </cell>
        </row>
        <row r="262">
          <cell r="A262" t="str">
            <v>2023-Fa-Bla-117-66-232</v>
          </cell>
        </row>
        <row r="263">
          <cell r="A263" t="str">
            <v>2023-Fa-Bla-132-70-234</v>
          </cell>
        </row>
        <row r="264">
          <cell r="A264" t="str">
            <v>2023-Fa-Bla-147-77-236</v>
          </cell>
        </row>
        <row r="265">
          <cell r="A265" t="str">
            <v>2023-Fa-Eag-130-70-248</v>
          </cell>
        </row>
        <row r="266">
          <cell r="A266" t="str">
            <v>2023-Fa-Eag-150-75-250</v>
          </cell>
        </row>
        <row r="267">
          <cell r="A267" t="str">
            <v>2023-Fa-Fal-107-69-230</v>
          </cell>
        </row>
        <row r="268">
          <cell r="A268" t="str">
            <v>2023-Fa-Fal-116-71-230</v>
          </cell>
        </row>
        <row r="269">
          <cell r="A269" t="str">
            <v>2023-Fa-Fal-121-77-230</v>
          </cell>
        </row>
        <row r="270">
          <cell r="A270" t="str">
            <v>2023-Fa-Fal-130-80-228</v>
          </cell>
        </row>
        <row r="271">
          <cell r="A271" t="str">
            <v>2023-Fa-Fal-140-80-215</v>
          </cell>
        </row>
        <row r="272">
          <cell r="A272" t="str">
            <v>2023-Fa-Fal-140-85-228</v>
          </cell>
        </row>
        <row r="273">
          <cell r="A273" t="str">
            <v>2023-Fa-Fal-170-85-220</v>
          </cell>
        </row>
        <row r="274">
          <cell r="A274" t="str">
            <v>2023-Fa-Fal-180-91-220</v>
          </cell>
        </row>
        <row r="275">
          <cell r="A275" t="str">
            <v>2023-Fa-Fal-80-58-235</v>
          </cell>
        </row>
        <row r="276">
          <cell r="A276" t="str">
            <v>2023-Fa-Fal-90-62-235</v>
          </cell>
        </row>
        <row r="277">
          <cell r="A277" t="str">
            <v>2023-Fa-Fal-97-63-235</v>
          </cell>
        </row>
        <row r="278">
          <cell r="A278" t="str">
            <v>2023-Fa-Fre-105-63-231</v>
          </cell>
        </row>
        <row r="279">
          <cell r="A279" t="str">
            <v>2023-Fa-Fre-115-65-232</v>
          </cell>
        </row>
        <row r="280">
          <cell r="A280" t="str">
            <v>2023-Fa-Fre-125-68-234</v>
          </cell>
        </row>
        <row r="281">
          <cell r="A281" t="str">
            <v>2023-Fa-Fre-75-56-228</v>
          </cell>
        </row>
        <row r="282">
          <cell r="A282" t="str">
            <v>2023-Fa-Fre-85-58-229</v>
          </cell>
        </row>
        <row r="283">
          <cell r="A283" t="str">
            <v>2023-Fa-Fre-95-61-230</v>
          </cell>
        </row>
        <row r="284">
          <cell r="A284" t="str">
            <v>2023-Fa-Gec-100-66-239</v>
          </cell>
        </row>
        <row r="285">
          <cell r="A285" t="str">
            <v>2023-Fa-Gec-110-69-239</v>
          </cell>
        </row>
        <row r="286">
          <cell r="A286" t="str">
            <v>2023-Fa-Gec-122-76-242</v>
          </cell>
        </row>
        <row r="287">
          <cell r="A287" t="str">
            <v>2023-Fa-Gec-135-79-246</v>
          </cell>
        </row>
        <row r="288">
          <cell r="A288" t="str">
            <v>2023-Fa-Gec-148-83-250</v>
          </cell>
        </row>
        <row r="289">
          <cell r="A289" t="str">
            <v>2023-Fa-Gec-156-85-252</v>
          </cell>
        </row>
        <row r="290">
          <cell r="A290" t="str">
            <v>2023-Fa-Gri-107-64-230</v>
          </cell>
        </row>
        <row r="291">
          <cell r="A291" t="str">
            <v>2023-Fa-Gri-69-54-220</v>
          </cell>
        </row>
        <row r="292">
          <cell r="A292" t="str">
            <v>2023-Fa-Gri-76-56-223</v>
          </cell>
        </row>
        <row r="293">
          <cell r="A293" t="str">
            <v>2023-Fa-Gri-81-57-224</v>
          </cell>
        </row>
        <row r="294">
          <cell r="A294" t="str">
            <v>2023-Fa-Gri-87-59-225</v>
          </cell>
        </row>
        <row r="295">
          <cell r="A295" t="str">
            <v>2023-Fa-Gri-93-60-226</v>
          </cell>
        </row>
        <row r="296">
          <cell r="A296" t="str">
            <v>2023-Fa-Gri-99-62-227</v>
          </cell>
        </row>
        <row r="297">
          <cell r="A297" t="str">
            <v>2023-Fa-Jag-110-70-230</v>
          </cell>
        </row>
        <row r="298">
          <cell r="A298" t="str">
            <v>2023-Fa-Jag-128-80-232</v>
          </cell>
        </row>
        <row r="299">
          <cell r="A299" t="str">
            <v>2023-Fa-Jag-138-85-232</v>
          </cell>
        </row>
        <row r="300">
          <cell r="A300" t="str">
            <v>2023-Fa-Jag-158-90-235</v>
          </cell>
        </row>
        <row r="301">
          <cell r="A301" t="str">
            <v>2023-Fa-Jag-94-61-230</v>
          </cell>
        </row>
        <row r="302">
          <cell r="A302" t="str">
            <v>2023-Fa-Mam-104-62-224</v>
          </cell>
        </row>
        <row r="303">
          <cell r="A303" t="str">
            <v>2023-Fa-Mam-78-56-218</v>
          </cell>
        </row>
        <row r="304">
          <cell r="A304" t="str">
            <v>2023-Fa-Mam-84-57-220</v>
          </cell>
        </row>
        <row r="305">
          <cell r="A305" t="str">
            <v>2023-Fa-Mam-94-60-222</v>
          </cell>
        </row>
        <row r="306">
          <cell r="A306" t="str">
            <v>2023-Fa-Ska-108-67-226</v>
          </cell>
        </row>
        <row r="307">
          <cell r="A307" t="str">
            <v>2023-Fa-Ska-85-60-220</v>
          </cell>
        </row>
        <row r="308">
          <cell r="A308" t="str">
            <v>2023-Fa-Ska-91-62-216</v>
          </cell>
        </row>
        <row r="309">
          <cell r="A309" t="str">
            <v>2023-Fa-Ska-99-65-225</v>
          </cell>
        </row>
        <row r="310">
          <cell r="A310" t="str">
            <v>2023-Fa-Sti-115-70-204</v>
          </cell>
        </row>
        <row r="311">
          <cell r="A311" t="str">
            <v>2023-Fa-Sti-130-75-211</v>
          </cell>
        </row>
        <row r="312">
          <cell r="A312" t="str">
            <v>2024-JP-Sla-117-72-228</v>
          </cell>
        </row>
        <row r="313">
          <cell r="A313" t="str">
            <v>2024-JP-Sla-139-85-228</v>
          </cell>
        </row>
        <row r="314">
          <cell r="A314" t="str">
            <v>2024-JP-Sla-78-55-233</v>
          </cell>
        </row>
        <row r="315">
          <cell r="A315" t="str">
            <v>2024-JP-Sla-97-62-233</v>
          </cell>
        </row>
        <row r="316">
          <cell r="A316" t="str">
            <v>2026-JP-Sla-105-66-230</v>
          </cell>
        </row>
        <row r="317">
          <cell r="A317" t="str">
            <v>2026-JP-Sla-117-72-228</v>
          </cell>
        </row>
        <row r="318">
          <cell r="A318" t="str">
            <v>2026-JP-Sla-125-76-228</v>
          </cell>
        </row>
        <row r="319">
          <cell r="A319" t="str">
            <v>2026-JP-Sla-139-85-228</v>
          </cell>
        </row>
        <row r="320">
          <cell r="A320" t="str">
            <v>2026-JP-Sla-97-62-230</v>
          </cell>
        </row>
        <row r="321">
          <cell r="A321" t="str">
            <v>2007and08-Fa-AW -72-54-232</v>
          </cell>
        </row>
        <row r="322">
          <cell r="A322" t="str">
            <v>2007and08-Fa-AW -82-57-233</v>
          </cell>
        </row>
        <row r="323">
          <cell r="A323" t="str">
            <v>2007and08-Fa-AW -92-60-235</v>
          </cell>
        </row>
        <row r="324">
          <cell r="A324" t="str">
            <v>2007and08-Fa-EAG-100-63-245</v>
          </cell>
        </row>
        <row r="325">
          <cell r="A325" t="str">
            <v>2007and08-Fa-EAG-113-66-246</v>
          </cell>
        </row>
        <row r="326">
          <cell r="A326" t="str">
            <v>2007and08-Fa-EAG-126-69-249</v>
          </cell>
        </row>
        <row r="327">
          <cell r="A327" t="str">
            <v>2007and08-Fa-FAL-145-85-245</v>
          </cell>
        </row>
        <row r="328">
          <cell r="A328" t="str">
            <v>2007and08-Fa-FAL-68-48-242</v>
          </cell>
        </row>
        <row r="329">
          <cell r="A329" t="str">
            <v>2007and08-Fa-FW -104-63-241</v>
          </cell>
        </row>
        <row r="330">
          <cell r="A330" t="str">
            <v>2007and08-Fa-FW -77-56-237</v>
          </cell>
        </row>
        <row r="331">
          <cell r="A331" t="str">
            <v>2007and08-Fa-FW -86-58-239</v>
          </cell>
        </row>
        <row r="332">
          <cell r="A332" t="str">
            <v>2007and08-Fa-FW -95-61-241</v>
          </cell>
        </row>
        <row r="333">
          <cell r="A333" t="str">
            <v>2007and08-Fa-HAW-108-62-247</v>
          </cell>
        </row>
        <row r="334">
          <cell r="A334" t="str">
            <v>2007and08-Fa-HAW-123-66-249</v>
          </cell>
        </row>
        <row r="335">
          <cell r="A335" t="str">
            <v>2007and08-Fa-HAW-93-58-245</v>
          </cell>
        </row>
        <row r="336">
          <cell r="A336" t="str">
            <v>2007and08-Fa-NW -69-52-237</v>
          </cell>
        </row>
        <row r="337">
          <cell r="A337" t="str">
            <v>2007and08-Fa-NW -69-52-237</v>
          </cell>
        </row>
        <row r="338">
          <cell r="A338" t="str">
            <v>2007and08-Fa-NW -75-54-238</v>
          </cell>
        </row>
        <row r="339">
          <cell r="A339" t="str">
            <v>2007and08-Fa-NW -75-54-238</v>
          </cell>
        </row>
        <row r="340">
          <cell r="A340" t="str">
            <v>2007and08-Fa-NW -81-56-240</v>
          </cell>
        </row>
        <row r="341">
          <cell r="A341" t="str">
            <v>2007and08-Fa-NW -81-56-240</v>
          </cell>
        </row>
        <row r="342">
          <cell r="A342" t="str">
            <v>2007and08-Fa-RIP-102-69-239</v>
          </cell>
        </row>
        <row r="343">
          <cell r="A343" t="str">
            <v>2007and08-Fa-SHA-130-70-258</v>
          </cell>
        </row>
        <row r="344">
          <cell r="A344" t="str">
            <v>2007and08-Fa-SHA-130-70-258</v>
          </cell>
        </row>
        <row r="345">
          <cell r="A345" t="str">
            <v>2007and08-Fa-SHA-145-75-263</v>
          </cell>
        </row>
        <row r="346">
          <cell r="A346" t="str">
            <v>2007and08-Fa-SHA-145-75-263</v>
          </cell>
        </row>
        <row r="347">
          <cell r="A347" t="str">
            <v>2007and08-Fa-SHA-160-80-268</v>
          </cell>
        </row>
        <row r="348">
          <cell r="A348" t="str">
            <v>2007and08-Fa-SKA-107-65-239</v>
          </cell>
        </row>
        <row r="349">
          <cell r="A349" t="str">
            <v>2007and08-Fa-SKA-107-65-239</v>
          </cell>
        </row>
        <row r="350">
          <cell r="A350" t="str">
            <v>2007and08-Fa-SKA-97-63-237</v>
          </cell>
        </row>
        <row r="351">
          <cell r="A351" t="str">
            <v>2007and08-Fa-SKA-97-63-237</v>
          </cell>
        </row>
        <row r="352">
          <cell r="A352" t="str">
            <v>2007and08-Fa-VIP-160-75-275</v>
          </cell>
        </row>
        <row r="353">
          <cell r="A353" t="str">
            <v>2007and08-Fa-VIP-190-80-280</v>
          </cell>
        </row>
        <row r="354">
          <cell r="A354" t="str">
            <v>2007and08-Fa-VIP-220-85-285</v>
          </cell>
        </row>
        <row r="355">
          <cell r="A355" t="e">
            <v>#VALUE!</v>
          </cell>
        </row>
        <row r="356">
          <cell r="A356" t="e">
            <v>#VALUE!</v>
          </cell>
        </row>
        <row r="357">
          <cell r="A357" t="e">
            <v>#VALUE!</v>
          </cell>
        </row>
        <row r="358">
          <cell r="A358" t="e">
            <v>#VALUE!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"/>
  <sheetViews>
    <sheetView workbookViewId="0">
      <selection activeCell="A2" sqref="A2:A8"/>
    </sheetView>
  </sheetViews>
  <sheetFormatPr defaultRowHeight="15" x14ac:dyDescent="0.25"/>
  <cols>
    <col min="1" max="1" width="25" customWidth="1"/>
    <col min="4" max="4" width="4.5703125" style="4" bestFit="1" customWidth="1"/>
    <col min="5" max="5" width="13.85546875" customWidth="1"/>
    <col min="12" max="12" width="16.28515625" bestFit="1" customWidth="1"/>
    <col min="13" max="13" width="11.85546875" bestFit="1" customWidth="1"/>
    <col min="14" max="14" width="13.140625" bestFit="1" customWidth="1"/>
  </cols>
  <sheetData>
    <row r="1" spans="1:17" x14ac:dyDescent="0.25">
      <c r="A1" s="1" t="s">
        <v>18</v>
      </c>
      <c r="B1" s="1" t="s">
        <v>19</v>
      </c>
      <c r="C1" s="1" t="s">
        <v>20</v>
      </c>
      <c r="D1" s="3" t="s">
        <v>21</v>
      </c>
      <c r="E1" s="1" t="s">
        <v>22</v>
      </c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</row>
    <row r="2" spans="1:17" x14ac:dyDescent="0.25">
      <c r="A2" s="9" t="str">
        <f>_xlfn.CONCAT(E2,"-",LEFT(B2,2),"-",SUBSTITUTE(C2," ",""),"-",D2)</f>
        <v>2021-Se-Mach4-5</v>
      </c>
      <c r="B2" t="s">
        <v>25</v>
      </c>
      <c r="C2" t="s">
        <v>34</v>
      </c>
      <c r="D2" s="4">
        <v>5</v>
      </c>
      <c r="E2">
        <v>2021</v>
      </c>
      <c r="F2">
        <v>400</v>
      </c>
      <c r="G2">
        <v>176</v>
      </c>
      <c r="H2">
        <v>7</v>
      </c>
      <c r="I2" t="s">
        <v>8</v>
      </c>
      <c r="J2">
        <v>4.25</v>
      </c>
      <c r="K2" t="s">
        <v>9</v>
      </c>
      <c r="L2" t="s">
        <v>10</v>
      </c>
      <c r="M2" t="s">
        <v>11</v>
      </c>
      <c r="O2" t="s">
        <v>31</v>
      </c>
      <c r="P2" t="s">
        <v>32</v>
      </c>
      <c r="Q2" t="s">
        <v>33</v>
      </c>
    </row>
    <row r="3" spans="1:17" x14ac:dyDescent="0.25">
      <c r="A3" s="9" t="str">
        <f t="shared" ref="A3:A8" si="0">_xlfn.CONCAT(E3,"-",LEFT(B3,2),"-",SUBSTITUTE(C3," ",""),"-",D3)</f>
        <v>2021-Se-Mach4-5.5</v>
      </c>
      <c r="B3" t="s">
        <v>25</v>
      </c>
      <c r="C3" t="s">
        <v>34</v>
      </c>
      <c r="D3" s="4">
        <v>5.5</v>
      </c>
      <c r="E3">
        <v>2021</v>
      </c>
      <c r="F3">
        <v>411</v>
      </c>
      <c r="G3">
        <v>184</v>
      </c>
      <c r="H3">
        <v>7</v>
      </c>
      <c r="I3" t="s">
        <v>8</v>
      </c>
      <c r="J3">
        <v>4.45</v>
      </c>
      <c r="K3" t="s">
        <v>9</v>
      </c>
      <c r="L3" t="s">
        <v>12</v>
      </c>
      <c r="M3" t="s">
        <v>11</v>
      </c>
    </row>
    <row r="4" spans="1:17" x14ac:dyDescent="0.25">
      <c r="A4" s="9" t="str">
        <f t="shared" si="0"/>
        <v>2021-Se-Mach4-6.2</v>
      </c>
      <c r="B4" t="s">
        <v>25</v>
      </c>
      <c r="C4" t="s">
        <v>34</v>
      </c>
      <c r="D4" s="4">
        <v>6.2</v>
      </c>
      <c r="E4">
        <v>2021</v>
      </c>
      <c r="F4">
        <v>433</v>
      </c>
      <c r="G4">
        <v>190</v>
      </c>
      <c r="H4">
        <v>7</v>
      </c>
      <c r="I4" t="s">
        <v>8</v>
      </c>
      <c r="J4">
        <v>4.6500000000000004</v>
      </c>
      <c r="K4" t="s">
        <v>9</v>
      </c>
      <c r="L4" t="s">
        <v>13</v>
      </c>
      <c r="M4" t="s">
        <v>11</v>
      </c>
    </row>
    <row r="5" spans="1:17" x14ac:dyDescent="0.25">
      <c r="A5" s="9" t="str">
        <f t="shared" si="0"/>
        <v>2021-Se-Mach4-7</v>
      </c>
      <c r="B5" t="s">
        <v>25</v>
      </c>
      <c r="C5" t="s">
        <v>34</v>
      </c>
      <c r="D5" s="4">
        <v>7</v>
      </c>
      <c r="E5">
        <v>2021</v>
      </c>
      <c r="F5">
        <v>461</v>
      </c>
      <c r="G5">
        <v>202</v>
      </c>
      <c r="H5">
        <v>7</v>
      </c>
      <c r="I5" t="s">
        <v>14</v>
      </c>
      <c r="J5">
        <v>5.15</v>
      </c>
      <c r="K5" t="s">
        <v>9</v>
      </c>
      <c r="L5" t="s">
        <v>13</v>
      </c>
      <c r="M5" t="s">
        <v>15</v>
      </c>
    </row>
    <row r="6" spans="1:17" x14ac:dyDescent="0.25">
      <c r="A6" s="9" t="str">
        <f t="shared" si="0"/>
        <v>2021-Se-Mach4-7.8</v>
      </c>
      <c r="B6" t="s">
        <v>25</v>
      </c>
      <c r="C6" t="s">
        <v>34</v>
      </c>
      <c r="D6" s="4">
        <v>7.8</v>
      </c>
      <c r="E6">
        <v>2021</v>
      </c>
      <c r="F6">
        <v>488</v>
      </c>
      <c r="G6">
        <v>210</v>
      </c>
      <c r="H6">
        <v>7</v>
      </c>
      <c r="I6" t="s">
        <v>14</v>
      </c>
      <c r="J6">
        <v>5.45</v>
      </c>
      <c r="K6" t="s">
        <v>9</v>
      </c>
      <c r="L6" t="s">
        <v>16</v>
      </c>
      <c r="M6" t="s">
        <v>15</v>
      </c>
    </row>
    <row r="7" spans="1:17" x14ac:dyDescent="0.25">
      <c r="A7" s="9" t="str">
        <f t="shared" si="0"/>
        <v>2021-Se-Mach4-8.6</v>
      </c>
      <c r="B7" t="s">
        <v>25</v>
      </c>
      <c r="C7" t="s">
        <v>34</v>
      </c>
      <c r="D7" s="4">
        <v>8.6</v>
      </c>
      <c r="E7">
        <v>2021</v>
      </c>
      <c r="F7">
        <v>518</v>
      </c>
      <c r="G7">
        <v>222</v>
      </c>
      <c r="H7">
        <v>7</v>
      </c>
      <c r="I7" t="s">
        <v>14</v>
      </c>
      <c r="J7">
        <v>5.75</v>
      </c>
      <c r="K7" t="s">
        <v>9</v>
      </c>
      <c r="L7" t="s">
        <v>17</v>
      </c>
      <c r="M7" t="s">
        <v>15</v>
      </c>
    </row>
    <row r="8" spans="1:17" x14ac:dyDescent="0.25">
      <c r="A8" s="9" t="str">
        <f t="shared" si="0"/>
        <v>2021-Se-Mach4-9.4</v>
      </c>
      <c r="B8" t="s">
        <v>25</v>
      </c>
      <c r="C8" t="s">
        <v>34</v>
      </c>
      <c r="D8" s="4">
        <v>9.4</v>
      </c>
      <c r="E8">
        <v>2021</v>
      </c>
      <c r="F8">
        <v>518</v>
      </c>
      <c r="G8">
        <v>240</v>
      </c>
      <c r="H8">
        <v>7</v>
      </c>
      <c r="I8" t="s">
        <v>14</v>
      </c>
      <c r="J8">
        <v>6</v>
      </c>
      <c r="K8" t="s">
        <v>9</v>
      </c>
      <c r="L8" t="s">
        <v>17</v>
      </c>
      <c r="M8" t="s">
        <v>15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BDCBD-187B-4D4A-924E-A9870E38DFAB}">
  <dimension ref="A1:Q15"/>
  <sheetViews>
    <sheetView tabSelected="1" workbookViewId="0">
      <selection activeCell="K2" sqref="K2"/>
    </sheetView>
  </sheetViews>
  <sheetFormatPr defaultRowHeight="15" x14ac:dyDescent="0.25"/>
  <cols>
    <col min="1" max="1" width="6" bestFit="1" customWidth="1"/>
    <col min="2" max="2" width="11.7109375" customWidth="1"/>
    <col min="3" max="3" width="14.5703125" customWidth="1"/>
    <col min="4" max="4" width="9.42578125" customWidth="1"/>
    <col min="5" max="5" width="17.5703125" customWidth="1"/>
    <col min="7" max="7" width="16.85546875" bestFit="1" customWidth="1"/>
    <col min="9" max="9" width="11.7109375" bestFit="1" customWidth="1"/>
    <col min="11" max="11" width="17.28515625" bestFit="1" customWidth="1"/>
    <col min="16" max="16" width="14" customWidth="1"/>
    <col min="17" max="17" width="13.5703125" customWidth="1"/>
  </cols>
  <sheetData>
    <row r="1" spans="1:17" x14ac:dyDescent="0.25">
      <c r="A1" s="5" t="s">
        <v>18</v>
      </c>
      <c r="B1" s="7" t="s">
        <v>19</v>
      </c>
      <c r="C1" s="7" t="s">
        <v>20</v>
      </c>
      <c r="D1" s="7" t="s">
        <v>21</v>
      </c>
      <c r="E1" s="7" t="s">
        <v>22</v>
      </c>
      <c r="F1" s="6" t="s">
        <v>23</v>
      </c>
      <c r="G1" s="6" t="s">
        <v>24</v>
      </c>
      <c r="I1" s="10" t="s">
        <v>28</v>
      </c>
      <c r="K1" s="8" t="s">
        <v>27</v>
      </c>
      <c r="P1" s="1" t="s">
        <v>29</v>
      </c>
      <c r="Q1" s="12" t="s">
        <v>30</v>
      </c>
    </row>
    <row r="2" spans="1:17" x14ac:dyDescent="0.25">
      <c r="B2" t="s">
        <v>25</v>
      </c>
      <c r="C2" t="s">
        <v>26</v>
      </c>
      <c r="D2">
        <v>5</v>
      </c>
      <c r="E2">
        <v>2021</v>
      </c>
      <c r="I2" s="11"/>
      <c r="K2" s="9" t="str">
        <f>_xlfn.CONCAT(F2,"-",LEFT(B2,2),"-",LEFT(C2,3),"-",L2,"-",M2,"-",N2)</f>
        <v>-Se- Ma---</v>
      </c>
      <c r="P2" s="13">
        <f>_xlfn.IFNA(_xlfn.XMATCH(K2,Sails!B:B),-1)</f>
        <v>-1</v>
      </c>
      <c r="Q2" s="14" t="str">
        <f>_xlfn.XLOOKUP(K2,'[1]Boards Catalogue'!A:A,'[1]Boards Catalogue'!A:A,,-1)</f>
        <v>ID</v>
      </c>
    </row>
    <row r="3" spans="1:17" x14ac:dyDescent="0.25">
      <c r="B3" t="s">
        <v>25</v>
      </c>
      <c r="C3" t="s">
        <v>26</v>
      </c>
      <c r="D3">
        <v>5.5</v>
      </c>
      <c r="E3">
        <v>2021</v>
      </c>
      <c r="I3" s="11"/>
      <c r="K3" s="9" t="str">
        <f t="shared" ref="K3:K8" si="0">_xlfn.CONCAT(F3,"-",LEFT(B3,2),"-",LEFT(C3,3),"-",L3,"-",M3,"-",N3)</f>
        <v>-Se- Ma---</v>
      </c>
      <c r="P3" s="13">
        <f>_xlfn.IFNA(_xlfn.XMATCH(K3,Sails!B:B),-1)</f>
        <v>-1</v>
      </c>
      <c r="Q3" s="14" t="str">
        <f>_xlfn.XLOOKUP(K3,'[1]Boards Catalogue'!A:A,'[1]Boards Catalogue'!A:A,,-1)</f>
        <v>ID</v>
      </c>
    </row>
    <row r="4" spans="1:17" x14ac:dyDescent="0.25">
      <c r="B4" t="s">
        <v>25</v>
      </c>
      <c r="C4" t="s">
        <v>26</v>
      </c>
      <c r="D4">
        <v>6.2</v>
      </c>
      <c r="E4">
        <v>2021</v>
      </c>
      <c r="K4" s="9" t="str">
        <f t="shared" si="0"/>
        <v>-Se- Ma---</v>
      </c>
      <c r="P4" s="13">
        <f>_xlfn.IFNA(_xlfn.XMATCH(K4,Sails!B:B),-1)</f>
        <v>-1</v>
      </c>
    </row>
    <row r="5" spans="1:17" x14ac:dyDescent="0.25">
      <c r="B5" t="s">
        <v>25</v>
      </c>
      <c r="C5" t="s">
        <v>26</v>
      </c>
      <c r="D5">
        <v>7</v>
      </c>
      <c r="E5">
        <v>2021</v>
      </c>
      <c r="K5" s="9" t="str">
        <f t="shared" si="0"/>
        <v>-Se- Ma---</v>
      </c>
      <c r="P5" s="13">
        <f>_xlfn.IFNA(_xlfn.XMATCH(K5,Sails!B:B),-1)</f>
        <v>-1</v>
      </c>
    </row>
    <row r="6" spans="1:17" x14ac:dyDescent="0.25">
      <c r="B6" t="s">
        <v>25</v>
      </c>
      <c r="C6" t="s">
        <v>26</v>
      </c>
      <c r="D6">
        <v>7.8</v>
      </c>
      <c r="E6">
        <v>2021</v>
      </c>
      <c r="K6" s="9" t="str">
        <f t="shared" si="0"/>
        <v>-Se- Ma---</v>
      </c>
      <c r="P6" s="13">
        <f>_xlfn.IFNA(_xlfn.XMATCH(K6,Sails!B:B),-1)</f>
        <v>-1</v>
      </c>
    </row>
    <row r="7" spans="1:17" x14ac:dyDescent="0.25">
      <c r="B7" t="s">
        <v>25</v>
      </c>
      <c r="C7" t="s">
        <v>26</v>
      </c>
      <c r="D7">
        <v>8.6</v>
      </c>
      <c r="E7">
        <v>2021</v>
      </c>
      <c r="K7" s="9" t="str">
        <f t="shared" si="0"/>
        <v>-Se- Ma---</v>
      </c>
      <c r="P7" s="13">
        <f>_xlfn.IFNA(_xlfn.XMATCH(K7,Sails!B:B),-1)</f>
        <v>-1</v>
      </c>
    </row>
    <row r="8" spans="1:17" x14ac:dyDescent="0.25">
      <c r="B8" t="s">
        <v>25</v>
      </c>
      <c r="C8" t="s">
        <v>26</v>
      </c>
      <c r="D8">
        <v>9.4</v>
      </c>
      <c r="E8">
        <v>2021</v>
      </c>
      <c r="K8" s="9" t="str">
        <f t="shared" si="0"/>
        <v>-Se- Ma---</v>
      </c>
      <c r="P8" s="13">
        <f>_xlfn.IFNA(_xlfn.XMATCH(K8,Sails!B:B),-1)</f>
        <v>-1</v>
      </c>
    </row>
    <row r="9" spans="1:17" x14ac:dyDescent="0.25">
      <c r="P9" s="13">
        <f>_xlfn.IFNA(_xlfn.XMATCH(K9,Sails!B:B),-1)</f>
        <v>9</v>
      </c>
    </row>
    <row r="10" spans="1:17" x14ac:dyDescent="0.25">
      <c r="P10" s="13">
        <f>_xlfn.IFNA(_xlfn.XMATCH(K10,Sails!B:B),-1)</f>
        <v>9</v>
      </c>
    </row>
    <row r="11" spans="1:17" x14ac:dyDescent="0.25">
      <c r="P11" s="13">
        <f>_xlfn.IFNA(_xlfn.XMATCH(K11,Sails!B:B),-1)</f>
        <v>9</v>
      </c>
    </row>
    <row r="12" spans="1:17" x14ac:dyDescent="0.25">
      <c r="P12" s="13">
        <f>_xlfn.IFNA(_xlfn.XMATCH(K12,Sails!B:B),-1)</f>
        <v>9</v>
      </c>
    </row>
    <row r="13" spans="1:17" x14ac:dyDescent="0.25">
      <c r="P13" s="13">
        <f>_xlfn.IFNA(_xlfn.XMATCH(K13,Sails!B:B),-1)</f>
        <v>9</v>
      </c>
    </row>
    <row r="14" spans="1:17" x14ac:dyDescent="0.25">
      <c r="P14" s="13">
        <f>_xlfn.IFNA(_xlfn.XMATCH(K14,Sails!B:B),-1)</f>
        <v>9</v>
      </c>
    </row>
    <row r="15" spans="1:17" x14ac:dyDescent="0.25">
      <c r="P15" s="13">
        <f>_xlfn.IFNA(_xlfn.XMATCH(K15,Sails!B:B),-1)</f>
        <v>9</v>
      </c>
    </row>
  </sheetData>
  <conditionalFormatting sqref="P1:Q2 Q3 P3:P15">
    <cfRule type="expression" dxfId="0" priority="1">
      <formula>$P1=-1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Sails</vt:lpstr>
      <vt:lpstr>GPS_Validation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Johansson</dc:creator>
  <cp:lastModifiedBy>Björn Johansson</cp:lastModifiedBy>
  <dcterms:created xsi:type="dcterms:W3CDTF">2015-06-05T18:17:20Z</dcterms:created>
  <dcterms:modified xsi:type="dcterms:W3CDTF">2026-04-20T10:35:45Z</dcterms:modified>
</cp:coreProperties>
</file>