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bjorn\Documents\bjorn76\WS\"/>
    </mc:Choice>
  </mc:AlternateContent>
  <xr:revisionPtr revIDLastSave="0" documentId="13_ncr:1_{D09E8C25-85C9-4F70-B130-F7905E31D919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Sails" sheetId="1" r:id="rId1"/>
    <sheet name="GPS_Validation" sheetId="2" r:id="rId2"/>
    <sheet name="Temp-Berra-mall" sheetId="5" r:id="rId3"/>
    <sheet name="Temp-Berra" sheetId="3" r:id="rId4"/>
    <sheet name="Temp-Berra2-NP" sheetId="4" r:id="rId5"/>
    <sheet name="Temp-Berra-3-Loftsails" sheetId="6" r:id="rId6"/>
  </sheets>
  <definedNames>
    <definedName name="_xlnm._FilterDatabase" localSheetId="0" hidden="1">Sails!$A$1:$M$1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2" i="1" l="1"/>
  <c r="A23" i="1"/>
  <c r="A24" i="1"/>
  <c r="A25" i="1"/>
  <c r="A26" i="1"/>
  <c r="A27" i="1"/>
  <c r="A28" i="1"/>
  <c r="A29" i="1"/>
  <c r="A30" i="1"/>
  <c r="A31" i="1"/>
  <c r="A32" i="1"/>
  <c r="A33" i="1"/>
  <c r="A34" i="1"/>
  <c r="K3" i="2"/>
  <c r="K4" i="2"/>
  <c r="K5" i="2"/>
  <c r="K6" i="2"/>
  <c r="K7" i="2"/>
  <c r="K8" i="2"/>
  <c r="K9" i="2"/>
  <c r="K10" i="2"/>
  <c r="K11" i="2"/>
  <c r="K12" i="2"/>
  <c r="K13" i="2"/>
  <c r="K14" i="2"/>
  <c r="K15" i="2"/>
  <c r="K16" i="2"/>
  <c r="K17" i="2"/>
  <c r="K18" i="2"/>
  <c r="K19" i="2"/>
  <c r="K20" i="2"/>
  <c r="K21" i="2"/>
  <c r="K22" i="2"/>
  <c r="K23" i="2"/>
  <c r="K24" i="2"/>
  <c r="K25" i="2"/>
  <c r="K26" i="2"/>
  <c r="K2" i="2"/>
  <c r="A3" i="1"/>
  <c r="A4" i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" i="1"/>
  <c r="Q3" i="2" s="1"/>
  <c r="P3" i="2" l="1"/>
  <c r="P2" i="2"/>
  <c r="Q8" i="2"/>
  <c r="P9" i="2"/>
  <c r="P8" i="2"/>
  <c r="Q7" i="2"/>
  <c r="Q2" i="2"/>
  <c r="P7" i="2"/>
  <c r="Q6" i="2"/>
  <c r="Q5" i="2"/>
  <c r="P12" i="2"/>
  <c r="P5" i="2"/>
  <c r="Q4" i="2"/>
  <c r="P6" i="2"/>
  <c r="P4" i="2"/>
  <c r="P11" i="2"/>
  <c r="Q12" i="2"/>
  <c r="Q15" i="2"/>
  <c r="Q13" i="2"/>
  <c r="P15" i="2"/>
  <c r="Q14" i="2"/>
  <c r="P10" i="2"/>
  <c r="P14" i="2"/>
  <c r="Q11" i="2"/>
  <c r="Q10" i="2"/>
  <c r="P13" i="2"/>
  <c r="Q9" i="2"/>
</calcChain>
</file>

<file path=xl/sharedStrings.xml><?xml version="1.0" encoding="utf-8"?>
<sst xmlns="http://schemas.openxmlformats.org/spreadsheetml/2006/main" count="406" uniqueCount="95">
  <si>
    <t>Luff</t>
  </si>
  <si>
    <t>Boom</t>
  </si>
  <si>
    <t>Battens</t>
  </si>
  <si>
    <t>Cams</t>
  </si>
  <si>
    <t>Weight</t>
  </si>
  <si>
    <t>Head</t>
  </si>
  <si>
    <t>Mast</t>
  </si>
  <si>
    <t>SDM/RDM</t>
  </si>
  <si>
    <t>4 x RDM</t>
  </si>
  <si>
    <t>FIXED</t>
  </si>
  <si>
    <t>SEVERNE 400/370</t>
  </si>
  <si>
    <t>RDM or SDM</t>
  </si>
  <si>
    <t>SEVERNE 400</t>
  </si>
  <si>
    <t>SEVERNE 430</t>
  </si>
  <si>
    <t>4 x SDM</t>
  </si>
  <si>
    <t>SDM</t>
  </si>
  <si>
    <t>SEVERNE 460</t>
  </si>
  <si>
    <t>SEVERNE 490</t>
  </si>
  <si>
    <t>ID</t>
  </si>
  <si>
    <t>Brand</t>
  </si>
  <si>
    <t>Type</t>
  </si>
  <si>
    <t>Size</t>
  </si>
  <si>
    <t>Year</t>
  </si>
  <si>
    <t>Class</t>
  </si>
  <si>
    <t>Sessions</t>
  </si>
  <si>
    <t>Severne</t>
  </si>
  <si>
    <t>ID2</t>
  </si>
  <si>
    <t>Temp Notes</t>
  </si>
  <si>
    <t>XMATCH</t>
  </si>
  <si>
    <t>XLookUp "-1"</t>
  </si>
  <si>
    <t>Mach 4</t>
  </si>
  <si>
    <t>BATTENS</t>
  </si>
  <si>
    <t>400/19</t>
  </si>
  <si>
    <t>430/21</t>
  </si>
  <si>
    <t>460/25</t>
  </si>
  <si>
    <t>490/29</t>
  </si>
  <si>
    <t>520/34</t>
  </si>
  <si>
    <t>Simmer Sails</t>
  </si>
  <si>
    <t>SCR</t>
  </si>
  <si>
    <t>Simmer</t>
  </si>
  <si>
    <t>&lt;- Paste Data to validate to the left</t>
  </si>
  <si>
    <t>View result in formulas to the right -&gt;</t>
  </si>
  <si>
    <t>SIZE m2</t>
  </si>
  <si>
    <t>LUFF cm</t>
  </si>
  <si>
    <t>BOOM cm</t>
  </si>
  <si>
    <t>WEIGHT kg</t>
  </si>
  <si>
    <t>CAMS</t>
  </si>
  <si>
    <t>IDEAL MAST</t>
  </si>
  <si>
    <t>166-172</t>
  </si>
  <si>
    <t>168-174</t>
  </si>
  <si>
    <t>174-180</t>
  </si>
  <si>
    <t>186-192</t>
  </si>
  <si>
    <t>200-206</t>
  </si>
  <si>
    <t>210-216</t>
  </si>
  <si>
    <t>220-226</t>
  </si>
  <si>
    <t>RDM</t>
  </si>
  <si>
    <t>Fixed</t>
  </si>
  <si>
    <t>RS Racing EVO XIV</t>
  </si>
  <si>
    <t>Neilpryde</t>
  </si>
  <si>
    <t>Racing EVO XVII</t>
  </si>
  <si>
    <t>Size (m²)</t>
  </si>
  <si>
    <t>Luff (cm)</t>
  </si>
  <si>
    <t>Boom (cm)</t>
  </si>
  <si>
    <t>Weight (kg)</t>
  </si>
  <si>
    <t>166–172</t>
  </si>
  <si>
    <t>168–174</t>
  </si>
  <si>
    <t>174–180</t>
  </si>
  <si>
    <t>172–174</t>
  </si>
  <si>
    <t>186–192</t>
  </si>
  <si>
    <t>200–206</t>
  </si>
  <si>
    <t>210–216</t>
  </si>
  <si>
    <t>220–226</t>
  </si>
  <si>
    <t>MDM</t>
  </si>
  <si>
    <t>RS Racing EVO XVII</t>
  </si>
  <si>
    <t>Extension</t>
  </si>
  <si>
    <t>Cambers</t>
  </si>
  <si>
    <t>Rec. Mast</t>
  </si>
  <si>
    <t>4,86</t>
  </si>
  <si>
    <t>Team Edition 400 RDM</t>
  </si>
  <si>
    <t>5,15</t>
  </si>
  <si>
    <t>5,47</t>
  </si>
  <si>
    <t>Team Edition 430 SDM</t>
  </si>
  <si>
    <t>5,78</t>
  </si>
  <si>
    <t>Team Edition 460 SDM</t>
  </si>
  <si>
    <t>6,10</t>
  </si>
  <si>
    <t>Team Edition 490 SDM</t>
  </si>
  <si>
    <t>170/172</t>
  </si>
  <si>
    <t>182/184</t>
  </si>
  <si>
    <t>198/200</t>
  </si>
  <si>
    <t>206/208</t>
  </si>
  <si>
    <t>216/218</t>
  </si>
  <si>
    <t>Racingblade</t>
  </si>
  <si>
    <t>Loftsails</t>
  </si>
  <si>
    <t>BQ</t>
  </si>
  <si>
    <t>https://www.gps-speedsurfing.com/sessions/userequipment?userid=2558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</si>
</sst>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8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onsolas"/>
      <family val="3"/>
    </font>
    <font>
      <b/>
      <i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0"/>
      <color theme="1"/>
      <name val="Arial Narrow"/>
      <family val="2"/>
    </font>
    <font>
      <u/>
      <sz val="11"/>
      <color theme="1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CC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7" fillId="0" borderId="0" applyNumberFormat="0" applyFill="0" applyBorder="0" applyAlignment="0" applyProtection="0"/>
  </cellStyleXfs>
  <cellXfs count="18">
    <xf numFmtId="0" fontId="0" fillId="0" borderId="0" xfId="0"/>
    <xf numFmtId="0" fontId="1" fillId="2" borderId="0" xfId="0" applyFont="1" applyFill="1"/>
    <xf numFmtId="0" fontId="1" fillId="3" borderId="0" xfId="0" applyFont="1" applyFill="1"/>
    <xf numFmtId="164" fontId="1" fillId="2" borderId="0" xfId="0" applyNumberFormat="1" applyFont="1" applyFill="1"/>
    <xf numFmtId="164" fontId="0" fillId="0" borderId="0" xfId="0" applyNumberFormat="1"/>
    <xf numFmtId="0" fontId="0" fillId="5" borderId="0" xfId="0" applyFill="1"/>
    <xf numFmtId="0" fontId="0" fillId="2" borderId="0" xfId="0" applyFill="1"/>
    <xf numFmtId="0" fontId="1" fillId="4" borderId="0" xfId="0" applyFont="1" applyFill="1"/>
    <xf numFmtId="0" fontId="1" fillId="2" borderId="1" xfId="0" applyFont="1" applyFill="1" applyBorder="1"/>
    <xf numFmtId="0" fontId="3" fillId="6" borderId="0" xfId="0" applyFont="1" applyFill="1"/>
    <xf numFmtId="0" fontId="1" fillId="0" borderId="2" xfId="0" applyFont="1" applyBorder="1"/>
    <xf numFmtId="0" fontId="0" fillId="7" borderId="3" xfId="0" applyFill="1" applyBorder="1"/>
    <xf numFmtId="0" fontId="4" fillId="2" borderId="0" xfId="0" applyFont="1" applyFill="1"/>
    <xf numFmtId="0" fontId="0" fillId="6" borderId="0" xfId="0" applyFill="1"/>
    <xf numFmtId="0" fontId="5" fillId="6" borderId="0" xfId="0" applyFont="1" applyFill="1"/>
    <xf numFmtId="0" fontId="6" fillId="0" borderId="0" xfId="0" quotePrefix="1" applyFont="1"/>
    <xf numFmtId="0" fontId="6" fillId="0" borderId="0" xfId="0" applyFont="1"/>
    <xf numFmtId="0" fontId="7" fillId="0" borderId="0" xfId="1"/>
  </cellXfs>
  <cellStyles count="2">
    <cellStyle name="Hyperlink" xfId="1" builtinId="8"/>
    <cellStyle name="Normal" xfId="0" builtinId="0"/>
  </cellStyles>
  <dxfs count="1"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5.png"/><Relationship Id="rId2" Type="http://schemas.openxmlformats.org/officeDocument/2006/relationships/image" Target="../media/image4.png"/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581025</xdr:colOff>
      <xdr:row>14</xdr:row>
      <xdr:rowOff>151897</xdr:rowOff>
    </xdr:from>
    <xdr:to>
      <xdr:col>11</xdr:col>
      <xdr:colOff>258233</xdr:colOff>
      <xdr:row>49</xdr:row>
      <xdr:rowOff>39051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72FAE50-B5D5-D0ED-0B93-AF05A6A172D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81025" y="2818897"/>
          <a:ext cx="7297208" cy="6554654"/>
        </a:xfrm>
        <a:prstGeom prst="rect">
          <a:avLst/>
        </a:prstGeom>
      </xdr:spPr>
    </xdr:pic>
    <xdr:clientData/>
  </xdr:twoCellAnchor>
  <xdr:twoCellAnchor editAs="oneCell">
    <xdr:from>
      <xdr:col>11</xdr:col>
      <xdr:colOff>209550</xdr:colOff>
      <xdr:row>14</xdr:row>
      <xdr:rowOff>114300</xdr:rowOff>
    </xdr:from>
    <xdr:to>
      <xdr:col>29</xdr:col>
      <xdr:colOff>466725</xdr:colOff>
      <xdr:row>48</xdr:row>
      <xdr:rowOff>159991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E1A329C3-6730-56ED-C975-A9B00B53B16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7829550" y="2781300"/>
          <a:ext cx="11229975" cy="6522691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47624</xdr:colOff>
      <xdr:row>12</xdr:row>
      <xdr:rowOff>167326</xdr:rowOff>
    </xdr:from>
    <xdr:to>
      <xdr:col>25</xdr:col>
      <xdr:colOff>524617</xdr:colOff>
      <xdr:row>26</xdr:row>
      <xdr:rowOff>57505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EB7B7FB-1FA8-3997-D059-2F421533DD6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544424" y="2453326"/>
          <a:ext cx="5353793" cy="2557179"/>
        </a:xfrm>
        <a:prstGeom prst="rect">
          <a:avLst/>
        </a:prstGeom>
      </xdr:spPr>
    </xdr:pic>
    <xdr:clientData/>
  </xdr:twoCellAnchor>
  <xdr:twoCellAnchor editAs="oneCell">
    <xdr:from>
      <xdr:col>17</xdr:col>
      <xdr:colOff>59568</xdr:colOff>
      <xdr:row>27</xdr:row>
      <xdr:rowOff>152400</xdr:rowOff>
    </xdr:from>
    <xdr:to>
      <xdr:col>23</xdr:col>
      <xdr:colOff>496156</xdr:colOff>
      <xdr:row>45</xdr:row>
      <xdr:rowOff>29266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ABCA180B-F00F-88AD-E10E-64262933D1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2556368" y="5295900"/>
          <a:ext cx="4094188" cy="3305866"/>
        </a:xfrm>
        <a:prstGeom prst="rect">
          <a:avLst/>
        </a:prstGeom>
      </xdr:spPr>
    </xdr:pic>
    <xdr:clientData/>
  </xdr:twoCellAnchor>
  <xdr:twoCellAnchor editAs="oneCell">
    <xdr:from>
      <xdr:col>0</xdr:col>
      <xdr:colOff>238125</xdr:colOff>
      <xdr:row>12</xdr:row>
      <xdr:rowOff>38100</xdr:rowOff>
    </xdr:from>
    <xdr:to>
      <xdr:col>16</xdr:col>
      <xdr:colOff>106416</xdr:colOff>
      <xdr:row>36</xdr:row>
      <xdr:rowOff>76843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724BB73E-A458-4C54-2863-D1D800A852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238125" y="2324100"/>
          <a:ext cx="11755491" cy="4610743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hyperlink" Target="https://www.gps-speedsurfing.com/sessions/userequipment?userid=2558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9" tint="0.59999389629810485"/>
  </sheetPr>
  <dimension ref="A1:M34"/>
  <sheetViews>
    <sheetView tabSelected="1" workbookViewId="0">
      <selection activeCell="L11" sqref="L11"/>
    </sheetView>
  </sheetViews>
  <sheetFormatPr defaultRowHeight="15" x14ac:dyDescent="0.25"/>
  <cols>
    <col min="1" max="1" width="37.28515625" customWidth="1"/>
    <col min="2" max="2" width="12.28515625" customWidth="1"/>
    <col min="3" max="3" width="19.28515625" customWidth="1"/>
    <col min="4" max="4" width="7.7109375" style="4" customWidth="1"/>
    <col min="5" max="5" width="7.28515625" bestFit="1" customWidth="1"/>
    <col min="12" max="12" width="16.28515625" bestFit="1" customWidth="1"/>
    <col min="13" max="13" width="11.85546875" bestFit="1" customWidth="1"/>
    <col min="14" max="14" width="13.140625" bestFit="1" customWidth="1"/>
  </cols>
  <sheetData>
    <row r="1" spans="1:13" ht="27.75" customHeight="1" x14ac:dyDescent="0.25">
      <c r="A1" s="1" t="s">
        <v>18</v>
      </c>
      <c r="B1" s="1" t="s">
        <v>19</v>
      </c>
      <c r="C1" s="1" t="s">
        <v>20</v>
      </c>
      <c r="D1" s="3" t="s">
        <v>21</v>
      </c>
      <c r="E1" s="1" t="s">
        <v>22</v>
      </c>
      <c r="F1" s="2" t="s">
        <v>0</v>
      </c>
      <c r="G1" s="2" t="s">
        <v>1</v>
      </c>
      <c r="H1" s="2" t="s">
        <v>2</v>
      </c>
      <c r="I1" s="2" t="s">
        <v>3</v>
      </c>
      <c r="J1" s="2" t="s">
        <v>4</v>
      </c>
      <c r="K1" s="2" t="s">
        <v>5</v>
      </c>
      <c r="L1" s="2" t="s">
        <v>6</v>
      </c>
      <c r="M1" s="2" t="s">
        <v>7</v>
      </c>
    </row>
    <row r="2" spans="1:13" x14ac:dyDescent="0.25">
      <c r="A2" s="9" t="str">
        <f>_xlfn.CONCAT(E2,"-",LEFT(B2,2),"-",SUBSTITUTE(C2," "," "),"-",D2)</f>
        <v>2021-Se-Mach 4-5</v>
      </c>
      <c r="B2" t="s">
        <v>25</v>
      </c>
      <c r="C2" t="s">
        <v>30</v>
      </c>
      <c r="D2" s="4">
        <v>5</v>
      </c>
      <c r="E2">
        <v>2021</v>
      </c>
      <c r="F2">
        <v>400</v>
      </c>
      <c r="G2">
        <v>176</v>
      </c>
      <c r="H2">
        <v>7</v>
      </c>
      <c r="I2" t="s">
        <v>8</v>
      </c>
      <c r="J2">
        <v>4.25</v>
      </c>
      <c r="K2" t="s">
        <v>9</v>
      </c>
      <c r="L2" t="s">
        <v>10</v>
      </c>
      <c r="M2" t="s">
        <v>11</v>
      </c>
    </row>
    <row r="3" spans="1:13" x14ac:dyDescent="0.25">
      <c r="A3" s="9" t="str">
        <f t="shared" ref="A3:A34" si="0">_xlfn.CONCAT(E3,"-",LEFT(B3,2),"-",SUBSTITUTE(C3," "," "),"-",D3)</f>
        <v>2021-Se-Mach 4-5.5</v>
      </c>
      <c r="B3" t="s">
        <v>25</v>
      </c>
      <c r="C3" t="s">
        <v>30</v>
      </c>
      <c r="D3" s="4">
        <v>5.5</v>
      </c>
      <c r="E3">
        <v>2021</v>
      </c>
      <c r="F3">
        <v>411</v>
      </c>
      <c r="G3">
        <v>184</v>
      </c>
      <c r="H3">
        <v>7</v>
      </c>
      <c r="I3" t="s">
        <v>8</v>
      </c>
      <c r="J3">
        <v>4.45</v>
      </c>
      <c r="K3" t="s">
        <v>9</v>
      </c>
      <c r="L3" t="s">
        <v>12</v>
      </c>
      <c r="M3" t="s">
        <v>11</v>
      </c>
    </row>
    <row r="4" spans="1:13" x14ac:dyDescent="0.25">
      <c r="A4" s="9" t="str">
        <f t="shared" si="0"/>
        <v>2021-Se-Mach 4-6.2</v>
      </c>
      <c r="B4" t="s">
        <v>25</v>
      </c>
      <c r="C4" t="s">
        <v>30</v>
      </c>
      <c r="D4" s="4">
        <v>6.2</v>
      </c>
      <c r="E4">
        <v>2021</v>
      </c>
      <c r="F4">
        <v>433</v>
      </c>
      <c r="G4">
        <v>190</v>
      </c>
      <c r="H4">
        <v>7</v>
      </c>
      <c r="I4" t="s">
        <v>8</v>
      </c>
      <c r="J4">
        <v>4.6500000000000004</v>
      </c>
      <c r="K4" t="s">
        <v>9</v>
      </c>
      <c r="L4" t="s">
        <v>13</v>
      </c>
      <c r="M4" t="s">
        <v>11</v>
      </c>
    </row>
    <row r="5" spans="1:13" x14ac:dyDescent="0.25">
      <c r="A5" s="9" t="str">
        <f t="shared" si="0"/>
        <v>2021-Se-Mach 4-7</v>
      </c>
      <c r="B5" t="s">
        <v>25</v>
      </c>
      <c r="C5" t="s">
        <v>30</v>
      </c>
      <c r="D5" s="4">
        <v>7</v>
      </c>
      <c r="E5">
        <v>2021</v>
      </c>
      <c r="F5">
        <v>461</v>
      </c>
      <c r="G5">
        <v>202</v>
      </c>
      <c r="H5">
        <v>7</v>
      </c>
      <c r="I5" t="s">
        <v>14</v>
      </c>
      <c r="J5">
        <v>5.15</v>
      </c>
      <c r="K5" t="s">
        <v>9</v>
      </c>
      <c r="L5" t="s">
        <v>13</v>
      </c>
      <c r="M5" t="s">
        <v>15</v>
      </c>
    </row>
    <row r="6" spans="1:13" x14ac:dyDescent="0.25">
      <c r="A6" s="9" t="str">
        <f t="shared" si="0"/>
        <v>2021-Se-Mach 4-7.8</v>
      </c>
      <c r="B6" t="s">
        <v>25</v>
      </c>
      <c r="C6" t="s">
        <v>30</v>
      </c>
      <c r="D6" s="4">
        <v>7.8</v>
      </c>
      <c r="E6">
        <v>2021</v>
      </c>
      <c r="F6">
        <v>488</v>
      </c>
      <c r="G6">
        <v>210</v>
      </c>
      <c r="H6">
        <v>7</v>
      </c>
      <c r="I6" t="s">
        <v>14</v>
      </c>
      <c r="J6">
        <v>5.45</v>
      </c>
      <c r="K6" t="s">
        <v>9</v>
      </c>
      <c r="L6" t="s">
        <v>16</v>
      </c>
      <c r="M6" t="s">
        <v>15</v>
      </c>
    </row>
    <row r="7" spans="1:13" x14ac:dyDescent="0.25">
      <c r="A7" s="9" t="str">
        <f t="shared" si="0"/>
        <v>2021-Se-Mach 4-8.6</v>
      </c>
      <c r="B7" t="s">
        <v>25</v>
      </c>
      <c r="C7" t="s">
        <v>30</v>
      </c>
      <c r="D7" s="4">
        <v>8.6</v>
      </c>
      <c r="E7">
        <v>2021</v>
      </c>
      <c r="F7">
        <v>518</v>
      </c>
      <c r="G7">
        <v>222</v>
      </c>
      <c r="H7">
        <v>7</v>
      </c>
      <c r="I7" t="s">
        <v>14</v>
      </c>
      <c r="J7">
        <v>5.75</v>
      </c>
      <c r="K7" t="s">
        <v>9</v>
      </c>
      <c r="L7" t="s">
        <v>17</v>
      </c>
      <c r="M7" t="s">
        <v>15</v>
      </c>
    </row>
    <row r="8" spans="1:13" x14ac:dyDescent="0.25">
      <c r="A8" s="9" t="str">
        <f t="shared" si="0"/>
        <v>2021-Se-Mach 4-9.4</v>
      </c>
      <c r="B8" t="s">
        <v>25</v>
      </c>
      <c r="C8" t="s">
        <v>30</v>
      </c>
      <c r="D8" s="4">
        <v>9.4</v>
      </c>
      <c r="E8">
        <v>2021</v>
      </c>
      <c r="F8">
        <v>518</v>
      </c>
      <c r="G8">
        <v>240</v>
      </c>
      <c r="H8">
        <v>7</v>
      </c>
      <c r="I8" t="s">
        <v>14</v>
      </c>
      <c r="J8">
        <v>6</v>
      </c>
      <c r="K8" t="s">
        <v>9</v>
      </c>
      <c r="L8" t="s">
        <v>17</v>
      </c>
      <c r="M8" t="s">
        <v>15</v>
      </c>
    </row>
    <row r="9" spans="1:13" x14ac:dyDescent="0.25">
      <c r="A9" s="9" t="str">
        <f t="shared" si="0"/>
        <v>2013-Si-SCR-5.5</v>
      </c>
      <c r="B9" t="s">
        <v>37</v>
      </c>
      <c r="C9" t="s">
        <v>38</v>
      </c>
      <c r="D9" s="4">
        <v>5.5</v>
      </c>
      <c r="E9">
        <v>2013</v>
      </c>
      <c r="F9">
        <v>417</v>
      </c>
      <c r="G9">
        <v>184</v>
      </c>
      <c r="H9">
        <v>7</v>
      </c>
      <c r="I9">
        <v>4</v>
      </c>
      <c r="K9" t="s">
        <v>9</v>
      </c>
      <c r="L9" t="s">
        <v>32</v>
      </c>
      <c r="M9" t="s">
        <v>15</v>
      </c>
    </row>
    <row r="10" spans="1:13" x14ac:dyDescent="0.25">
      <c r="A10" s="9" t="str">
        <f t="shared" si="0"/>
        <v>2013-Si-SCR-6.2</v>
      </c>
      <c r="B10" t="s">
        <v>37</v>
      </c>
      <c r="C10" t="s">
        <v>38</v>
      </c>
      <c r="D10" s="4">
        <v>6.2</v>
      </c>
      <c r="E10">
        <v>2013</v>
      </c>
      <c r="F10">
        <v>438</v>
      </c>
      <c r="G10">
        <v>193</v>
      </c>
      <c r="H10">
        <v>7</v>
      </c>
      <c r="I10">
        <v>4</v>
      </c>
      <c r="K10" t="s">
        <v>9</v>
      </c>
      <c r="L10" t="s">
        <v>33</v>
      </c>
      <c r="M10" t="s">
        <v>15</v>
      </c>
    </row>
    <row r="11" spans="1:13" x14ac:dyDescent="0.25">
      <c r="A11" s="9" t="str">
        <f t="shared" si="0"/>
        <v>2013-Si-SCR-7</v>
      </c>
      <c r="B11" t="s">
        <v>37</v>
      </c>
      <c r="C11" t="s">
        <v>38</v>
      </c>
      <c r="D11" s="4">
        <v>7</v>
      </c>
      <c r="E11">
        <v>2013</v>
      </c>
      <c r="F11">
        <v>465</v>
      </c>
      <c r="G11">
        <v>205</v>
      </c>
      <c r="H11">
        <v>8</v>
      </c>
      <c r="I11">
        <v>4</v>
      </c>
      <c r="K11" t="s">
        <v>9</v>
      </c>
      <c r="L11" t="s">
        <v>34</v>
      </c>
      <c r="M11" t="s">
        <v>15</v>
      </c>
    </row>
    <row r="12" spans="1:13" x14ac:dyDescent="0.25">
      <c r="A12" s="9" t="str">
        <f t="shared" si="0"/>
        <v>2013-Si-SCR-7.8</v>
      </c>
      <c r="B12" t="s">
        <v>37</v>
      </c>
      <c r="C12" t="s">
        <v>38</v>
      </c>
      <c r="D12" s="4">
        <v>7.8</v>
      </c>
      <c r="E12">
        <v>2013</v>
      </c>
      <c r="F12">
        <v>483</v>
      </c>
      <c r="G12">
        <v>217</v>
      </c>
      <c r="H12">
        <v>8</v>
      </c>
      <c r="I12">
        <v>4</v>
      </c>
      <c r="K12" t="s">
        <v>9</v>
      </c>
      <c r="L12" t="s">
        <v>34</v>
      </c>
      <c r="M12" t="s">
        <v>15</v>
      </c>
    </row>
    <row r="13" spans="1:13" x14ac:dyDescent="0.25">
      <c r="A13" s="9" t="str">
        <f t="shared" si="0"/>
        <v>2013-Si-SCR-8.6</v>
      </c>
      <c r="B13" t="s">
        <v>37</v>
      </c>
      <c r="C13" t="s">
        <v>38</v>
      </c>
      <c r="D13" s="4">
        <v>8.6</v>
      </c>
      <c r="E13">
        <v>2013</v>
      </c>
      <c r="F13">
        <v>507</v>
      </c>
      <c r="G13">
        <v>227</v>
      </c>
      <c r="H13">
        <v>8</v>
      </c>
      <c r="I13">
        <v>4</v>
      </c>
      <c r="K13" t="s">
        <v>9</v>
      </c>
      <c r="L13" t="s">
        <v>35</v>
      </c>
      <c r="M13" t="s">
        <v>15</v>
      </c>
    </row>
    <row r="14" spans="1:13" x14ac:dyDescent="0.25">
      <c r="A14" s="9" t="str">
        <f t="shared" si="0"/>
        <v>2013-Si-SCR-9.5</v>
      </c>
      <c r="B14" t="s">
        <v>37</v>
      </c>
      <c r="C14" t="s">
        <v>38</v>
      </c>
      <c r="D14" s="4">
        <v>9.5</v>
      </c>
      <c r="E14">
        <v>2013</v>
      </c>
      <c r="F14">
        <v>536</v>
      </c>
      <c r="G14">
        <v>243</v>
      </c>
      <c r="H14">
        <v>8</v>
      </c>
      <c r="I14">
        <v>4</v>
      </c>
      <c r="K14" t="s">
        <v>9</v>
      </c>
      <c r="L14" t="s">
        <v>36</v>
      </c>
      <c r="M14" t="s">
        <v>15</v>
      </c>
    </row>
    <row r="15" spans="1:13" x14ac:dyDescent="0.25">
      <c r="A15" s="9" t="str">
        <f t="shared" si="0"/>
        <v>2023-Ne-RS Racing EVO XIV-4.9</v>
      </c>
      <c r="B15" t="s">
        <v>58</v>
      </c>
      <c r="C15" t="s">
        <v>57</v>
      </c>
      <c r="D15" s="4">
        <v>4.9000000000000004</v>
      </c>
      <c r="E15">
        <v>2023</v>
      </c>
      <c r="F15">
        <v>396</v>
      </c>
      <c r="G15" t="s">
        <v>48</v>
      </c>
      <c r="H15">
        <v>7</v>
      </c>
      <c r="I15">
        <v>4</v>
      </c>
      <c r="J15">
        <v>4.7</v>
      </c>
      <c r="K15" t="s">
        <v>56</v>
      </c>
      <c r="L15">
        <v>370</v>
      </c>
      <c r="M15" t="s">
        <v>55</v>
      </c>
    </row>
    <row r="16" spans="1:13" x14ac:dyDescent="0.25">
      <c r="A16" s="9" t="str">
        <f t="shared" si="0"/>
        <v>2023-Ne-RS Racing EVO XIV-5.3</v>
      </c>
      <c r="B16" t="s">
        <v>58</v>
      </c>
      <c r="C16" t="s">
        <v>57</v>
      </c>
      <c r="D16" s="4">
        <v>5.3</v>
      </c>
      <c r="E16">
        <v>2023</v>
      </c>
      <c r="F16">
        <v>416</v>
      </c>
      <c r="G16" t="s">
        <v>49</v>
      </c>
      <c r="H16">
        <v>7</v>
      </c>
      <c r="I16">
        <v>4</v>
      </c>
      <c r="J16">
        <v>4.9000000000000004</v>
      </c>
      <c r="L16">
        <v>400</v>
      </c>
      <c r="M16" t="s">
        <v>55</v>
      </c>
    </row>
    <row r="17" spans="1:13" x14ac:dyDescent="0.25">
      <c r="A17" s="9" t="str">
        <f t="shared" si="0"/>
        <v>2023-Ne-RS Racing EVO XIV-5.6</v>
      </c>
      <c r="B17" t="s">
        <v>58</v>
      </c>
      <c r="C17" t="s">
        <v>57</v>
      </c>
      <c r="D17" s="4">
        <v>5.6</v>
      </c>
      <c r="E17">
        <v>2023</v>
      </c>
      <c r="F17">
        <v>426</v>
      </c>
      <c r="G17" t="s">
        <v>50</v>
      </c>
      <c r="H17">
        <v>7</v>
      </c>
      <c r="I17">
        <v>4</v>
      </c>
      <c r="J17">
        <v>5.0999999999999996</v>
      </c>
      <c r="L17">
        <v>400</v>
      </c>
      <c r="M17" t="s">
        <v>55</v>
      </c>
    </row>
    <row r="18" spans="1:13" x14ac:dyDescent="0.25">
      <c r="A18" s="9" t="str">
        <f t="shared" si="0"/>
        <v>2023-Ne-RS Racing EVO XIV-6.5</v>
      </c>
      <c r="B18" t="s">
        <v>58</v>
      </c>
      <c r="C18" t="s">
        <v>57</v>
      </c>
      <c r="D18" s="4">
        <v>6.5</v>
      </c>
      <c r="E18">
        <v>2023</v>
      </c>
      <c r="F18">
        <v>458</v>
      </c>
      <c r="G18" t="s">
        <v>51</v>
      </c>
      <c r="H18">
        <v>7</v>
      </c>
      <c r="I18">
        <v>4</v>
      </c>
      <c r="J18">
        <v>5.5</v>
      </c>
      <c r="L18">
        <v>430</v>
      </c>
      <c r="M18" t="s">
        <v>15</v>
      </c>
    </row>
    <row r="19" spans="1:13" x14ac:dyDescent="0.25">
      <c r="A19" s="9" t="str">
        <f t="shared" si="0"/>
        <v>2023-Ne-RS Racing EVO XIV-7.4</v>
      </c>
      <c r="B19" t="s">
        <v>58</v>
      </c>
      <c r="C19" t="s">
        <v>57</v>
      </c>
      <c r="D19" s="4">
        <v>7.4</v>
      </c>
      <c r="E19">
        <v>2023</v>
      </c>
      <c r="F19">
        <v>486</v>
      </c>
      <c r="G19" t="s">
        <v>52</v>
      </c>
      <c r="H19">
        <v>7</v>
      </c>
      <c r="I19">
        <v>4</v>
      </c>
      <c r="J19">
        <v>5.8</v>
      </c>
      <c r="L19">
        <v>460</v>
      </c>
      <c r="M19" t="s">
        <v>15</v>
      </c>
    </row>
    <row r="20" spans="1:13" x14ac:dyDescent="0.25">
      <c r="A20" s="9" t="str">
        <f t="shared" si="0"/>
        <v>2023-Ne-RS Racing EVO XIV-8.2</v>
      </c>
      <c r="B20" t="s">
        <v>58</v>
      </c>
      <c r="C20" t="s">
        <v>57</v>
      </c>
      <c r="D20" s="4">
        <v>8.1999999999999993</v>
      </c>
      <c r="E20">
        <v>2023</v>
      </c>
      <c r="F20">
        <v>512</v>
      </c>
      <c r="G20" t="s">
        <v>53</v>
      </c>
      <c r="H20">
        <v>7</v>
      </c>
      <c r="I20">
        <v>4</v>
      </c>
      <c r="J20">
        <v>6.1</v>
      </c>
      <c r="L20">
        <v>490</v>
      </c>
      <c r="M20" t="s">
        <v>15</v>
      </c>
    </row>
    <row r="21" spans="1:13" x14ac:dyDescent="0.25">
      <c r="A21" s="9" t="str">
        <f t="shared" si="0"/>
        <v>2023-Ne-RS Racing EVO XIV-9</v>
      </c>
      <c r="B21" t="s">
        <v>58</v>
      </c>
      <c r="C21" t="s">
        <v>57</v>
      </c>
      <c r="D21" s="4">
        <v>9</v>
      </c>
      <c r="E21">
        <v>2023</v>
      </c>
      <c r="F21">
        <v>538</v>
      </c>
      <c r="G21" t="s">
        <v>54</v>
      </c>
      <c r="H21">
        <v>7</v>
      </c>
      <c r="I21">
        <v>4</v>
      </c>
      <c r="J21">
        <v>6.5</v>
      </c>
      <c r="L21">
        <v>520</v>
      </c>
      <c r="M21" t="s">
        <v>15</v>
      </c>
    </row>
    <row r="22" spans="1:13" x14ac:dyDescent="0.25">
      <c r="A22" s="9" t="str">
        <f t="shared" si="0"/>
        <v>2026-Ne-RS Racing EVO XVII-4.9</v>
      </c>
      <c r="B22" t="s">
        <v>58</v>
      </c>
      <c r="C22" t="s">
        <v>73</v>
      </c>
      <c r="D22" s="4">
        <v>4.9000000000000004</v>
      </c>
      <c r="E22">
        <v>2026</v>
      </c>
      <c r="F22">
        <v>396</v>
      </c>
      <c r="G22" t="s">
        <v>64</v>
      </c>
      <c r="H22">
        <v>7</v>
      </c>
      <c r="I22">
        <v>4</v>
      </c>
      <c r="J22">
        <v>4.7</v>
      </c>
      <c r="K22" t="s">
        <v>56</v>
      </c>
      <c r="L22">
        <v>370</v>
      </c>
      <c r="M22" t="s">
        <v>55</v>
      </c>
    </row>
    <row r="23" spans="1:13" x14ac:dyDescent="0.25">
      <c r="A23" s="9" t="str">
        <f t="shared" si="0"/>
        <v>2026-Ne-RS Racing EVO XVII-5.3</v>
      </c>
      <c r="B23" t="s">
        <v>58</v>
      </c>
      <c r="C23" t="s">
        <v>73</v>
      </c>
      <c r="D23" s="4">
        <v>5.3</v>
      </c>
      <c r="E23">
        <v>2026</v>
      </c>
      <c r="F23">
        <v>416</v>
      </c>
      <c r="G23" t="s">
        <v>65</v>
      </c>
      <c r="H23">
        <v>7</v>
      </c>
      <c r="I23">
        <v>4</v>
      </c>
      <c r="J23">
        <v>4.9000000000000004</v>
      </c>
      <c r="K23" t="s">
        <v>56</v>
      </c>
      <c r="L23">
        <v>400</v>
      </c>
      <c r="M23" t="s">
        <v>55</v>
      </c>
    </row>
    <row r="24" spans="1:13" x14ac:dyDescent="0.25">
      <c r="A24" s="9" t="str">
        <f t="shared" si="0"/>
        <v>2026-Ne-RS Racing EVO XVII-5.6</v>
      </c>
      <c r="B24" t="s">
        <v>58</v>
      </c>
      <c r="C24" t="s">
        <v>73</v>
      </c>
      <c r="D24" s="4">
        <v>5.6</v>
      </c>
      <c r="E24">
        <v>2026</v>
      </c>
      <c r="F24">
        <v>426</v>
      </c>
      <c r="G24" t="s">
        <v>66</v>
      </c>
      <c r="H24">
        <v>7</v>
      </c>
      <c r="I24">
        <v>4</v>
      </c>
      <c r="J24">
        <v>5</v>
      </c>
      <c r="K24" t="s">
        <v>56</v>
      </c>
      <c r="L24">
        <v>400</v>
      </c>
      <c r="M24" t="s">
        <v>55</v>
      </c>
    </row>
    <row r="25" spans="1:13" x14ac:dyDescent="0.25">
      <c r="A25" s="9" t="str">
        <f t="shared" si="0"/>
        <v>2026-Ne-RS Racing EVO XVII-5.7</v>
      </c>
      <c r="B25" t="s">
        <v>58</v>
      </c>
      <c r="C25" t="s">
        <v>73</v>
      </c>
      <c r="D25" s="4">
        <v>5.7</v>
      </c>
      <c r="E25">
        <v>2026</v>
      </c>
      <c r="F25">
        <v>432</v>
      </c>
      <c r="G25" t="s">
        <v>67</v>
      </c>
      <c r="H25">
        <v>7</v>
      </c>
      <c r="I25">
        <v>4</v>
      </c>
      <c r="J25">
        <v>5.0999999999999996</v>
      </c>
      <c r="K25" t="s">
        <v>56</v>
      </c>
      <c r="L25">
        <v>400</v>
      </c>
      <c r="M25" t="s">
        <v>55</v>
      </c>
    </row>
    <row r="26" spans="1:13" x14ac:dyDescent="0.25">
      <c r="A26" s="9" t="str">
        <f t="shared" si="0"/>
        <v>2026-Ne-RS Racing EVO XVII-6.5</v>
      </c>
      <c r="B26" t="s">
        <v>58</v>
      </c>
      <c r="C26" t="s">
        <v>73</v>
      </c>
      <c r="D26" s="4">
        <v>6.5</v>
      </c>
      <c r="E26">
        <v>2026</v>
      </c>
      <c r="F26">
        <v>458</v>
      </c>
      <c r="G26" t="s">
        <v>68</v>
      </c>
      <c r="H26">
        <v>7</v>
      </c>
      <c r="I26">
        <v>4</v>
      </c>
      <c r="J26">
        <v>5.3</v>
      </c>
      <c r="K26" t="s">
        <v>56</v>
      </c>
      <c r="L26">
        <v>430</v>
      </c>
      <c r="M26" t="s">
        <v>72</v>
      </c>
    </row>
    <row r="27" spans="1:13" x14ac:dyDescent="0.25">
      <c r="A27" s="9" t="str">
        <f t="shared" si="0"/>
        <v>2026-Ne-RS Racing EVO XVII-7.4</v>
      </c>
      <c r="B27" t="s">
        <v>58</v>
      </c>
      <c r="C27" t="s">
        <v>73</v>
      </c>
      <c r="D27" s="4">
        <v>7.4</v>
      </c>
      <c r="E27">
        <v>2026</v>
      </c>
      <c r="F27">
        <v>486</v>
      </c>
      <c r="G27" t="s">
        <v>69</v>
      </c>
      <c r="H27">
        <v>7</v>
      </c>
      <c r="I27">
        <v>4</v>
      </c>
      <c r="J27">
        <v>5.5</v>
      </c>
      <c r="K27" t="s">
        <v>56</v>
      </c>
      <c r="L27">
        <v>460</v>
      </c>
      <c r="M27" t="s">
        <v>15</v>
      </c>
    </row>
    <row r="28" spans="1:13" x14ac:dyDescent="0.25">
      <c r="A28" s="9" t="str">
        <f t="shared" si="0"/>
        <v>2026-Ne-RS Racing EVO XVII-8.2</v>
      </c>
      <c r="B28" t="s">
        <v>58</v>
      </c>
      <c r="C28" t="s">
        <v>73</v>
      </c>
      <c r="D28" s="4">
        <v>8.1999999999999993</v>
      </c>
      <c r="E28">
        <v>2026</v>
      </c>
      <c r="F28">
        <v>512</v>
      </c>
      <c r="G28" t="s">
        <v>70</v>
      </c>
      <c r="H28">
        <v>7</v>
      </c>
      <c r="I28">
        <v>4</v>
      </c>
      <c r="J28">
        <v>6.1</v>
      </c>
      <c r="K28" t="s">
        <v>56</v>
      </c>
      <c r="L28">
        <v>490</v>
      </c>
      <c r="M28" t="s">
        <v>15</v>
      </c>
    </row>
    <row r="29" spans="1:13" x14ac:dyDescent="0.25">
      <c r="A29" s="9" t="str">
        <f t="shared" si="0"/>
        <v>2026-Ne-RS Racing EVO XVII-9</v>
      </c>
      <c r="B29" t="s">
        <v>58</v>
      </c>
      <c r="C29" t="s">
        <v>73</v>
      </c>
      <c r="D29" s="4">
        <v>9</v>
      </c>
      <c r="E29">
        <v>2026</v>
      </c>
      <c r="F29">
        <v>538</v>
      </c>
      <c r="G29" t="s">
        <v>71</v>
      </c>
      <c r="H29">
        <v>7</v>
      </c>
      <c r="I29">
        <v>4</v>
      </c>
      <c r="J29">
        <v>6.4</v>
      </c>
      <c r="K29" t="s">
        <v>56</v>
      </c>
      <c r="L29">
        <v>520</v>
      </c>
      <c r="M29" t="s">
        <v>15</v>
      </c>
    </row>
    <row r="30" spans="1:13" x14ac:dyDescent="0.25">
      <c r="A30" s="9" t="str">
        <f t="shared" si="0"/>
        <v>2026-Lo-Racingblade-5.2</v>
      </c>
      <c r="B30" t="s">
        <v>92</v>
      </c>
      <c r="C30" t="s">
        <v>91</v>
      </c>
      <c r="D30">
        <v>5.2</v>
      </c>
      <c r="E30">
        <v>2026</v>
      </c>
      <c r="F30">
        <v>418</v>
      </c>
      <c r="G30">
        <v>172</v>
      </c>
      <c r="H30">
        <v>7</v>
      </c>
      <c r="I30">
        <v>3</v>
      </c>
      <c r="J30" t="s">
        <v>77</v>
      </c>
      <c r="K30" t="s">
        <v>56</v>
      </c>
      <c r="L30">
        <v>400</v>
      </c>
      <c r="M30" t="s">
        <v>55</v>
      </c>
    </row>
    <row r="31" spans="1:13" x14ac:dyDescent="0.25">
      <c r="A31" s="9" t="str">
        <f t="shared" si="0"/>
        <v>2026-Lo-Racingblade-5.8</v>
      </c>
      <c r="B31" t="s">
        <v>92</v>
      </c>
      <c r="C31" t="s">
        <v>91</v>
      </c>
      <c r="D31">
        <v>5.8</v>
      </c>
      <c r="E31">
        <v>2026</v>
      </c>
      <c r="F31">
        <v>436</v>
      </c>
      <c r="G31">
        <v>184</v>
      </c>
      <c r="H31">
        <v>7</v>
      </c>
      <c r="I31">
        <v>3</v>
      </c>
      <c r="J31" t="s">
        <v>79</v>
      </c>
      <c r="K31" t="s">
        <v>56</v>
      </c>
      <c r="L31">
        <v>400</v>
      </c>
      <c r="M31" t="s">
        <v>55</v>
      </c>
    </row>
    <row r="32" spans="1:13" x14ac:dyDescent="0.25">
      <c r="A32" s="9" t="str">
        <f t="shared" si="0"/>
        <v>2026-Lo-Racingblade-6.6</v>
      </c>
      <c r="B32" t="s">
        <v>92</v>
      </c>
      <c r="C32" t="s">
        <v>91</v>
      </c>
      <c r="D32">
        <v>6.6</v>
      </c>
      <c r="E32">
        <v>2026</v>
      </c>
      <c r="F32">
        <v>456</v>
      </c>
      <c r="G32">
        <v>200</v>
      </c>
      <c r="H32">
        <v>7</v>
      </c>
      <c r="I32">
        <v>3</v>
      </c>
      <c r="J32" t="s">
        <v>80</v>
      </c>
      <c r="K32" t="s">
        <v>56</v>
      </c>
      <c r="L32">
        <v>430</v>
      </c>
      <c r="M32" t="s">
        <v>15</v>
      </c>
    </row>
    <row r="33" spans="1:13" x14ac:dyDescent="0.25">
      <c r="A33" s="9" t="str">
        <f t="shared" si="0"/>
        <v>2026-Lo-Racingblade-7.4</v>
      </c>
      <c r="B33" t="s">
        <v>92</v>
      </c>
      <c r="C33" t="s">
        <v>91</v>
      </c>
      <c r="D33">
        <v>7.4</v>
      </c>
      <c r="E33">
        <v>2026</v>
      </c>
      <c r="F33">
        <v>492</v>
      </c>
      <c r="G33">
        <v>208</v>
      </c>
      <c r="H33">
        <v>7</v>
      </c>
      <c r="I33">
        <v>3</v>
      </c>
      <c r="J33" t="s">
        <v>82</v>
      </c>
      <c r="K33" t="s">
        <v>56</v>
      </c>
      <c r="L33">
        <v>460</v>
      </c>
      <c r="M33" t="s">
        <v>15</v>
      </c>
    </row>
    <row r="34" spans="1:13" x14ac:dyDescent="0.25">
      <c r="A34" s="9" t="str">
        <f t="shared" si="0"/>
        <v>2026-Lo-Racingblade-8.2</v>
      </c>
      <c r="B34" t="s">
        <v>92</v>
      </c>
      <c r="C34" t="s">
        <v>91</v>
      </c>
      <c r="D34">
        <v>8.1999999999999993</v>
      </c>
      <c r="E34">
        <v>2026</v>
      </c>
      <c r="F34">
        <v>514</v>
      </c>
      <c r="G34">
        <v>218</v>
      </c>
      <c r="H34">
        <v>7</v>
      </c>
      <c r="I34">
        <v>3</v>
      </c>
      <c r="J34" t="s">
        <v>84</v>
      </c>
      <c r="K34" t="s">
        <v>56</v>
      </c>
      <c r="L34">
        <v>490</v>
      </c>
      <c r="M34" t="s">
        <v>15</v>
      </c>
    </row>
  </sheetData>
  <autoFilter ref="A1:M1" xr:uid="{00000000-0001-0000-0000-000000000000}"/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9BDCBD-187B-4D4A-924E-A9870E38DFAB}">
  <sheetPr>
    <tabColor theme="5" tint="0.59999389629810485"/>
  </sheetPr>
  <dimension ref="A1:Q26"/>
  <sheetViews>
    <sheetView workbookViewId="0">
      <selection activeCell="P44" sqref="P44"/>
    </sheetView>
  </sheetViews>
  <sheetFormatPr defaultRowHeight="15" x14ac:dyDescent="0.25"/>
  <cols>
    <col min="1" max="1" width="6" bestFit="1" customWidth="1"/>
    <col min="2" max="2" width="11.7109375" customWidth="1"/>
    <col min="3" max="3" width="14.5703125" customWidth="1"/>
    <col min="4" max="4" width="9.42578125" customWidth="1"/>
    <col min="5" max="5" width="17.5703125" customWidth="1"/>
    <col min="7" max="7" width="16.85546875" bestFit="1" customWidth="1"/>
    <col min="8" max="8" width="26.85546875" customWidth="1"/>
    <col min="9" max="9" width="11.7109375" bestFit="1" customWidth="1"/>
    <col min="10" max="10" width="4.7109375" customWidth="1"/>
    <col min="11" max="11" width="20" customWidth="1"/>
    <col min="16" max="16" width="14" customWidth="1"/>
    <col min="17" max="17" width="33.5703125" customWidth="1"/>
  </cols>
  <sheetData>
    <row r="1" spans="1:17" x14ac:dyDescent="0.25">
      <c r="A1" s="5" t="s">
        <v>18</v>
      </c>
      <c r="B1" s="7" t="s">
        <v>19</v>
      </c>
      <c r="C1" s="7" t="s">
        <v>20</v>
      </c>
      <c r="D1" s="7" t="s">
        <v>21</v>
      </c>
      <c r="E1" s="7" t="s">
        <v>22</v>
      </c>
      <c r="F1" s="6" t="s">
        <v>23</v>
      </c>
      <c r="G1" s="6" t="s">
        <v>24</v>
      </c>
      <c r="I1" s="10" t="s">
        <v>27</v>
      </c>
      <c r="K1" s="8" t="s">
        <v>26</v>
      </c>
      <c r="P1" s="1" t="s">
        <v>28</v>
      </c>
      <c r="Q1" s="12" t="s">
        <v>29</v>
      </c>
    </row>
    <row r="2" spans="1:17" x14ac:dyDescent="0.25">
      <c r="B2" t="s">
        <v>25</v>
      </c>
      <c r="C2" t="s">
        <v>30</v>
      </c>
      <c r="D2">
        <v>5</v>
      </c>
      <c r="E2">
        <v>2021</v>
      </c>
      <c r="H2" s="15" t="s">
        <v>40</v>
      </c>
      <c r="I2" s="11"/>
      <c r="K2" s="9" t="str">
        <f>_xlfn.CONCAT(E2,"-",LEFT(B2,2),"-",SUBSTITUTE(C2," "," "),"-",D2)</f>
        <v>2021-Se-Mach 4-5</v>
      </c>
      <c r="P2" s="13">
        <f>_xlfn.IFNA(_xlfn.XMATCH(K2,Sails!A:A),-1)</f>
        <v>2</v>
      </c>
      <c r="Q2" s="14" t="str">
        <f>_xlfn.XLOOKUP(K2,Sails!A:A,Sails!A:A,,-1)</f>
        <v>2021-Se-Mach 4-5</v>
      </c>
    </row>
    <row r="3" spans="1:17" x14ac:dyDescent="0.25">
      <c r="B3" t="s">
        <v>25</v>
      </c>
      <c r="C3" t="s">
        <v>30</v>
      </c>
      <c r="D3">
        <v>5.5</v>
      </c>
      <c r="E3">
        <v>2021</v>
      </c>
      <c r="H3" s="16" t="s">
        <v>41</v>
      </c>
      <c r="I3" s="11"/>
      <c r="K3" s="9" t="str">
        <f t="shared" ref="K3:K26" si="0">_xlfn.CONCAT(E3,"-",LEFT(B3,2),"-",SUBSTITUTE(C3," "," "),"-",D3)</f>
        <v>2021-Se-Mach 4-5.5</v>
      </c>
      <c r="P3" s="13">
        <f>_xlfn.IFNA(_xlfn.XMATCH(K3,Sails!A:A),-1)</f>
        <v>3</v>
      </c>
      <c r="Q3" s="14" t="str">
        <f>_xlfn.XLOOKUP(K3,Sails!A:A,Sails!A:A,,-1)</f>
        <v>2021-Se-Mach 4-5.5</v>
      </c>
    </row>
    <row r="4" spans="1:17" x14ac:dyDescent="0.25">
      <c r="B4" t="s">
        <v>25</v>
      </c>
      <c r="C4" t="s">
        <v>30</v>
      </c>
      <c r="D4">
        <v>6.2</v>
      </c>
      <c r="E4">
        <v>2021</v>
      </c>
      <c r="I4" s="11"/>
      <c r="K4" s="9" t="str">
        <f t="shared" si="0"/>
        <v>2021-Se-Mach 4-6.2</v>
      </c>
      <c r="P4" s="13">
        <f>_xlfn.IFNA(_xlfn.XMATCH(K4,Sails!A:A),-1)</f>
        <v>4</v>
      </c>
      <c r="Q4" s="14" t="str">
        <f>_xlfn.XLOOKUP(K4,Sails!A:A,Sails!A:A,,-1)</f>
        <v>2021-Se-Mach 4-6.2</v>
      </c>
    </row>
    <row r="5" spans="1:17" x14ac:dyDescent="0.25">
      <c r="B5" t="s">
        <v>25</v>
      </c>
      <c r="C5" t="s">
        <v>30</v>
      </c>
      <c r="D5">
        <v>7</v>
      </c>
      <c r="E5">
        <v>2021</v>
      </c>
      <c r="I5" s="11"/>
      <c r="K5" s="9" t="str">
        <f t="shared" si="0"/>
        <v>2021-Se-Mach 4-7</v>
      </c>
      <c r="P5" s="13">
        <f>_xlfn.IFNA(_xlfn.XMATCH(K5,Sails!A:A),-1)</f>
        <v>5</v>
      </c>
      <c r="Q5" s="14" t="str">
        <f>_xlfn.XLOOKUP(K5,Sails!A:A,Sails!A:A,,-1)</f>
        <v>2021-Se-Mach 4-7</v>
      </c>
    </row>
    <row r="6" spans="1:17" x14ac:dyDescent="0.25">
      <c r="B6" t="s">
        <v>25</v>
      </c>
      <c r="C6" t="s">
        <v>30</v>
      </c>
      <c r="D6">
        <v>7.8</v>
      </c>
      <c r="E6">
        <v>2021</v>
      </c>
      <c r="I6" s="11"/>
      <c r="K6" s="9" t="str">
        <f t="shared" si="0"/>
        <v>2021-Se-Mach 4-7.8</v>
      </c>
      <c r="P6" s="13">
        <f>_xlfn.IFNA(_xlfn.XMATCH(K6,Sails!A:A),-1)</f>
        <v>6</v>
      </c>
      <c r="Q6" s="14" t="str">
        <f>_xlfn.XLOOKUP(K6,Sails!A:A,Sails!A:A,,-1)</f>
        <v>2021-Se-Mach 4-7.8</v>
      </c>
    </row>
    <row r="7" spans="1:17" x14ac:dyDescent="0.25">
      <c r="B7" t="s">
        <v>25</v>
      </c>
      <c r="C7" t="s">
        <v>30</v>
      </c>
      <c r="D7">
        <v>8.6</v>
      </c>
      <c r="E7">
        <v>2021</v>
      </c>
      <c r="I7" s="11"/>
      <c r="K7" s="9" t="str">
        <f t="shared" si="0"/>
        <v>2021-Se-Mach 4-8.6</v>
      </c>
      <c r="P7" s="13">
        <f>_xlfn.IFNA(_xlfn.XMATCH(K7,Sails!A:A),-1)</f>
        <v>7</v>
      </c>
      <c r="Q7" s="14" t="str">
        <f>_xlfn.XLOOKUP(K7,Sails!A:A,Sails!A:A,,-1)</f>
        <v>2021-Se-Mach 4-8.6</v>
      </c>
    </row>
    <row r="8" spans="1:17" x14ac:dyDescent="0.25">
      <c r="B8" t="s">
        <v>25</v>
      </c>
      <c r="C8" t="s">
        <v>30</v>
      </c>
      <c r="D8">
        <v>9.4</v>
      </c>
      <c r="E8">
        <v>2021</v>
      </c>
      <c r="I8" s="11"/>
      <c r="K8" s="9" t="str">
        <f t="shared" si="0"/>
        <v>2021-Se-Mach 4-9.4</v>
      </c>
      <c r="P8" s="13">
        <f>_xlfn.IFNA(_xlfn.XMATCH(K8,Sails!A:A),-1)</f>
        <v>8</v>
      </c>
      <c r="Q8" s="14" t="str">
        <f>_xlfn.XLOOKUP(K8,Sails!A:A,Sails!A:A,,-1)</f>
        <v>2021-Se-Mach 4-9.4</v>
      </c>
    </row>
    <row r="9" spans="1:17" x14ac:dyDescent="0.25">
      <c r="B9" t="s">
        <v>39</v>
      </c>
      <c r="C9" t="s">
        <v>38</v>
      </c>
      <c r="D9">
        <v>7</v>
      </c>
      <c r="E9">
        <v>2013</v>
      </c>
      <c r="I9" s="11"/>
      <c r="K9" s="9" t="str">
        <f t="shared" si="0"/>
        <v>2013-Si-SCR-7</v>
      </c>
      <c r="P9" s="13">
        <f>_xlfn.IFNA(_xlfn.XMATCH(K9,Sails!A:A),-1)</f>
        <v>11</v>
      </c>
      <c r="Q9" s="14" t="str">
        <f>_xlfn.XLOOKUP(K9,Sails!A:A,Sails!A:A,,-1)</f>
        <v>2013-Si-SCR-7</v>
      </c>
    </row>
    <row r="10" spans="1:17" x14ac:dyDescent="0.25">
      <c r="B10" t="s">
        <v>58</v>
      </c>
      <c r="C10" t="s">
        <v>57</v>
      </c>
      <c r="D10">
        <v>9</v>
      </c>
      <c r="E10">
        <v>2023</v>
      </c>
      <c r="I10" s="11"/>
      <c r="K10" s="9" t="str">
        <f t="shared" si="0"/>
        <v>2023-Ne-RS Racing EVO XIV-9</v>
      </c>
      <c r="P10" s="13">
        <f>_xlfn.IFNA(_xlfn.XMATCH(K10,Sails!A:A),-1)</f>
        <v>21</v>
      </c>
      <c r="Q10" s="14" t="str">
        <f>_xlfn.XLOOKUP(K10,Sails!A:A,Sails!A:A,,-1)</f>
        <v>2023-Ne-RS Racing EVO XIV-9</v>
      </c>
    </row>
    <row r="11" spans="1:17" x14ac:dyDescent="0.25">
      <c r="I11" s="11"/>
      <c r="K11" s="9" t="str">
        <f t="shared" si="0"/>
        <v>---</v>
      </c>
      <c r="P11" s="13">
        <f>_xlfn.IFNA(_xlfn.XMATCH(K11,Sails!A:A),-1)</f>
        <v>-1</v>
      </c>
      <c r="Q11" s="14" t="e">
        <f>_xlfn.XLOOKUP(K11,Sails!A:A,Sails!A:A,,-1)</f>
        <v>#N/A</v>
      </c>
    </row>
    <row r="12" spans="1:17" x14ac:dyDescent="0.25">
      <c r="I12" s="11"/>
      <c r="K12" s="9" t="str">
        <f t="shared" si="0"/>
        <v>---</v>
      </c>
      <c r="P12" s="13">
        <f>_xlfn.IFNA(_xlfn.XMATCH(K12,Sails!A:A),-1)</f>
        <v>-1</v>
      </c>
      <c r="Q12" s="14" t="e">
        <f>_xlfn.XLOOKUP(K12,Sails!A:A,Sails!A:A,,-1)</f>
        <v>#N/A</v>
      </c>
    </row>
    <row r="13" spans="1:17" x14ac:dyDescent="0.25">
      <c r="I13" s="11"/>
      <c r="K13" s="9" t="str">
        <f t="shared" si="0"/>
        <v>---</v>
      </c>
      <c r="P13" s="13">
        <f>_xlfn.IFNA(_xlfn.XMATCH(K13,Sails!A:A),-1)</f>
        <v>-1</v>
      </c>
      <c r="Q13" s="14" t="e">
        <f>_xlfn.XLOOKUP(K13,Sails!A:A,Sails!A:A,,-1)</f>
        <v>#N/A</v>
      </c>
    </row>
    <row r="14" spans="1:17" x14ac:dyDescent="0.25">
      <c r="I14" s="11"/>
      <c r="K14" s="9" t="str">
        <f t="shared" si="0"/>
        <v>---</v>
      </c>
      <c r="P14" s="13">
        <f>_xlfn.IFNA(_xlfn.XMATCH(K14,Sails!A:A),-1)</f>
        <v>-1</v>
      </c>
      <c r="Q14" s="14" t="e">
        <f>_xlfn.XLOOKUP(K14,Sails!A:A,Sails!A:A,,-1)</f>
        <v>#N/A</v>
      </c>
    </row>
    <row r="15" spans="1:17" x14ac:dyDescent="0.25">
      <c r="I15" s="11"/>
      <c r="K15" s="9" t="str">
        <f t="shared" si="0"/>
        <v>---</v>
      </c>
      <c r="P15" s="13">
        <f>_xlfn.IFNA(_xlfn.XMATCH(K15,Sails!A:A),-1)</f>
        <v>-1</v>
      </c>
      <c r="Q15" s="14" t="e">
        <f>_xlfn.XLOOKUP(K15,Sails!A:A,Sails!A:A,,-1)</f>
        <v>#N/A</v>
      </c>
    </row>
    <row r="16" spans="1:17" x14ac:dyDescent="0.25">
      <c r="I16" s="11"/>
      <c r="K16" s="9" t="str">
        <f t="shared" si="0"/>
        <v>---</v>
      </c>
    </row>
    <row r="17" spans="9:11" x14ac:dyDescent="0.25">
      <c r="I17" s="11"/>
      <c r="K17" s="9" t="str">
        <f t="shared" si="0"/>
        <v>---</v>
      </c>
    </row>
    <row r="18" spans="9:11" x14ac:dyDescent="0.25">
      <c r="I18" s="11"/>
      <c r="K18" s="9" t="str">
        <f t="shared" si="0"/>
        <v>---</v>
      </c>
    </row>
    <row r="19" spans="9:11" x14ac:dyDescent="0.25">
      <c r="I19" s="11"/>
      <c r="K19" s="9" t="str">
        <f t="shared" si="0"/>
        <v>---</v>
      </c>
    </row>
    <row r="20" spans="9:11" x14ac:dyDescent="0.25">
      <c r="I20" s="11"/>
      <c r="K20" s="9" t="str">
        <f t="shared" si="0"/>
        <v>---</v>
      </c>
    </row>
    <row r="21" spans="9:11" x14ac:dyDescent="0.25">
      <c r="I21" s="11"/>
      <c r="K21" s="9" t="str">
        <f t="shared" si="0"/>
        <v>---</v>
      </c>
    </row>
    <row r="22" spans="9:11" x14ac:dyDescent="0.25">
      <c r="I22" s="11"/>
      <c r="K22" s="9" t="str">
        <f t="shared" si="0"/>
        <v>---</v>
      </c>
    </row>
    <row r="23" spans="9:11" x14ac:dyDescent="0.25">
      <c r="I23" s="11"/>
      <c r="K23" s="9" t="str">
        <f t="shared" si="0"/>
        <v>---</v>
      </c>
    </row>
    <row r="24" spans="9:11" x14ac:dyDescent="0.25">
      <c r="I24" s="11"/>
      <c r="K24" s="9" t="str">
        <f t="shared" si="0"/>
        <v>---</v>
      </c>
    </row>
    <row r="25" spans="9:11" x14ac:dyDescent="0.25">
      <c r="I25" s="11"/>
      <c r="K25" s="9" t="str">
        <f t="shared" si="0"/>
        <v>---</v>
      </c>
    </row>
    <row r="26" spans="9:11" x14ac:dyDescent="0.25">
      <c r="I26" s="11"/>
      <c r="K26" s="9" t="str">
        <f t="shared" si="0"/>
        <v>---</v>
      </c>
    </row>
  </sheetData>
  <phoneticPr fontId="2" type="noConversion"/>
  <conditionalFormatting sqref="P1:Q15">
    <cfRule type="expression" dxfId="0" priority="1">
      <formula>$P1=-1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773DC5-FB79-4E90-AF4A-633B83CE101A}">
  <dimension ref="A1:M10"/>
  <sheetViews>
    <sheetView workbookViewId="0">
      <selection activeCell="L34" sqref="L34"/>
    </sheetView>
  </sheetViews>
  <sheetFormatPr defaultRowHeight="15" x14ac:dyDescent="0.25"/>
  <cols>
    <col min="2" max="2" width="15.7109375" customWidth="1"/>
    <col min="3" max="3" width="16.28515625" customWidth="1"/>
  </cols>
  <sheetData>
    <row r="1" spans="1:13" x14ac:dyDescent="0.25">
      <c r="A1" s="1" t="s">
        <v>18</v>
      </c>
      <c r="B1" s="1" t="s">
        <v>19</v>
      </c>
      <c r="C1" s="1" t="s">
        <v>20</v>
      </c>
      <c r="D1" s="3" t="s">
        <v>21</v>
      </c>
      <c r="E1" s="1" t="s">
        <v>22</v>
      </c>
      <c r="F1" s="2" t="s">
        <v>0</v>
      </c>
      <c r="G1" s="2" t="s">
        <v>1</v>
      </c>
      <c r="H1" s="2" t="s">
        <v>2</v>
      </c>
      <c r="I1" s="2" t="s">
        <v>3</v>
      </c>
      <c r="J1" s="2" t="s">
        <v>4</v>
      </c>
      <c r="K1" s="2" t="s">
        <v>5</v>
      </c>
      <c r="L1" s="2" t="s">
        <v>6</v>
      </c>
      <c r="M1" s="2" t="s">
        <v>7</v>
      </c>
    </row>
    <row r="3" spans="1:13" x14ac:dyDescent="0.25">
      <c r="D3" s="4"/>
    </row>
    <row r="4" spans="1:13" x14ac:dyDescent="0.25">
      <c r="D4" s="4"/>
    </row>
    <row r="5" spans="1:13" x14ac:dyDescent="0.25">
      <c r="D5" s="4"/>
    </row>
    <row r="6" spans="1:13" x14ac:dyDescent="0.25">
      <c r="D6" s="4"/>
    </row>
    <row r="7" spans="1:13" x14ac:dyDescent="0.25">
      <c r="D7" s="4"/>
    </row>
    <row r="8" spans="1:13" x14ac:dyDescent="0.25">
      <c r="D8" s="4"/>
    </row>
    <row r="9" spans="1:13" x14ac:dyDescent="0.25">
      <c r="D9" s="4"/>
    </row>
    <row r="10" spans="1:13" x14ac:dyDescent="0.25">
      <c r="D10" s="4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FFEAC9-CAA6-47A8-8198-4A8F2BA433E6}">
  <sheetPr>
    <tabColor theme="4" tint="0.39997558519241921"/>
  </sheetPr>
  <dimension ref="A1:M9"/>
  <sheetViews>
    <sheetView workbookViewId="0">
      <selection activeCell="F48" sqref="F48"/>
    </sheetView>
  </sheetViews>
  <sheetFormatPr defaultRowHeight="15" x14ac:dyDescent="0.25"/>
  <cols>
    <col min="2" max="2" width="20.85546875" customWidth="1"/>
    <col min="3" max="3" width="18" bestFit="1" customWidth="1"/>
  </cols>
  <sheetData>
    <row r="1" spans="1:13" x14ac:dyDescent="0.25">
      <c r="A1" s="1" t="s">
        <v>18</v>
      </c>
      <c r="B1" s="1" t="s">
        <v>19</v>
      </c>
      <c r="C1" s="1" t="s">
        <v>20</v>
      </c>
      <c r="D1" s="3" t="s">
        <v>21</v>
      </c>
      <c r="E1" s="1" t="s">
        <v>22</v>
      </c>
      <c r="F1" s="2" t="s">
        <v>0</v>
      </c>
      <c r="G1" s="2" t="s">
        <v>1</v>
      </c>
      <c r="H1" s="2" t="s">
        <v>2</v>
      </c>
      <c r="I1" s="2" t="s">
        <v>3</v>
      </c>
      <c r="J1" s="2" t="s">
        <v>4</v>
      </c>
      <c r="K1" s="2" t="s">
        <v>5</v>
      </c>
      <c r="L1" s="2" t="s">
        <v>6</v>
      </c>
      <c r="M1" s="2" t="s">
        <v>7</v>
      </c>
    </row>
    <row r="2" spans="1:13" x14ac:dyDescent="0.25">
      <c r="D2" t="s">
        <v>42</v>
      </c>
      <c r="E2">
        <v>2023</v>
      </c>
      <c r="F2" t="s">
        <v>43</v>
      </c>
      <c r="G2" t="s">
        <v>44</v>
      </c>
      <c r="H2" t="s">
        <v>31</v>
      </c>
      <c r="I2" t="s">
        <v>46</v>
      </c>
      <c r="J2" t="s">
        <v>45</v>
      </c>
      <c r="L2" t="s">
        <v>47</v>
      </c>
    </row>
    <row r="3" spans="1:13" x14ac:dyDescent="0.25">
      <c r="B3" t="s">
        <v>58</v>
      </c>
      <c r="C3" t="s">
        <v>57</v>
      </c>
      <c r="D3">
        <v>4.9000000000000004</v>
      </c>
      <c r="E3">
        <v>2023</v>
      </c>
      <c r="F3">
        <v>396</v>
      </c>
      <c r="G3" t="s">
        <v>48</v>
      </c>
      <c r="H3">
        <v>7</v>
      </c>
      <c r="I3">
        <v>4</v>
      </c>
      <c r="J3">
        <v>4.7</v>
      </c>
      <c r="K3" t="s">
        <v>56</v>
      </c>
      <c r="L3">
        <v>370</v>
      </c>
      <c r="M3" t="s">
        <v>55</v>
      </c>
    </row>
    <row r="4" spans="1:13" x14ac:dyDescent="0.25">
      <c r="B4" t="s">
        <v>58</v>
      </c>
      <c r="C4" t="s">
        <v>57</v>
      </c>
      <c r="D4">
        <v>5.3</v>
      </c>
      <c r="E4">
        <v>2023</v>
      </c>
      <c r="F4">
        <v>416</v>
      </c>
      <c r="G4" t="s">
        <v>49</v>
      </c>
      <c r="H4">
        <v>7</v>
      </c>
      <c r="I4">
        <v>4</v>
      </c>
      <c r="J4">
        <v>4.9000000000000004</v>
      </c>
      <c r="L4">
        <v>400</v>
      </c>
      <c r="M4" t="s">
        <v>55</v>
      </c>
    </row>
    <row r="5" spans="1:13" x14ac:dyDescent="0.25">
      <c r="B5" t="s">
        <v>58</v>
      </c>
      <c r="C5" t="s">
        <v>57</v>
      </c>
      <c r="D5">
        <v>5.6</v>
      </c>
      <c r="E5">
        <v>2023</v>
      </c>
      <c r="F5">
        <v>426</v>
      </c>
      <c r="G5" t="s">
        <v>50</v>
      </c>
      <c r="H5">
        <v>7</v>
      </c>
      <c r="I5">
        <v>4</v>
      </c>
      <c r="J5">
        <v>5.0999999999999996</v>
      </c>
      <c r="L5">
        <v>400</v>
      </c>
      <c r="M5" t="s">
        <v>55</v>
      </c>
    </row>
    <row r="6" spans="1:13" x14ac:dyDescent="0.25">
      <c r="B6" t="s">
        <v>58</v>
      </c>
      <c r="C6" t="s">
        <v>57</v>
      </c>
      <c r="D6">
        <v>6.5</v>
      </c>
      <c r="E6">
        <v>2023</v>
      </c>
      <c r="F6">
        <v>458</v>
      </c>
      <c r="G6" t="s">
        <v>51</v>
      </c>
      <c r="H6">
        <v>7</v>
      </c>
      <c r="I6">
        <v>4</v>
      </c>
      <c r="J6">
        <v>5.5</v>
      </c>
      <c r="L6">
        <v>430</v>
      </c>
      <c r="M6" t="s">
        <v>15</v>
      </c>
    </row>
    <row r="7" spans="1:13" x14ac:dyDescent="0.25">
      <c r="B7" t="s">
        <v>58</v>
      </c>
      <c r="C7" t="s">
        <v>57</v>
      </c>
      <c r="D7">
        <v>7.4</v>
      </c>
      <c r="E7">
        <v>2023</v>
      </c>
      <c r="F7">
        <v>486</v>
      </c>
      <c r="G7" t="s">
        <v>52</v>
      </c>
      <c r="H7">
        <v>7</v>
      </c>
      <c r="I7">
        <v>4</v>
      </c>
      <c r="J7">
        <v>5.8</v>
      </c>
      <c r="L7">
        <v>460</v>
      </c>
      <c r="M7" t="s">
        <v>15</v>
      </c>
    </row>
    <row r="8" spans="1:13" x14ac:dyDescent="0.25">
      <c r="B8" t="s">
        <v>58</v>
      </c>
      <c r="C8" t="s">
        <v>57</v>
      </c>
      <c r="D8">
        <v>8.1999999999999993</v>
      </c>
      <c r="E8">
        <v>2023</v>
      </c>
      <c r="F8">
        <v>512</v>
      </c>
      <c r="G8" t="s">
        <v>53</v>
      </c>
      <c r="H8">
        <v>7</v>
      </c>
      <c r="I8">
        <v>4</v>
      </c>
      <c r="J8">
        <v>6.1</v>
      </c>
      <c r="L8">
        <v>490</v>
      </c>
      <c r="M8" t="s">
        <v>15</v>
      </c>
    </row>
    <row r="9" spans="1:13" x14ac:dyDescent="0.25">
      <c r="B9" t="s">
        <v>58</v>
      </c>
      <c r="C9" t="s">
        <v>57</v>
      </c>
      <c r="D9">
        <v>9</v>
      </c>
      <c r="E9">
        <v>2023</v>
      </c>
      <c r="F9">
        <v>538</v>
      </c>
      <c r="G9" t="s">
        <v>54</v>
      </c>
      <c r="H9">
        <v>7</v>
      </c>
      <c r="I9">
        <v>4</v>
      </c>
      <c r="J9">
        <v>6.5</v>
      </c>
      <c r="L9">
        <v>520</v>
      </c>
      <c r="M9" t="s">
        <v>15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600300-F880-4444-8A13-D606D2F3C583}">
  <dimension ref="A1:M10"/>
  <sheetViews>
    <sheetView workbookViewId="0">
      <selection activeCell="I53" sqref="I53"/>
    </sheetView>
  </sheetViews>
  <sheetFormatPr defaultRowHeight="15" x14ac:dyDescent="0.25"/>
  <cols>
    <col min="2" max="2" width="15.7109375" customWidth="1"/>
    <col min="3" max="3" width="16.28515625" customWidth="1"/>
  </cols>
  <sheetData>
    <row r="1" spans="1:13" x14ac:dyDescent="0.25">
      <c r="A1" s="1" t="s">
        <v>18</v>
      </c>
      <c r="B1" s="1" t="s">
        <v>19</v>
      </c>
      <c r="C1" s="1" t="s">
        <v>20</v>
      </c>
      <c r="D1" s="3" t="s">
        <v>21</v>
      </c>
      <c r="E1" s="1" t="s">
        <v>22</v>
      </c>
      <c r="F1" s="2" t="s">
        <v>0</v>
      </c>
      <c r="G1" s="2" t="s">
        <v>1</v>
      </c>
      <c r="H1" s="2" t="s">
        <v>2</v>
      </c>
      <c r="I1" s="2" t="s">
        <v>3</v>
      </c>
      <c r="J1" s="2" t="s">
        <v>4</v>
      </c>
      <c r="K1" s="2" t="s">
        <v>5</v>
      </c>
      <c r="L1" s="2" t="s">
        <v>6</v>
      </c>
      <c r="M1" s="2" t="s">
        <v>7</v>
      </c>
    </row>
    <row r="2" spans="1:13" x14ac:dyDescent="0.25">
      <c r="D2" t="s">
        <v>60</v>
      </c>
      <c r="F2" t="s">
        <v>61</v>
      </c>
      <c r="G2" t="s">
        <v>62</v>
      </c>
      <c r="H2" t="s">
        <v>2</v>
      </c>
      <c r="I2" t="s">
        <v>3</v>
      </c>
      <c r="J2" t="s">
        <v>63</v>
      </c>
    </row>
    <row r="3" spans="1:13" x14ac:dyDescent="0.25">
      <c r="B3" t="s">
        <v>58</v>
      </c>
      <c r="C3" t="s">
        <v>59</v>
      </c>
      <c r="D3" s="4">
        <v>4.9000000000000004</v>
      </c>
      <c r="E3">
        <v>2026</v>
      </c>
      <c r="F3">
        <v>396</v>
      </c>
      <c r="G3" t="s">
        <v>64</v>
      </c>
      <c r="H3">
        <v>7</v>
      </c>
      <c r="I3">
        <v>4</v>
      </c>
      <c r="J3">
        <v>4.7</v>
      </c>
      <c r="K3" t="s">
        <v>56</v>
      </c>
      <c r="L3">
        <v>370</v>
      </c>
      <c r="M3" t="s">
        <v>55</v>
      </c>
    </row>
    <row r="4" spans="1:13" x14ac:dyDescent="0.25">
      <c r="B4" t="s">
        <v>58</v>
      </c>
      <c r="C4" t="s">
        <v>59</v>
      </c>
      <c r="D4" s="4">
        <v>5.3</v>
      </c>
      <c r="E4">
        <v>2026</v>
      </c>
      <c r="F4">
        <v>416</v>
      </c>
      <c r="G4" t="s">
        <v>65</v>
      </c>
      <c r="H4">
        <v>7</v>
      </c>
      <c r="I4">
        <v>4</v>
      </c>
      <c r="J4">
        <v>4.9000000000000004</v>
      </c>
      <c r="K4" t="s">
        <v>56</v>
      </c>
      <c r="L4">
        <v>400</v>
      </c>
      <c r="M4" t="s">
        <v>55</v>
      </c>
    </row>
    <row r="5" spans="1:13" x14ac:dyDescent="0.25">
      <c r="B5" t="s">
        <v>58</v>
      </c>
      <c r="C5" t="s">
        <v>59</v>
      </c>
      <c r="D5" s="4">
        <v>5.6</v>
      </c>
      <c r="E5">
        <v>2026</v>
      </c>
      <c r="F5">
        <v>426</v>
      </c>
      <c r="G5" t="s">
        <v>66</v>
      </c>
      <c r="H5">
        <v>7</v>
      </c>
      <c r="I5">
        <v>4</v>
      </c>
      <c r="J5">
        <v>5</v>
      </c>
      <c r="K5" t="s">
        <v>56</v>
      </c>
      <c r="L5">
        <v>400</v>
      </c>
      <c r="M5" t="s">
        <v>55</v>
      </c>
    </row>
    <row r="6" spans="1:13" x14ac:dyDescent="0.25">
      <c r="B6" t="s">
        <v>58</v>
      </c>
      <c r="C6" t="s">
        <v>59</v>
      </c>
      <c r="D6" s="4">
        <v>5.7</v>
      </c>
      <c r="E6">
        <v>2026</v>
      </c>
      <c r="F6">
        <v>432</v>
      </c>
      <c r="G6" t="s">
        <v>67</v>
      </c>
      <c r="H6">
        <v>7</v>
      </c>
      <c r="I6">
        <v>4</v>
      </c>
      <c r="J6">
        <v>5.0999999999999996</v>
      </c>
      <c r="K6" t="s">
        <v>56</v>
      </c>
      <c r="L6">
        <v>400</v>
      </c>
      <c r="M6" t="s">
        <v>55</v>
      </c>
    </row>
    <row r="7" spans="1:13" x14ac:dyDescent="0.25">
      <c r="B7" t="s">
        <v>58</v>
      </c>
      <c r="C7" t="s">
        <v>59</v>
      </c>
      <c r="D7" s="4">
        <v>6.5</v>
      </c>
      <c r="E7">
        <v>2026</v>
      </c>
      <c r="F7">
        <v>458</v>
      </c>
      <c r="G7" t="s">
        <v>68</v>
      </c>
      <c r="H7">
        <v>7</v>
      </c>
      <c r="I7">
        <v>4</v>
      </c>
      <c r="J7">
        <v>5.3</v>
      </c>
      <c r="K7" t="s">
        <v>56</v>
      </c>
      <c r="L7">
        <v>430</v>
      </c>
      <c r="M7" t="s">
        <v>72</v>
      </c>
    </row>
    <row r="8" spans="1:13" x14ac:dyDescent="0.25">
      <c r="B8" t="s">
        <v>58</v>
      </c>
      <c r="C8" t="s">
        <v>59</v>
      </c>
      <c r="D8" s="4">
        <v>7.4</v>
      </c>
      <c r="E8">
        <v>2026</v>
      </c>
      <c r="F8">
        <v>486</v>
      </c>
      <c r="G8" t="s">
        <v>69</v>
      </c>
      <c r="H8">
        <v>7</v>
      </c>
      <c r="I8">
        <v>4</v>
      </c>
      <c r="J8">
        <v>5.5</v>
      </c>
      <c r="K8" t="s">
        <v>56</v>
      </c>
      <c r="L8">
        <v>460</v>
      </c>
      <c r="M8" t="s">
        <v>15</v>
      </c>
    </row>
    <row r="9" spans="1:13" x14ac:dyDescent="0.25">
      <c r="B9" t="s">
        <v>58</v>
      </c>
      <c r="C9" t="s">
        <v>59</v>
      </c>
      <c r="D9" s="4">
        <v>8.1999999999999993</v>
      </c>
      <c r="E9">
        <v>2026</v>
      </c>
      <c r="F9">
        <v>512</v>
      </c>
      <c r="G9" t="s">
        <v>70</v>
      </c>
      <c r="H9">
        <v>7</v>
      </c>
      <c r="I9">
        <v>4</v>
      </c>
      <c r="J9">
        <v>6.1</v>
      </c>
      <c r="K9" t="s">
        <v>56</v>
      </c>
      <c r="L9">
        <v>490</v>
      </c>
      <c r="M9" t="s">
        <v>15</v>
      </c>
    </row>
    <row r="10" spans="1:13" x14ac:dyDescent="0.25">
      <c r="B10" t="s">
        <v>58</v>
      </c>
      <c r="C10" t="s">
        <v>59</v>
      </c>
      <c r="D10" s="4">
        <v>9</v>
      </c>
      <c r="E10">
        <v>2026</v>
      </c>
      <c r="F10">
        <v>538</v>
      </c>
      <c r="G10" t="s">
        <v>71</v>
      </c>
      <c r="H10">
        <v>7</v>
      </c>
      <c r="I10">
        <v>4</v>
      </c>
      <c r="J10">
        <v>6.4</v>
      </c>
      <c r="K10" t="s">
        <v>56</v>
      </c>
      <c r="L10">
        <v>520</v>
      </c>
      <c r="M10" t="s">
        <v>15</v>
      </c>
    </row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A1DF49-F8B8-4D8D-80FF-1D1E91486142}">
  <dimension ref="A1:AC10"/>
  <sheetViews>
    <sheetView workbookViewId="0">
      <selection activeCell="H48" sqref="H48"/>
    </sheetView>
  </sheetViews>
  <sheetFormatPr defaultRowHeight="15" x14ac:dyDescent="0.25"/>
  <cols>
    <col min="2" max="2" width="15.7109375" customWidth="1"/>
    <col min="3" max="3" width="16.28515625" customWidth="1"/>
    <col min="4" max="4" width="15.7109375" customWidth="1"/>
    <col min="10" max="10" width="20.85546875" bestFit="1" customWidth="1"/>
  </cols>
  <sheetData>
    <row r="1" spans="1:29" x14ac:dyDescent="0.25">
      <c r="A1" s="1" t="s">
        <v>18</v>
      </c>
      <c r="B1" s="1" t="s">
        <v>19</v>
      </c>
      <c r="C1" s="1" t="s">
        <v>20</v>
      </c>
      <c r="D1" s="3" t="s">
        <v>21</v>
      </c>
      <c r="E1" s="1" t="s">
        <v>22</v>
      </c>
      <c r="F1" s="2" t="s">
        <v>0</v>
      </c>
      <c r="G1" s="2" t="s">
        <v>1</v>
      </c>
      <c r="H1" s="2" t="s">
        <v>2</v>
      </c>
      <c r="I1" s="2" t="s">
        <v>3</v>
      </c>
      <c r="J1" s="2" t="s">
        <v>4</v>
      </c>
      <c r="K1" s="2" t="s">
        <v>5</v>
      </c>
      <c r="L1" s="2" t="s">
        <v>6</v>
      </c>
      <c r="M1" s="2" t="s">
        <v>7</v>
      </c>
    </row>
    <row r="2" spans="1:29" x14ac:dyDescent="0.25">
      <c r="P2" t="s">
        <v>93</v>
      </c>
      <c r="Q2" t="s">
        <v>94</v>
      </c>
    </row>
    <row r="3" spans="1:29" x14ac:dyDescent="0.25">
      <c r="D3" t="s">
        <v>21</v>
      </c>
      <c r="F3" t="s">
        <v>0</v>
      </c>
      <c r="H3" t="s">
        <v>2</v>
      </c>
      <c r="I3" t="s">
        <v>75</v>
      </c>
      <c r="J3" t="s">
        <v>4</v>
      </c>
      <c r="Q3" s="17" t="s">
        <v>94</v>
      </c>
    </row>
    <row r="4" spans="1:29" x14ac:dyDescent="0.25">
      <c r="B4" t="s">
        <v>92</v>
      </c>
      <c r="C4" t="s">
        <v>91</v>
      </c>
      <c r="D4">
        <v>5.2</v>
      </c>
      <c r="E4">
        <v>2026</v>
      </c>
      <c r="F4">
        <v>418</v>
      </c>
      <c r="G4">
        <v>172</v>
      </c>
      <c r="H4">
        <v>7</v>
      </c>
      <c r="I4">
        <v>3</v>
      </c>
      <c r="J4" t="s">
        <v>77</v>
      </c>
      <c r="K4" t="s">
        <v>56</v>
      </c>
      <c r="L4">
        <v>400</v>
      </c>
      <c r="M4" t="s">
        <v>55</v>
      </c>
      <c r="U4" t="s">
        <v>21</v>
      </c>
      <c r="V4" t="s">
        <v>0</v>
      </c>
      <c r="W4" t="s">
        <v>1</v>
      </c>
      <c r="X4" t="s">
        <v>5</v>
      </c>
      <c r="Y4" t="s">
        <v>74</v>
      </c>
      <c r="Z4" t="s">
        <v>2</v>
      </c>
      <c r="AA4" t="s">
        <v>75</v>
      </c>
      <c r="AB4" t="s">
        <v>4</v>
      </c>
      <c r="AC4" t="s">
        <v>76</v>
      </c>
    </row>
    <row r="5" spans="1:29" x14ac:dyDescent="0.25">
      <c r="B5" t="s">
        <v>92</v>
      </c>
      <c r="C5" t="s">
        <v>91</v>
      </c>
      <c r="D5">
        <v>5.8</v>
      </c>
      <c r="E5">
        <v>2026</v>
      </c>
      <c r="F5">
        <v>436</v>
      </c>
      <c r="G5">
        <v>184</v>
      </c>
      <c r="H5">
        <v>7</v>
      </c>
      <c r="I5">
        <v>3</v>
      </c>
      <c r="J5" t="s">
        <v>79</v>
      </c>
      <c r="K5" t="s">
        <v>56</v>
      </c>
      <c r="L5">
        <v>400</v>
      </c>
      <c r="M5" t="s">
        <v>55</v>
      </c>
      <c r="U5">
        <v>5.2</v>
      </c>
      <c r="V5">
        <v>418</v>
      </c>
      <c r="W5" t="s">
        <v>86</v>
      </c>
      <c r="X5" t="s">
        <v>56</v>
      </c>
      <c r="Y5">
        <v>18</v>
      </c>
      <c r="Z5">
        <v>7</v>
      </c>
      <c r="AA5">
        <v>3</v>
      </c>
      <c r="AB5" t="s">
        <v>77</v>
      </c>
      <c r="AC5" t="s">
        <v>78</v>
      </c>
    </row>
    <row r="6" spans="1:29" x14ac:dyDescent="0.25">
      <c r="B6" t="s">
        <v>92</v>
      </c>
      <c r="C6" t="s">
        <v>91</v>
      </c>
      <c r="D6">
        <v>6.6</v>
      </c>
      <c r="E6">
        <v>2026</v>
      </c>
      <c r="F6">
        <v>456</v>
      </c>
      <c r="G6">
        <v>200</v>
      </c>
      <c r="H6">
        <v>7</v>
      </c>
      <c r="I6">
        <v>3</v>
      </c>
      <c r="J6" t="s">
        <v>80</v>
      </c>
      <c r="K6" t="s">
        <v>56</v>
      </c>
      <c r="L6">
        <v>430</v>
      </c>
      <c r="M6" t="s">
        <v>15</v>
      </c>
      <c r="U6">
        <v>5.8</v>
      </c>
      <c r="V6">
        <v>436</v>
      </c>
      <c r="W6" t="s">
        <v>87</v>
      </c>
      <c r="X6" t="s">
        <v>56</v>
      </c>
      <c r="Y6">
        <v>36</v>
      </c>
      <c r="Z6">
        <v>7</v>
      </c>
      <c r="AA6">
        <v>3</v>
      </c>
      <c r="AB6" t="s">
        <v>79</v>
      </c>
      <c r="AC6" t="s">
        <v>78</v>
      </c>
    </row>
    <row r="7" spans="1:29" x14ac:dyDescent="0.25">
      <c r="B7" t="s">
        <v>92</v>
      </c>
      <c r="C7" t="s">
        <v>91</v>
      </c>
      <c r="D7">
        <v>7.4</v>
      </c>
      <c r="E7">
        <v>2026</v>
      </c>
      <c r="F7">
        <v>492</v>
      </c>
      <c r="G7">
        <v>208</v>
      </c>
      <c r="H7">
        <v>7</v>
      </c>
      <c r="I7">
        <v>3</v>
      </c>
      <c r="J7" t="s">
        <v>82</v>
      </c>
      <c r="K7" t="s">
        <v>56</v>
      </c>
      <c r="L7">
        <v>460</v>
      </c>
      <c r="M7" t="s">
        <v>15</v>
      </c>
      <c r="U7">
        <v>6.6</v>
      </c>
      <c r="V7">
        <v>456</v>
      </c>
      <c r="W7" t="s">
        <v>88</v>
      </c>
      <c r="X7" t="s">
        <v>56</v>
      </c>
      <c r="Y7">
        <v>26</v>
      </c>
      <c r="Z7">
        <v>7</v>
      </c>
      <c r="AA7">
        <v>3</v>
      </c>
      <c r="AB7" t="s">
        <v>80</v>
      </c>
      <c r="AC7" t="s">
        <v>81</v>
      </c>
    </row>
    <row r="8" spans="1:29" x14ac:dyDescent="0.25">
      <c r="B8" t="s">
        <v>92</v>
      </c>
      <c r="C8" t="s">
        <v>91</v>
      </c>
      <c r="D8">
        <v>8.1999999999999993</v>
      </c>
      <c r="E8">
        <v>2026</v>
      </c>
      <c r="F8">
        <v>514</v>
      </c>
      <c r="G8">
        <v>218</v>
      </c>
      <c r="H8">
        <v>7</v>
      </c>
      <c r="I8">
        <v>3</v>
      </c>
      <c r="J8" t="s">
        <v>84</v>
      </c>
      <c r="K8" t="s">
        <v>56</v>
      </c>
      <c r="L8">
        <v>490</v>
      </c>
      <c r="M8" t="s">
        <v>15</v>
      </c>
      <c r="U8">
        <v>7.4</v>
      </c>
      <c r="V8">
        <v>492</v>
      </c>
      <c r="W8" t="s">
        <v>89</v>
      </c>
      <c r="X8" t="s">
        <v>56</v>
      </c>
      <c r="Y8">
        <v>32</v>
      </c>
      <c r="Z8">
        <v>7</v>
      </c>
      <c r="AA8">
        <v>3</v>
      </c>
      <c r="AB8" t="s">
        <v>82</v>
      </c>
      <c r="AC8" t="s">
        <v>83</v>
      </c>
    </row>
    <row r="9" spans="1:29" x14ac:dyDescent="0.25">
      <c r="D9" s="4"/>
      <c r="U9">
        <v>8.1999999999999993</v>
      </c>
      <c r="V9">
        <v>514</v>
      </c>
      <c r="W9" t="s">
        <v>90</v>
      </c>
      <c r="X9" t="s">
        <v>56</v>
      </c>
      <c r="Y9">
        <v>24</v>
      </c>
      <c r="Z9">
        <v>7</v>
      </c>
      <c r="AA9">
        <v>3</v>
      </c>
      <c r="AB9" t="s">
        <v>84</v>
      </c>
      <c r="AC9" t="s">
        <v>85</v>
      </c>
    </row>
    <row r="10" spans="1:29" x14ac:dyDescent="0.25">
      <c r="D10" s="4"/>
    </row>
  </sheetData>
  <hyperlinks>
    <hyperlink ref="Q3" r:id="rId1" xr:uid="{DF1C1B7F-1A8C-4148-9281-F968157B7ED8}"/>
  </hyperlinks>
  <pageMargins left="0.7" right="0.7" top="0.75" bottom="0.75" header="0.3" footer="0.3"/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66574437-CA01-4B3A-BFC1-C80E8F6A7FEE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Sails</vt:lpstr>
      <vt:lpstr>GPS_Validation</vt:lpstr>
      <vt:lpstr>Temp-Berra-mall</vt:lpstr>
      <vt:lpstr>Temp-Berra</vt:lpstr>
      <vt:lpstr>Temp-Berra2-NP</vt:lpstr>
      <vt:lpstr>Temp-Berra-3-Loftsails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Björn Johansson</dc:creator>
  <cp:lastModifiedBy>Björn Johansson</cp:lastModifiedBy>
  <dcterms:created xsi:type="dcterms:W3CDTF">2015-06-05T18:17:20Z</dcterms:created>
  <dcterms:modified xsi:type="dcterms:W3CDTF">2026-04-20T16:49:17Z</dcterms:modified>
</cp:coreProperties>
</file>