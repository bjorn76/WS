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9929" codeName="{28389E77-7640-9E18-AD5C-E98E2F4A8B83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Bjorn\GitHub\bjorn76\WS\Sails\"/>
    </mc:Choice>
  </mc:AlternateContent>
  <xr:revisionPtr revIDLastSave="0" documentId="13_ncr:1_{030F0FEE-8838-42F3-99A7-D8B6493B3910}" xr6:coauthVersionLast="47" xr6:coauthVersionMax="47" xr10:uidLastSave="{00000000-0000-0000-0000-000000000000}"/>
  <bookViews>
    <workbookView xWindow="-120" yWindow="-120" windowWidth="21840" windowHeight="13140" xr2:uid="{00000000-000D-0000-FFFF-FFFF00000000}"/>
  </bookViews>
  <sheets>
    <sheet name="Sailstats" sheetId="2" r:id="rId1"/>
    <sheet name="ddl" sheetId="4" r:id="rId2"/>
    <sheet name="Temp" sheetId="5" r:id="rId3"/>
    <sheet name="Temp2-Merge-6May" sheetId="6" r:id="rId4"/>
    <sheet name="Temp3" sheetId="7" r:id="rId5"/>
  </sheets>
  <definedNames>
    <definedName name="_xlnm._FilterDatabase" localSheetId="0" hidden="1">Sailstats!$A$2:$L$2</definedName>
    <definedName name="_xlnm._FilterDatabase" localSheetId="2" hidden="1">Temp!$B$1:$J$1</definedName>
    <definedName name="_xlnm._FilterDatabase" localSheetId="3" hidden="1">'Temp2-Merge-6May'!$B$1:$R$201</definedName>
    <definedName name="_xleta.IF" hidden="1" xlm="1">#NAME?</definedName>
    <definedName name="_xleta.NOT" hidden="1" xlm="1">#NAME?</definedName>
    <definedName name="rYear">ddl!$A$2:$A$18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L8" i="2" l="1"/>
  <c r="L4" i="2"/>
  <c r="L10" i="2"/>
  <c r="L6" i="2"/>
  <c r="L9" i="2"/>
  <c r="L7" i="2"/>
  <c r="L3" i="2"/>
  <c r="L5" i="2"/>
  <c r="K2" i="6"/>
  <c r="Q6" i="6"/>
  <c r="Q7" i="6"/>
  <c r="Q8" i="6"/>
  <c r="Q9" i="6"/>
  <c r="Q10" i="6"/>
  <c r="Q11" i="6"/>
  <c r="Q12" i="6"/>
  <c r="Q13" i="6"/>
  <c r="Q14" i="6"/>
  <c r="Q15" i="6"/>
  <c r="Q16" i="6"/>
  <c r="Q17" i="6"/>
  <c r="Q18" i="6"/>
  <c r="Q19" i="6"/>
  <c r="Q20" i="6"/>
  <c r="Q21" i="6"/>
  <c r="Q22" i="6"/>
  <c r="Q23" i="6"/>
  <c r="Q24" i="6"/>
  <c r="Q25" i="6"/>
  <c r="Q26" i="6"/>
  <c r="Q27" i="6"/>
  <c r="Q28" i="6"/>
  <c r="Q29" i="6"/>
  <c r="Q30" i="6"/>
  <c r="Q31" i="6"/>
  <c r="Q32" i="6"/>
  <c r="Q33" i="6"/>
  <c r="Q34" i="6"/>
  <c r="Q35" i="6"/>
  <c r="Q36" i="6"/>
  <c r="Q37" i="6"/>
  <c r="Q38" i="6"/>
  <c r="Q39" i="6"/>
  <c r="Q40" i="6"/>
  <c r="Q41" i="6"/>
  <c r="Q42" i="6"/>
  <c r="Q43" i="6"/>
  <c r="Q44" i="6"/>
  <c r="Q45" i="6"/>
  <c r="Q46" i="6"/>
  <c r="Q47" i="6"/>
  <c r="Q48" i="6"/>
  <c r="Q49" i="6"/>
  <c r="Q50" i="6"/>
  <c r="Q51" i="6"/>
  <c r="Q52" i="6"/>
  <c r="Q53" i="6"/>
  <c r="Q54" i="6"/>
  <c r="Q55" i="6"/>
  <c r="Q56" i="6"/>
  <c r="Q57" i="6"/>
  <c r="Q58" i="6"/>
  <c r="Q59" i="6"/>
  <c r="Q60" i="6"/>
  <c r="Q61" i="6"/>
  <c r="Q62" i="6"/>
  <c r="Q63" i="6"/>
  <c r="Q64" i="6"/>
  <c r="Q65" i="6"/>
  <c r="Q66" i="6"/>
  <c r="Q67" i="6"/>
  <c r="Q68" i="6"/>
  <c r="Q69" i="6"/>
  <c r="Q70" i="6"/>
  <c r="Q71" i="6"/>
  <c r="Q72" i="6"/>
  <c r="Q73" i="6"/>
  <c r="Q74" i="6"/>
  <c r="Q75" i="6"/>
  <c r="Q76" i="6"/>
  <c r="Q77" i="6"/>
  <c r="Q78" i="6"/>
  <c r="Q79" i="6"/>
  <c r="Q80" i="6"/>
  <c r="Q81" i="6"/>
  <c r="Q82" i="6"/>
  <c r="Q83" i="6"/>
  <c r="Q84" i="6"/>
  <c r="Q85" i="6"/>
  <c r="Q86" i="6"/>
  <c r="Q87" i="6"/>
  <c r="Q88" i="6"/>
  <c r="Q89" i="6"/>
  <c r="Q90" i="6"/>
  <c r="Q91" i="6"/>
  <c r="Q92" i="6"/>
  <c r="Q93" i="6"/>
  <c r="Q94" i="6"/>
  <c r="Q95" i="6"/>
  <c r="Q96" i="6"/>
  <c r="Q97" i="6"/>
  <c r="Q98" i="6"/>
  <c r="Q99" i="6"/>
  <c r="Q100" i="6"/>
  <c r="Q101" i="6"/>
  <c r="Q102" i="6"/>
  <c r="Q103" i="6"/>
  <c r="Q104" i="6"/>
  <c r="Q105" i="6"/>
  <c r="Q106" i="6"/>
  <c r="Q107" i="6"/>
  <c r="Q108" i="6"/>
  <c r="Q109" i="6"/>
  <c r="Q110" i="6"/>
  <c r="Q111" i="6"/>
  <c r="Q112" i="6"/>
  <c r="Q113" i="6"/>
  <c r="Q114" i="6"/>
  <c r="Q115" i="6"/>
  <c r="Q116" i="6"/>
  <c r="Q117" i="6"/>
  <c r="Q118" i="6"/>
  <c r="Q119" i="6"/>
  <c r="Q120" i="6"/>
  <c r="Q121" i="6"/>
  <c r="Q122" i="6"/>
  <c r="Q123" i="6"/>
  <c r="Q124" i="6"/>
  <c r="Q125" i="6"/>
  <c r="Q126" i="6"/>
  <c r="Q127" i="6"/>
  <c r="Q128" i="6"/>
  <c r="Q129" i="6"/>
  <c r="Q130" i="6"/>
  <c r="Q131" i="6"/>
  <c r="Q132" i="6"/>
  <c r="Q133" i="6"/>
  <c r="Q134" i="6"/>
  <c r="Q135" i="6"/>
  <c r="Q136" i="6"/>
  <c r="Q137" i="6"/>
  <c r="Q138" i="6"/>
  <c r="Q139" i="6"/>
  <c r="Q140" i="6"/>
  <c r="Q141" i="6"/>
  <c r="Q142" i="6"/>
  <c r="Q143" i="6"/>
  <c r="Q144" i="6"/>
  <c r="Q145" i="6"/>
  <c r="Q146" i="6"/>
  <c r="Q147" i="6"/>
  <c r="Q148" i="6"/>
  <c r="Q149" i="6"/>
  <c r="Q150" i="6"/>
  <c r="Q151" i="6"/>
  <c r="Q152" i="6"/>
  <c r="Q153" i="6"/>
  <c r="Q154" i="6"/>
  <c r="Q155" i="6"/>
  <c r="Q156" i="6"/>
  <c r="Q157" i="6"/>
  <c r="Q158" i="6"/>
  <c r="Q159" i="6"/>
  <c r="Q160" i="6"/>
  <c r="Q161" i="6"/>
  <c r="Q162" i="6"/>
  <c r="Q163" i="6"/>
  <c r="Q164" i="6"/>
  <c r="Q165" i="6"/>
  <c r="Q166" i="6"/>
  <c r="Q167" i="6"/>
  <c r="Q168" i="6"/>
  <c r="Q169" i="6"/>
  <c r="Q170" i="6"/>
  <c r="Q171" i="6"/>
  <c r="Q172" i="6"/>
  <c r="Q173" i="6"/>
  <c r="Q174" i="6"/>
  <c r="Q175" i="6"/>
  <c r="Q176" i="6"/>
  <c r="Q177" i="6"/>
  <c r="Q178" i="6"/>
  <c r="Q179" i="6"/>
  <c r="Q180" i="6"/>
  <c r="Q181" i="6"/>
  <c r="Q182" i="6"/>
  <c r="Q183" i="6"/>
  <c r="Q184" i="6"/>
  <c r="Q185" i="6"/>
  <c r="Q186" i="6"/>
  <c r="Q187" i="6"/>
  <c r="Q188" i="6"/>
  <c r="Q189" i="6"/>
  <c r="Q190" i="6"/>
  <c r="Q191" i="6"/>
  <c r="Q192" i="6"/>
  <c r="Q193" i="6"/>
  <c r="Q194" i="6"/>
  <c r="Q195" i="6"/>
  <c r="Q196" i="6"/>
  <c r="Q197" i="6"/>
  <c r="Q198" i="6"/>
  <c r="Q199" i="6"/>
  <c r="Q200" i="6"/>
  <c r="Q201" i="6"/>
  <c r="Q4" i="6"/>
  <c r="Q5" i="6"/>
  <c r="Q3" i="6"/>
  <c r="Q2" i="6"/>
  <c r="P3" i="6"/>
  <c r="P4" i="6"/>
  <c r="P5" i="6"/>
  <c r="P6" i="6"/>
  <c r="P7" i="6"/>
  <c r="P8" i="6"/>
  <c r="P9" i="6"/>
  <c r="P10" i="6"/>
  <c r="P11" i="6"/>
  <c r="P12" i="6"/>
  <c r="P13" i="6"/>
  <c r="P14" i="6"/>
  <c r="P15" i="6"/>
  <c r="P16" i="6"/>
  <c r="P17" i="6"/>
  <c r="P18" i="6"/>
  <c r="P19" i="6"/>
  <c r="P20" i="6"/>
  <c r="P21" i="6"/>
  <c r="P22" i="6"/>
  <c r="P23" i="6"/>
  <c r="P24" i="6"/>
  <c r="P25" i="6"/>
  <c r="P26" i="6"/>
  <c r="P27" i="6"/>
  <c r="P28" i="6"/>
  <c r="P29" i="6"/>
  <c r="P30" i="6"/>
  <c r="P31" i="6"/>
  <c r="P32" i="6"/>
  <c r="P33" i="6"/>
  <c r="P34" i="6"/>
  <c r="P35" i="6"/>
  <c r="P36" i="6"/>
  <c r="P37" i="6"/>
  <c r="P38" i="6"/>
  <c r="P39" i="6"/>
  <c r="P40" i="6"/>
  <c r="P41" i="6"/>
  <c r="P42" i="6"/>
  <c r="P43" i="6"/>
  <c r="P44" i="6"/>
  <c r="P45" i="6"/>
  <c r="P46" i="6"/>
  <c r="P47" i="6"/>
  <c r="P48" i="6"/>
  <c r="P49" i="6"/>
  <c r="P50" i="6"/>
  <c r="P51" i="6"/>
  <c r="P52" i="6"/>
  <c r="P53" i="6"/>
  <c r="P54" i="6"/>
  <c r="P55" i="6"/>
  <c r="P56" i="6"/>
  <c r="P57" i="6"/>
  <c r="P58" i="6"/>
  <c r="P59" i="6"/>
  <c r="P60" i="6"/>
  <c r="P61" i="6"/>
  <c r="P62" i="6"/>
  <c r="P63" i="6"/>
  <c r="P64" i="6"/>
  <c r="P65" i="6"/>
  <c r="P66" i="6"/>
  <c r="P67" i="6"/>
  <c r="P68" i="6"/>
  <c r="P69" i="6"/>
  <c r="P70" i="6"/>
  <c r="P71" i="6"/>
  <c r="P72" i="6"/>
  <c r="P73" i="6"/>
  <c r="P74" i="6"/>
  <c r="P75" i="6"/>
  <c r="P76" i="6"/>
  <c r="P77" i="6"/>
  <c r="P78" i="6"/>
  <c r="P79" i="6"/>
  <c r="P80" i="6"/>
  <c r="P81" i="6"/>
  <c r="P82" i="6"/>
  <c r="P83" i="6"/>
  <c r="P84" i="6"/>
  <c r="P85" i="6"/>
  <c r="P86" i="6"/>
  <c r="P87" i="6"/>
  <c r="P88" i="6"/>
  <c r="P89" i="6"/>
  <c r="P90" i="6"/>
  <c r="P91" i="6"/>
  <c r="P92" i="6"/>
  <c r="P93" i="6"/>
  <c r="P94" i="6"/>
  <c r="P95" i="6"/>
  <c r="P96" i="6"/>
  <c r="P97" i="6"/>
  <c r="P98" i="6"/>
  <c r="P99" i="6"/>
  <c r="P100" i="6"/>
  <c r="P101" i="6"/>
  <c r="P102" i="6"/>
  <c r="P103" i="6"/>
  <c r="P104" i="6"/>
  <c r="P105" i="6"/>
  <c r="P106" i="6"/>
  <c r="P107" i="6"/>
  <c r="P108" i="6"/>
  <c r="P109" i="6"/>
  <c r="P110" i="6"/>
  <c r="P111" i="6"/>
  <c r="P112" i="6"/>
  <c r="P113" i="6"/>
  <c r="P114" i="6"/>
  <c r="P115" i="6"/>
  <c r="P116" i="6"/>
  <c r="P117" i="6"/>
  <c r="P118" i="6"/>
  <c r="P119" i="6"/>
  <c r="P120" i="6"/>
  <c r="P121" i="6"/>
  <c r="P122" i="6"/>
  <c r="P123" i="6"/>
  <c r="P124" i="6"/>
  <c r="P125" i="6"/>
  <c r="P126" i="6"/>
  <c r="P127" i="6"/>
  <c r="P128" i="6"/>
  <c r="P129" i="6"/>
  <c r="P130" i="6"/>
  <c r="P131" i="6"/>
  <c r="P132" i="6"/>
  <c r="P133" i="6"/>
  <c r="P134" i="6"/>
  <c r="P135" i="6"/>
  <c r="P136" i="6"/>
  <c r="P137" i="6"/>
  <c r="P138" i="6"/>
  <c r="P139" i="6"/>
  <c r="P140" i="6"/>
  <c r="P141" i="6"/>
  <c r="P142" i="6"/>
  <c r="P143" i="6"/>
  <c r="P144" i="6"/>
  <c r="P145" i="6"/>
  <c r="P146" i="6"/>
  <c r="P147" i="6"/>
  <c r="P148" i="6"/>
  <c r="P149" i="6"/>
  <c r="P150" i="6"/>
  <c r="P151" i="6"/>
  <c r="P152" i="6"/>
  <c r="P153" i="6"/>
  <c r="P154" i="6"/>
  <c r="P155" i="6"/>
  <c r="P156" i="6"/>
  <c r="P157" i="6"/>
  <c r="P158" i="6"/>
  <c r="P159" i="6"/>
  <c r="P160" i="6"/>
  <c r="P161" i="6"/>
  <c r="P162" i="6"/>
  <c r="P163" i="6"/>
  <c r="P164" i="6"/>
  <c r="P165" i="6"/>
  <c r="P166" i="6"/>
  <c r="P167" i="6"/>
  <c r="P168" i="6"/>
  <c r="P169" i="6"/>
  <c r="P170" i="6"/>
  <c r="P171" i="6"/>
  <c r="P172" i="6"/>
  <c r="P173" i="6"/>
  <c r="P174" i="6"/>
  <c r="P175" i="6"/>
  <c r="P176" i="6"/>
  <c r="P177" i="6"/>
  <c r="P178" i="6"/>
  <c r="P179" i="6"/>
  <c r="P180" i="6"/>
  <c r="P181" i="6"/>
  <c r="P182" i="6"/>
  <c r="P183" i="6"/>
  <c r="P184" i="6"/>
  <c r="P185" i="6"/>
  <c r="P186" i="6"/>
  <c r="P187" i="6"/>
  <c r="P188" i="6"/>
  <c r="P189" i="6"/>
  <c r="P190" i="6"/>
  <c r="P191" i="6"/>
  <c r="P192" i="6"/>
  <c r="P193" i="6"/>
  <c r="P194" i="6"/>
  <c r="P195" i="6"/>
  <c r="P196" i="6"/>
  <c r="P197" i="6"/>
  <c r="P198" i="6"/>
  <c r="R198" i="6" s="1"/>
  <c r="P199" i="6"/>
  <c r="R199" i="6" s="1"/>
  <c r="P200" i="6"/>
  <c r="P201" i="6"/>
  <c r="P2" i="6"/>
  <c r="R2" i="6" s="1"/>
  <c r="J13" i="6"/>
  <c r="O13" i="6" s="1"/>
  <c r="J19" i="6"/>
  <c r="O19" i="6" s="1"/>
  <c r="J21" i="6"/>
  <c r="O21" i="6" s="1"/>
  <c r="J25" i="6"/>
  <c r="O25" i="6" s="1"/>
  <c r="J3" i="6"/>
  <c r="O3" i="6" s="1"/>
  <c r="J27" i="6"/>
  <c r="O27" i="6" s="1"/>
  <c r="J31" i="6"/>
  <c r="O31" i="6" s="1"/>
  <c r="J41" i="6"/>
  <c r="O41" i="6" s="1"/>
  <c r="J39" i="6"/>
  <c r="O39" i="6" s="1"/>
  <c r="J43" i="6"/>
  <c r="O43" i="6" s="1"/>
  <c r="J45" i="6"/>
  <c r="O45" i="6" s="1"/>
  <c r="J37" i="6"/>
  <c r="O37" i="6" s="1"/>
  <c r="J23" i="6"/>
  <c r="O23" i="6" s="1"/>
  <c r="J49" i="6"/>
  <c r="O49" i="6" s="1"/>
  <c r="J15" i="6"/>
  <c r="O15" i="6" s="1"/>
  <c r="J47" i="6"/>
  <c r="O47" i="6" s="1"/>
  <c r="J57" i="6"/>
  <c r="O57" i="6" s="1"/>
  <c r="J17" i="6"/>
  <c r="O17" i="6" s="1"/>
  <c r="J33" i="6"/>
  <c r="O33" i="6" s="1"/>
  <c r="J9" i="6"/>
  <c r="O9" i="6" s="1"/>
  <c r="J70" i="6"/>
  <c r="O70" i="6" s="1"/>
  <c r="J83" i="6"/>
  <c r="O83" i="6" s="1"/>
  <c r="J71" i="6"/>
  <c r="O71" i="6" s="1"/>
  <c r="J75" i="6"/>
  <c r="O75" i="6" s="1"/>
  <c r="J51" i="6"/>
  <c r="O51" i="6" s="1"/>
  <c r="J79" i="6"/>
  <c r="O79" i="6" s="1"/>
  <c r="J67" i="6"/>
  <c r="O67" i="6" s="1"/>
  <c r="J90" i="6"/>
  <c r="O90" i="6" s="1"/>
  <c r="J29" i="6"/>
  <c r="O29" i="6" s="1"/>
  <c r="J11" i="6"/>
  <c r="O11" i="6" s="1"/>
  <c r="J53" i="6"/>
  <c r="O53" i="6" s="1"/>
  <c r="J105" i="6"/>
  <c r="O105" i="6" s="1"/>
  <c r="J65" i="6"/>
  <c r="O65" i="6" s="1"/>
  <c r="J101" i="6"/>
  <c r="O101" i="6" s="1"/>
  <c r="J85" i="6"/>
  <c r="O85" i="6" s="1"/>
  <c r="J119" i="6"/>
  <c r="O119" i="6" s="1"/>
  <c r="J95" i="6"/>
  <c r="O95" i="6" s="1"/>
  <c r="J111" i="6"/>
  <c r="O111" i="6" s="1"/>
  <c r="J81" i="6"/>
  <c r="O81" i="6" s="1"/>
  <c r="J109" i="6"/>
  <c r="O109" i="6" s="1"/>
  <c r="J124" i="6"/>
  <c r="O124" i="6" s="1"/>
  <c r="J128" i="6"/>
  <c r="O128" i="6" s="1"/>
  <c r="J77" i="6"/>
  <c r="O77" i="6" s="1"/>
  <c r="J93" i="6"/>
  <c r="O93" i="6" s="1"/>
  <c r="J103" i="6"/>
  <c r="O103" i="6" s="1"/>
  <c r="J121" i="6"/>
  <c r="O121" i="6" s="1"/>
  <c r="J132" i="6"/>
  <c r="O132" i="6" s="1"/>
  <c r="J133" i="6"/>
  <c r="O133" i="6" s="1"/>
  <c r="J61" i="6"/>
  <c r="O61" i="6" s="1"/>
  <c r="J97" i="6"/>
  <c r="O97" i="6" s="1"/>
  <c r="J136" i="6"/>
  <c r="O136" i="6" s="1"/>
  <c r="J140" i="6"/>
  <c r="O140" i="6" s="1"/>
  <c r="J7" i="6"/>
  <c r="O7" i="6" s="1"/>
  <c r="J143" i="6"/>
  <c r="O143" i="6" s="1"/>
  <c r="J55" i="6"/>
  <c r="O55" i="6" s="1"/>
  <c r="J141" i="6"/>
  <c r="O141" i="6" s="1"/>
  <c r="J113" i="6"/>
  <c r="O113" i="6" s="1"/>
  <c r="J116" i="6"/>
  <c r="O116" i="6" s="1"/>
  <c r="J107" i="6"/>
  <c r="O107" i="6" s="1"/>
  <c r="J129" i="6"/>
  <c r="O129" i="6" s="1"/>
  <c r="J35" i="6"/>
  <c r="O35" i="6" s="1"/>
  <c r="J73" i="6"/>
  <c r="O73" i="6" s="1"/>
  <c r="J153" i="6"/>
  <c r="O153" i="6" s="1"/>
  <c r="J155" i="6"/>
  <c r="O155" i="6" s="1"/>
  <c r="J87" i="6"/>
  <c r="O87" i="6" s="1"/>
  <c r="J145" i="6"/>
  <c r="O145" i="6" s="1"/>
  <c r="J158" i="6"/>
  <c r="O158" i="6" s="1"/>
  <c r="J63" i="6"/>
  <c r="O63" i="6" s="1"/>
  <c r="J148" i="6"/>
  <c r="O148" i="6" s="1"/>
  <c r="J59" i="6"/>
  <c r="O59" i="6" s="1"/>
  <c r="J91" i="6"/>
  <c r="O91" i="6" s="1"/>
  <c r="J159" i="6"/>
  <c r="O159" i="6" s="1"/>
  <c r="J166" i="6"/>
  <c r="O166" i="6" s="1"/>
  <c r="J149" i="6"/>
  <c r="O149" i="6" s="1"/>
  <c r="J162" i="6"/>
  <c r="O162" i="6" s="1"/>
  <c r="J167" i="6"/>
  <c r="O167" i="6" s="1"/>
  <c r="J99" i="6"/>
  <c r="O99" i="6" s="1"/>
  <c r="J175" i="6"/>
  <c r="O175" i="6" s="1"/>
  <c r="J176" i="6"/>
  <c r="O176" i="6" s="1"/>
  <c r="J137" i="6"/>
  <c r="O137" i="6" s="1"/>
  <c r="J169" i="6"/>
  <c r="O169" i="6" s="1"/>
  <c r="J177" i="6"/>
  <c r="O177" i="6" s="1"/>
  <c r="J178" i="6"/>
  <c r="O178" i="6" s="1"/>
  <c r="J181" i="6"/>
  <c r="O181" i="6" s="1"/>
  <c r="J183" i="6"/>
  <c r="O183" i="6" s="1"/>
  <c r="J125" i="6"/>
  <c r="O125" i="6" s="1"/>
  <c r="J187" i="6"/>
  <c r="O187" i="6" s="1"/>
  <c r="J117" i="6"/>
  <c r="O117" i="6" s="1"/>
  <c r="J151" i="6"/>
  <c r="O151" i="6" s="1"/>
  <c r="J163" i="6"/>
  <c r="O163" i="6" s="1"/>
  <c r="J179" i="6"/>
  <c r="O179" i="6" s="1"/>
  <c r="J188" i="6"/>
  <c r="O188" i="6" s="1"/>
  <c r="J189" i="6"/>
  <c r="O189" i="6" s="1"/>
  <c r="J196" i="6"/>
  <c r="O196" i="6" s="1"/>
  <c r="J197" i="6"/>
  <c r="O197" i="6" s="1"/>
  <c r="J198" i="6"/>
  <c r="O198" i="6" s="1"/>
  <c r="J199" i="6"/>
  <c r="O199" i="6" s="1"/>
  <c r="J200" i="6"/>
  <c r="O200" i="6" s="1"/>
  <c r="J201" i="6"/>
  <c r="O201" i="6" s="1"/>
  <c r="J12" i="6"/>
  <c r="O12" i="6" s="1"/>
  <c r="J18" i="6"/>
  <c r="O18" i="6" s="1"/>
  <c r="J20" i="6"/>
  <c r="O20" i="6" s="1"/>
  <c r="J24" i="6"/>
  <c r="O24" i="6" s="1"/>
  <c r="J2" i="6"/>
  <c r="O2" i="6" s="1"/>
  <c r="J26" i="6"/>
  <c r="O26" i="6" s="1"/>
  <c r="J30" i="6"/>
  <c r="O30" i="6" s="1"/>
  <c r="J40" i="6"/>
  <c r="O40" i="6" s="1"/>
  <c r="J38" i="6"/>
  <c r="O38" i="6" s="1"/>
  <c r="J42" i="6"/>
  <c r="O42" i="6" s="1"/>
  <c r="J44" i="6"/>
  <c r="O44" i="6" s="1"/>
  <c r="J36" i="6"/>
  <c r="O36" i="6" s="1"/>
  <c r="J22" i="6"/>
  <c r="O22" i="6" s="1"/>
  <c r="J48" i="6"/>
  <c r="O48" i="6" s="1"/>
  <c r="J14" i="6"/>
  <c r="O14" i="6" s="1"/>
  <c r="J46" i="6"/>
  <c r="O46" i="6" s="1"/>
  <c r="J56" i="6"/>
  <c r="O56" i="6" s="1"/>
  <c r="J16" i="6"/>
  <c r="O16" i="6" s="1"/>
  <c r="J32" i="6"/>
  <c r="O32" i="6" s="1"/>
  <c r="J8" i="6"/>
  <c r="O8" i="6" s="1"/>
  <c r="J68" i="6"/>
  <c r="O68" i="6" s="1"/>
  <c r="J82" i="6"/>
  <c r="O82" i="6" s="1"/>
  <c r="J69" i="6"/>
  <c r="O69" i="6" s="1"/>
  <c r="J74" i="6"/>
  <c r="O74" i="6" s="1"/>
  <c r="J50" i="6"/>
  <c r="O50" i="6" s="1"/>
  <c r="J78" i="6"/>
  <c r="O78" i="6" s="1"/>
  <c r="J66" i="6"/>
  <c r="O66" i="6" s="1"/>
  <c r="J88" i="6"/>
  <c r="O88" i="6" s="1"/>
  <c r="J28" i="6"/>
  <c r="O28" i="6" s="1"/>
  <c r="J10" i="6"/>
  <c r="O10" i="6" s="1"/>
  <c r="J52" i="6"/>
  <c r="O52" i="6" s="1"/>
  <c r="J104" i="6"/>
  <c r="O104" i="6" s="1"/>
  <c r="J64" i="6"/>
  <c r="O64" i="6" s="1"/>
  <c r="J100" i="6"/>
  <c r="O100" i="6" s="1"/>
  <c r="J84" i="6"/>
  <c r="O84" i="6" s="1"/>
  <c r="J118" i="6"/>
  <c r="O118" i="6" s="1"/>
  <c r="J94" i="6"/>
  <c r="O94" i="6" s="1"/>
  <c r="J110" i="6"/>
  <c r="O110" i="6" s="1"/>
  <c r="J80" i="6"/>
  <c r="O80" i="6" s="1"/>
  <c r="J108" i="6"/>
  <c r="O108" i="6" s="1"/>
  <c r="J122" i="6"/>
  <c r="O122" i="6" s="1"/>
  <c r="J126" i="6"/>
  <c r="O126" i="6" s="1"/>
  <c r="J76" i="6"/>
  <c r="O76" i="6" s="1"/>
  <c r="J92" i="6"/>
  <c r="O92" i="6" s="1"/>
  <c r="J102" i="6"/>
  <c r="O102" i="6" s="1"/>
  <c r="J120" i="6"/>
  <c r="O120" i="6" s="1"/>
  <c r="J130" i="6"/>
  <c r="O130" i="6" s="1"/>
  <c r="J131" i="6"/>
  <c r="O131" i="6" s="1"/>
  <c r="J60" i="6"/>
  <c r="O60" i="6" s="1"/>
  <c r="J96" i="6"/>
  <c r="O96" i="6" s="1"/>
  <c r="J134" i="6"/>
  <c r="O134" i="6" s="1"/>
  <c r="J138" i="6"/>
  <c r="O138" i="6" s="1"/>
  <c r="J6" i="6"/>
  <c r="O6" i="6" s="1"/>
  <c r="J142" i="6"/>
  <c r="O142" i="6" s="1"/>
  <c r="J54" i="6"/>
  <c r="O54" i="6" s="1"/>
  <c r="J139" i="6"/>
  <c r="O139" i="6" s="1"/>
  <c r="J112" i="6"/>
  <c r="O112" i="6" s="1"/>
  <c r="J114" i="6"/>
  <c r="O114" i="6" s="1"/>
  <c r="J106" i="6"/>
  <c r="O106" i="6" s="1"/>
  <c r="J127" i="6"/>
  <c r="O127" i="6" s="1"/>
  <c r="J34" i="6"/>
  <c r="O34" i="6" s="1"/>
  <c r="J72" i="6"/>
  <c r="O72" i="6" s="1"/>
  <c r="J152" i="6"/>
  <c r="O152" i="6" s="1"/>
  <c r="J154" i="6"/>
  <c r="O154" i="6" s="1"/>
  <c r="J86" i="6"/>
  <c r="O86" i="6" s="1"/>
  <c r="J144" i="6"/>
  <c r="O144" i="6" s="1"/>
  <c r="J156" i="6"/>
  <c r="O156" i="6" s="1"/>
  <c r="J62" i="6"/>
  <c r="O62" i="6" s="1"/>
  <c r="J146" i="6"/>
  <c r="O146" i="6" s="1"/>
  <c r="J58" i="6"/>
  <c r="O58" i="6" s="1"/>
  <c r="J89" i="6"/>
  <c r="O89" i="6" s="1"/>
  <c r="J157" i="6"/>
  <c r="O157" i="6" s="1"/>
  <c r="J164" i="6"/>
  <c r="O164" i="6" s="1"/>
  <c r="J147" i="6"/>
  <c r="O147" i="6" s="1"/>
  <c r="J160" i="6"/>
  <c r="O160" i="6" s="1"/>
  <c r="J165" i="6"/>
  <c r="O165" i="6" s="1"/>
  <c r="J98" i="6"/>
  <c r="O98" i="6" s="1"/>
  <c r="J170" i="6"/>
  <c r="O170" i="6" s="1"/>
  <c r="J171" i="6"/>
  <c r="O171" i="6" s="1"/>
  <c r="J135" i="6"/>
  <c r="O135" i="6" s="1"/>
  <c r="J168" i="6"/>
  <c r="O168" i="6" s="1"/>
  <c r="J172" i="6"/>
  <c r="O172" i="6" s="1"/>
  <c r="J173" i="6"/>
  <c r="O173" i="6" s="1"/>
  <c r="J180" i="6"/>
  <c r="O180" i="6" s="1"/>
  <c r="J182" i="6"/>
  <c r="O182" i="6" s="1"/>
  <c r="J123" i="6"/>
  <c r="O123" i="6" s="1"/>
  <c r="J184" i="6"/>
  <c r="O184" i="6" s="1"/>
  <c r="J115" i="6"/>
  <c r="O115" i="6" s="1"/>
  <c r="J150" i="6"/>
  <c r="O150" i="6" s="1"/>
  <c r="J161" i="6"/>
  <c r="O161" i="6" s="1"/>
  <c r="J174" i="6"/>
  <c r="O174" i="6" s="1"/>
  <c r="J185" i="6"/>
  <c r="O185" i="6" s="1"/>
  <c r="J186" i="6"/>
  <c r="O186" i="6" s="1"/>
  <c r="J190" i="6"/>
  <c r="O190" i="6" s="1"/>
  <c r="J191" i="6"/>
  <c r="O191" i="6" s="1"/>
  <c r="J192" i="6"/>
  <c r="O192" i="6" s="1"/>
  <c r="J193" i="6"/>
  <c r="O193" i="6" s="1"/>
  <c r="J194" i="6"/>
  <c r="O194" i="6" s="1"/>
  <c r="J195" i="6"/>
  <c r="O195" i="6" s="1"/>
  <c r="J5" i="6"/>
  <c r="O5" i="6" s="1"/>
  <c r="J4" i="6"/>
  <c r="O4" i="6" s="1"/>
  <c r="K13" i="6"/>
  <c r="K19" i="6"/>
  <c r="K21" i="6"/>
  <c r="K25" i="6"/>
  <c r="K3" i="6"/>
  <c r="K27" i="6"/>
  <c r="K31" i="6"/>
  <c r="K41" i="6"/>
  <c r="K39" i="6"/>
  <c r="K43" i="6"/>
  <c r="K45" i="6"/>
  <c r="K37" i="6"/>
  <c r="K23" i="6"/>
  <c r="K49" i="6"/>
  <c r="K15" i="6"/>
  <c r="K47" i="6"/>
  <c r="K57" i="6"/>
  <c r="K17" i="6"/>
  <c r="K33" i="6"/>
  <c r="K9" i="6"/>
  <c r="K70" i="6"/>
  <c r="K83" i="6"/>
  <c r="K71" i="6"/>
  <c r="K75" i="6"/>
  <c r="K51" i="6"/>
  <c r="K79" i="6"/>
  <c r="K67" i="6"/>
  <c r="K90" i="6"/>
  <c r="K29" i="6"/>
  <c r="K11" i="6"/>
  <c r="K53" i="6"/>
  <c r="K105" i="6"/>
  <c r="K65" i="6"/>
  <c r="K101" i="6"/>
  <c r="K85" i="6"/>
  <c r="K119" i="6"/>
  <c r="K95" i="6"/>
  <c r="K111" i="6"/>
  <c r="K81" i="6"/>
  <c r="K109" i="6"/>
  <c r="K124" i="6"/>
  <c r="K128" i="6"/>
  <c r="K77" i="6"/>
  <c r="K93" i="6"/>
  <c r="K103" i="6"/>
  <c r="K121" i="6"/>
  <c r="K132" i="6"/>
  <c r="K133" i="6"/>
  <c r="K61" i="6"/>
  <c r="K97" i="6"/>
  <c r="K136" i="6"/>
  <c r="K140" i="6"/>
  <c r="K7" i="6"/>
  <c r="K143" i="6"/>
  <c r="K55" i="6"/>
  <c r="K141" i="6"/>
  <c r="K113" i="6"/>
  <c r="K116" i="6"/>
  <c r="K107" i="6"/>
  <c r="K129" i="6"/>
  <c r="K35" i="6"/>
  <c r="K73" i="6"/>
  <c r="K153" i="6"/>
  <c r="K155" i="6"/>
  <c r="K87" i="6"/>
  <c r="K145" i="6"/>
  <c r="K158" i="6"/>
  <c r="K63" i="6"/>
  <c r="K148" i="6"/>
  <c r="K59" i="6"/>
  <c r="K91" i="6"/>
  <c r="K159" i="6"/>
  <c r="K166" i="6"/>
  <c r="K149" i="6"/>
  <c r="K162" i="6"/>
  <c r="K167" i="6"/>
  <c r="K99" i="6"/>
  <c r="K175" i="6"/>
  <c r="K176" i="6"/>
  <c r="K137" i="6"/>
  <c r="K169" i="6"/>
  <c r="K177" i="6"/>
  <c r="K178" i="6"/>
  <c r="K181" i="6"/>
  <c r="K183" i="6"/>
  <c r="K125" i="6"/>
  <c r="K187" i="6"/>
  <c r="K117" i="6"/>
  <c r="K151" i="6"/>
  <c r="K163" i="6"/>
  <c r="K179" i="6"/>
  <c r="K188" i="6"/>
  <c r="K189" i="6"/>
  <c r="K196" i="6"/>
  <c r="K197" i="6"/>
  <c r="K198" i="6"/>
  <c r="K199" i="6"/>
  <c r="K200" i="6"/>
  <c r="K201" i="6"/>
  <c r="K12" i="6"/>
  <c r="K18" i="6"/>
  <c r="K20" i="6"/>
  <c r="K24" i="6"/>
  <c r="K26" i="6"/>
  <c r="K30" i="6"/>
  <c r="K40" i="6"/>
  <c r="K38" i="6"/>
  <c r="K42" i="6"/>
  <c r="K44" i="6"/>
  <c r="K36" i="6"/>
  <c r="K22" i="6"/>
  <c r="K48" i="6"/>
  <c r="K14" i="6"/>
  <c r="K46" i="6"/>
  <c r="K56" i="6"/>
  <c r="K16" i="6"/>
  <c r="K32" i="6"/>
  <c r="K8" i="6"/>
  <c r="K68" i="6"/>
  <c r="K82" i="6"/>
  <c r="K69" i="6"/>
  <c r="K74" i="6"/>
  <c r="K50" i="6"/>
  <c r="K78" i="6"/>
  <c r="K66" i="6"/>
  <c r="K88" i="6"/>
  <c r="K28" i="6"/>
  <c r="K10" i="6"/>
  <c r="K52" i="6"/>
  <c r="K104" i="6"/>
  <c r="K64" i="6"/>
  <c r="K100" i="6"/>
  <c r="K84" i="6"/>
  <c r="K118" i="6"/>
  <c r="K94" i="6"/>
  <c r="K110" i="6"/>
  <c r="K80" i="6"/>
  <c r="K108" i="6"/>
  <c r="K122" i="6"/>
  <c r="K126" i="6"/>
  <c r="K76" i="6"/>
  <c r="K92" i="6"/>
  <c r="K102" i="6"/>
  <c r="K120" i="6"/>
  <c r="K130" i="6"/>
  <c r="K131" i="6"/>
  <c r="K60" i="6"/>
  <c r="K96" i="6"/>
  <c r="K134" i="6"/>
  <c r="K138" i="6"/>
  <c r="K6" i="6"/>
  <c r="K142" i="6"/>
  <c r="K54" i="6"/>
  <c r="K139" i="6"/>
  <c r="K112" i="6"/>
  <c r="K114" i="6"/>
  <c r="K106" i="6"/>
  <c r="K127" i="6"/>
  <c r="K34" i="6"/>
  <c r="K72" i="6"/>
  <c r="K152" i="6"/>
  <c r="K154" i="6"/>
  <c r="K86" i="6"/>
  <c r="K144" i="6"/>
  <c r="K156" i="6"/>
  <c r="K62" i="6"/>
  <c r="K146" i="6"/>
  <c r="K58" i="6"/>
  <c r="K89" i="6"/>
  <c r="K157" i="6"/>
  <c r="K164" i="6"/>
  <c r="K147" i="6"/>
  <c r="K160" i="6"/>
  <c r="K165" i="6"/>
  <c r="K98" i="6"/>
  <c r="K170" i="6"/>
  <c r="K171" i="6"/>
  <c r="K135" i="6"/>
  <c r="K168" i="6"/>
  <c r="K172" i="6"/>
  <c r="K173" i="6"/>
  <c r="K180" i="6"/>
  <c r="K182" i="6"/>
  <c r="K123" i="6"/>
  <c r="K184" i="6"/>
  <c r="K115" i="6"/>
  <c r="K150" i="6"/>
  <c r="K161" i="6"/>
  <c r="K174" i="6"/>
  <c r="K185" i="6"/>
  <c r="K186" i="6"/>
  <c r="K190" i="6"/>
  <c r="K191" i="6"/>
  <c r="K192" i="6"/>
  <c r="K193" i="6"/>
  <c r="K194" i="6"/>
  <c r="K195" i="6"/>
  <c r="K5" i="6"/>
  <c r="K4" i="6"/>
  <c r="R195" i="6" l="1"/>
  <c r="R191" i="6"/>
  <c r="R187" i="6"/>
  <c r="R183" i="6"/>
  <c r="R179" i="6"/>
  <c r="R175" i="6"/>
  <c r="R171" i="6"/>
  <c r="R167" i="6"/>
  <c r="R163" i="6"/>
  <c r="R159" i="6"/>
  <c r="R155" i="6"/>
  <c r="R151" i="6"/>
  <c r="R147" i="6"/>
  <c r="R143" i="6"/>
  <c r="R139" i="6"/>
  <c r="R135" i="6"/>
  <c r="R131" i="6"/>
  <c r="R127" i="6"/>
  <c r="R123" i="6"/>
  <c r="R119" i="6"/>
  <c r="R115" i="6"/>
  <c r="R111" i="6"/>
  <c r="R107" i="6"/>
  <c r="R103" i="6"/>
  <c r="R99" i="6"/>
  <c r="R95" i="6"/>
  <c r="R91" i="6"/>
  <c r="R87" i="6"/>
  <c r="R83" i="6"/>
  <c r="R79" i="6"/>
  <c r="R75" i="6"/>
  <c r="R71" i="6"/>
  <c r="R67" i="6"/>
  <c r="R63" i="6"/>
  <c r="R59" i="6"/>
  <c r="R55" i="6"/>
  <c r="R51" i="6"/>
  <c r="R47" i="6"/>
  <c r="R43" i="6"/>
  <c r="R39" i="6"/>
  <c r="R35" i="6"/>
  <c r="R31" i="6"/>
  <c r="R27" i="6"/>
  <c r="R23" i="6"/>
  <c r="R19" i="6"/>
  <c r="R15" i="6"/>
  <c r="R11" i="6"/>
  <c r="R7" i="6"/>
  <c r="R194" i="6"/>
  <c r="R190" i="6"/>
  <c r="R186" i="6"/>
  <c r="R182" i="6"/>
  <c r="R178" i="6"/>
  <c r="R174" i="6"/>
  <c r="R170" i="6"/>
  <c r="R166" i="6"/>
  <c r="R162" i="6"/>
  <c r="R158" i="6"/>
  <c r="R154" i="6"/>
  <c r="R150" i="6"/>
  <c r="R146" i="6"/>
  <c r="R142" i="6"/>
  <c r="R138" i="6"/>
  <c r="R134" i="6"/>
  <c r="R130" i="6"/>
  <c r="R126" i="6"/>
  <c r="R122" i="6"/>
  <c r="R118" i="6"/>
  <c r="R114" i="6"/>
  <c r="R110" i="6"/>
  <c r="R106" i="6"/>
  <c r="R102" i="6"/>
  <c r="R98" i="6"/>
  <c r="R94" i="6"/>
  <c r="R90" i="6"/>
  <c r="R86" i="6"/>
  <c r="R82" i="6"/>
  <c r="R78" i="6"/>
  <c r="R74" i="6"/>
  <c r="R70" i="6"/>
  <c r="R66" i="6"/>
  <c r="R62" i="6"/>
  <c r="R58" i="6"/>
  <c r="R54" i="6"/>
  <c r="R50" i="6"/>
  <c r="R46" i="6"/>
  <c r="R42" i="6"/>
  <c r="R38" i="6"/>
  <c r="R34" i="6"/>
  <c r="R30" i="6"/>
  <c r="R26" i="6"/>
  <c r="R22" i="6"/>
  <c r="R18" i="6"/>
  <c r="R14" i="6"/>
  <c r="R10" i="6"/>
  <c r="R6" i="6"/>
  <c r="R5" i="6"/>
  <c r="R4" i="6"/>
  <c r="R200" i="6"/>
  <c r="R196" i="6"/>
  <c r="R192" i="6"/>
  <c r="R188" i="6"/>
  <c r="R184" i="6"/>
  <c r="R180" i="6"/>
  <c r="R176" i="6"/>
  <c r="R172" i="6"/>
  <c r="R168" i="6"/>
  <c r="R164" i="6"/>
  <c r="R160" i="6"/>
  <c r="R156" i="6"/>
  <c r="R152" i="6"/>
  <c r="R148" i="6"/>
  <c r="R144" i="6"/>
  <c r="R140" i="6"/>
  <c r="R136" i="6"/>
  <c r="R132" i="6"/>
  <c r="R128" i="6"/>
  <c r="R124" i="6"/>
  <c r="R120" i="6"/>
  <c r="R116" i="6"/>
  <c r="R112" i="6"/>
  <c r="R108" i="6"/>
  <c r="R104" i="6"/>
  <c r="R100" i="6"/>
  <c r="R96" i="6"/>
  <c r="R92" i="6"/>
  <c r="R88" i="6"/>
  <c r="R84" i="6"/>
  <c r="R80" i="6"/>
  <c r="R76" i="6"/>
  <c r="R72" i="6"/>
  <c r="R68" i="6"/>
  <c r="R64" i="6"/>
  <c r="R60" i="6"/>
  <c r="R56" i="6"/>
  <c r="R52" i="6"/>
  <c r="R48" i="6"/>
  <c r="R44" i="6"/>
  <c r="R40" i="6"/>
  <c r="R36" i="6"/>
  <c r="R32" i="6"/>
  <c r="R28" i="6"/>
  <c r="R24" i="6"/>
  <c r="R20" i="6"/>
  <c r="R16" i="6"/>
  <c r="R12" i="6"/>
  <c r="R8" i="6"/>
  <c r="R3" i="6"/>
  <c r="R201" i="6"/>
  <c r="R197" i="6"/>
  <c r="R193" i="6"/>
  <c r="R189" i="6"/>
  <c r="R185" i="6"/>
  <c r="R181" i="6"/>
  <c r="R177" i="6"/>
  <c r="R173" i="6"/>
  <c r="R169" i="6"/>
  <c r="R165" i="6"/>
  <c r="R161" i="6"/>
  <c r="R157" i="6"/>
  <c r="R153" i="6"/>
  <c r="R149" i="6"/>
  <c r="R145" i="6"/>
  <c r="R141" i="6"/>
  <c r="R137" i="6"/>
  <c r="R133" i="6"/>
  <c r="R129" i="6"/>
  <c r="R125" i="6"/>
  <c r="R121" i="6"/>
  <c r="R117" i="6"/>
  <c r="R113" i="6"/>
  <c r="R109" i="6"/>
  <c r="R105" i="6"/>
  <c r="R101" i="6"/>
  <c r="R97" i="6"/>
  <c r="R93" i="6"/>
  <c r="R89" i="6"/>
  <c r="R85" i="6"/>
  <c r="R81" i="6"/>
  <c r="R77" i="6"/>
  <c r="R73" i="6"/>
  <c r="R69" i="6"/>
  <c r="R65" i="6"/>
  <c r="R61" i="6"/>
  <c r="R57" i="6"/>
  <c r="R53" i="6"/>
  <c r="R49" i="6"/>
  <c r="R45" i="6"/>
  <c r="R41" i="6"/>
  <c r="R37" i="6"/>
  <c r="R33" i="6"/>
  <c r="R29" i="6"/>
  <c r="R25" i="6"/>
  <c r="R21" i="6"/>
  <c r="R17" i="6"/>
  <c r="R13" i="6"/>
  <c r="R9" i="6"/>
  <c r="N198" i="6"/>
  <c r="N182" i="6"/>
  <c r="N150" i="6"/>
  <c r="N130" i="6"/>
  <c r="N110" i="6"/>
  <c r="N94" i="6"/>
  <c r="N78" i="6"/>
  <c r="N54" i="6"/>
  <c r="N34" i="6"/>
  <c r="N18" i="6"/>
  <c r="N194" i="6"/>
  <c r="N174" i="6"/>
  <c r="N146" i="6"/>
  <c r="N126" i="6"/>
  <c r="N106" i="6"/>
  <c r="N90" i="6"/>
  <c r="N70" i="6"/>
  <c r="N50" i="6"/>
  <c r="N30" i="6"/>
  <c r="N14" i="6"/>
  <c r="N190" i="6"/>
  <c r="N170" i="6"/>
  <c r="N142" i="6"/>
  <c r="N122" i="6"/>
  <c r="N102" i="6"/>
  <c r="N86" i="6"/>
  <c r="N66" i="6"/>
  <c r="N42" i="6"/>
  <c r="N26" i="6"/>
  <c r="N10" i="6"/>
  <c r="N2" i="6"/>
  <c r="N186" i="6"/>
  <c r="N166" i="6"/>
  <c r="N134" i="6"/>
  <c r="N114" i="6"/>
  <c r="N98" i="6"/>
  <c r="N82" i="6"/>
  <c r="N58" i="6"/>
  <c r="N38" i="6"/>
  <c r="N22" i="6"/>
  <c r="N6" i="6"/>
  <c r="N154" i="6"/>
  <c r="N201" i="6"/>
  <c r="N197" i="6"/>
  <c r="N193" i="6"/>
  <c r="N189" i="6"/>
  <c r="N185" i="6"/>
  <c r="N181" i="6"/>
  <c r="N177" i="6"/>
  <c r="N173" i="6"/>
  <c r="N169" i="6"/>
  <c r="N165" i="6"/>
  <c r="N161" i="6"/>
  <c r="N157" i="6"/>
  <c r="N153" i="6"/>
  <c r="N149" i="6"/>
  <c r="N145" i="6"/>
  <c r="N141" i="6"/>
  <c r="N137" i="6"/>
  <c r="N133" i="6"/>
  <c r="N129" i="6"/>
  <c r="N125" i="6"/>
  <c r="N121" i="6"/>
  <c r="N117" i="6"/>
  <c r="N113" i="6"/>
  <c r="N109" i="6"/>
  <c r="N105" i="6"/>
  <c r="N101" i="6"/>
  <c r="N97" i="6"/>
  <c r="N93" i="6"/>
  <c r="N89" i="6"/>
  <c r="N85" i="6"/>
  <c r="N81" i="6"/>
  <c r="N77" i="6"/>
  <c r="N73" i="6"/>
  <c r="N69" i="6"/>
  <c r="N65" i="6"/>
  <c r="N61" i="6"/>
  <c r="N57" i="6"/>
  <c r="N53" i="6"/>
  <c r="N49" i="6"/>
  <c r="N45" i="6"/>
  <c r="N41" i="6"/>
  <c r="N37" i="6"/>
  <c r="N33" i="6"/>
  <c r="N29" i="6"/>
  <c r="N25" i="6"/>
  <c r="N21" i="6"/>
  <c r="N17" i="6"/>
  <c r="N13" i="6"/>
  <c r="N9" i="6"/>
  <c r="N5" i="6"/>
  <c r="N158" i="6"/>
  <c r="N74" i="6"/>
  <c r="N200" i="6"/>
  <c r="N196" i="6"/>
  <c r="N192" i="6"/>
  <c r="N188" i="6"/>
  <c r="N184" i="6"/>
  <c r="N180" i="6"/>
  <c r="N176" i="6"/>
  <c r="N172" i="6"/>
  <c r="N168" i="6"/>
  <c r="N164" i="6"/>
  <c r="N160" i="6"/>
  <c r="N156" i="6"/>
  <c r="N152" i="6"/>
  <c r="N148" i="6"/>
  <c r="N144" i="6"/>
  <c r="N140" i="6"/>
  <c r="N136" i="6"/>
  <c r="N132" i="6"/>
  <c r="N128" i="6"/>
  <c r="N124" i="6"/>
  <c r="N120" i="6"/>
  <c r="N116" i="6"/>
  <c r="N112" i="6"/>
  <c r="N108" i="6"/>
  <c r="N104" i="6"/>
  <c r="N100" i="6"/>
  <c r="N96" i="6"/>
  <c r="N92" i="6"/>
  <c r="N88" i="6"/>
  <c r="N84" i="6"/>
  <c r="N80" i="6"/>
  <c r="N76" i="6"/>
  <c r="N72" i="6"/>
  <c r="N68" i="6"/>
  <c r="N64" i="6"/>
  <c r="N60" i="6"/>
  <c r="N56" i="6"/>
  <c r="N52" i="6"/>
  <c r="N48" i="6"/>
  <c r="N44" i="6"/>
  <c r="N40" i="6"/>
  <c r="N36" i="6"/>
  <c r="N32" i="6"/>
  <c r="N28" i="6"/>
  <c r="N24" i="6"/>
  <c r="N20" i="6"/>
  <c r="N16" i="6"/>
  <c r="N12" i="6"/>
  <c r="N8" i="6"/>
  <c r="N4" i="6"/>
  <c r="N178" i="6"/>
  <c r="N162" i="6"/>
  <c r="N138" i="6"/>
  <c r="N118" i="6"/>
  <c r="N62" i="6"/>
  <c r="N46" i="6"/>
  <c r="N199" i="6"/>
  <c r="N195" i="6"/>
  <c r="N191" i="6"/>
  <c r="N187" i="6"/>
  <c r="N183" i="6"/>
  <c r="N179" i="6"/>
  <c r="N175" i="6"/>
  <c r="N171" i="6"/>
  <c r="N167" i="6"/>
  <c r="N163" i="6"/>
  <c r="N159" i="6"/>
  <c r="N155" i="6"/>
  <c r="N151" i="6"/>
  <c r="N147" i="6"/>
  <c r="N143" i="6"/>
  <c r="N139" i="6"/>
  <c r="N135" i="6"/>
  <c r="N131" i="6"/>
  <c r="N127" i="6"/>
  <c r="N123" i="6"/>
  <c r="N119" i="6"/>
  <c r="N115" i="6"/>
  <c r="N111" i="6"/>
  <c r="N107" i="6"/>
  <c r="N103" i="6"/>
  <c r="N99" i="6"/>
  <c r="N95" i="6"/>
  <c r="N91" i="6"/>
  <c r="N87" i="6"/>
  <c r="N83" i="6"/>
  <c r="N79" i="6"/>
  <c r="N75" i="6"/>
  <c r="N71" i="6"/>
  <c r="N67" i="6"/>
  <c r="N63" i="6"/>
  <c r="N59" i="6"/>
  <c r="N55" i="6"/>
  <c r="N51" i="6"/>
  <c r="N47" i="6"/>
  <c r="N43" i="6"/>
  <c r="N39" i="6"/>
  <c r="N35" i="6"/>
  <c r="N31" i="6"/>
  <c r="N27" i="6"/>
  <c r="N23" i="6"/>
  <c r="N19" i="6"/>
  <c r="N15" i="6"/>
  <c r="N11" i="6"/>
  <c r="N7" i="6"/>
  <c r="N3" i="6"/>
</calcChain>
</file>

<file path=xl/sharedStrings.xml><?xml version="1.0" encoding="utf-8"?>
<sst xmlns="http://schemas.openxmlformats.org/spreadsheetml/2006/main" count="723" uniqueCount="158">
  <si>
    <t>#</t>
  </si>
  <si>
    <t>ID</t>
  </si>
  <si>
    <t>Brand</t>
  </si>
  <si>
    <t>Type</t>
  </si>
  <si>
    <t>Size</t>
  </si>
  <si>
    <t>Year</t>
  </si>
  <si>
    <t>Class</t>
  </si>
  <si>
    <t>Sessions</t>
  </si>
  <si>
    <t>In Quiver</t>
  </si>
  <si>
    <t>Slalom</t>
  </si>
  <si>
    <t>Link</t>
  </si>
  <si>
    <t>rYear</t>
  </si>
  <si>
    <t>User</t>
  </si>
  <si>
    <t>https://www.gps-speedsurfing.com/mypage/sailstats?id=</t>
  </si>
  <si>
    <t>sail_id_1</t>
  </si>
  <si>
    <t>sail_id_2</t>
  </si>
  <si>
    <t>sessions_1</t>
  </si>
  <si>
    <t>sessions_2</t>
  </si>
  <si>
    <t>sail_name</t>
  </si>
  <si>
    <t>sail_name_2</t>
  </si>
  <si>
    <t>class_id</t>
  </si>
  <si>
    <t>class_id_2</t>
  </si>
  <si>
    <t>production_year</t>
  </si>
  <si>
    <t>Mach 4 7.8</t>
  </si>
  <si>
    <t>Racingblade 6.9</t>
  </si>
  <si>
    <t>TR-X 7.7</t>
  </si>
  <si>
    <t>Ultimate 7.0</t>
  </si>
  <si>
    <t>Koncept 6.6</t>
  </si>
  <si>
    <t>Mach 4 7.0</t>
  </si>
  <si>
    <t>Warp F2007 6.3</t>
  </si>
  <si>
    <t>Warp 7.7</t>
  </si>
  <si>
    <t>warp 7.7</t>
  </si>
  <si>
    <t>Racingblade 8.4</t>
  </si>
  <si>
    <t>Blade 6.2</t>
  </si>
  <si>
    <t>Phantom 7.1</t>
  </si>
  <si>
    <t>Mach 2 5.5</t>
  </si>
  <si>
    <t>Warp fin 5.8</t>
  </si>
  <si>
    <t>Warp Fin 5.8</t>
  </si>
  <si>
    <t>Blade 6.3</t>
  </si>
  <si>
    <t>Vector 8.6</t>
  </si>
  <si>
    <t>Blade 7.5</t>
  </si>
  <si>
    <t>TR-3 6.3</t>
  </si>
  <si>
    <t>RS Racing 5.0</t>
  </si>
  <si>
    <t>Blade 6.8</t>
  </si>
  <si>
    <t>Speedblade 5.4</t>
  </si>
  <si>
    <t>Warp F2005 7.6</t>
  </si>
  <si>
    <t>AC-X 5G 5.8</t>
  </si>
  <si>
    <t>Venom 5.6</t>
  </si>
  <si>
    <t>Switchblade 9.5</t>
  </si>
  <si>
    <t>Blade 5.6</t>
  </si>
  <si>
    <t>Blade 8.3</t>
  </si>
  <si>
    <t>GTX Race 7.5</t>
  </si>
  <si>
    <t>Venom 5.0</t>
  </si>
  <si>
    <t>RacingBlade 6.3</t>
  </si>
  <si>
    <t>Racingblade 6.3</t>
  </si>
  <si>
    <t>AC-Z 7.8</t>
  </si>
  <si>
    <t>Mega XS 6.8</t>
  </si>
  <si>
    <t>Mach 5 Luderitz Edition 5.5</t>
  </si>
  <si>
    <t>AC-1 5.6</t>
  </si>
  <si>
    <t>V8 Flight 6.0</t>
  </si>
  <si>
    <t>Vapor 7.8</t>
  </si>
  <si>
    <t>Skyscape 6.4</t>
  </si>
  <si>
    <t>GS-R 5.0</t>
  </si>
  <si>
    <t>AC-K 8.5</t>
  </si>
  <si>
    <t>AC-Z 6.8</t>
  </si>
  <si>
    <t>Aero 8.4</t>
  </si>
  <si>
    <t>Racingblade 5.6</t>
  </si>
  <si>
    <t>Blade 8.5</t>
  </si>
  <si>
    <t>Switchblade 7.8</t>
  </si>
  <si>
    <t>NCX 6.5</t>
  </si>
  <si>
    <t>RS Racing EVO XI 5.4</t>
  </si>
  <si>
    <t>SC Speed 5.8</t>
  </si>
  <si>
    <t>Skyscape 7.6</t>
  </si>
  <si>
    <t>Reflex Slalom II 8.6</t>
  </si>
  <si>
    <t>Vector 5.6</t>
  </si>
  <si>
    <t>ultimate 6.3</t>
  </si>
  <si>
    <t>Ultimate 6.3</t>
  </si>
  <si>
    <t>Racingblade 7.7</t>
  </si>
  <si>
    <t>Koncept 7.0</t>
  </si>
  <si>
    <t>Mega XS 5.6</t>
  </si>
  <si>
    <t>NCX 9.0</t>
  </si>
  <si>
    <t>NR 4.7</t>
  </si>
  <si>
    <t>Blade 5.1</t>
  </si>
  <si>
    <t>AC-X 7.9</t>
  </si>
  <si>
    <t>TR 8.4</t>
  </si>
  <si>
    <t>Koncept 5.8</t>
  </si>
  <si>
    <t>Racingblade 6.6</t>
  </si>
  <si>
    <t>Super Hero 5.3</t>
  </si>
  <si>
    <t>AC-Z 8.5</t>
  </si>
  <si>
    <t>Warp Foil Slalom 6.8</t>
  </si>
  <si>
    <t>Warp Foil Course 9.9</t>
  </si>
  <si>
    <t>Racingblade 7.0</t>
  </si>
  <si>
    <t>Racingblade 5.0</t>
  </si>
  <si>
    <t>S_Pace 6.6</t>
  </si>
  <si>
    <t>Vapor 6.7</t>
  </si>
  <si>
    <t>Flux 3.6</t>
  </si>
  <si>
    <t>Blade 9.0</t>
  </si>
  <si>
    <t>TR-2 8.0</t>
  </si>
  <si>
    <t>IQ 6.2</t>
  </si>
  <si>
    <t>Icon 4.7</t>
  </si>
  <si>
    <t>Spy 6.4</t>
  </si>
  <si>
    <t>Raceboard 9.5</t>
  </si>
  <si>
    <t>Racingblade 5.8</t>
  </si>
  <si>
    <t>AC-X 7.0</t>
  </si>
  <si>
    <t>Spy 5.0</t>
  </si>
  <si>
    <t>spy 5.0</t>
  </si>
  <si>
    <t>Search 4.7</t>
  </si>
  <si>
    <t>Natural 7.0</t>
  </si>
  <si>
    <t>Race 5.5</t>
  </si>
  <si>
    <t>VX LTD 5.5</t>
  </si>
  <si>
    <t>Lion 8.5</t>
  </si>
  <si>
    <t>Principe Speed Line 6.4</t>
  </si>
  <si>
    <t>Koncept 4.2</t>
  </si>
  <si>
    <t>GT-3 FRC 7.4</t>
  </si>
  <si>
    <t>LX SEVEN 7.8</t>
  </si>
  <si>
    <t>Blade FR 11.9</t>
  </si>
  <si>
    <t>LX SEVEN 9.5</t>
  </si>
  <si>
    <t>Combat 3.5</t>
  </si>
  <si>
    <t>Superstar 5.0</t>
  </si>
  <si>
    <t>Vapor 12.5</t>
  </si>
  <si>
    <t>Goya Mark 7 5.4</t>
  </si>
  <si>
    <t>Dragon 4.9</t>
  </si>
  <si>
    <t>Severne</t>
  </si>
  <si>
    <t>Mach 4</t>
  </si>
  <si>
    <t>Sport</t>
  </si>
  <si>
    <t>ID1or2</t>
  </si>
  <si>
    <t>URL</t>
  </si>
  <si>
    <t>dafs</t>
  </si>
  <si>
    <t>dafsdf</t>
  </si>
  <si>
    <t>MergID</t>
  </si>
  <si>
    <t>Sessions1+2</t>
  </si>
  <si>
    <t>19883</t>
  </si>
  <si>
    <t>https://www.gps-speedsurfing.com/mypage/sailstats?id=19883</t>
  </si>
  <si>
    <t>17756</t>
  </si>
  <si>
    <t>https://www.gps-speedsurfing.com/mypage/sailstats?id=17756</t>
  </si>
  <si>
    <t>18609</t>
  </si>
  <si>
    <t>https://www.gps-speedsurfing.com/mypage/sailstats?id=18609</t>
  </si>
  <si>
    <t>18313</t>
  </si>
  <si>
    <t>https://www.gps-speedsurfing.com/mypage/sailstats?id=18313</t>
  </si>
  <si>
    <t>17227</t>
  </si>
  <si>
    <t>https://www.gps-speedsurfing.com/mypage/sailstats?id=17227</t>
  </si>
  <si>
    <t>18266</t>
  </si>
  <si>
    <t>https://www.gps-speedsurfing.com/mypage/sailstats?id=18266</t>
  </si>
  <si>
    <t>4624</t>
  </si>
  <si>
    <t>https://www.gps-speedsurfing.com/mypage/sailstats?id=4624</t>
  </si>
  <si>
    <t>4623</t>
  </si>
  <si>
    <t>https://www.gps-speedsurfing.com/mypage/sailstats?id=4623</t>
  </si>
  <si>
    <t>7866</t>
  </si>
  <si>
    <t>https://www.gps-speedsurfing.com/mypage/sailstats?id=7866</t>
  </si>
  <si>
    <t>15461</t>
  </si>
  <si>
    <t>https://www.gps-speedsurfing.com/mypage/sailstats?id=15461</t>
  </si>
  <si>
    <t>5177</t>
  </si>
  <si>
    <t>https://www.gps-speedsurfing.com/mypage/sailstats?id=5177</t>
  </si>
  <si>
    <t>1655</t>
  </si>
  <si>
    <t>https://www.gps-speedsurfing.com/mypage/sailstats?id=1655</t>
  </si>
  <si>
    <t>2682</t>
  </si>
  <si>
    <t>https://www.gps-speedsurfing.com/mypage/sailstats?id=2682</t>
  </si>
  <si>
    <t>Sessions
1+2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</si>
</sst>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70" formatCode="0.0"/>
  </numFmts>
  <fonts count="8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9"/>
      <color theme="1"/>
      <name val="Arial Narrow"/>
      <family val="2"/>
    </font>
    <font>
      <b/>
      <sz val="9"/>
      <color theme="1"/>
      <name val="Arial Narrow"/>
      <family val="2"/>
    </font>
    <font>
      <b/>
      <sz val="12"/>
      <color theme="1"/>
      <name val="Consolas"/>
      <family val="3"/>
    </font>
    <font>
      <sz val="12"/>
      <color theme="1"/>
      <name val="Consolas"/>
      <family val="3"/>
    </font>
    <font>
      <b/>
      <sz val="11"/>
      <name val="Calibri"/>
      <family val="2"/>
      <scheme val="minor"/>
    </font>
  </fonts>
  <fills count="10">
    <fill>
      <patternFill patternType="none"/>
    </fill>
    <fill>
      <patternFill patternType="gray125"/>
    </fill>
    <fill>
      <patternFill patternType="solid">
        <fgColor theme="4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rgb="FFFF0000"/>
        <bgColor indexed="64"/>
      </patternFill>
    </fill>
  </fills>
  <borders count="1">
    <border>
      <left/>
      <right/>
      <top/>
      <bottom/>
      <diagonal/>
    </border>
  </borders>
  <cellStyleXfs count="2">
    <xf numFmtId="0" fontId="0" fillId="0" borderId="0"/>
    <xf numFmtId="0" fontId="2" fillId="0" borderId="0" applyNumberFormat="0" applyFill="0" applyBorder="0" applyAlignment="0" applyProtection="0"/>
  </cellStyleXfs>
  <cellXfs count="25">
    <xf numFmtId="0" fontId="0" fillId="0" borderId="0" xfId="0"/>
    <xf numFmtId="0" fontId="2" fillId="0" borderId="0" xfId="1"/>
    <xf numFmtId="0" fontId="1" fillId="0" borderId="0" xfId="0" applyFont="1"/>
    <xf numFmtId="0" fontId="3" fillId="0" borderId="0" xfId="0" applyFont="1"/>
    <xf numFmtId="0" fontId="1" fillId="2" borderId="0" xfId="0" applyFont="1" applyFill="1"/>
    <xf numFmtId="0" fontId="1" fillId="3" borderId="0" xfId="0" applyFont="1" applyFill="1"/>
    <xf numFmtId="0" fontId="0" fillId="4" borderId="0" xfId="0" applyFill="1"/>
    <xf numFmtId="0" fontId="1" fillId="2" borderId="0" xfId="0" applyFont="1" applyFill="1" applyAlignment="1">
      <alignment horizontal="center"/>
    </xf>
    <xf numFmtId="0" fontId="4" fillId="0" borderId="0" xfId="0" applyFont="1" applyAlignment="1">
      <alignment horizontal="center"/>
    </xf>
    <xf numFmtId="0" fontId="1" fillId="0" borderId="0" xfId="0" applyFont="1" applyAlignment="1">
      <alignment horizontal="center"/>
    </xf>
    <xf numFmtId="170" fontId="0" fillId="0" borderId="0" xfId="0" applyNumberFormat="1"/>
    <xf numFmtId="0" fontId="0" fillId="2" borderId="0" xfId="0" applyFill="1"/>
    <xf numFmtId="0" fontId="0" fillId="5" borderId="0" xfId="0" applyFill="1"/>
    <xf numFmtId="0" fontId="6" fillId="2" borderId="0" xfId="0" applyFont="1" applyFill="1"/>
    <xf numFmtId="0" fontId="6" fillId="5" borderId="0" xfId="0" applyFont="1" applyFill="1"/>
    <xf numFmtId="0" fontId="6" fillId="0" borderId="0" xfId="0" applyFont="1"/>
    <xf numFmtId="0" fontId="1" fillId="6" borderId="0" xfId="0" applyFont="1" applyFill="1"/>
    <xf numFmtId="0" fontId="1" fillId="7" borderId="0" xfId="0" applyFont="1" applyFill="1"/>
    <xf numFmtId="0" fontId="5" fillId="7" borderId="0" xfId="0" applyFont="1" applyFill="1"/>
    <xf numFmtId="0" fontId="0" fillId="0" borderId="0" xfId="0" applyFill="1"/>
    <xf numFmtId="0" fontId="1" fillId="8" borderId="0" xfId="0" applyFont="1" applyFill="1"/>
    <xf numFmtId="0" fontId="0" fillId="8" borderId="0" xfId="0" applyFill="1"/>
    <xf numFmtId="0" fontId="7" fillId="8" borderId="0" xfId="0" applyFont="1" applyFill="1"/>
    <xf numFmtId="0" fontId="1" fillId="7" borderId="0" xfId="0" applyFont="1" applyFill="1" applyAlignment="1">
      <alignment wrapText="1"/>
    </xf>
    <xf numFmtId="170" fontId="0" fillId="9" borderId="0" xfId="0" applyNumberFormat="1" applyFill="1"/>
  </cellXfs>
  <cellStyles count="2">
    <cellStyle name="Hyperlink" xfId="1" builtinId="8"/>
    <cellStyle name="Normal" xfId="0" builtinId="0"/>
  </cellStyles>
  <dxfs count="0"/>
  <tableStyles count="0" defaultTableStyle="TableStyleMedium2" defaultPivotStyle="PivotStyleLight16"/>
  <colors>
    <mruColors>
      <color rgb="FFFFFFC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80596</xdr:colOff>
          <xdr:row>0</xdr:row>
          <xdr:rowOff>71806</xdr:rowOff>
        </xdr:from>
        <xdr:to>
          <xdr:col>9</xdr:col>
          <xdr:colOff>554649</xdr:colOff>
          <xdr:row>0</xdr:row>
          <xdr:rowOff>351693</xdr:rowOff>
        </xdr:to>
        <xdr:sp macro="" textlink="">
          <xdr:nvSpPr>
            <xdr:cNvPr id="5121" name="Button 1" hidden="1">
              <a:extLst>
                <a:ext uri="{63B3BB69-23CF-44E3-9099-C40C66FF867C}">
                  <a14:compatExt spid="_x0000_s5121"/>
                </a:ext>
                <a:ext uri="{FF2B5EF4-FFF2-40B4-BE49-F238E27FC236}">
                  <a16:creationId xmlns:a16="http://schemas.microsoft.com/office/drawing/2014/main" id="{00000000-0008-0000-0300-00000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sv-SE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Exp Markdown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hyperlink" Target="https://www.gps-speedsurfing.com/mypage/sailstats?id=" TargetMode="Externa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A576202-A1A0-4430-9DEF-EFCA8AEA998F}">
  <sheetPr codeName="Sheet1"/>
  <dimension ref="A1:L17"/>
  <sheetViews>
    <sheetView tabSelected="1" zoomScale="85" zoomScaleNormal="85" workbookViewId="0">
      <pane ySplit="2" topLeftCell="A3" activePane="bottomLeft" state="frozen"/>
      <selection pane="bottomLeft" activeCell="A7" sqref="A7:XFD7"/>
    </sheetView>
  </sheetViews>
  <sheetFormatPr defaultRowHeight="15" x14ac:dyDescent="0.25"/>
  <cols>
    <col min="1" max="1" width="7" style="9" customWidth="1"/>
    <col min="2" max="2" width="10" customWidth="1"/>
    <col min="4" max="4" width="16.7109375" bestFit="1" customWidth="1"/>
    <col min="5" max="5" width="24" bestFit="1" customWidth="1"/>
    <col min="6" max="6" width="9.7109375" customWidth="1"/>
    <col min="7" max="7" width="18.85546875" customWidth="1"/>
    <col min="8" max="8" width="7.28515625" bestFit="1" customWidth="1"/>
    <col min="9" max="9" width="23.140625" bestFit="1" customWidth="1"/>
    <col min="10" max="10" width="15.28515625" bestFit="1" customWidth="1"/>
    <col min="11" max="11" width="15" bestFit="1" customWidth="1"/>
    <col min="12" max="12" width="26.28515625" customWidth="1"/>
  </cols>
  <sheetData>
    <row r="1" spans="1:12" s="3" customFormat="1" x14ac:dyDescent="0.25">
      <c r="A1" s="8"/>
      <c r="F1" s="1" t="s">
        <v>13</v>
      </c>
    </row>
    <row r="2" spans="1:12" ht="19.5" customHeight="1" x14ac:dyDescent="0.25">
      <c r="A2" s="7" t="s">
        <v>12</v>
      </c>
      <c r="B2" s="4" t="s">
        <v>0</v>
      </c>
      <c r="C2" s="4" t="s">
        <v>1</v>
      </c>
      <c r="D2" s="5" t="s">
        <v>2</v>
      </c>
      <c r="E2" s="5" t="s">
        <v>3</v>
      </c>
      <c r="F2" s="5" t="s">
        <v>4</v>
      </c>
      <c r="G2" s="5" t="s">
        <v>5</v>
      </c>
      <c r="H2" s="5" t="s">
        <v>6</v>
      </c>
      <c r="I2" s="5" t="s">
        <v>124</v>
      </c>
      <c r="J2" s="5" t="s">
        <v>7</v>
      </c>
      <c r="K2" s="5" t="s">
        <v>8</v>
      </c>
      <c r="L2" s="4" t="s">
        <v>10</v>
      </c>
    </row>
    <row r="3" spans="1:12" x14ac:dyDescent="0.25">
      <c r="B3">
        <v>1</v>
      </c>
      <c r="C3">
        <v>20755</v>
      </c>
      <c r="D3" t="s">
        <v>122</v>
      </c>
      <c r="E3" t="s">
        <v>123</v>
      </c>
      <c r="F3" s="10">
        <v>5</v>
      </c>
      <c r="G3">
        <v>2021</v>
      </c>
      <c r="H3" t="s">
        <v>9</v>
      </c>
      <c r="I3">
        <v>0</v>
      </c>
      <c r="J3">
        <v>19</v>
      </c>
      <c r="K3">
        <v>6</v>
      </c>
      <c r="L3" s="1" t="str">
        <f>HYPERLINK(_xlfn.CONCAT($F$1,C3),_xlfn.CONCAT(E3,"  ",TEXT(F3,"#0.0")))</f>
        <v>Mach 4  5.0</v>
      </c>
    </row>
    <row r="4" spans="1:12" x14ac:dyDescent="0.25">
      <c r="B4">
        <v>2</v>
      </c>
      <c r="C4">
        <v>17759</v>
      </c>
      <c r="D4" t="s">
        <v>122</v>
      </c>
      <c r="E4" t="s">
        <v>123</v>
      </c>
      <c r="F4" s="10">
        <v>5.5</v>
      </c>
      <c r="G4">
        <v>2021</v>
      </c>
      <c r="H4" t="s">
        <v>9</v>
      </c>
      <c r="I4">
        <v>0</v>
      </c>
      <c r="J4">
        <v>122</v>
      </c>
      <c r="K4">
        <v>17</v>
      </c>
      <c r="L4" s="1" t="str">
        <f>HYPERLINK(_xlfn.CONCAT($F$1,C4),_xlfn.CONCAT(E4,"  ",TEXT(F4,"#0.0")))</f>
        <v>Mach 4  5.5</v>
      </c>
    </row>
    <row r="5" spans="1:12" x14ac:dyDescent="0.25">
      <c r="B5">
        <v>3</v>
      </c>
      <c r="C5">
        <v>17660</v>
      </c>
      <c r="D5" t="s">
        <v>122</v>
      </c>
      <c r="E5" t="s">
        <v>123</v>
      </c>
      <c r="F5" s="24">
        <v>6</v>
      </c>
      <c r="G5">
        <v>2021</v>
      </c>
      <c r="H5" t="s">
        <v>9</v>
      </c>
      <c r="I5">
        <v>0</v>
      </c>
      <c r="J5">
        <v>3</v>
      </c>
      <c r="K5">
        <v>1</v>
      </c>
      <c r="L5" s="1" t="str">
        <f>HYPERLINK(_xlfn.CONCAT($F$1,C5),_xlfn.CONCAT(E5,"  ",TEXT(F5,"#0.0")))</f>
        <v>Mach 4  6.0</v>
      </c>
    </row>
    <row r="6" spans="1:12" x14ac:dyDescent="0.25">
      <c r="B6">
        <v>4</v>
      </c>
      <c r="C6">
        <v>18412</v>
      </c>
      <c r="D6" t="s">
        <v>122</v>
      </c>
      <c r="E6" t="s">
        <v>123</v>
      </c>
      <c r="F6" s="10">
        <v>6.2</v>
      </c>
      <c r="G6">
        <v>2021</v>
      </c>
      <c r="H6" t="s">
        <v>9</v>
      </c>
      <c r="I6">
        <v>0</v>
      </c>
      <c r="J6">
        <v>573</v>
      </c>
      <c r="K6">
        <v>35</v>
      </c>
      <c r="L6" s="1" t="str">
        <f>HYPERLINK(_xlfn.CONCAT($F$1,C6),_xlfn.CONCAT(E6,"  ",TEXT(F6,"#0.0")))</f>
        <v>Mach 4  6.2</v>
      </c>
    </row>
    <row r="7" spans="1:12" x14ac:dyDescent="0.25">
      <c r="B7">
        <v>5</v>
      </c>
      <c r="C7" s="2">
        <v>19883</v>
      </c>
      <c r="D7" t="s">
        <v>122</v>
      </c>
      <c r="E7" t="s">
        <v>123</v>
      </c>
      <c r="F7" s="10">
        <v>7</v>
      </c>
      <c r="G7">
        <v>2021</v>
      </c>
      <c r="H7" t="s">
        <v>9</v>
      </c>
      <c r="I7">
        <v>0</v>
      </c>
      <c r="J7">
        <v>476</v>
      </c>
      <c r="K7">
        <v>36</v>
      </c>
      <c r="L7" s="1" t="str">
        <f>HYPERLINK(_xlfn.CONCAT($F$1,C7),_xlfn.CONCAT(E7,"  ",TEXT(F7,"#0.0")))</f>
        <v>Mach 4  7.0</v>
      </c>
    </row>
    <row r="8" spans="1:12" x14ac:dyDescent="0.25">
      <c r="B8">
        <v>6</v>
      </c>
      <c r="C8">
        <v>17756</v>
      </c>
      <c r="D8" t="s">
        <v>122</v>
      </c>
      <c r="E8" t="s">
        <v>123</v>
      </c>
      <c r="F8" s="10">
        <v>7.8</v>
      </c>
      <c r="G8">
        <v>2021</v>
      </c>
      <c r="H8" t="s">
        <v>9</v>
      </c>
      <c r="I8">
        <v>0</v>
      </c>
      <c r="J8">
        <v>380</v>
      </c>
      <c r="K8">
        <v>23</v>
      </c>
      <c r="L8" s="1" t="str">
        <f>HYPERLINK(_xlfn.CONCAT($F$1,C8),_xlfn.CONCAT(E8,"  ",TEXT(F8,"#0.0")))</f>
        <v>Mach 4  7.8</v>
      </c>
    </row>
    <row r="9" spans="1:12" x14ac:dyDescent="0.25">
      <c r="B9">
        <v>7</v>
      </c>
      <c r="C9">
        <v>18422</v>
      </c>
      <c r="D9" t="s">
        <v>122</v>
      </c>
      <c r="E9" t="s">
        <v>123</v>
      </c>
      <c r="F9" s="10">
        <v>8.6</v>
      </c>
      <c r="G9">
        <v>2021</v>
      </c>
      <c r="H9" t="s">
        <v>9</v>
      </c>
      <c r="I9">
        <v>0</v>
      </c>
      <c r="J9">
        <v>436</v>
      </c>
      <c r="K9">
        <v>27</v>
      </c>
      <c r="L9" s="1" t="str">
        <f>HYPERLINK(_xlfn.CONCAT($F$1,C9),_xlfn.CONCAT(E9,"  ",TEXT(F9,"#0.0")))</f>
        <v>Mach 4  8.6</v>
      </c>
    </row>
    <row r="10" spans="1:12" x14ac:dyDescent="0.25">
      <c r="B10">
        <v>8</v>
      </c>
      <c r="C10">
        <v>17884</v>
      </c>
      <c r="D10" t="s">
        <v>122</v>
      </c>
      <c r="E10" t="s">
        <v>123</v>
      </c>
      <c r="F10" s="10">
        <v>9.4</v>
      </c>
      <c r="G10">
        <v>2021</v>
      </c>
      <c r="H10" t="s">
        <v>9</v>
      </c>
      <c r="I10">
        <v>0</v>
      </c>
      <c r="J10">
        <v>81</v>
      </c>
      <c r="K10">
        <v>8</v>
      </c>
      <c r="L10" s="1" t="str">
        <f>HYPERLINK(_xlfn.CONCAT($F$1,C10),_xlfn.CONCAT(E10,"  ",TEXT(F10,"#0.0")))</f>
        <v>Mach 4  9.4</v>
      </c>
    </row>
    <row r="17" spans="5:5" x14ac:dyDescent="0.25">
      <c r="E17">
        <v>4323</v>
      </c>
    </row>
  </sheetData>
  <autoFilter ref="A2:L2" xr:uid="{CA576202-A1A0-4430-9DEF-EFCA8AEA998F}">
    <sortState xmlns:xlrd2="http://schemas.microsoft.com/office/spreadsheetml/2017/richdata2" ref="A3:L10">
      <sortCondition ref="L2"/>
    </sortState>
  </autoFilter>
  <hyperlinks>
    <hyperlink ref="F1" r:id="rId1" xr:uid="{FAE9CF51-6176-45FC-BC23-266232BE0CEB}"/>
  </hyperlinks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67583F9-C105-4DC5-AB97-B32AA9231D3E}">
  <sheetPr codeName="Sheet3"/>
  <dimension ref="A1:A18"/>
  <sheetViews>
    <sheetView topLeftCell="A4" workbookViewId="0">
      <selection activeCell="E49" sqref="E49"/>
    </sheetView>
  </sheetViews>
  <sheetFormatPr defaultRowHeight="15" x14ac:dyDescent="0.25"/>
  <sheetData>
    <row r="1" spans="1:1" x14ac:dyDescent="0.25">
      <c r="A1" t="s">
        <v>11</v>
      </c>
    </row>
    <row r="2" spans="1:1" x14ac:dyDescent="0.25">
      <c r="A2">
        <v>2000</v>
      </c>
    </row>
    <row r="3" spans="1:1" x14ac:dyDescent="0.25">
      <c r="A3">
        <v>2001</v>
      </c>
    </row>
    <row r="4" spans="1:1" x14ac:dyDescent="0.25">
      <c r="A4">
        <v>2002</v>
      </c>
    </row>
    <row r="5" spans="1:1" x14ac:dyDescent="0.25">
      <c r="A5">
        <v>2003</v>
      </c>
    </row>
    <row r="6" spans="1:1" x14ac:dyDescent="0.25">
      <c r="A6">
        <v>2004</v>
      </c>
    </row>
    <row r="7" spans="1:1" x14ac:dyDescent="0.25">
      <c r="A7">
        <v>2005</v>
      </c>
    </row>
    <row r="8" spans="1:1" x14ac:dyDescent="0.25">
      <c r="A8">
        <v>2006</v>
      </c>
    </row>
    <row r="9" spans="1:1" x14ac:dyDescent="0.25">
      <c r="A9">
        <v>2007</v>
      </c>
    </row>
    <row r="10" spans="1:1" x14ac:dyDescent="0.25">
      <c r="A10">
        <v>2008</v>
      </c>
    </row>
    <row r="11" spans="1:1" x14ac:dyDescent="0.25">
      <c r="A11">
        <v>2009</v>
      </c>
    </row>
    <row r="12" spans="1:1" x14ac:dyDescent="0.25">
      <c r="A12">
        <v>2010</v>
      </c>
    </row>
    <row r="13" spans="1:1" x14ac:dyDescent="0.25">
      <c r="A13">
        <v>2011</v>
      </c>
    </row>
    <row r="14" spans="1:1" x14ac:dyDescent="0.25">
      <c r="A14">
        <v>2012</v>
      </c>
    </row>
    <row r="15" spans="1:1" x14ac:dyDescent="0.25">
      <c r="A15">
        <v>2013</v>
      </c>
    </row>
    <row r="16" spans="1:1" x14ac:dyDescent="0.25">
      <c r="A16">
        <v>2014</v>
      </c>
    </row>
    <row r="17" spans="1:1" x14ac:dyDescent="0.25">
      <c r="A17">
        <v>2015</v>
      </c>
    </row>
    <row r="18" spans="1:1" x14ac:dyDescent="0.25">
      <c r="A18">
        <v>2016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8C1AD67-1877-46C9-84AB-49CB9D6B2C6B}">
  <sheetPr codeName="Sheet2"/>
  <dimension ref="B1:J101"/>
  <sheetViews>
    <sheetView zoomScale="70" zoomScaleNormal="70" workbookViewId="0">
      <selection activeCell="C26" sqref="C26"/>
    </sheetView>
  </sheetViews>
  <sheetFormatPr defaultRowHeight="15" x14ac:dyDescent="0.25"/>
  <cols>
    <col min="2" max="2" width="12.140625" customWidth="1"/>
    <col min="3" max="3" width="11" customWidth="1"/>
    <col min="4" max="5" width="12.7109375" bestFit="1" customWidth="1"/>
    <col min="6" max="7" width="24.85546875" bestFit="1" customWidth="1"/>
    <col min="9" max="9" width="9.85546875" bestFit="1" customWidth="1"/>
    <col min="10" max="10" width="15.7109375" bestFit="1" customWidth="1"/>
  </cols>
  <sheetData>
    <row r="1" spans="2:10" x14ac:dyDescent="0.25">
      <c r="B1" s="2" t="s">
        <v>14</v>
      </c>
      <c r="C1" s="2" t="s">
        <v>15</v>
      </c>
      <c r="D1" s="2" t="s">
        <v>16</v>
      </c>
      <c r="E1" s="2" t="s">
        <v>17</v>
      </c>
      <c r="F1" s="2" t="s">
        <v>18</v>
      </c>
      <c r="G1" s="2" t="s">
        <v>19</v>
      </c>
      <c r="H1" s="2" t="s">
        <v>20</v>
      </c>
      <c r="I1" s="2" t="s">
        <v>21</v>
      </c>
      <c r="J1" s="2" t="s">
        <v>22</v>
      </c>
    </row>
    <row r="2" spans="2:10" x14ac:dyDescent="0.25">
      <c r="B2">
        <v>17756</v>
      </c>
      <c r="C2">
        <v>18612</v>
      </c>
      <c r="D2">
        <v>380</v>
      </c>
      <c r="E2">
        <v>236</v>
      </c>
      <c r="F2" t="s">
        <v>23</v>
      </c>
      <c r="G2" t="s">
        <v>23</v>
      </c>
      <c r="H2">
        <v>8</v>
      </c>
      <c r="I2">
        <v>8</v>
      </c>
      <c r="J2">
        <v>2021</v>
      </c>
    </row>
    <row r="3" spans="2:10" x14ac:dyDescent="0.25">
      <c r="B3">
        <v>18266</v>
      </c>
      <c r="C3">
        <v>22596</v>
      </c>
      <c r="D3">
        <v>342</v>
      </c>
      <c r="E3">
        <v>0</v>
      </c>
      <c r="F3" t="s">
        <v>24</v>
      </c>
      <c r="G3" t="s">
        <v>24</v>
      </c>
      <c r="H3">
        <v>8</v>
      </c>
      <c r="I3">
        <v>8</v>
      </c>
      <c r="J3">
        <v>2022</v>
      </c>
    </row>
    <row r="4" spans="2:10" x14ac:dyDescent="0.25">
      <c r="B4">
        <v>7866</v>
      </c>
      <c r="C4">
        <v>16623</v>
      </c>
      <c r="D4">
        <v>305</v>
      </c>
      <c r="E4">
        <v>1</v>
      </c>
      <c r="F4" t="s">
        <v>25</v>
      </c>
      <c r="G4" t="s">
        <v>25</v>
      </c>
      <c r="H4">
        <v>8</v>
      </c>
      <c r="I4">
        <v>8</v>
      </c>
      <c r="J4">
        <v>2014</v>
      </c>
    </row>
    <row r="5" spans="2:10" x14ac:dyDescent="0.25">
      <c r="B5">
        <v>15461</v>
      </c>
      <c r="C5">
        <v>22443</v>
      </c>
      <c r="D5">
        <v>279</v>
      </c>
      <c r="E5">
        <v>1</v>
      </c>
      <c r="F5" t="s">
        <v>26</v>
      </c>
      <c r="G5" t="s">
        <v>26</v>
      </c>
      <c r="H5">
        <v>8</v>
      </c>
      <c r="I5">
        <v>8</v>
      </c>
      <c r="J5">
        <v>2018</v>
      </c>
    </row>
    <row r="6" spans="2:10" x14ac:dyDescent="0.25">
      <c r="B6">
        <v>1655</v>
      </c>
      <c r="C6">
        <v>2352</v>
      </c>
      <c r="D6">
        <v>261</v>
      </c>
      <c r="E6">
        <v>7</v>
      </c>
      <c r="F6" t="s">
        <v>27</v>
      </c>
      <c r="G6" t="s">
        <v>27</v>
      </c>
      <c r="H6">
        <v>8</v>
      </c>
      <c r="I6">
        <v>8</v>
      </c>
      <c r="J6">
        <v>2006</v>
      </c>
    </row>
    <row r="7" spans="2:10" x14ac:dyDescent="0.25">
      <c r="B7">
        <v>17746</v>
      </c>
      <c r="C7">
        <v>19883</v>
      </c>
      <c r="D7">
        <v>240</v>
      </c>
      <c r="E7">
        <v>476</v>
      </c>
      <c r="F7" t="s">
        <v>28</v>
      </c>
      <c r="G7" t="s">
        <v>28</v>
      </c>
      <c r="H7">
        <v>8</v>
      </c>
      <c r="I7">
        <v>8</v>
      </c>
      <c r="J7">
        <v>2021</v>
      </c>
    </row>
    <row r="8" spans="2:10" x14ac:dyDescent="0.25">
      <c r="B8">
        <v>2682</v>
      </c>
      <c r="C8">
        <v>3240</v>
      </c>
      <c r="D8">
        <v>217</v>
      </c>
      <c r="E8">
        <v>41</v>
      </c>
      <c r="F8" t="s">
        <v>29</v>
      </c>
      <c r="G8" t="s">
        <v>29</v>
      </c>
      <c r="H8">
        <v>8</v>
      </c>
      <c r="I8">
        <v>8</v>
      </c>
      <c r="J8">
        <v>2007</v>
      </c>
    </row>
    <row r="9" spans="2:10" x14ac:dyDescent="0.25">
      <c r="B9">
        <v>15626</v>
      </c>
      <c r="C9">
        <v>16214</v>
      </c>
      <c r="D9">
        <v>217</v>
      </c>
      <c r="E9">
        <v>23</v>
      </c>
      <c r="F9" t="s">
        <v>30</v>
      </c>
      <c r="G9" t="s">
        <v>31</v>
      </c>
      <c r="H9">
        <v>8</v>
      </c>
      <c r="I9">
        <v>8</v>
      </c>
      <c r="J9">
        <v>2019</v>
      </c>
    </row>
    <row r="10" spans="2:10" x14ac:dyDescent="0.25">
      <c r="B10">
        <v>18307</v>
      </c>
      <c r="C10">
        <v>22598</v>
      </c>
      <c r="D10">
        <v>196</v>
      </c>
      <c r="E10">
        <v>0</v>
      </c>
      <c r="F10" t="s">
        <v>32</v>
      </c>
      <c r="G10" t="s">
        <v>32</v>
      </c>
      <c r="H10">
        <v>8</v>
      </c>
      <c r="I10">
        <v>8</v>
      </c>
      <c r="J10">
        <v>2022</v>
      </c>
    </row>
    <row r="11" spans="2:10" x14ac:dyDescent="0.25">
      <c r="B11">
        <v>2208</v>
      </c>
      <c r="C11">
        <v>4203</v>
      </c>
      <c r="D11">
        <v>175</v>
      </c>
      <c r="E11">
        <v>25</v>
      </c>
      <c r="F11" t="s">
        <v>33</v>
      </c>
      <c r="G11" t="s">
        <v>33</v>
      </c>
      <c r="H11">
        <v>8</v>
      </c>
      <c r="I11">
        <v>8</v>
      </c>
      <c r="J11">
        <v>2007</v>
      </c>
    </row>
    <row r="12" spans="2:10" x14ac:dyDescent="0.25">
      <c r="B12">
        <v>17366</v>
      </c>
      <c r="C12">
        <v>17367</v>
      </c>
      <c r="D12">
        <v>165</v>
      </c>
      <c r="E12">
        <v>3</v>
      </c>
      <c r="F12" t="s">
        <v>34</v>
      </c>
      <c r="G12" t="s">
        <v>34</v>
      </c>
      <c r="H12">
        <v>9</v>
      </c>
      <c r="I12">
        <v>9</v>
      </c>
      <c r="J12">
        <v>2021</v>
      </c>
    </row>
    <row r="13" spans="2:10" x14ac:dyDescent="0.25">
      <c r="B13">
        <v>14566</v>
      </c>
      <c r="C13">
        <v>16776</v>
      </c>
      <c r="D13">
        <v>158</v>
      </c>
      <c r="E13">
        <v>1</v>
      </c>
      <c r="F13" t="s">
        <v>35</v>
      </c>
      <c r="G13" t="s">
        <v>35</v>
      </c>
      <c r="H13">
        <v>8</v>
      </c>
      <c r="I13">
        <v>8</v>
      </c>
      <c r="J13">
        <v>2019</v>
      </c>
    </row>
    <row r="14" spans="2:10" x14ac:dyDescent="0.25">
      <c r="B14">
        <v>19464</v>
      </c>
      <c r="C14">
        <v>19682</v>
      </c>
      <c r="D14">
        <v>156</v>
      </c>
      <c r="E14">
        <v>47</v>
      </c>
      <c r="F14" t="s">
        <v>36</v>
      </c>
      <c r="G14" t="s">
        <v>37</v>
      </c>
      <c r="H14">
        <v>8</v>
      </c>
      <c r="I14">
        <v>8</v>
      </c>
      <c r="J14">
        <v>2023</v>
      </c>
    </row>
    <row r="15" spans="2:10" x14ac:dyDescent="0.25">
      <c r="B15">
        <v>5177</v>
      </c>
      <c r="C15">
        <v>5219</v>
      </c>
      <c r="D15">
        <v>154</v>
      </c>
      <c r="E15">
        <v>115</v>
      </c>
      <c r="F15" t="s">
        <v>38</v>
      </c>
      <c r="G15" t="s">
        <v>38</v>
      </c>
      <c r="H15">
        <v>8</v>
      </c>
      <c r="I15">
        <v>8</v>
      </c>
      <c r="J15">
        <v>2010</v>
      </c>
    </row>
    <row r="16" spans="2:10" x14ac:dyDescent="0.25">
      <c r="B16">
        <v>17155</v>
      </c>
      <c r="C16">
        <v>21220</v>
      </c>
      <c r="D16">
        <v>147</v>
      </c>
      <c r="E16">
        <v>0</v>
      </c>
      <c r="F16" t="s">
        <v>39</v>
      </c>
      <c r="G16" t="s">
        <v>39</v>
      </c>
      <c r="H16">
        <v>9</v>
      </c>
      <c r="I16">
        <v>9</v>
      </c>
      <c r="J16">
        <v>2020</v>
      </c>
    </row>
    <row r="17" spans="2:10" x14ac:dyDescent="0.25">
      <c r="B17">
        <v>4322</v>
      </c>
      <c r="C17">
        <v>4624</v>
      </c>
      <c r="D17">
        <v>140</v>
      </c>
      <c r="E17">
        <v>195</v>
      </c>
      <c r="F17" t="s">
        <v>40</v>
      </c>
      <c r="G17" t="s">
        <v>40</v>
      </c>
      <c r="H17">
        <v>8</v>
      </c>
      <c r="I17">
        <v>8</v>
      </c>
      <c r="J17">
        <v>2009</v>
      </c>
    </row>
    <row r="18" spans="2:10" x14ac:dyDescent="0.25">
      <c r="B18">
        <v>2661</v>
      </c>
      <c r="C18">
        <v>3070</v>
      </c>
      <c r="D18">
        <v>127</v>
      </c>
      <c r="E18">
        <v>28</v>
      </c>
      <c r="F18" t="s">
        <v>41</v>
      </c>
      <c r="G18" t="s">
        <v>41</v>
      </c>
      <c r="H18">
        <v>8</v>
      </c>
      <c r="I18">
        <v>8</v>
      </c>
      <c r="J18">
        <v>2007</v>
      </c>
    </row>
    <row r="19" spans="2:10" x14ac:dyDescent="0.25">
      <c r="B19">
        <v>2972</v>
      </c>
      <c r="C19">
        <v>3552</v>
      </c>
      <c r="D19">
        <v>116</v>
      </c>
      <c r="E19">
        <v>2</v>
      </c>
      <c r="F19" t="s">
        <v>42</v>
      </c>
      <c r="G19" t="s">
        <v>42</v>
      </c>
      <c r="H19">
        <v>12</v>
      </c>
      <c r="I19">
        <v>12</v>
      </c>
      <c r="J19">
        <v>2007</v>
      </c>
    </row>
    <row r="20" spans="2:10" x14ac:dyDescent="0.25">
      <c r="B20">
        <v>4323</v>
      </c>
      <c r="C20">
        <v>4623</v>
      </c>
      <c r="D20">
        <v>115</v>
      </c>
      <c r="E20">
        <v>192</v>
      </c>
      <c r="F20" t="s">
        <v>43</v>
      </c>
      <c r="G20" t="s">
        <v>43</v>
      </c>
      <c r="H20">
        <v>8</v>
      </c>
      <c r="I20">
        <v>8</v>
      </c>
      <c r="J20">
        <v>2009</v>
      </c>
    </row>
    <row r="21" spans="2:10" x14ac:dyDescent="0.25">
      <c r="B21">
        <v>12138</v>
      </c>
      <c r="C21">
        <v>12310</v>
      </c>
      <c r="D21">
        <v>98</v>
      </c>
      <c r="E21">
        <v>116</v>
      </c>
      <c r="F21" t="s">
        <v>44</v>
      </c>
      <c r="G21" t="s">
        <v>44</v>
      </c>
      <c r="H21">
        <v>8</v>
      </c>
      <c r="I21">
        <v>8</v>
      </c>
      <c r="J21">
        <v>2016</v>
      </c>
    </row>
    <row r="22" spans="2:10" x14ac:dyDescent="0.25">
      <c r="B22">
        <v>17192</v>
      </c>
      <c r="C22">
        <v>18313</v>
      </c>
      <c r="D22">
        <v>87</v>
      </c>
      <c r="E22">
        <v>306</v>
      </c>
      <c r="F22" t="s">
        <v>24</v>
      </c>
      <c r="G22" t="s">
        <v>24</v>
      </c>
      <c r="H22">
        <v>8</v>
      </c>
      <c r="I22">
        <v>8</v>
      </c>
      <c r="J22">
        <v>2021</v>
      </c>
    </row>
    <row r="23" spans="2:10" x14ac:dyDescent="0.25">
      <c r="B23">
        <v>540</v>
      </c>
      <c r="C23">
        <v>2887</v>
      </c>
      <c r="D23">
        <v>83</v>
      </c>
      <c r="E23">
        <v>8</v>
      </c>
      <c r="F23" t="s">
        <v>45</v>
      </c>
      <c r="G23" t="s">
        <v>45</v>
      </c>
      <c r="H23">
        <v>8</v>
      </c>
      <c r="I23">
        <v>8</v>
      </c>
      <c r="J23">
        <v>2005</v>
      </c>
    </row>
    <row r="24" spans="2:10" x14ac:dyDescent="0.25">
      <c r="B24">
        <v>11094</v>
      </c>
      <c r="C24">
        <v>18703</v>
      </c>
      <c r="D24">
        <v>75</v>
      </c>
      <c r="E24">
        <v>0</v>
      </c>
      <c r="F24" t="s">
        <v>46</v>
      </c>
      <c r="G24" t="s">
        <v>46</v>
      </c>
      <c r="H24">
        <v>9</v>
      </c>
      <c r="I24">
        <v>9</v>
      </c>
      <c r="J24">
        <v>2015</v>
      </c>
    </row>
    <row r="25" spans="2:10" x14ac:dyDescent="0.25">
      <c r="B25">
        <v>16205</v>
      </c>
      <c r="C25">
        <v>17899</v>
      </c>
      <c r="D25">
        <v>73</v>
      </c>
      <c r="E25">
        <v>18</v>
      </c>
      <c r="F25" t="s">
        <v>47</v>
      </c>
      <c r="G25" t="s">
        <v>47</v>
      </c>
      <c r="H25">
        <v>8</v>
      </c>
      <c r="I25">
        <v>8</v>
      </c>
      <c r="J25">
        <v>2020</v>
      </c>
    </row>
    <row r="26" spans="2:10" x14ac:dyDescent="0.25">
      <c r="B26">
        <v>18426</v>
      </c>
      <c r="C26">
        <v>19344</v>
      </c>
      <c r="D26">
        <v>70</v>
      </c>
      <c r="E26">
        <v>15</v>
      </c>
      <c r="F26" t="s">
        <v>48</v>
      </c>
      <c r="G26" t="s">
        <v>48</v>
      </c>
      <c r="H26">
        <v>9</v>
      </c>
      <c r="I26">
        <v>9</v>
      </c>
      <c r="J26">
        <v>2022</v>
      </c>
    </row>
    <row r="27" spans="2:10" x14ac:dyDescent="0.25">
      <c r="B27">
        <v>4325</v>
      </c>
      <c r="C27">
        <v>4586</v>
      </c>
      <c r="D27">
        <v>68</v>
      </c>
      <c r="E27">
        <v>73</v>
      </c>
      <c r="F27" t="s">
        <v>49</v>
      </c>
      <c r="G27" t="s">
        <v>49</v>
      </c>
      <c r="H27">
        <v>8</v>
      </c>
      <c r="I27">
        <v>8</v>
      </c>
      <c r="J27">
        <v>2009</v>
      </c>
    </row>
    <row r="28" spans="2:10" x14ac:dyDescent="0.25">
      <c r="B28">
        <v>4321</v>
      </c>
      <c r="C28">
        <v>4632</v>
      </c>
      <c r="D28">
        <v>68</v>
      </c>
      <c r="E28">
        <v>13</v>
      </c>
      <c r="F28" t="s">
        <v>50</v>
      </c>
      <c r="G28" t="s">
        <v>50</v>
      </c>
      <c r="H28">
        <v>8</v>
      </c>
      <c r="I28">
        <v>8</v>
      </c>
      <c r="J28">
        <v>2009</v>
      </c>
    </row>
    <row r="29" spans="2:10" x14ac:dyDescent="0.25">
      <c r="B29">
        <v>5087</v>
      </c>
      <c r="C29">
        <v>6718</v>
      </c>
      <c r="D29">
        <v>67</v>
      </c>
      <c r="E29">
        <v>32</v>
      </c>
      <c r="F29" t="s">
        <v>51</v>
      </c>
      <c r="G29" t="s">
        <v>51</v>
      </c>
      <c r="H29">
        <v>8</v>
      </c>
      <c r="I29">
        <v>9</v>
      </c>
      <c r="J29">
        <v>2010</v>
      </c>
    </row>
    <row r="30" spans="2:10" x14ac:dyDescent="0.25">
      <c r="B30">
        <v>14035</v>
      </c>
      <c r="C30">
        <v>17897</v>
      </c>
      <c r="D30">
        <v>63</v>
      </c>
      <c r="E30">
        <v>0</v>
      </c>
      <c r="F30" t="s">
        <v>52</v>
      </c>
      <c r="G30" t="s">
        <v>52</v>
      </c>
      <c r="H30">
        <v>8</v>
      </c>
      <c r="I30">
        <v>8</v>
      </c>
      <c r="J30">
        <v>2018</v>
      </c>
    </row>
    <row r="31" spans="2:10" x14ac:dyDescent="0.25">
      <c r="B31">
        <v>4324</v>
      </c>
      <c r="C31">
        <v>4622</v>
      </c>
      <c r="D31">
        <v>57</v>
      </c>
      <c r="E31">
        <v>193</v>
      </c>
      <c r="F31" t="s">
        <v>33</v>
      </c>
      <c r="G31" t="s">
        <v>33</v>
      </c>
      <c r="H31">
        <v>8</v>
      </c>
      <c r="I31">
        <v>8</v>
      </c>
      <c r="J31">
        <v>2009</v>
      </c>
    </row>
    <row r="32" spans="2:10" x14ac:dyDescent="0.25">
      <c r="B32">
        <v>16948</v>
      </c>
      <c r="C32">
        <v>17227</v>
      </c>
      <c r="D32">
        <v>54</v>
      </c>
      <c r="E32">
        <v>294</v>
      </c>
      <c r="F32" t="s">
        <v>53</v>
      </c>
      <c r="G32" t="s">
        <v>54</v>
      </c>
      <c r="H32">
        <v>8</v>
      </c>
      <c r="I32">
        <v>8</v>
      </c>
      <c r="J32">
        <v>2021</v>
      </c>
    </row>
    <row r="33" spans="2:10" x14ac:dyDescent="0.25">
      <c r="B33">
        <v>3517</v>
      </c>
      <c r="C33">
        <v>4110</v>
      </c>
      <c r="D33">
        <v>54</v>
      </c>
      <c r="E33">
        <v>73</v>
      </c>
      <c r="F33" t="s">
        <v>40</v>
      </c>
      <c r="G33" t="s">
        <v>40</v>
      </c>
      <c r="H33">
        <v>8</v>
      </c>
      <c r="I33">
        <v>8</v>
      </c>
      <c r="J33">
        <v>2008</v>
      </c>
    </row>
    <row r="34" spans="2:10" x14ac:dyDescent="0.25">
      <c r="B34">
        <v>19350</v>
      </c>
      <c r="C34">
        <v>22213</v>
      </c>
      <c r="D34">
        <v>44</v>
      </c>
      <c r="E34">
        <v>0</v>
      </c>
      <c r="F34" t="s">
        <v>55</v>
      </c>
      <c r="G34" t="s">
        <v>55</v>
      </c>
      <c r="H34">
        <v>9</v>
      </c>
      <c r="I34">
        <v>9</v>
      </c>
      <c r="J34">
        <v>2022</v>
      </c>
    </row>
    <row r="35" spans="2:10" x14ac:dyDescent="0.25">
      <c r="B35">
        <v>3175</v>
      </c>
      <c r="C35">
        <v>3673</v>
      </c>
      <c r="D35">
        <v>41</v>
      </c>
      <c r="E35">
        <v>63</v>
      </c>
      <c r="F35" t="s">
        <v>56</v>
      </c>
      <c r="G35" t="s">
        <v>56</v>
      </c>
      <c r="H35">
        <v>12</v>
      </c>
      <c r="I35">
        <v>12</v>
      </c>
      <c r="J35">
        <v>2008</v>
      </c>
    </row>
    <row r="36" spans="2:10" x14ac:dyDescent="0.25">
      <c r="B36">
        <v>18272</v>
      </c>
      <c r="C36">
        <v>18514</v>
      </c>
      <c r="D36">
        <v>41</v>
      </c>
      <c r="E36">
        <v>5</v>
      </c>
      <c r="F36" t="s">
        <v>57</v>
      </c>
      <c r="G36" t="s">
        <v>57</v>
      </c>
      <c r="H36">
        <v>8</v>
      </c>
      <c r="I36">
        <v>8</v>
      </c>
      <c r="J36">
        <v>2022</v>
      </c>
    </row>
    <row r="37" spans="2:10" x14ac:dyDescent="0.25">
      <c r="B37">
        <v>12112</v>
      </c>
      <c r="C37">
        <v>14054</v>
      </c>
      <c r="D37">
        <v>38</v>
      </c>
      <c r="E37">
        <v>29</v>
      </c>
      <c r="F37" t="s">
        <v>58</v>
      </c>
      <c r="G37" t="s">
        <v>58</v>
      </c>
      <c r="H37">
        <v>8</v>
      </c>
      <c r="I37">
        <v>8</v>
      </c>
      <c r="J37">
        <v>2015</v>
      </c>
    </row>
    <row r="38" spans="2:10" x14ac:dyDescent="0.25">
      <c r="B38">
        <v>17215</v>
      </c>
      <c r="C38">
        <v>17216</v>
      </c>
      <c r="D38">
        <v>35</v>
      </c>
      <c r="E38">
        <v>1</v>
      </c>
      <c r="F38" t="s">
        <v>59</v>
      </c>
      <c r="G38" t="s">
        <v>59</v>
      </c>
      <c r="H38">
        <v>58</v>
      </c>
      <c r="I38">
        <v>58</v>
      </c>
      <c r="J38">
        <v>2021</v>
      </c>
    </row>
    <row r="39" spans="2:10" x14ac:dyDescent="0.25">
      <c r="B39">
        <v>19986</v>
      </c>
      <c r="C39">
        <v>20363</v>
      </c>
      <c r="D39">
        <v>34</v>
      </c>
      <c r="E39">
        <v>20</v>
      </c>
      <c r="F39" t="s">
        <v>60</v>
      </c>
      <c r="G39" t="s">
        <v>60</v>
      </c>
      <c r="H39">
        <v>8</v>
      </c>
      <c r="I39">
        <v>8</v>
      </c>
      <c r="J39">
        <v>2022</v>
      </c>
    </row>
    <row r="40" spans="2:10" x14ac:dyDescent="0.25">
      <c r="B40">
        <v>15477</v>
      </c>
      <c r="C40">
        <v>17363</v>
      </c>
      <c r="D40">
        <v>34</v>
      </c>
      <c r="E40">
        <v>5</v>
      </c>
      <c r="F40" t="s">
        <v>61</v>
      </c>
      <c r="G40" t="s">
        <v>61</v>
      </c>
      <c r="H40">
        <v>58</v>
      </c>
      <c r="I40">
        <v>58</v>
      </c>
      <c r="J40">
        <v>2018</v>
      </c>
    </row>
    <row r="41" spans="2:10" x14ac:dyDescent="0.25">
      <c r="B41">
        <v>13124</v>
      </c>
      <c r="C41">
        <v>16156</v>
      </c>
      <c r="D41">
        <v>33</v>
      </c>
      <c r="E41">
        <v>45</v>
      </c>
      <c r="F41" t="s">
        <v>62</v>
      </c>
      <c r="G41" t="s">
        <v>62</v>
      </c>
      <c r="H41">
        <v>8</v>
      </c>
      <c r="I41">
        <v>8</v>
      </c>
      <c r="J41">
        <v>2017</v>
      </c>
    </row>
    <row r="42" spans="2:10" x14ac:dyDescent="0.25">
      <c r="B42">
        <v>18260</v>
      </c>
      <c r="C42">
        <v>18786</v>
      </c>
      <c r="D42">
        <v>33</v>
      </c>
      <c r="E42">
        <v>7</v>
      </c>
      <c r="F42" t="s">
        <v>63</v>
      </c>
      <c r="G42" t="s">
        <v>63</v>
      </c>
      <c r="H42">
        <v>9</v>
      </c>
      <c r="I42">
        <v>9</v>
      </c>
      <c r="J42">
        <v>2022</v>
      </c>
    </row>
    <row r="43" spans="2:10" x14ac:dyDescent="0.25">
      <c r="B43">
        <v>18752</v>
      </c>
      <c r="C43">
        <v>22565</v>
      </c>
      <c r="D43">
        <v>33</v>
      </c>
      <c r="E43">
        <v>0</v>
      </c>
      <c r="F43" t="s">
        <v>64</v>
      </c>
      <c r="G43" t="s">
        <v>64</v>
      </c>
      <c r="H43">
        <v>9</v>
      </c>
      <c r="I43">
        <v>9</v>
      </c>
      <c r="J43">
        <v>2022</v>
      </c>
    </row>
    <row r="44" spans="2:10" x14ac:dyDescent="0.25">
      <c r="B44">
        <v>19629</v>
      </c>
      <c r="C44">
        <v>19907</v>
      </c>
      <c r="D44">
        <v>31</v>
      </c>
      <c r="E44">
        <v>1</v>
      </c>
      <c r="F44" t="s">
        <v>65</v>
      </c>
      <c r="G44" t="s">
        <v>65</v>
      </c>
      <c r="H44">
        <v>8</v>
      </c>
      <c r="I44">
        <v>8</v>
      </c>
      <c r="J44">
        <v>2023</v>
      </c>
    </row>
    <row r="45" spans="2:10" x14ac:dyDescent="0.25">
      <c r="B45">
        <v>16947</v>
      </c>
      <c r="C45">
        <v>17053</v>
      </c>
      <c r="D45">
        <v>29</v>
      </c>
      <c r="E45">
        <v>53</v>
      </c>
      <c r="F45" t="s">
        <v>66</v>
      </c>
      <c r="G45" t="s">
        <v>66</v>
      </c>
      <c r="H45">
        <v>8</v>
      </c>
      <c r="I45">
        <v>8</v>
      </c>
      <c r="J45">
        <v>2021</v>
      </c>
    </row>
    <row r="46" spans="2:10" x14ac:dyDescent="0.25">
      <c r="B46">
        <v>4320</v>
      </c>
      <c r="C46">
        <v>5486</v>
      </c>
      <c r="D46">
        <v>29</v>
      </c>
      <c r="E46">
        <v>28</v>
      </c>
      <c r="F46" t="s">
        <v>67</v>
      </c>
      <c r="G46" t="s">
        <v>67</v>
      </c>
      <c r="H46">
        <v>8</v>
      </c>
      <c r="I46">
        <v>8</v>
      </c>
      <c r="J46">
        <v>2009</v>
      </c>
    </row>
    <row r="47" spans="2:10" x14ac:dyDescent="0.25">
      <c r="B47">
        <v>19457</v>
      </c>
      <c r="C47">
        <v>19470</v>
      </c>
      <c r="D47">
        <v>29</v>
      </c>
      <c r="E47">
        <v>16</v>
      </c>
      <c r="F47" t="s">
        <v>68</v>
      </c>
      <c r="G47" t="s">
        <v>68</v>
      </c>
      <c r="H47">
        <v>9</v>
      </c>
      <c r="I47">
        <v>9</v>
      </c>
      <c r="J47">
        <v>2021</v>
      </c>
    </row>
    <row r="48" spans="2:10" x14ac:dyDescent="0.25">
      <c r="B48">
        <v>13147</v>
      </c>
      <c r="C48">
        <v>15296</v>
      </c>
      <c r="D48">
        <v>29</v>
      </c>
      <c r="E48">
        <v>6</v>
      </c>
      <c r="F48" t="s">
        <v>69</v>
      </c>
      <c r="G48" t="s">
        <v>69</v>
      </c>
      <c r="H48">
        <v>9</v>
      </c>
      <c r="I48">
        <v>9</v>
      </c>
      <c r="J48">
        <v>2017</v>
      </c>
    </row>
    <row r="49" spans="2:10" x14ac:dyDescent="0.25">
      <c r="B49">
        <v>14267</v>
      </c>
      <c r="C49">
        <v>14377</v>
      </c>
      <c r="D49">
        <v>29</v>
      </c>
      <c r="E49">
        <v>0</v>
      </c>
      <c r="F49" t="s">
        <v>70</v>
      </c>
      <c r="G49" t="s">
        <v>70</v>
      </c>
      <c r="H49">
        <v>8</v>
      </c>
      <c r="I49">
        <v>8</v>
      </c>
      <c r="J49">
        <v>2019</v>
      </c>
    </row>
    <row r="50" spans="2:10" x14ac:dyDescent="0.25">
      <c r="B50">
        <v>9586</v>
      </c>
      <c r="C50">
        <v>12229</v>
      </c>
      <c r="D50">
        <v>27</v>
      </c>
      <c r="E50">
        <v>2</v>
      </c>
      <c r="F50" t="s">
        <v>71</v>
      </c>
      <c r="G50" t="s">
        <v>71</v>
      </c>
      <c r="H50">
        <v>8</v>
      </c>
      <c r="I50">
        <v>8</v>
      </c>
      <c r="J50">
        <v>2015</v>
      </c>
    </row>
    <row r="51" spans="2:10" x14ac:dyDescent="0.25">
      <c r="B51">
        <v>14338</v>
      </c>
      <c r="C51">
        <v>15490</v>
      </c>
      <c r="D51">
        <v>26</v>
      </c>
      <c r="E51">
        <v>84</v>
      </c>
      <c r="F51" t="s">
        <v>72</v>
      </c>
      <c r="G51" t="s">
        <v>72</v>
      </c>
      <c r="H51">
        <v>58</v>
      </c>
      <c r="I51">
        <v>58</v>
      </c>
      <c r="J51">
        <v>2019</v>
      </c>
    </row>
    <row r="52" spans="2:10" x14ac:dyDescent="0.25">
      <c r="B52">
        <v>6296</v>
      </c>
      <c r="C52">
        <v>6297</v>
      </c>
      <c r="D52">
        <v>25</v>
      </c>
      <c r="E52">
        <v>25</v>
      </c>
      <c r="F52" t="s">
        <v>73</v>
      </c>
      <c r="G52" t="s">
        <v>73</v>
      </c>
      <c r="H52">
        <v>8</v>
      </c>
      <c r="I52">
        <v>8</v>
      </c>
      <c r="J52">
        <v>2011</v>
      </c>
    </row>
    <row r="53" spans="2:10" x14ac:dyDescent="0.25">
      <c r="B53">
        <v>17025</v>
      </c>
      <c r="C53">
        <v>22408</v>
      </c>
      <c r="D53">
        <v>23</v>
      </c>
      <c r="E53">
        <v>1</v>
      </c>
      <c r="F53" t="s">
        <v>74</v>
      </c>
      <c r="G53" t="s">
        <v>74</v>
      </c>
      <c r="H53">
        <v>9</v>
      </c>
      <c r="I53">
        <v>9</v>
      </c>
      <c r="J53">
        <v>2020</v>
      </c>
    </row>
    <row r="54" spans="2:10" x14ac:dyDescent="0.25">
      <c r="B54">
        <v>13402</v>
      </c>
      <c r="C54">
        <v>22358</v>
      </c>
      <c r="D54">
        <v>23</v>
      </c>
      <c r="E54">
        <v>0</v>
      </c>
      <c r="F54" t="s">
        <v>75</v>
      </c>
      <c r="G54" t="s">
        <v>76</v>
      </c>
      <c r="H54">
        <v>8</v>
      </c>
      <c r="I54">
        <v>8</v>
      </c>
      <c r="J54">
        <v>2017</v>
      </c>
    </row>
    <row r="55" spans="2:10" x14ac:dyDescent="0.25">
      <c r="B55">
        <v>17191</v>
      </c>
      <c r="C55">
        <v>18609</v>
      </c>
      <c r="D55">
        <v>22</v>
      </c>
      <c r="E55">
        <v>389</v>
      </c>
      <c r="F55" t="s">
        <v>77</v>
      </c>
      <c r="G55" t="s">
        <v>77</v>
      </c>
      <c r="H55">
        <v>8</v>
      </c>
      <c r="I55">
        <v>8</v>
      </c>
      <c r="J55">
        <v>2021</v>
      </c>
    </row>
    <row r="56" spans="2:10" x14ac:dyDescent="0.25">
      <c r="B56">
        <v>14301</v>
      </c>
      <c r="C56">
        <v>14936</v>
      </c>
      <c r="D56">
        <v>22</v>
      </c>
      <c r="E56">
        <v>0</v>
      </c>
      <c r="F56" t="s">
        <v>78</v>
      </c>
      <c r="G56" t="s">
        <v>78</v>
      </c>
      <c r="H56">
        <v>8</v>
      </c>
      <c r="I56">
        <v>8</v>
      </c>
      <c r="J56">
        <v>2019</v>
      </c>
    </row>
    <row r="57" spans="2:10" x14ac:dyDescent="0.25">
      <c r="B57">
        <v>6068</v>
      </c>
      <c r="C57">
        <v>6078</v>
      </c>
      <c r="D57">
        <v>21</v>
      </c>
      <c r="E57">
        <v>104</v>
      </c>
      <c r="F57" t="s">
        <v>79</v>
      </c>
      <c r="G57" t="s">
        <v>79</v>
      </c>
      <c r="H57">
        <v>8</v>
      </c>
      <c r="I57">
        <v>8</v>
      </c>
      <c r="J57">
        <v>2011</v>
      </c>
    </row>
    <row r="58" spans="2:10" x14ac:dyDescent="0.25">
      <c r="B58">
        <v>13145</v>
      </c>
      <c r="C58">
        <v>14358</v>
      </c>
      <c r="D58">
        <v>21</v>
      </c>
      <c r="E58">
        <v>2</v>
      </c>
      <c r="F58" t="s">
        <v>80</v>
      </c>
      <c r="G58" t="s">
        <v>80</v>
      </c>
      <c r="H58">
        <v>9</v>
      </c>
      <c r="I58">
        <v>9</v>
      </c>
      <c r="J58">
        <v>2017</v>
      </c>
    </row>
    <row r="59" spans="2:10" x14ac:dyDescent="0.25">
      <c r="B59">
        <v>1002</v>
      </c>
      <c r="C59">
        <v>1012</v>
      </c>
      <c r="D59">
        <v>19</v>
      </c>
      <c r="E59">
        <v>19</v>
      </c>
      <c r="F59" t="s">
        <v>81</v>
      </c>
      <c r="G59" t="s">
        <v>81</v>
      </c>
      <c r="H59">
        <v>12</v>
      </c>
      <c r="I59">
        <v>12</v>
      </c>
      <c r="J59">
        <v>1999</v>
      </c>
    </row>
    <row r="60" spans="2:10" x14ac:dyDescent="0.25">
      <c r="B60">
        <v>4326</v>
      </c>
      <c r="C60">
        <v>5723</v>
      </c>
      <c r="D60">
        <v>18</v>
      </c>
      <c r="E60">
        <v>19</v>
      </c>
      <c r="F60" t="s">
        <v>82</v>
      </c>
      <c r="G60" t="s">
        <v>82</v>
      </c>
      <c r="H60">
        <v>8</v>
      </c>
      <c r="I60">
        <v>8</v>
      </c>
      <c r="J60">
        <v>2009</v>
      </c>
    </row>
    <row r="61" spans="2:10" x14ac:dyDescent="0.25">
      <c r="B61">
        <v>16419</v>
      </c>
      <c r="C61">
        <v>17810</v>
      </c>
      <c r="D61">
        <v>17</v>
      </c>
      <c r="E61">
        <v>25</v>
      </c>
      <c r="F61" t="s">
        <v>83</v>
      </c>
      <c r="G61" t="s">
        <v>83</v>
      </c>
      <c r="H61">
        <v>9</v>
      </c>
      <c r="I61">
        <v>9</v>
      </c>
      <c r="J61">
        <v>2020</v>
      </c>
    </row>
    <row r="62" spans="2:10" x14ac:dyDescent="0.25">
      <c r="B62">
        <v>13144</v>
      </c>
      <c r="C62">
        <v>15430</v>
      </c>
      <c r="D62">
        <v>16</v>
      </c>
      <c r="E62">
        <v>16</v>
      </c>
      <c r="F62" t="s">
        <v>84</v>
      </c>
      <c r="G62" t="s">
        <v>84</v>
      </c>
      <c r="H62">
        <v>8</v>
      </c>
      <c r="I62">
        <v>8</v>
      </c>
      <c r="J62">
        <v>2016</v>
      </c>
    </row>
    <row r="63" spans="2:10" x14ac:dyDescent="0.25">
      <c r="B63">
        <v>6104</v>
      </c>
      <c r="C63">
        <v>6157</v>
      </c>
      <c r="D63">
        <v>15</v>
      </c>
      <c r="E63">
        <v>190</v>
      </c>
      <c r="F63" t="s">
        <v>85</v>
      </c>
      <c r="G63" t="s">
        <v>85</v>
      </c>
      <c r="H63">
        <v>8</v>
      </c>
      <c r="I63">
        <v>8</v>
      </c>
      <c r="J63">
        <v>2011</v>
      </c>
    </row>
    <row r="64" spans="2:10" x14ac:dyDescent="0.25">
      <c r="B64">
        <v>20516</v>
      </c>
      <c r="C64">
        <v>20641</v>
      </c>
      <c r="D64">
        <v>15</v>
      </c>
      <c r="E64">
        <v>74</v>
      </c>
      <c r="F64" t="s">
        <v>86</v>
      </c>
      <c r="G64" t="s">
        <v>86</v>
      </c>
      <c r="H64">
        <v>8</v>
      </c>
      <c r="I64">
        <v>8</v>
      </c>
      <c r="J64">
        <v>2024</v>
      </c>
    </row>
    <row r="65" spans="2:10" x14ac:dyDescent="0.25">
      <c r="B65">
        <v>14662</v>
      </c>
      <c r="C65">
        <v>18214</v>
      </c>
      <c r="D65">
        <v>15</v>
      </c>
      <c r="E65">
        <v>2</v>
      </c>
      <c r="F65" t="s">
        <v>87</v>
      </c>
      <c r="G65" t="s">
        <v>87</v>
      </c>
      <c r="H65">
        <v>11</v>
      </c>
      <c r="I65">
        <v>11</v>
      </c>
      <c r="J65">
        <v>2019</v>
      </c>
    </row>
    <row r="66" spans="2:10" x14ac:dyDescent="0.25">
      <c r="B66">
        <v>17739</v>
      </c>
      <c r="C66">
        <v>17898</v>
      </c>
      <c r="D66">
        <v>14</v>
      </c>
      <c r="E66">
        <v>2</v>
      </c>
      <c r="F66" t="s">
        <v>52</v>
      </c>
      <c r="G66" t="s">
        <v>52</v>
      </c>
      <c r="H66">
        <v>8</v>
      </c>
      <c r="I66">
        <v>8</v>
      </c>
      <c r="J66">
        <v>2021</v>
      </c>
    </row>
    <row r="67" spans="2:10" x14ac:dyDescent="0.25">
      <c r="B67">
        <v>18691</v>
      </c>
      <c r="C67">
        <v>18751</v>
      </c>
      <c r="D67">
        <v>13</v>
      </c>
      <c r="E67">
        <v>51</v>
      </c>
      <c r="F67" t="s">
        <v>88</v>
      </c>
      <c r="G67" t="s">
        <v>88</v>
      </c>
      <c r="H67">
        <v>9</v>
      </c>
      <c r="I67">
        <v>9</v>
      </c>
      <c r="J67">
        <v>2022</v>
      </c>
    </row>
    <row r="68" spans="2:10" x14ac:dyDescent="0.25">
      <c r="B68">
        <v>16959</v>
      </c>
      <c r="C68">
        <v>17342</v>
      </c>
      <c r="D68">
        <v>13</v>
      </c>
      <c r="E68">
        <v>7</v>
      </c>
      <c r="F68" t="s">
        <v>89</v>
      </c>
      <c r="G68" t="s">
        <v>89</v>
      </c>
      <c r="H68">
        <v>8</v>
      </c>
      <c r="I68">
        <v>8</v>
      </c>
      <c r="J68">
        <v>2021</v>
      </c>
    </row>
    <row r="69" spans="2:10" x14ac:dyDescent="0.25">
      <c r="B69">
        <v>16974</v>
      </c>
      <c r="C69">
        <v>20990</v>
      </c>
      <c r="D69">
        <v>13</v>
      </c>
      <c r="E69">
        <v>0</v>
      </c>
      <c r="F69" t="s">
        <v>90</v>
      </c>
      <c r="G69" t="s">
        <v>90</v>
      </c>
      <c r="H69">
        <v>-2</v>
      </c>
      <c r="I69">
        <v>12</v>
      </c>
      <c r="J69">
        <v>2021</v>
      </c>
    </row>
    <row r="70" spans="2:10" x14ac:dyDescent="0.25">
      <c r="B70">
        <v>17190</v>
      </c>
      <c r="C70">
        <v>18061</v>
      </c>
      <c r="D70">
        <v>10</v>
      </c>
      <c r="E70">
        <v>99</v>
      </c>
      <c r="F70" t="s">
        <v>91</v>
      </c>
      <c r="G70" t="s">
        <v>91</v>
      </c>
      <c r="H70">
        <v>8</v>
      </c>
      <c r="I70">
        <v>8</v>
      </c>
      <c r="J70">
        <v>2021</v>
      </c>
    </row>
    <row r="71" spans="2:10" x14ac:dyDescent="0.25">
      <c r="B71">
        <v>16946</v>
      </c>
      <c r="C71">
        <v>17054</v>
      </c>
      <c r="D71">
        <v>10</v>
      </c>
      <c r="E71">
        <v>9</v>
      </c>
      <c r="F71" t="s">
        <v>92</v>
      </c>
      <c r="G71" t="s">
        <v>92</v>
      </c>
      <c r="H71">
        <v>8</v>
      </c>
      <c r="I71">
        <v>8</v>
      </c>
      <c r="J71">
        <v>2021</v>
      </c>
    </row>
    <row r="72" spans="2:10" x14ac:dyDescent="0.25">
      <c r="B72">
        <v>17558</v>
      </c>
      <c r="C72">
        <v>17923</v>
      </c>
      <c r="D72">
        <v>9</v>
      </c>
      <c r="E72">
        <v>106</v>
      </c>
      <c r="F72" t="s">
        <v>64</v>
      </c>
      <c r="G72" t="s">
        <v>64</v>
      </c>
      <c r="H72">
        <v>9</v>
      </c>
      <c r="I72">
        <v>8</v>
      </c>
      <c r="J72">
        <v>2021</v>
      </c>
    </row>
    <row r="73" spans="2:10" x14ac:dyDescent="0.25">
      <c r="B73">
        <v>15040</v>
      </c>
      <c r="C73">
        <v>15047</v>
      </c>
      <c r="D73">
        <v>9</v>
      </c>
      <c r="E73">
        <v>54</v>
      </c>
      <c r="F73" t="s">
        <v>93</v>
      </c>
      <c r="G73" t="s">
        <v>93</v>
      </c>
      <c r="H73">
        <v>8</v>
      </c>
      <c r="I73">
        <v>8</v>
      </c>
      <c r="J73">
        <v>2020</v>
      </c>
    </row>
    <row r="74" spans="2:10" x14ac:dyDescent="0.25">
      <c r="B74">
        <v>20272</v>
      </c>
      <c r="C74">
        <v>20718</v>
      </c>
      <c r="D74">
        <v>8</v>
      </c>
      <c r="E74">
        <v>5</v>
      </c>
      <c r="F74" t="s">
        <v>94</v>
      </c>
      <c r="G74" t="s">
        <v>94</v>
      </c>
      <c r="H74">
        <v>8</v>
      </c>
      <c r="I74">
        <v>8</v>
      </c>
      <c r="J74">
        <v>2023</v>
      </c>
    </row>
    <row r="75" spans="2:10" x14ac:dyDescent="0.25">
      <c r="B75">
        <v>20781</v>
      </c>
      <c r="C75">
        <v>22663</v>
      </c>
      <c r="D75">
        <v>7</v>
      </c>
      <c r="E75">
        <v>1</v>
      </c>
      <c r="F75" t="s">
        <v>95</v>
      </c>
      <c r="G75" t="s">
        <v>95</v>
      </c>
      <c r="H75">
        <v>53</v>
      </c>
      <c r="I75">
        <v>10</v>
      </c>
      <c r="J75">
        <v>2024</v>
      </c>
    </row>
    <row r="76" spans="2:10" x14ac:dyDescent="0.25">
      <c r="B76">
        <v>4319</v>
      </c>
      <c r="C76">
        <v>4633</v>
      </c>
      <c r="D76">
        <v>6</v>
      </c>
      <c r="E76">
        <v>13</v>
      </c>
      <c r="F76" t="s">
        <v>96</v>
      </c>
      <c r="G76" t="s">
        <v>96</v>
      </c>
      <c r="H76">
        <v>8</v>
      </c>
      <c r="I76">
        <v>8</v>
      </c>
      <c r="J76">
        <v>2009</v>
      </c>
    </row>
    <row r="77" spans="2:10" x14ac:dyDescent="0.25">
      <c r="B77">
        <v>2806</v>
      </c>
      <c r="C77">
        <v>21158</v>
      </c>
      <c r="D77">
        <v>6</v>
      </c>
      <c r="E77">
        <v>3</v>
      </c>
      <c r="F77" t="s">
        <v>97</v>
      </c>
      <c r="G77" t="s">
        <v>97</v>
      </c>
      <c r="H77">
        <v>8</v>
      </c>
      <c r="I77">
        <v>8</v>
      </c>
      <c r="J77">
        <v>2006</v>
      </c>
    </row>
    <row r="78" spans="2:10" x14ac:dyDescent="0.25">
      <c r="B78">
        <v>36</v>
      </c>
      <c r="C78">
        <v>191</v>
      </c>
      <c r="D78">
        <v>6</v>
      </c>
      <c r="E78">
        <v>2</v>
      </c>
      <c r="F78" t="s">
        <v>98</v>
      </c>
      <c r="G78" t="s">
        <v>98</v>
      </c>
      <c r="H78">
        <v>12</v>
      </c>
      <c r="I78">
        <v>12</v>
      </c>
      <c r="J78">
        <v>1997</v>
      </c>
    </row>
    <row r="79" spans="2:10" x14ac:dyDescent="0.25">
      <c r="B79">
        <v>13449</v>
      </c>
      <c r="C79">
        <v>13947</v>
      </c>
      <c r="D79">
        <v>5</v>
      </c>
      <c r="E79">
        <v>43</v>
      </c>
      <c r="F79" t="s">
        <v>99</v>
      </c>
      <c r="G79" t="s">
        <v>99</v>
      </c>
      <c r="H79">
        <v>11</v>
      </c>
      <c r="I79">
        <v>11</v>
      </c>
      <c r="J79">
        <v>2017</v>
      </c>
    </row>
    <row r="80" spans="2:10" x14ac:dyDescent="0.25">
      <c r="B80">
        <v>16237</v>
      </c>
      <c r="C80">
        <v>16383</v>
      </c>
      <c r="D80">
        <v>4</v>
      </c>
      <c r="E80">
        <v>0</v>
      </c>
      <c r="F80" t="s">
        <v>100</v>
      </c>
      <c r="G80" t="s">
        <v>100</v>
      </c>
      <c r="H80">
        <v>11</v>
      </c>
      <c r="I80">
        <v>11</v>
      </c>
      <c r="J80">
        <v>2020</v>
      </c>
    </row>
    <row r="81" spans="2:10" x14ac:dyDescent="0.25">
      <c r="B81">
        <v>10850</v>
      </c>
      <c r="C81">
        <v>18670</v>
      </c>
      <c r="D81">
        <v>4</v>
      </c>
      <c r="E81">
        <v>0</v>
      </c>
      <c r="F81" t="s">
        <v>101</v>
      </c>
      <c r="G81" t="s">
        <v>101</v>
      </c>
      <c r="H81">
        <v>-2</v>
      </c>
      <c r="I81">
        <v>12</v>
      </c>
      <c r="J81">
        <v>2014</v>
      </c>
    </row>
    <row r="82" spans="2:10" x14ac:dyDescent="0.25">
      <c r="B82">
        <v>20561</v>
      </c>
      <c r="C82">
        <v>20642</v>
      </c>
      <c r="D82">
        <v>3</v>
      </c>
      <c r="E82">
        <v>21</v>
      </c>
      <c r="F82" t="s">
        <v>102</v>
      </c>
      <c r="G82" t="s">
        <v>102</v>
      </c>
      <c r="H82">
        <v>8</v>
      </c>
      <c r="I82">
        <v>8</v>
      </c>
      <c r="J82">
        <v>2024</v>
      </c>
    </row>
    <row r="83" spans="2:10" x14ac:dyDescent="0.25">
      <c r="B83">
        <v>15187</v>
      </c>
      <c r="C83">
        <v>16418</v>
      </c>
      <c r="D83">
        <v>3</v>
      </c>
      <c r="E83">
        <v>3</v>
      </c>
      <c r="F83" t="s">
        <v>103</v>
      </c>
      <c r="G83" t="s">
        <v>103</v>
      </c>
      <c r="H83">
        <v>9</v>
      </c>
      <c r="I83">
        <v>9</v>
      </c>
      <c r="J83">
        <v>2020</v>
      </c>
    </row>
    <row r="84" spans="2:10" x14ac:dyDescent="0.25">
      <c r="B84">
        <v>14805</v>
      </c>
      <c r="C84">
        <v>14935</v>
      </c>
      <c r="D84">
        <v>3</v>
      </c>
      <c r="E84">
        <v>1</v>
      </c>
      <c r="F84" t="s">
        <v>27</v>
      </c>
      <c r="G84" t="s">
        <v>27</v>
      </c>
      <c r="H84">
        <v>8</v>
      </c>
      <c r="I84">
        <v>8</v>
      </c>
      <c r="J84">
        <v>2019</v>
      </c>
    </row>
    <row r="85" spans="2:10" x14ac:dyDescent="0.25">
      <c r="B85">
        <v>18337</v>
      </c>
      <c r="C85">
        <v>18472</v>
      </c>
      <c r="D85">
        <v>2</v>
      </c>
      <c r="E85">
        <v>2</v>
      </c>
      <c r="F85" t="s">
        <v>104</v>
      </c>
      <c r="G85" t="s">
        <v>105</v>
      </c>
      <c r="H85">
        <v>12</v>
      </c>
      <c r="I85">
        <v>11</v>
      </c>
      <c r="J85">
        <v>2022</v>
      </c>
    </row>
    <row r="86" spans="2:10" x14ac:dyDescent="0.25">
      <c r="B86">
        <v>1007</v>
      </c>
      <c r="C86">
        <v>22015</v>
      </c>
      <c r="D86">
        <v>2</v>
      </c>
      <c r="E86">
        <v>1</v>
      </c>
      <c r="F86" t="s">
        <v>106</v>
      </c>
      <c r="G86" t="s">
        <v>106</v>
      </c>
      <c r="H86">
        <v>12</v>
      </c>
      <c r="I86">
        <v>11</v>
      </c>
      <c r="J86">
        <v>2002</v>
      </c>
    </row>
    <row r="87" spans="2:10" x14ac:dyDescent="0.25">
      <c r="B87">
        <v>3009</v>
      </c>
      <c r="C87">
        <v>6384</v>
      </c>
      <c r="D87">
        <v>2</v>
      </c>
      <c r="E87">
        <v>0</v>
      </c>
      <c r="F87" t="s">
        <v>107</v>
      </c>
      <c r="G87" t="s">
        <v>107</v>
      </c>
      <c r="H87">
        <v>12</v>
      </c>
      <c r="I87">
        <v>-2</v>
      </c>
      <c r="J87">
        <v>2004</v>
      </c>
    </row>
    <row r="88" spans="2:10" x14ac:dyDescent="0.25">
      <c r="B88">
        <v>14946</v>
      </c>
      <c r="C88">
        <v>17874</v>
      </c>
      <c r="D88">
        <v>1</v>
      </c>
      <c r="E88">
        <v>32</v>
      </c>
      <c r="F88" t="s">
        <v>108</v>
      </c>
      <c r="G88" t="s">
        <v>108</v>
      </c>
      <c r="H88">
        <v>8</v>
      </c>
      <c r="I88">
        <v>8</v>
      </c>
      <c r="J88">
        <v>2019</v>
      </c>
    </row>
    <row r="89" spans="2:10" x14ac:dyDescent="0.25">
      <c r="B89">
        <v>12727</v>
      </c>
      <c r="C89">
        <v>19101</v>
      </c>
      <c r="D89">
        <v>1</v>
      </c>
      <c r="E89">
        <v>0</v>
      </c>
      <c r="F89" t="s">
        <v>109</v>
      </c>
      <c r="G89" t="s">
        <v>109</v>
      </c>
      <c r="H89">
        <v>8</v>
      </c>
      <c r="I89">
        <v>8</v>
      </c>
      <c r="J89">
        <v>1996</v>
      </c>
    </row>
    <row r="90" spans="2:10" x14ac:dyDescent="0.25">
      <c r="B90">
        <v>19587</v>
      </c>
      <c r="C90">
        <v>19943</v>
      </c>
      <c r="D90">
        <v>0</v>
      </c>
      <c r="E90">
        <v>37</v>
      </c>
      <c r="F90" t="s">
        <v>110</v>
      </c>
      <c r="G90" t="s">
        <v>110</v>
      </c>
      <c r="H90">
        <v>9</v>
      </c>
      <c r="I90">
        <v>9</v>
      </c>
      <c r="J90">
        <v>2021</v>
      </c>
    </row>
    <row r="91" spans="2:10" x14ac:dyDescent="0.25">
      <c r="B91">
        <v>17521</v>
      </c>
      <c r="C91">
        <v>17861</v>
      </c>
      <c r="D91">
        <v>0</v>
      </c>
      <c r="E91">
        <v>18</v>
      </c>
      <c r="F91" t="s">
        <v>111</v>
      </c>
      <c r="G91" t="s">
        <v>111</v>
      </c>
      <c r="H91">
        <v>8</v>
      </c>
      <c r="I91">
        <v>8</v>
      </c>
      <c r="J91">
        <v>2021</v>
      </c>
    </row>
    <row r="92" spans="2:10" x14ac:dyDescent="0.25">
      <c r="B92">
        <v>7441</v>
      </c>
      <c r="C92">
        <v>15322</v>
      </c>
      <c r="D92">
        <v>0</v>
      </c>
      <c r="E92">
        <v>9</v>
      </c>
      <c r="F92" t="s">
        <v>112</v>
      </c>
      <c r="G92" t="s">
        <v>112</v>
      </c>
      <c r="H92">
        <v>8</v>
      </c>
      <c r="I92">
        <v>8</v>
      </c>
      <c r="J92">
        <v>2013</v>
      </c>
    </row>
    <row r="93" spans="2:10" x14ac:dyDescent="0.25">
      <c r="B93">
        <v>20533</v>
      </c>
      <c r="C93">
        <v>21481</v>
      </c>
      <c r="D93">
        <v>0</v>
      </c>
      <c r="E93">
        <v>4</v>
      </c>
      <c r="F93" t="s">
        <v>113</v>
      </c>
      <c r="G93" t="s">
        <v>113</v>
      </c>
      <c r="H93">
        <v>9</v>
      </c>
      <c r="I93">
        <v>9</v>
      </c>
      <c r="J93">
        <v>2024</v>
      </c>
    </row>
    <row r="94" spans="2:10" x14ac:dyDescent="0.25">
      <c r="B94">
        <v>5769</v>
      </c>
      <c r="C94">
        <v>5777</v>
      </c>
      <c r="D94">
        <v>0</v>
      </c>
      <c r="E94">
        <v>1</v>
      </c>
      <c r="F94" t="s">
        <v>114</v>
      </c>
      <c r="G94" t="s">
        <v>114</v>
      </c>
      <c r="H94">
        <v>8</v>
      </c>
      <c r="I94">
        <v>8</v>
      </c>
      <c r="J94">
        <v>2010</v>
      </c>
    </row>
    <row r="95" spans="2:10" x14ac:dyDescent="0.25">
      <c r="B95">
        <v>4315</v>
      </c>
      <c r="C95">
        <v>4316</v>
      </c>
      <c r="D95">
        <v>0</v>
      </c>
      <c r="E95">
        <v>1</v>
      </c>
      <c r="F95" t="s">
        <v>115</v>
      </c>
      <c r="G95" t="s">
        <v>115</v>
      </c>
      <c r="H95">
        <v>-2</v>
      </c>
      <c r="I95">
        <v>0</v>
      </c>
      <c r="J95">
        <v>2009</v>
      </c>
    </row>
    <row r="96" spans="2:10" x14ac:dyDescent="0.25">
      <c r="B96">
        <v>5771</v>
      </c>
      <c r="C96">
        <v>5779</v>
      </c>
      <c r="D96">
        <v>0</v>
      </c>
      <c r="E96">
        <v>0</v>
      </c>
      <c r="F96" t="s">
        <v>116</v>
      </c>
      <c r="G96" t="s">
        <v>116</v>
      </c>
      <c r="H96">
        <v>8</v>
      </c>
      <c r="I96">
        <v>8</v>
      </c>
      <c r="J96">
        <v>2010</v>
      </c>
    </row>
    <row r="97" spans="2:10" x14ac:dyDescent="0.25">
      <c r="B97">
        <v>2592</v>
      </c>
      <c r="C97">
        <v>2986</v>
      </c>
      <c r="D97">
        <v>0</v>
      </c>
      <c r="E97">
        <v>0</v>
      </c>
      <c r="F97" t="s">
        <v>117</v>
      </c>
      <c r="G97" t="s">
        <v>117</v>
      </c>
      <c r="H97">
        <v>12</v>
      </c>
      <c r="I97">
        <v>12</v>
      </c>
      <c r="J97">
        <v>2005</v>
      </c>
    </row>
    <row r="98" spans="2:10" x14ac:dyDescent="0.25">
      <c r="B98">
        <v>6381</v>
      </c>
      <c r="C98">
        <v>6385</v>
      </c>
      <c r="D98">
        <v>0</v>
      </c>
      <c r="E98">
        <v>0</v>
      </c>
      <c r="F98" t="s">
        <v>118</v>
      </c>
      <c r="G98" t="s">
        <v>118</v>
      </c>
      <c r="H98">
        <v>-2</v>
      </c>
      <c r="I98">
        <v>11</v>
      </c>
      <c r="J98">
        <v>2004</v>
      </c>
    </row>
    <row r="99" spans="2:10" x14ac:dyDescent="0.25">
      <c r="B99">
        <v>11040</v>
      </c>
      <c r="C99">
        <v>11043</v>
      </c>
      <c r="D99">
        <v>0</v>
      </c>
      <c r="E99">
        <v>0</v>
      </c>
      <c r="F99" t="s">
        <v>119</v>
      </c>
      <c r="G99" t="s">
        <v>119</v>
      </c>
      <c r="H99">
        <v>21</v>
      </c>
      <c r="I99">
        <v>12</v>
      </c>
      <c r="J99">
        <v>2014</v>
      </c>
    </row>
    <row r="100" spans="2:10" x14ac:dyDescent="0.25">
      <c r="B100">
        <v>21760</v>
      </c>
      <c r="C100">
        <v>21762</v>
      </c>
      <c r="D100">
        <v>0</v>
      </c>
      <c r="E100">
        <v>0</v>
      </c>
      <c r="F100" t="s">
        <v>120</v>
      </c>
      <c r="G100" t="s">
        <v>120</v>
      </c>
      <c r="H100">
        <v>9</v>
      </c>
      <c r="I100">
        <v>9</v>
      </c>
      <c r="J100">
        <v>2025</v>
      </c>
    </row>
    <row r="101" spans="2:10" x14ac:dyDescent="0.25">
      <c r="B101">
        <v>22004</v>
      </c>
      <c r="C101">
        <v>22689</v>
      </c>
      <c r="D101">
        <v>0</v>
      </c>
      <c r="E101">
        <v>0</v>
      </c>
      <c r="F101" t="s">
        <v>121</v>
      </c>
      <c r="G101" t="s">
        <v>121</v>
      </c>
      <c r="H101">
        <v>11</v>
      </c>
      <c r="I101">
        <v>11</v>
      </c>
      <c r="J101">
        <v>2022</v>
      </c>
    </row>
  </sheetData>
  <autoFilter ref="B1:J1" xr:uid="{68C1AD67-1877-46C9-84AB-49CB9D6B2C6B}">
    <sortState xmlns:xlrd2="http://schemas.microsoft.com/office/spreadsheetml/2017/richdata2" ref="B2:J101">
      <sortCondition descending="1" ref="D1"/>
    </sortState>
  </autoFilter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742F8BD-C0B2-4C05-821C-B5D4C083783C}">
  <sheetPr codeName="Sheet4"/>
  <dimension ref="B1:R201"/>
  <sheetViews>
    <sheetView topLeftCell="E1" zoomScale="85" zoomScaleNormal="85" workbookViewId="0">
      <selection activeCell="O9" sqref="O9"/>
    </sheetView>
  </sheetViews>
  <sheetFormatPr defaultRowHeight="15.75" outlineLevelCol="1" x14ac:dyDescent="0.25"/>
  <cols>
    <col min="2" max="2" width="12.140625" customWidth="1" outlineLevel="1"/>
    <col min="3" max="3" width="11.28515625" bestFit="1" customWidth="1" outlineLevel="1"/>
    <col min="4" max="4" width="12.7109375" bestFit="1" customWidth="1" outlineLevel="1"/>
    <col min="5" max="5" width="11.85546875" customWidth="1" outlineLevel="1"/>
    <col min="6" max="6" width="16.85546875" hidden="1" customWidth="1" outlineLevel="1"/>
    <col min="7" max="7" width="17.28515625" hidden="1" customWidth="1" outlineLevel="1"/>
    <col min="8" max="8" width="16.85546875" style="15" customWidth="1"/>
    <col min="9" max="9" width="9" bestFit="1" customWidth="1"/>
    <col min="10" max="10" width="12.7109375" customWidth="1"/>
    <col min="11" max="11" width="9.7109375" customWidth="1"/>
    <col min="12" max="12" width="36.85546875" style="15" bestFit="1" customWidth="1"/>
    <col min="13" max="13" width="23.85546875" bestFit="1" customWidth="1"/>
    <col min="14" max="14" width="62.42578125" style="19" bestFit="1" customWidth="1"/>
    <col min="15" max="15" width="40.28515625" customWidth="1"/>
    <col min="16" max="16" width="4.5703125" customWidth="1"/>
    <col min="17" max="17" width="4" customWidth="1"/>
    <col min="18" max="18" width="13.140625" bestFit="1" customWidth="1"/>
  </cols>
  <sheetData>
    <row r="1" spans="2:18" ht="77.25" customHeight="1" x14ac:dyDescent="0.25">
      <c r="B1" s="16" t="s">
        <v>14</v>
      </c>
      <c r="C1" s="16" t="s">
        <v>15</v>
      </c>
      <c r="D1" s="16" t="s">
        <v>16</v>
      </c>
      <c r="E1" s="16" t="s">
        <v>17</v>
      </c>
      <c r="F1" s="16" t="s">
        <v>20</v>
      </c>
      <c r="G1" s="16" t="s">
        <v>21</v>
      </c>
      <c r="H1" s="18" t="s">
        <v>19</v>
      </c>
      <c r="I1" s="17" t="s">
        <v>125</v>
      </c>
      <c r="J1" s="17" t="s">
        <v>1</v>
      </c>
      <c r="K1" s="23" t="s">
        <v>157</v>
      </c>
      <c r="L1" s="18" t="s">
        <v>18</v>
      </c>
      <c r="M1" s="17" t="s">
        <v>22</v>
      </c>
      <c r="N1" s="17" t="s">
        <v>126</v>
      </c>
      <c r="O1" t="s">
        <v>10</v>
      </c>
      <c r="P1" t="s">
        <v>127</v>
      </c>
      <c r="Q1" t="s">
        <v>128</v>
      </c>
      <c r="R1" s="6" t="s">
        <v>129</v>
      </c>
    </row>
    <row r="2" spans="2:18" x14ac:dyDescent="0.25">
      <c r="B2" s="11">
        <v>17746</v>
      </c>
      <c r="C2" s="11"/>
      <c r="D2" s="11">
        <v>240</v>
      </c>
      <c r="E2" s="11">
        <v>476</v>
      </c>
      <c r="F2" s="11">
        <v>8</v>
      </c>
      <c r="G2" s="11">
        <v>8</v>
      </c>
      <c r="H2" s="13" t="s">
        <v>28</v>
      </c>
      <c r="I2" s="11">
        <v>1</v>
      </c>
      <c r="J2" s="11" t="str">
        <f>_xlfn.CONCAT(B2:C2)</f>
        <v>17746</v>
      </c>
      <c r="K2" s="11">
        <f>D2+E2</f>
        <v>716</v>
      </c>
      <c r="L2" s="13" t="s">
        <v>28</v>
      </c>
      <c r="M2" s="11">
        <v>2021</v>
      </c>
      <c r="N2" s="19" t="str">
        <f>_xlfn.CONCAT(Sailstats!$F$1,J2)</f>
        <v>https://www.gps-speedsurfing.com/mypage/sailstats?id=17746</v>
      </c>
      <c r="O2" s="1" t="str">
        <f>HYPERLINK(_xlfn.CONCAT(Sailstats!$F$1,J2),L2)</f>
        <v>Mach 4 7.0</v>
      </c>
      <c r="P2" t="b">
        <f>IF(D2-E2&gt;=0,TRUE,FALSE)</f>
        <v>0</v>
      </c>
      <c r="Q2" t="b">
        <f>IF(B2&lt;&gt;"",TRUE,FALSE)</f>
        <v>1</v>
      </c>
      <c r="R2" t="b">
        <f>NOT(_xlfn.XOR(P2,Q2))</f>
        <v>0</v>
      </c>
    </row>
    <row r="3" spans="2:18" x14ac:dyDescent="0.25">
      <c r="B3" s="12"/>
      <c r="C3" s="12">
        <v>19883</v>
      </c>
      <c r="D3" s="20">
        <v>240</v>
      </c>
      <c r="E3" s="20">
        <v>476</v>
      </c>
      <c r="F3" s="12">
        <v>8</v>
      </c>
      <c r="G3" s="12">
        <v>8</v>
      </c>
      <c r="H3" s="14" t="s">
        <v>28</v>
      </c>
      <c r="I3" s="12">
        <v>2</v>
      </c>
      <c r="J3" s="21" t="str">
        <f>_xlfn.CONCAT(B3:C3)</f>
        <v>19883</v>
      </c>
      <c r="K3" s="22">
        <f>D3+E3</f>
        <v>716</v>
      </c>
      <c r="L3" s="14" t="s">
        <v>28</v>
      </c>
      <c r="M3" s="12">
        <v>2021</v>
      </c>
      <c r="N3" s="19" t="str">
        <f>_xlfn.CONCAT(Sailstats!$F$1,J3)</f>
        <v>https://www.gps-speedsurfing.com/mypage/sailstats?id=19883</v>
      </c>
      <c r="O3" s="1" t="str">
        <f>HYPERLINK(_xlfn.CONCAT(Sailstats!$F$1,J3),_xlfn.CONCAT(L3," ",TEXT(H3,"#0.0")))</f>
        <v>Mach 4 7.0 Mach 4 7.0</v>
      </c>
      <c r="P3" t="b">
        <f>IF(D3-E3&gt;=0,TRUE,FALSE)</f>
        <v>0</v>
      </c>
      <c r="Q3" t="b">
        <f>IF(B3&lt;&gt;"",TRUE,FALSE)</f>
        <v>0</v>
      </c>
      <c r="R3" t="b">
        <f>NOT(_xlfn.XOR(P3,Q3))</f>
        <v>1</v>
      </c>
    </row>
    <row r="4" spans="2:18" x14ac:dyDescent="0.25">
      <c r="B4" s="11">
        <v>17756</v>
      </c>
      <c r="C4" s="11"/>
      <c r="D4" s="11">
        <v>380</v>
      </c>
      <c r="E4" s="11">
        <v>236</v>
      </c>
      <c r="F4" s="11">
        <v>8</v>
      </c>
      <c r="G4" s="11">
        <v>8</v>
      </c>
      <c r="H4" s="13" t="s">
        <v>23</v>
      </c>
      <c r="I4" s="11">
        <v>1</v>
      </c>
      <c r="J4" s="11" t="str">
        <f>_xlfn.CONCAT(B4:C4)</f>
        <v>17756</v>
      </c>
      <c r="K4" s="11">
        <f>D4+E4</f>
        <v>616</v>
      </c>
      <c r="L4" s="13" t="s">
        <v>23</v>
      </c>
      <c r="M4" s="11">
        <v>2021</v>
      </c>
      <c r="N4" s="19" t="str">
        <f>_xlfn.CONCAT(Sailstats!$F$1,J4)</f>
        <v>https://www.gps-speedsurfing.com/mypage/sailstats?id=17756</v>
      </c>
      <c r="O4" s="1" t="str">
        <f>HYPERLINK(_xlfn.CONCAT(Sailstats!$F$1,J4),_xlfn.CONCAT(L4," ",TEXT(H4,"#0.0")))</f>
        <v>Mach 4 7.8 Mach 4 7.8</v>
      </c>
      <c r="P4" t="b">
        <f>IF(D4-E4&gt;=0,TRUE,FALSE)</f>
        <v>1</v>
      </c>
      <c r="Q4" t="b">
        <f>IF(B4&lt;&gt;"",TRUE,FALSE)</f>
        <v>1</v>
      </c>
      <c r="R4" t="b">
        <f>NOT(_xlfn.XOR(P4,Q4))</f>
        <v>1</v>
      </c>
    </row>
    <row r="5" spans="2:18" x14ac:dyDescent="0.25">
      <c r="B5" s="12"/>
      <c r="C5" s="12">
        <v>18612</v>
      </c>
      <c r="D5" s="12">
        <v>380</v>
      </c>
      <c r="E5" s="12">
        <v>236</v>
      </c>
      <c r="F5" s="12">
        <v>8</v>
      </c>
      <c r="G5" s="12">
        <v>8</v>
      </c>
      <c r="H5" s="14" t="s">
        <v>23</v>
      </c>
      <c r="I5" s="12">
        <v>2</v>
      </c>
      <c r="J5" s="12" t="str">
        <f>_xlfn.CONCAT(B5:C5)</f>
        <v>18612</v>
      </c>
      <c r="K5" s="12">
        <f>D5+E5</f>
        <v>616</v>
      </c>
      <c r="L5" s="14" t="s">
        <v>23</v>
      </c>
      <c r="M5" s="12">
        <v>2021</v>
      </c>
      <c r="N5" s="19" t="str">
        <f>_xlfn.CONCAT(Sailstats!$F$1,J5)</f>
        <v>https://www.gps-speedsurfing.com/mypage/sailstats?id=18612</v>
      </c>
      <c r="O5" s="1" t="str">
        <f>HYPERLINK(_xlfn.CONCAT(Sailstats!$F$1,J5),_xlfn.CONCAT(L5," ",TEXT(H5,"#0.0")))</f>
        <v>Mach 4 7.8 Mach 4 7.8</v>
      </c>
      <c r="P5" t="b">
        <f>IF(D5-E5&gt;=0,TRUE,FALSE)</f>
        <v>1</v>
      </c>
      <c r="Q5" t="b">
        <f>IF(B5&lt;&gt;"",TRUE,FALSE)</f>
        <v>0</v>
      </c>
      <c r="R5" t="b">
        <f>NOT(_xlfn.XOR(P5,Q5))</f>
        <v>0</v>
      </c>
    </row>
    <row r="6" spans="2:18" x14ac:dyDescent="0.25">
      <c r="B6" s="11">
        <v>17191</v>
      </c>
      <c r="C6" s="11"/>
      <c r="D6" s="11">
        <v>22</v>
      </c>
      <c r="E6" s="11">
        <v>389</v>
      </c>
      <c r="F6" s="11">
        <v>8</v>
      </c>
      <c r="G6" s="11">
        <v>8</v>
      </c>
      <c r="H6" s="13" t="s">
        <v>77</v>
      </c>
      <c r="I6" s="11">
        <v>1</v>
      </c>
      <c r="J6" s="11" t="str">
        <f>_xlfn.CONCAT(B6:C6)</f>
        <v>17191</v>
      </c>
      <c r="K6" s="11">
        <f>D6+E6</f>
        <v>411</v>
      </c>
      <c r="L6" s="13" t="s">
        <v>77</v>
      </c>
      <c r="M6" s="11">
        <v>2021</v>
      </c>
      <c r="N6" s="19" t="str">
        <f>_xlfn.CONCAT(Sailstats!$F$1,J6)</f>
        <v>https://www.gps-speedsurfing.com/mypage/sailstats?id=17191</v>
      </c>
      <c r="O6" s="1" t="str">
        <f>HYPERLINK(_xlfn.CONCAT(Sailstats!$F$1,J6),_xlfn.CONCAT(L6," ",TEXT(H6,"#0.0")))</f>
        <v>Racingblade 7.7 Racingblade 7.7</v>
      </c>
      <c r="P6" t="b">
        <f>IF(D6-E6&gt;=0,TRUE,FALSE)</f>
        <v>0</v>
      </c>
      <c r="Q6" t="b">
        <f>IF(B6&lt;&gt;"",TRUE,FALSE)</f>
        <v>1</v>
      </c>
      <c r="R6" t="b">
        <f>NOT(_xlfn.XOR(P6,Q6))</f>
        <v>0</v>
      </c>
    </row>
    <row r="7" spans="2:18" x14ac:dyDescent="0.25">
      <c r="B7" s="12"/>
      <c r="C7" s="12">
        <v>18609</v>
      </c>
      <c r="D7" s="12">
        <v>22</v>
      </c>
      <c r="E7" s="12">
        <v>389</v>
      </c>
      <c r="F7" s="12">
        <v>8</v>
      </c>
      <c r="G7" s="12">
        <v>8</v>
      </c>
      <c r="H7" s="14" t="s">
        <v>77</v>
      </c>
      <c r="I7" s="12">
        <v>2</v>
      </c>
      <c r="J7" s="12" t="str">
        <f>_xlfn.CONCAT(B7:C7)</f>
        <v>18609</v>
      </c>
      <c r="K7" s="12">
        <f>D7+E7</f>
        <v>411</v>
      </c>
      <c r="L7" s="14" t="s">
        <v>77</v>
      </c>
      <c r="M7" s="12">
        <v>2021</v>
      </c>
      <c r="N7" s="19" t="str">
        <f>_xlfn.CONCAT(Sailstats!$F$1,J7)</f>
        <v>https://www.gps-speedsurfing.com/mypage/sailstats?id=18609</v>
      </c>
      <c r="O7" s="1" t="str">
        <f>HYPERLINK(_xlfn.CONCAT(Sailstats!$F$1,J7),_xlfn.CONCAT(L7," ",TEXT(H7,"#0.0")))</f>
        <v>Racingblade 7.7 Racingblade 7.7</v>
      </c>
      <c r="P7" t="b">
        <f>IF(D7-E7&gt;=0,TRUE,FALSE)</f>
        <v>0</v>
      </c>
      <c r="Q7" t="b">
        <f>IF(B7&lt;&gt;"",TRUE,FALSE)</f>
        <v>0</v>
      </c>
      <c r="R7" t="b">
        <f>NOT(_xlfn.XOR(P7,Q7))</f>
        <v>1</v>
      </c>
    </row>
    <row r="8" spans="2:18" x14ac:dyDescent="0.25">
      <c r="B8" s="11">
        <v>17192</v>
      </c>
      <c r="C8" s="11"/>
      <c r="D8" s="11">
        <v>87</v>
      </c>
      <c r="E8" s="11">
        <v>306</v>
      </c>
      <c r="F8" s="11">
        <v>8</v>
      </c>
      <c r="G8" s="11">
        <v>8</v>
      </c>
      <c r="H8" s="13" t="s">
        <v>24</v>
      </c>
      <c r="I8" s="11">
        <v>1</v>
      </c>
      <c r="J8" s="11" t="str">
        <f>_xlfn.CONCAT(B8:C8)</f>
        <v>17192</v>
      </c>
      <c r="K8" s="11">
        <f>D8+E8</f>
        <v>393</v>
      </c>
      <c r="L8" s="13" t="s">
        <v>24</v>
      </c>
      <c r="M8" s="11">
        <v>2021</v>
      </c>
      <c r="N8" s="19" t="str">
        <f>_xlfn.CONCAT(Sailstats!$F$1,J8)</f>
        <v>https://www.gps-speedsurfing.com/mypage/sailstats?id=17192</v>
      </c>
      <c r="O8" s="1" t="str">
        <f>HYPERLINK(_xlfn.CONCAT(Sailstats!$F$1,J8),_xlfn.CONCAT(L8," ",TEXT(H8,"#0.0")))</f>
        <v>Racingblade 6.9 Racingblade 6.9</v>
      </c>
      <c r="P8" t="b">
        <f>IF(D8-E8&gt;=0,TRUE,FALSE)</f>
        <v>0</v>
      </c>
      <c r="Q8" t="b">
        <f>IF(B8&lt;&gt;"",TRUE,FALSE)</f>
        <v>1</v>
      </c>
      <c r="R8" t="b">
        <f>NOT(_xlfn.XOR(P8,Q8))</f>
        <v>0</v>
      </c>
    </row>
    <row r="9" spans="2:18" x14ac:dyDescent="0.25">
      <c r="B9" s="12"/>
      <c r="C9" s="12">
        <v>18313</v>
      </c>
      <c r="D9" s="12">
        <v>87</v>
      </c>
      <c r="E9" s="12">
        <v>306</v>
      </c>
      <c r="F9" s="12">
        <v>8</v>
      </c>
      <c r="G9" s="12">
        <v>8</v>
      </c>
      <c r="H9" s="14" t="s">
        <v>24</v>
      </c>
      <c r="I9" s="12">
        <v>2</v>
      </c>
      <c r="J9" s="12" t="str">
        <f>_xlfn.CONCAT(B9:C9)</f>
        <v>18313</v>
      </c>
      <c r="K9" s="12">
        <f>D9+E9</f>
        <v>393</v>
      </c>
      <c r="L9" s="14" t="s">
        <v>24</v>
      </c>
      <c r="M9" s="12">
        <v>2021</v>
      </c>
      <c r="N9" s="19" t="str">
        <f>_xlfn.CONCAT(Sailstats!$F$1,J9)</f>
        <v>https://www.gps-speedsurfing.com/mypage/sailstats?id=18313</v>
      </c>
      <c r="O9" s="1" t="str">
        <f>HYPERLINK(_xlfn.CONCAT(Sailstats!$F$1,J9),_xlfn.CONCAT(L9," ",TEXT(H9,"#0.0")))</f>
        <v>Racingblade 6.9 Racingblade 6.9</v>
      </c>
      <c r="P9" t="b">
        <f>IF(D9-E9&gt;=0,TRUE,FALSE)</f>
        <v>0</v>
      </c>
      <c r="Q9" t="b">
        <f>IF(B9&lt;&gt;"",TRUE,FALSE)</f>
        <v>0</v>
      </c>
      <c r="R9" t="b">
        <f>NOT(_xlfn.XOR(P9,Q9))</f>
        <v>1</v>
      </c>
    </row>
    <row r="10" spans="2:18" x14ac:dyDescent="0.25">
      <c r="B10" s="11">
        <v>16948</v>
      </c>
      <c r="C10" s="11"/>
      <c r="D10" s="11">
        <v>54</v>
      </c>
      <c r="E10" s="11">
        <v>294</v>
      </c>
      <c r="F10" s="11">
        <v>8</v>
      </c>
      <c r="G10" s="11">
        <v>8</v>
      </c>
      <c r="H10" s="13" t="s">
        <v>54</v>
      </c>
      <c r="I10" s="11">
        <v>1</v>
      </c>
      <c r="J10" s="11" t="str">
        <f>_xlfn.CONCAT(B10:C10)</f>
        <v>16948</v>
      </c>
      <c r="K10" s="11">
        <f>D10+E10</f>
        <v>348</v>
      </c>
      <c r="L10" s="13" t="s">
        <v>53</v>
      </c>
      <c r="M10" s="11">
        <v>2021</v>
      </c>
      <c r="N10" s="19" t="str">
        <f>_xlfn.CONCAT(Sailstats!$F$1,J10)</f>
        <v>https://www.gps-speedsurfing.com/mypage/sailstats?id=16948</v>
      </c>
      <c r="O10" s="1" t="str">
        <f>HYPERLINK(_xlfn.CONCAT(Sailstats!$F$1,J10),_xlfn.CONCAT(L10," ",TEXT(H10,"#0.0")))</f>
        <v>RacingBlade 6.3 Racingblade 6.3</v>
      </c>
      <c r="P10" t="b">
        <f>IF(D10-E10&gt;=0,TRUE,FALSE)</f>
        <v>0</v>
      </c>
      <c r="Q10" t="b">
        <f>IF(B10&lt;&gt;"",TRUE,FALSE)</f>
        <v>1</v>
      </c>
      <c r="R10" t="b">
        <f>NOT(_xlfn.XOR(P10,Q10))</f>
        <v>0</v>
      </c>
    </row>
    <row r="11" spans="2:18" x14ac:dyDescent="0.25">
      <c r="B11" s="12"/>
      <c r="C11" s="12">
        <v>17227</v>
      </c>
      <c r="D11" s="12">
        <v>54</v>
      </c>
      <c r="E11" s="12">
        <v>294</v>
      </c>
      <c r="F11" s="12">
        <v>8</v>
      </c>
      <c r="G11" s="12">
        <v>8</v>
      </c>
      <c r="H11" s="14" t="s">
        <v>54</v>
      </c>
      <c r="I11" s="12">
        <v>2</v>
      </c>
      <c r="J11" s="12" t="str">
        <f>_xlfn.CONCAT(B11:C11)</f>
        <v>17227</v>
      </c>
      <c r="K11" s="12">
        <f>D11+E11</f>
        <v>348</v>
      </c>
      <c r="L11" s="14" t="s">
        <v>53</v>
      </c>
      <c r="M11" s="12">
        <v>2021</v>
      </c>
      <c r="N11" s="19" t="str">
        <f>_xlfn.CONCAT(Sailstats!$F$1,J11)</f>
        <v>https://www.gps-speedsurfing.com/mypage/sailstats?id=17227</v>
      </c>
      <c r="O11" s="1" t="str">
        <f>HYPERLINK(_xlfn.CONCAT(Sailstats!$F$1,J11),_xlfn.CONCAT(L11," ",TEXT(H11,"#0.0")))</f>
        <v>RacingBlade 6.3 Racingblade 6.3</v>
      </c>
      <c r="P11" t="b">
        <f>IF(D11-E11&gt;=0,TRUE,FALSE)</f>
        <v>0</v>
      </c>
      <c r="Q11" t="b">
        <f>IF(B11&lt;&gt;"",TRUE,FALSE)</f>
        <v>0</v>
      </c>
      <c r="R11" t="b">
        <f>NOT(_xlfn.XOR(P11,Q11))</f>
        <v>1</v>
      </c>
    </row>
    <row r="12" spans="2:18" x14ac:dyDescent="0.25">
      <c r="B12" s="11">
        <v>18266</v>
      </c>
      <c r="C12" s="11"/>
      <c r="D12" s="11">
        <v>342</v>
      </c>
      <c r="E12" s="11">
        <v>0</v>
      </c>
      <c r="F12" s="11">
        <v>8</v>
      </c>
      <c r="G12" s="11">
        <v>8</v>
      </c>
      <c r="H12" s="13" t="s">
        <v>24</v>
      </c>
      <c r="I12" s="11">
        <v>1</v>
      </c>
      <c r="J12" s="11" t="str">
        <f>_xlfn.CONCAT(B12:C12)</f>
        <v>18266</v>
      </c>
      <c r="K12" s="11">
        <f>D12+E12</f>
        <v>342</v>
      </c>
      <c r="L12" s="13" t="s">
        <v>24</v>
      </c>
      <c r="M12" s="11">
        <v>2022</v>
      </c>
      <c r="N12" s="19" t="str">
        <f>_xlfn.CONCAT(Sailstats!$F$1,J12)</f>
        <v>https://www.gps-speedsurfing.com/mypage/sailstats?id=18266</v>
      </c>
      <c r="O12" s="1" t="str">
        <f>HYPERLINK(_xlfn.CONCAT(Sailstats!$F$1,J12),_xlfn.CONCAT(L12," ",TEXT(H12,"#0.0")))</f>
        <v>Racingblade 6.9 Racingblade 6.9</v>
      </c>
      <c r="P12" t="b">
        <f>IF(D12-E12&gt;=0,TRUE,FALSE)</f>
        <v>1</v>
      </c>
      <c r="Q12" t="b">
        <f>IF(B12&lt;&gt;"",TRUE,FALSE)</f>
        <v>1</v>
      </c>
      <c r="R12" t="b">
        <f>NOT(_xlfn.XOR(P12,Q12))</f>
        <v>1</v>
      </c>
    </row>
    <row r="13" spans="2:18" x14ac:dyDescent="0.25">
      <c r="B13" s="12"/>
      <c r="C13" s="12">
        <v>22596</v>
      </c>
      <c r="D13" s="12">
        <v>342</v>
      </c>
      <c r="E13" s="12">
        <v>0</v>
      </c>
      <c r="F13" s="12">
        <v>8</v>
      </c>
      <c r="G13" s="12">
        <v>8</v>
      </c>
      <c r="H13" s="14" t="s">
        <v>24</v>
      </c>
      <c r="I13" s="12">
        <v>2</v>
      </c>
      <c r="J13" s="12" t="str">
        <f>_xlfn.CONCAT(B13:C13)</f>
        <v>22596</v>
      </c>
      <c r="K13" s="12">
        <f>D13+E13</f>
        <v>342</v>
      </c>
      <c r="L13" s="14" t="s">
        <v>24</v>
      </c>
      <c r="M13" s="12">
        <v>2022</v>
      </c>
      <c r="N13" s="19" t="str">
        <f>_xlfn.CONCAT(Sailstats!$F$1,J13)</f>
        <v>https://www.gps-speedsurfing.com/mypage/sailstats?id=22596</v>
      </c>
      <c r="O13" s="1" t="str">
        <f>HYPERLINK(_xlfn.CONCAT(Sailstats!$F$1,J13),_xlfn.CONCAT(L13," ",TEXT(H13,"#0.0")))</f>
        <v>Racingblade 6.9 Racingblade 6.9</v>
      </c>
      <c r="P13" t="b">
        <f>IF(D13-E13&gt;=0,TRUE,FALSE)</f>
        <v>1</v>
      </c>
      <c r="Q13" t="b">
        <f>IF(B13&lt;&gt;"",TRUE,FALSE)</f>
        <v>0</v>
      </c>
      <c r="R13" t="b">
        <f>NOT(_xlfn.XOR(P13,Q13))</f>
        <v>0</v>
      </c>
    </row>
    <row r="14" spans="2:18" x14ac:dyDescent="0.25">
      <c r="B14" s="11">
        <v>4322</v>
      </c>
      <c r="C14" s="11"/>
      <c r="D14" s="11">
        <v>140</v>
      </c>
      <c r="E14" s="11">
        <v>195</v>
      </c>
      <c r="F14" s="11">
        <v>8</v>
      </c>
      <c r="G14" s="11">
        <v>8</v>
      </c>
      <c r="H14" s="13" t="s">
        <v>40</v>
      </c>
      <c r="I14" s="11">
        <v>1</v>
      </c>
      <c r="J14" s="11" t="str">
        <f>_xlfn.CONCAT(B14:C14)</f>
        <v>4322</v>
      </c>
      <c r="K14" s="11">
        <f>D14+E14</f>
        <v>335</v>
      </c>
      <c r="L14" s="13" t="s">
        <v>40</v>
      </c>
      <c r="M14" s="11">
        <v>2009</v>
      </c>
      <c r="N14" s="19" t="str">
        <f>_xlfn.CONCAT(Sailstats!$F$1,J14)</f>
        <v>https://www.gps-speedsurfing.com/mypage/sailstats?id=4322</v>
      </c>
      <c r="O14" s="1" t="str">
        <f>HYPERLINK(_xlfn.CONCAT(Sailstats!$F$1,J14),_xlfn.CONCAT(L14," ",TEXT(H14,"#0.0")))</f>
        <v>Blade 7.5 Blade 7.5</v>
      </c>
      <c r="P14" t="b">
        <f>IF(D14-E14&gt;=0,TRUE,FALSE)</f>
        <v>0</v>
      </c>
      <c r="Q14" t="b">
        <f>IF(B14&lt;&gt;"",TRUE,FALSE)</f>
        <v>1</v>
      </c>
      <c r="R14" t="b">
        <f>NOT(_xlfn.XOR(P14,Q14))</f>
        <v>0</v>
      </c>
    </row>
    <row r="15" spans="2:18" x14ac:dyDescent="0.25">
      <c r="B15" s="12"/>
      <c r="C15" s="12">
        <v>4624</v>
      </c>
      <c r="D15" s="12">
        <v>140</v>
      </c>
      <c r="E15" s="12">
        <v>195</v>
      </c>
      <c r="F15" s="12">
        <v>8</v>
      </c>
      <c r="G15" s="12">
        <v>8</v>
      </c>
      <c r="H15" s="14" t="s">
        <v>40</v>
      </c>
      <c r="I15" s="12">
        <v>2</v>
      </c>
      <c r="J15" s="12" t="str">
        <f>_xlfn.CONCAT(B15:C15)</f>
        <v>4624</v>
      </c>
      <c r="K15" s="12">
        <f>D15+E15</f>
        <v>335</v>
      </c>
      <c r="L15" s="14" t="s">
        <v>40</v>
      </c>
      <c r="M15" s="12">
        <v>2009</v>
      </c>
      <c r="N15" s="19" t="str">
        <f>_xlfn.CONCAT(Sailstats!$F$1,J15)</f>
        <v>https://www.gps-speedsurfing.com/mypage/sailstats?id=4624</v>
      </c>
      <c r="O15" s="1" t="str">
        <f>HYPERLINK(_xlfn.CONCAT(Sailstats!$F$1,J15),_xlfn.CONCAT(L15," ",TEXT(H15,"#0.0")))</f>
        <v>Blade 7.5 Blade 7.5</v>
      </c>
      <c r="P15" t="b">
        <f>IF(D15-E15&gt;=0,TRUE,FALSE)</f>
        <v>0</v>
      </c>
      <c r="Q15" t="b">
        <f>IF(B15&lt;&gt;"",TRUE,FALSE)</f>
        <v>0</v>
      </c>
      <c r="R15" t="b">
        <f>NOT(_xlfn.XOR(P15,Q15))</f>
        <v>1</v>
      </c>
    </row>
    <row r="16" spans="2:18" x14ac:dyDescent="0.25">
      <c r="B16" s="11">
        <v>4323</v>
      </c>
      <c r="C16" s="11"/>
      <c r="D16" s="11">
        <v>115</v>
      </c>
      <c r="E16" s="11">
        <v>192</v>
      </c>
      <c r="F16" s="11">
        <v>8</v>
      </c>
      <c r="G16" s="11">
        <v>8</v>
      </c>
      <c r="H16" s="13" t="s">
        <v>43</v>
      </c>
      <c r="I16" s="11">
        <v>1</v>
      </c>
      <c r="J16" s="11" t="str">
        <f>_xlfn.CONCAT(B16:C16)</f>
        <v>4323</v>
      </c>
      <c r="K16" s="11">
        <f>D16+E16</f>
        <v>307</v>
      </c>
      <c r="L16" s="13" t="s">
        <v>43</v>
      </c>
      <c r="M16" s="11">
        <v>2009</v>
      </c>
      <c r="N16" s="19" t="str">
        <f>_xlfn.CONCAT(Sailstats!$F$1,J16)</f>
        <v>https://www.gps-speedsurfing.com/mypage/sailstats?id=4323</v>
      </c>
      <c r="O16" s="1" t="str">
        <f>HYPERLINK(_xlfn.CONCAT(Sailstats!$F$1,J16),_xlfn.CONCAT(L16," ",TEXT(H16,"#0.0")))</f>
        <v>Blade 6.8 Blade 6.8</v>
      </c>
      <c r="P16" t="b">
        <f>IF(D16-E16&gt;=0,TRUE,FALSE)</f>
        <v>0</v>
      </c>
      <c r="Q16" t="b">
        <f>IF(B16&lt;&gt;"",TRUE,FALSE)</f>
        <v>1</v>
      </c>
      <c r="R16" t="b">
        <f>NOT(_xlfn.XOR(P16,Q16))</f>
        <v>0</v>
      </c>
    </row>
    <row r="17" spans="2:18" x14ac:dyDescent="0.25">
      <c r="B17" s="12"/>
      <c r="C17" s="12">
        <v>4623</v>
      </c>
      <c r="D17" s="12">
        <v>115</v>
      </c>
      <c r="E17" s="12">
        <v>192</v>
      </c>
      <c r="F17" s="12">
        <v>8</v>
      </c>
      <c r="G17" s="12">
        <v>8</v>
      </c>
      <c r="H17" s="14" t="s">
        <v>43</v>
      </c>
      <c r="I17" s="12">
        <v>2</v>
      </c>
      <c r="J17" s="12" t="str">
        <f>_xlfn.CONCAT(B17:C17)</f>
        <v>4623</v>
      </c>
      <c r="K17" s="12">
        <f>D17+E17</f>
        <v>307</v>
      </c>
      <c r="L17" s="14" t="s">
        <v>43</v>
      </c>
      <c r="M17" s="12">
        <v>2009</v>
      </c>
      <c r="N17" s="19" t="str">
        <f>_xlfn.CONCAT(Sailstats!$F$1,J17)</f>
        <v>https://www.gps-speedsurfing.com/mypage/sailstats?id=4623</v>
      </c>
      <c r="O17" s="1" t="str">
        <f>HYPERLINK(_xlfn.CONCAT(Sailstats!$F$1,J17),_xlfn.CONCAT(L17," ",TEXT(H17,"#0.0")))</f>
        <v>Blade 6.8 Blade 6.8</v>
      </c>
      <c r="P17" t="b">
        <f>IF(D17-E17&gt;=0,TRUE,FALSE)</f>
        <v>0</v>
      </c>
      <c r="Q17" t="b">
        <f>IF(B17&lt;&gt;"",TRUE,FALSE)</f>
        <v>0</v>
      </c>
      <c r="R17" t="b">
        <f>NOT(_xlfn.XOR(P17,Q17))</f>
        <v>1</v>
      </c>
    </row>
    <row r="18" spans="2:18" x14ac:dyDescent="0.25">
      <c r="B18" s="11">
        <v>7866</v>
      </c>
      <c r="C18" s="11"/>
      <c r="D18" s="11">
        <v>305</v>
      </c>
      <c r="E18" s="11">
        <v>1</v>
      </c>
      <c r="F18" s="11">
        <v>8</v>
      </c>
      <c r="G18" s="11">
        <v>8</v>
      </c>
      <c r="H18" s="13" t="s">
        <v>25</v>
      </c>
      <c r="I18" s="11">
        <v>1</v>
      </c>
      <c r="J18" s="11" t="str">
        <f>_xlfn.CONCAT(B18:C18)</f>
        <v>7866</v>
      </c>
      <c r="K18" s="11">
        <f>D18+E18</f>
        <v>306</v>
      </c>
      <c r="L18" s="13" t="s">
        <v>25</v>
      </c>
      <c r="M18" s="11">
        <v>2014</v>
      </c>
      <c r="N18" s="19" t="str">
        <f>_xlfn.CONCAT(Sailstats!$F$1,J18)</f>
        <v>https://www.gps-speedsurfing.com/mypage/sailstats?id=7866</v>
      </c>
      <c r="O18" s="1" t="str">
        <f>HYPERLINK(_xlfn.CONCAT(Sailstats!$F$1,J18),_xlfn.CONCAT(L18," ",TEXT(H18,"#0.0")))</f>
        <v>TR-X 7.7 TR-X 7.7</v>
      </c>
      <c r="P18" t="b">
        <f>IF(D18-E18&gt;=0,TRUE,FALSE)</f>
        <v>1</v>
      </c>
      <c r="Q18" t="b">
        <f>IF(B18&lt;&gt;"",TRUE,FALSE)</f>
        <v>1</v>
      </c>
      <c r="R18" t="b">
        <f>NOT(_xlfn.XOR(P18,Q18))</f>
        <v>1</v>
      </c>
    </row>
    <row r="19" spans="2:18" x14ac:dyDescent="0.25">
      <c r="B19" s="12"/>
      <c r="C19" s="12">
        <v>16623</v>
      </c>
      <c r="D19" s="12">
        <v>305</v>
      </c>
      <c r="E19" s="12">
        <v>1</v>
      </c>
      <c r="F19" s="12">
        <v>8</v>
      </c>
      <c r="G19" s="12">
        <v>8</v>
      </c>
      <c r="H19" s="14" t="s">
        <v>25</v>
      </c>
      <c r="I19" s="12">
        <v>2</v>
      </c>
      <c r="J19" s="12" t="str">
        <f>_xlfn.CONCAT(B19:C19)</f>
        <v>16623</v>
      </c>
      <c r="K19" s="12">
        <f>D19+E19</f>
        <v>306</v>
      </c>
      <c r="L19" s="14" t="s">
        <v>25</v>
      </c>
      <c r="M19" s="12">
        <v>2014</v>
      </c>
      <c r="N19" s="19" t="str">
        <f>_xlfn.CONCAT(Sailstats!$F$1,J19)</f>
        <v>https://www.gps-speedsurfing.com/mypage/sailstats?id=16623</v>
      </c>
      <c r="O19" s="1" t="str">
        <f>HYPERLINK(_xlfn.CONCAT(Sailstats!$F$1,J19),_xlfn.CONCAT(L19," ",TEXT(H19,"#0.0")))</f>
        <v>TR-X 7.7 TR-X 7.7</v>
      </c>
      <c r="P19" t="b">
        <f>IF(D19-E19&gt;=0,TRUE,FALSE)</f>
        <v>1</v>
      </c>
      <c r="Q19" t="b">
        <f>IF(B19&lt;&gt;"",TRUE,FALSE)</f>
        <v>0</v>
      </c>
      <c r="R19" t="b">
        <f>NOT(_xlfn.XOR(P19,Q19))</f>
        <v>0</v>
      </c>
    </row>
    <row r="20" spans="2:18" x14ac:dyDescent="0.25">
      <c r="B20" s="11">
        <v>15461</v>
      </c>
      <c r="C20" s="11"/>
      <c r="D20" s="11">
        <v>279</v>
      </c>
      <c r="E20" s="11">
        <v>1</v>
      </c>
      <c r="F20" s="11">
        <v>8</v>
      </c>
      <c r="G20" s="11">
        <v>8</v>
      </c>
      <c r="H20" s="13" t="s">
        <v>26</v>
      </c>
      <c r="I20" s="11">
        <v>1</v>
      </c>
      <c r="J20" s="11" t="str">
        <f>_xlfn.CONCAT(B20:C20)</f>
        <v>15461</v>
      </c>
      <c r="K20" s="11">
        <f>D20+E20</f>
        <v>280</v>
      </c>
      <c r="L20" s="13" t="s">
        <v>26</v>
      </c>
      <c r="M20" s="11">
        <v>2018</v>
      </c>
      <c r="N20" s="19" t="str">
        <f>_xlfn.CONCAT(Sailstats!$F$1,J20)</f>
        <v>https://www.gps-speedsurfing.com/mypage/sailstats?id=15461</v>
      </c>
      <c r="O20" s="1" t="str">
        <f>HYPERLINK(_xlfn.CONCAT(Sailstats!$F$1,J20),_xlfn.CONCAT(L20," ",TEXT(H20,"#0.0")))</f>
        <v>Ultimate 7.0 Ultimate 7.0</v>
      </c>
      <c r="P20" t="b">
        <f>IF(D20-E20&gt;=0,TRUE,FALSE)</f>
        <v>1</v>
      </c>
      <c r="Q20" t="b">
        <f>IF(B20&lt;&gt;"",TRUE,FALSE)</f>
        <v>1</v>
      </c>
      <c r="R20" t="b">
        <f>NOT(_xlfn.XOR(P20,Q20))</f>
        <v>1</v>
      </c>
    </row>
    <row r="21" spans="2:18" x14ac:dyDescent="0.25">
      <c r="B21" s="12"/>
      <c r="C21" s="12">
        <v>22443</v>
      </c>
      <c r="D21" s="12">
        <v>279</v>
      </c>
      <c r="E21" s="12">
        <v>1</v>
      </c>
      <c r="F21" s="12">
        <v>8</v>
      </c>
      <c r="G21" s="12">
        <v>8</v>
      </c>
      <c r="H21" s="14" t="s">
        <v>26</v>
      </c>
      <c r="I21" s="12">
        <v>2</v>
      </c>
      <c r="J21" s="12" t="str">
        <f>_xlfn.CONCAT(B21:C21)</f>
        <v>22443</v>
      </c>
      <c r="K21" s="12">
        <f>D21+E21</f>
        <v>280</v>
      </c>
      <c r="L21" s="14" t="s">
        <v>26</v>
      </c>
      <c r="M21" s="12">
        <v>2018</v>
      </c>
      <c r="N21" s="19" t="str">
        <f>_xlfn.CONCAT(Sailstats!$F$1,J21)</f>
        <v>https://www.gps-speedsurfing.com/mypage/sailstats?id=22443</v>
      </c>
      <c r="O21" s="1" t="str">
        <f>HYPERLINK(_xlfn.CONCAT(Sailstats!$F$1,J21),_xlfn.CONCAT(L21," ",TEXT(H21,"#0.0")))</f>
        <v>Ultimate 7.0 Ultimate 7.0</v>
      </c>
      <c r="P21" t="b">
        <f>IF(D21-E21&gt;=0,TRUE,FALSE)</f>
        <v>1</v>
      </c>
      <c r="Q21" t="b">
        <f>IF(B21&lt;&gt;"",TRUE,FALSE)</f>
        <v>0</v>
      </c>
      <c r="R21" t="b">
        <f>NOT(_xlfn.XOR(P21,Q21))</f>
        <v>0</v>
      </c>
    </row>
    <row r="22" spans="2:18" x14ac:dyDescent="0.25">
      <c r="B22" s="11">
        <v>5177</v>
      </c>
      <c r="C22" s="11"/>
      <c r="D22" s="11">
        <v>154</v>
      </c>
      <c r="E22" s="11">
        <v>115</v>
      </c>
      <c r="F22" s="11">
        <v>8</v>
      </c>
      <c r="G22" s="11">
        <v>8</v>
      </c>
      <c r="H22" s="13" t="s">
        <v>38</v>
      </c>
      <c r="I22" s="11">
        <v>1</v>
      </c>
      <c r="J22" s="11" t="str">
        <f>_xlfn.CONCAT(B22:C22)</f>
        <v>5177</v>
      </c>
      <c r="K22" s="11">
        <f>D22+E22</f>
        <v>269</v>
      </c>
      <c r="L22" s="13" t="s">
        <v>38</v>
      </c>
      <c r="M22" s="11">
        <v>2010</v>
      </c>
      <c r="N22" s="19" t="str">
        <f>_xlfn.CONCAT(Sailstats!$F$1,J22)</f>
        <v>https://www.gps-speedsurfing.com/mypage/sailstats?id=5177</v>
      </c>
      <c r="O22" s="1" t="str">
        <f>HYPERLINK(_xlfn.CONCAT(Sailstats!$F$1,J22),_xlfn.CONCAT(L22," ",TEXT(H22,"#0.0")))</f>
        <v>Blade 6.3 Blade 6.3</v>
      </c>
      <c r="P22" t="b">
        <f>IF(D22-E22&gt;=0,TRUE,FALSE)</f>
        <v>1</v>
      </c>
      <c r="Q22" t="b">
        <f>IF(B22&lt;&gt;"",TRUE,FALSE)</f>
        <v>1</v>
      </c>
      <c r="R22" t="b">
        <f>NOT(_xlfn.XOR(P22,Q22))</f>
        <v>1</v>
      </c>
    </row>
    <row r="23" spans="2:18" x14ac:dyDescent="0.25">
      <c r="B23" s="12"/>
      <c r="C23" s="12">
        <v>5219</v>
      </c>
      <c r="D23" s="12">
        <v>154</v>
      </c>
      <c r="E23" s="12">
        <v>115</v>
      </c>
      <c r="F23" s="12">
        <v>8</v>
      </c>
      <c r="G23" s="12">
        <v>8</v>
      </c>
      <c r="H23" s="14" t="s">
        <v>38</v>
      </c>
      <c r="I23" s="12">
        <v>2</v>
      </c>
      <c r="J23" s="12" t="str">
        <f>_xlfn.CONCAT(B23:C23)</f>
        <v>5219</v>
      </c>
      <c r="K23" s="12">
        <f>D23+E23</f>
        <v>269</v>
      </c>
      <c r="L23" s="14" t="s">
        <v>38</v>
      </c>
      <c r="M23" s="12">
        <v>2010</v>
      </c>
      <c r="N23" s="19" t="str">
        <f>_xlfn.CONCAT(Sailstats!$F$1,J23)</f>
        <v>https://www.gps-speedsurfing.com/mypage/sailstats?id=5219</v>
      </c>
      <c r="O23" s="1" t="str">
        <f>HYPERLINK(_xlfn.CONCAT(Sailstats!$F$1,J23),_xlfn.CONCAT(L23," ",TEXT(H23,"#0.0")))</f>
        <v>Blade 6.3 Blade 6.3</v>
      </c>
      <c r="P23" t="b">
        <f>IF(D23-E23&gt;=0,TRUE,FALSE)</f>
        <v>1</v>
      </c>
      <c r="Q23" t="b">
        <f>IF(B23&lt;&gt;"",TRUE,FALSE)</f>
        <v>0</v>
      </c>
      <c r="R23" t="b">
        <f>NOT(_xlfn.XOR(P23,Q23))</f>
        <v>0</v>
      </c>
    </row>
    <row r="24" spans="2:18" x14ac:dyDescent="0.25">
      <c r="B24" s="11">
        <v>1655</v>
      </c>
      <c r="C24" s="11"/>
      <c r="D24" s="11">
        <v>261</v>
      </c>
      <c r="E24" s="11">
        <v>7</v>
      </c>
      <c r="F24" s="11">
        <v>8</v>
      </c>
      <c r="G24" s="11">
        <v>8</v>
      </c>
      <c r="H24" s="13" t="s">
        <v>27</v>
      </c>
      <c r="I24" s="11">
        <v>1</v>
      </c>
      <c r="J24" s="11" t="str">
        <f>_xlfn.CONCAT(B24:C24)</f>
        <v>1655</v>
      </c>
      <c r="K24" s="11">
        <f>D24+E24</f>
        <v>268</v>
      </c>
      <c r="L24" s="13" t="s">
        <v>27</v>
      </c>
      <c r="M24" s="11">
        <v>2006</v>
      </c>
      <c r="N24" s="19" t="str">
        <f>_xlfn.CONCAT(Sailstats!$F$1,J24)</f>
        <v>https://www.gps-speedsurfing.com/mypage/sailstats?id=1655</v>
      </c>
      <c r="O24" s="1" t="str">
        <f>HYPERLINK(_xlfn.CONCAT(Sailstats!$F$1,J24),_xlfn.CONCAT(L24," ",TEXT(H24,"#0.0")))</f>
        <v>Koncept 6.6 Koncept 6.6</v>
      </c>
      <c r="P24" t="b">
        <f>IF(D24-E24&gt;=0,TRUE,FALSE)</f>
        <v>1</v>
      </c>
      <c r="Q24" t="b">
        <f>IF(B24&lt;&gt;"",TRUE,FALSE)</f>
        <v>1</v>
      </c>
      <c r="R24" t="b">
        <f>NOT(_xlfn.XOR(P24,Q24))</f>
        <v>1</v>
      </c>
    </row>
    <row r="25" spans="2:18" x14ac:dyDescent="0.25">
      <c r="B25" s="12"/>
      <c r="C25" s="12">
        <v>2352</v>
      </c>
      <c r="D25" s="12">
        <v>261</v>
      </c>
      <c r="E25" s="12">
        <v>7</v>
      </c>
      <c r="F25" s="12">
        <v>8</v>
      </c>
      <c r="G25" s="12">
        <v>8</v>
      </c>
      <c r="H25" s="14" t="s">
        <v>27</v>
      </c>
      <c r="I25" s="12">
        <v>2</v>
      </c>
      <c r="J25" s="12" t="str">
        <f>_xlfn.CONCAT(B25:C25)</f>
        <v>2352</v>
      </c>
      <c r="K25" s="12">
        <f>D25+E25</f>
        <v>268</v>
      </c>
      <c r="L25" s="14" t="s">
        <v>27</v>
      </c>
      <c r="M25" s="12">
        <v>2006</v>
      </c>
      <c r="N25" s="19" t="str">
        <f>_xlfn.CONCAT(Sailstats!$F$1,J25)</f>
        <v>https://www.gps-speedsurfing.com/mypage/sailstats?id=2352</v>
      </c>
      <c r="O25" s="1" t="str">
        <f>HYPERLINK(_xlfn.CONCAT(Sailstats!$F$1,J25),_xlfn.CONCAT(L25," ",TEXT(H25,"#0.0")))</f>
        <v>Koncept 6.6 Koncept 6.6</v>
      </c>
      <c r="P25" t="b">
        <f>IF(D25-E25&gt;=0,TRUE,FALSE)</f>
        <v>1</v>
      </c>
      <c r="Q25" t="b">
        <f>IF(B25&lt;&gt;"",TRUE,FALSE)</f>
        <v>0</v>
      </c>
      <c r="R25" t="b">
        <f>NOT(_xlfn.XOR(P25,Q25))</f>
        <v>0</v>
      </c>
    </row>
    <row r="26" spans="2:18" x14ac:dyDescent="0.25">
      <c r="B26" s="11">
        <v>2682</v>
      </c>
      <c r="C26" s="11"/>
      <c r="D26" s="11">
        <v>217</v>
      </c>
      <c r="E26" s="11">
        <v>41</v>
      </c>
      <c r="F26" s="11">
        <v>8</v>
      </c>
      <c r="G26" s="11">
        <v>8</v>
      </c>
      <c r="H26" s="13" t="s">
        <v>29</v>
      </c>
      <c r="I26" s="11">
        <v>1</v>
      </c>
      <c r="J26" s="11" t="str">
        <f>_xlfn.CONCAT(B26:C26)</f>
        <v>2682</v>
      </c>
      <c r="K26" s="11">
        <f>D26+E26</f>
        <v>258</v>
      </c>
      <c r="L26" s="13" t="s">
        <v>29</v>
      </c>
      <c r="M26" s="11">
        <v>2007</v>
      </c>
      <c r="N26" s="19" t="str">
        <f>_xlfn.CONCAT(Sailstats!$F$1,J26)</f>
        <v>https://www.gps-speedsurfing.com/mypage/sailstats?id=2682</v>
      </c>
      <c r="O26" s="1" t="str">
        <f>HYPERLINK(_xlfn.CONCAT(Sailstats!$F$1,J26),_xlfn.CONCAT(L26," ",TEXT(H26,"#0.0")))</f>
        <v>Warp F2007 6.3 Warp F2007 6.3</v>
      </c>
      <c r="P26" t="b">
        <f>IF(D26-E26&gt;=0,TRUE,FALSE)</f>
        <v>1</v>
      </c>
      <c r="Q26" t="b">
        <f>IF(B26&lt;&gt;"",TRUE,FALSE)</f>
        <v>1</v>
      </c>
      <c r="R26" t="b">
        <f>NOT(_xlfn.XOR(P26,Q26))</f>
        <v>1</v>
      </c>
    </row>
    <row r="27" spans="2:18" x14ac:dyDescent="0.25">
      <c r="B27" s="12"/>
      <c r="C27" s="12">
        <v>3240</v>
      </c>
      <c r="D27" s="12">
        <v>217</v>
      </c>
      <c r="E27" s="12">
        <v>41</v>
      </c>
      <c r="F27" s="12">
        <v>8</v>
      </c>
      <c r="G27" s="12">
        <v>8</v>
      </c>
      <c r="H27" s="14" t="s">
        <v>29</v>
      </c>
      <c r="I27" s="12">
        <v>2</v>
      </c>
      <c r="J27" s="12" t="str">
        <f>_xlfn.CONCAT(B27:C27)</f>
        <v>3240</v>
      </c>
      <c r="K27" s="12">
        <f>D27+E27</f>
        <v>258</v>
      </c>
      <c r="L27" s="14" t="s">
        <v>29</v>
      </c>
      <c r="M27" s="12">
        <v>2007</v>
      </c>
      <c r="N27" s="19" t="str">
        <f>_xlfn.CONCAT(Sailstats!$F$1,J27)</f>
        <v>https://www.gps-speedsurfing.com/mypage/sailstats?id=3240</v>
      </c>
      <c r="O27" s="1" t="str">
        <f>HYPERLINK(_xlfn.CONCAT(Sailstats!$F$1,J27),_xlfn.CONCAT(L27," ",TEXT(H27,"#0.0")))</f>
        <v>Warp F2007 6.3 Warp F2007 6.3</v>
      </c>
      <c r="P27" t="b">
        <f>IF(D27-E27&gt;=0,TRUE,FALSE)</f>
        <v>1</v>
      </c>
      <c r="Q27" t="b">
        <f>IF(B27&lt;&gt;"",TRUE,FALSE)</f>
        <v>0</v>
      </c>
      <c r="R27" t="b">
        <f>NOT(_xlfn.XOR(P27,Q27))</f>
        <v>0</v>
      </c>
    </row>
    <row r="28" spans="2:18" x14ac:dyDescent="0.25">
      <c r="B28" s="11">
        <v>4324</v>
      </c>
      <c r="C28" s="11"/>
      <c r="D28" s="11">
        <v>57</v>
      </c>
      <c r="E28" s="11">
        <v>193</v>
      </c>
      <c r="F28" s="11">
        <v>8</v>
      </c>
      <c r="G28" s="11">
        <v>8</v>
      </c>
      <c r="H28" s="13" t="s">
        <v>33</v>
      </c>
      <c r="I28" s="11">
        <v>1</v>
      </c>
      <c r="J28" s="11" t="str">
        <f>_xlfn.CONCAT(B28:C28)</f>
        <v>4324</v>
      </c>
      <c r="K28" s="11">
        <f>D28+E28</f>
        <v>250</v>
      </c>
      <c r="L28" s="13" t="s">
        <v>33</v>
      </c>
      <c r="M28" s="11">
        <v>2009</v>
      </c>
      <c r="N28" s="19" t="str">
        <f>_xlfn.CONCAT(Sailstats!$F$1,J28)</f>
        <v>https://www.gps-speedsurfing.com/mypage/sailstats?id=4324</v>
      </c>
      <c r="O28" s="1" t="str">
        <f>HYPERLINK(_xlfn.CONCAT(Sailstats!$F$1,J28),_xlfn.CONCAT(L28," ",TEXT(H28,"#0.0")))</f>
        <v>Blade 6.2 Blade 6.2</v>
      </c>
      <c r="P28" t="b">
        <f>IF(D28-E28&gt;=0,TRUE,FALSE)</f>
        <v>0</v>
      </c>
      <c r="Q28" t="b">
        <f>IF(B28&lt;&gt;"",TRUE,FALSE)</f>
        <v>1</v>
      </c>
      <c r="R28" t="b">
        <f>NOT(_xlfn.XOR(P28,Q28))</f>
        <v>0</v>
      </c>
    </row>
    <row r="29" spans="2:18" x14ac:dyDescent="0.25">
      <c r="B29" s="12"/>
      <c r="C29" s="12">
        <v>4622</v>
      </c>
      <c r="D29" s="12">
        <v>57</v>
      </c>
      <c r="E29" s="12">
        <v>193</v>
      </c>
      <c r="F29" s="12">
        <v>8</v>
      </c>
      <c r="G29" s="12">
        <v>8</v>
      </c>
      <c r="H29" s="14" t="s">
        <v>33</v>
      </c>
      <c r="I29" s="12">
        <v>2</v>
      </c>
      <c r="J29" s="12" t="str">
        <f>_xlfn.CONCAT(B29:C29)</f>
        <v>4622</v>
      </c>
      <c r="K29" s="12">
        <f>D29+E29</f>
        <v>250</v>
      </c>
      <c r="L29" s="14" t="s">
        <v>33</v>
      </c>
      <c r="M29" s="12">
        <v>2009</v>
      </c>
      <c r="N29" s="19" t="str">
        <f>_xlfn.CONCAT(Sailstats!$F$1,J29)</f>
        <v>https://www.gps-speedsurfing.com/mypage/sailstats?id=4622</v>
      </c>
      <c r="O29" s="1" t="str">
        <f>HYPERLINK(_xlfn.CONCAT(Sailstats!$F$1,J29),_xlfn.CONCAT(L29," ",TEXT(H29,"#0.0")))</f>
        <v>Blade 6.2 Blade 6.2</v>
      </c>
      <c r="P29" t="b">
        <f>IF(D29-E29&gt;=0,TRUE,FALSE)</f>
        <v>0</v>
      </c>
      <c r="Q29" t="b">
        <f>IF(B29&lt;&gt;"",TRUE,FALSE)</f>
        <v>0</v>
      </c>
      <c r="R29" t="b">
        <f>NOT(_xlfn.XOR(P29,Q29))</f>
        <v>1</v>
      </c>
    </row>
    <row r="30" spans="2:18" x14ac:dyDescent="0.25">
      <c r="B30" s="11">
        <v>15626</v>
      </c>
      <c r="C30" s="11"/>
      <c r="D30" s="11">
        <v>217</v>
      </c>
      <c r="E30" s="11">
        <v>23</v>
      </c>
      <c r="F30" s="11">
        <v>8</v>
      </c>
      <c r="G30" s="11">
        <v>8</v>
      </c>
      <c r="H30" s="13" t="s">
        <v>31</v>
      </c>
      <c r="I30" s="11">
        <v>1</v>
      </c>
      <c r="J30" s="11" t="str">
        <f>_xlfn.CONCAT(B30:C30)</f>
        <v>15626</v>
      </c>
      <c r="K30" s="11">
        <f>D30+E30</f>
        <v>240</v>
      </c>
      <c r="L30" s="13" t="s">
        <v>30</v>
      </c>
      <c r="M30" s="11">
        <v>2019</v>
      </c>
      <c r="N30" s="19" t="str">
        <f>_xlfn.CONCAT(Sailstats!$F$1,J30)</f>
        <v>https://www.gps-speedsurfing.com/mypage/sailstats?id=15626</v>
      </c>
      <c r="O30" s="1" t="str">
        <f>HYPERLINK(_xlfn.CONCAT(Sailstats!$F$1,J30),_xlfn.CONCAT(L30," ",TEXT(H30,"#0.0")))</f>
        <v>Warp 7.7 warp 7.7</v>
      </c>
      <c r="P30" t="b">
        <f>IF(D30-E30&gt;=0,TRUE,FALSE)</f>
        <v>1</v>
      </c>
      <c r="Q30" t="b">
        <f>IF(B30&lt;&gt;"",TRUE,FALSE)</f>
        <v>1</v>
      </c>
      <c r="R30" t="b">
        <f>NOT(_xlfn.XOR(P30,Q30))</f>
        <v>1</v>
      </c>
    </row>
    <row r="31" spans="2:18" x14ac:dyDescent="0.25">
      <c r="B31" s="12"/>
      <c r="C31" s="12">
        <v>16214</v>
      </c>
      <c r="D31" s="12">
        <v>217</v>
      </c>
      <c r="E31" s="12">
        <v>23</v>
      </c>
      <c r="F31" s="12">
        <v>8</v>
      </c>
      <c r="G31" s="12">
        <v>8</v>
      </c>
      <c r="H31" s="14" t="s">
        <v>31</v>
      </c>
      <c r="I31" s="12">
        <v>2</v>
      </c>
      <c r="J31" s="12" t="str">
        <f>_xlfn.CONCAT(B31:C31)</f>
        <v>16214</v>
      </c>
      <c r="K31" s="12">
        <f>D31+E31</f>
        <v>240</v>
      </c>
      <c r="L31" s="14" t="s">
        <v>30</v>
      </c>
      <c r="M31" s="12">
        <v>2019</v>
      </c>
      <c r="N31" s="19" t="str">
        <f>_xlfn.CONCAT(Sailstats!$F$1,J31)</f>
        <v>https://www.gps-speedsurfing.com/mypage/sailstats?id=16214</v>
      </c>
      <c r="O31" s="1" t="str">
        <f>HYPERLINK(_xlfn.CONCAT(Sailstats!$F$1,J31),_xlfn.CONCAT(L31," ",TEXT(H31,"#0.0")))</f>
        <v>Warp 7.7 warp 7.7</v>
      </c>
      <c r="P31" t="b">
        <f>IF(D31-E31&gt;=0,TRUE,FALSE)</f>
        <v>1</v>
      </c>
      <c r="Q31" t="b">
        <f>IF(B31&lt;&gt;"",TRUE,FALSE)</f>
        <v>0</v>
      </c>
      <c r="R31" t="b">
        <f>NOT(_xlfn.XOR(P31,Q31))</f>
        <v>0</v>
      </c>
    </row>
    <row r="32" spans="2:18" x14ac:dyDescent="0.25">
      <c r="B32" s="11">
        <v>12138</v>
      </c>
      <c r="C32" s="11"/>
      <c r="D32" s="11">
        <v>98</v>
      </c>
      <c r="E32" s="11">
        <v>116</v>
      </c>
      <c r="F32" s="11">
        <v>8</v>
      </c>
      <c r="G32" s="11">
        <v>8</v>
      </c>
      <c r="H32" s="13" t="s">
        <v>44</v>
      </c>
      <c r="I32" s="11">
        <v>1</v>
      </c>
      <c r="J32" s="11" t="str">
        <f>_xlfn.CONCAT(B32:C32)</f>
        <v>12138</v>
      </c>
      <c r="K32" s="11">
        <f>D32+E32</f>
        <v>214</v>
      </c>
      <c r="L32" s="13" t="s">
        <v>44</v>
      </c>
      <c r="M32" s="11">
        <v>2016</v>
      </c>
      <c r="N32" s="19" t="str">
        <f>_xlfn.CONCAT(Sailstats!$F$1,J32)</f>
        <v>https://www.gps-speedsurfing.com/mypage/sailstats?id=12138</v>
      </c>
      <c r="O32" s="1" t="str">
        <f>HYPERLINK(_xlfn.CONCAT(Sailstats!$F$1,J32),_xlfn.CONCAT(L32," ",TEXT(H32,"#0.0")))</f>
        <v>Speedblade 5.4 Speedblade 5.4</v>
      </c>
      <c r="P32" t="b">
        <f>IF(D32-E32&gt;=0,TRUE,FALSE)</f>
        <v>0</v>
      </c>
      <c r="Q32" t="b">
        <f>IF(B32&lt;&gt;"",TRUE,FALSE)</f>
        <v>1</v>
      </c>
      <c r="R32" t="b">
        <f>NOT(_xlfn.XOR(P32,Q32))</f>
        <v>0</v>
      </c>
    </row>
    <row r="33" spans="2:18" x14ac:dyDescent="0.25">
      <c r="B33" s="12"/>
      <c r="C33" s="12">
        <v>12310</v>
      </c>
      <c r="D33" s="12">
        <v>98</v>
      </c>
      <c r="E33" s="12">
        <v>116</v>
      </c>
      <c r="F33" s="12">
        <v>8</v>
      </c>
      <c r="G33" s="12">
        <v>8</v>
      </c>
      <c r="H33" s="14" t="s">
        <v>44</v>
      </c>
      <c r="I33" s="12">
        <v>2</v>
      </c>
      <c r="J33" s="12" t="str">
        <f>_xlfn.CONCAT(B33:C33)</f>
        <v>12310</v>
      </c>
      <c r="K33" s="12">
        <f>D33+E33</f>
        <v>214</v>
      </c>
      <c r="L33" s="14" t="s">
        <v>44</v>
      </c>
      <c r="M33" s="12">
        <v>2016</v>
      </c>
      <c r="N33" s="19" t="str">
        <f>_xlfn.CONCAT(Sailstats!$F$1,J33)</f>
        <v>https://www.gps-speedsurfing.com/mypage/sailstats?id=12310</v>
      </c>
      <c r="O33" s="1" t="str">
        <f>HYPERLINK(_xlfn.CONCAT(Sailstats!$F$1,J33),_xlfn.CONCAT(L33," ",TEXT(H33,"#0.0")))</f>
        <v>Speedblade 5.4 Speedblade 5.4</v>
      </c>
      <c r="P33" t="b">
        <f>IF(D33-E33&gt;=0,TRUE,FALSE)</f>
        <v>0</v>
      </c>
      <c r="Q33" t="b">
        <f>IF(B33&lt;&gt;"",TRUE,FALSE)</f>
        <v>0</v>
      </c>
      <c r="R33" t="b">
        <f>NOT(_xlfn.XOR(P33,Q33))</f>
        <v>1</v>
      </c>
    </row>
    <row r="34" spans="2:18" x14ac:dyDescent="0.25">
      <c r="B34" s="11">
        <v>6104</v>
      </c>
      <c r="C34" s="11"/>
      <c r="D34" s="11">
        <v>15</v>
      </c>
      <c r="E34" s="11">
        <v>190</v>
      </c>
      <c r="F34" s="11">
        <v>8</v>
      </c>
      <c r="G34" s="11">
        <v>8</v>
      </c>
      <c r="H34" s="13" t="s">
        <v>85</v>
      </c>
      <c r="I34" s="11">
        <v>1</v>
      </c>
      <c r="J34" s="11" t="str">
        <f>_xlfn.CONCAT(B34:C34)</f>
        <v>6104</v>
      </c>
      <c r="K34" s="11">
        <f>D34+E34</f>
        <v>205</v>
      </c>
      <c r="L34" s="13" t="s">
        <v>85</v>
      </c>
      <c r="M34" s="11">
        <v>2011</v>
      </c>
      <c r="N34" s="19" t="str">
        <f>_xlfn.CONCAT(Sailstats!$F$1,J34)</f>
        <v>https://www.gps-speedsurfing.com/mypage/sailstats?id=6104</v>
      </c>
      <c r="O34" s="1" t="str">
        <f>HYPERLINK(_xlfn.CONCAT(Sailstats!$F$1,J34),_xlfn.CONCAT(L34," ",TEXT(H34,"#0.0")))</f>
        <v>Koncept 5.8 Koncept 5.8</v>
      </c>
      <c r="P34" t="b">
        <f>IF(D34-E34&gt;=0,TRUE,FALSE)</f>
        <v>0</v>
      </c>
      <c r="Q34" t="b">
        <f>IF(B34&lt;&gt;"",TRUE,FALSE)</f>
        <v>1</v>
      </c>
      <c r="R34" t="b">
        <f>NOT(_xlfn.XOR(P34,Q34))</f>
        <v>0</v>
      </c>
    </row>
    <row r="35" spans="2:18" x14ac:dyDescent="0.25">
      <c r="B35" s="12"/>
      <c r="C35" s="12">
        <v>6157</v>
      </c>
      <c r="D35" s="12">
        <v>15</v>
      </c>
      <c r="E35" s="12">
        <v>190</v>
      </c>
      <c r="F35" s="12">
        <v>8</v>
      </c>
      <c r="G35" s="12">
        <v>8</v>
      </c>
      <c r="H35" s="14" t="s">
        <v>85</v>
      </c>
      <c r="I35" s="12">
        <v>2</v>
      </c>
      <c r="J35" s="12" t="str">
        <f>_xlfn.CONCAT(B35:C35)</f>
        <v>6157</v>
      </c>
      <c r="K35" s="12">
        <f>D35+E35</f>
        <v>205</v>
      </c>
      <c r="L35" s="14" t="s">
        <v>85</v>
      </c>
      <c r="M35" s="12">
        <v>2011</v>
      </c>
      <c r="N35" s="19" t="str">
        <f>_xlfn.CONCAT(Sailstats!$F$1,J35)</f>
        <v>https://www.gps-speedsurfing.com/mypage/sailstats?id=6157</v>
      </c>
      <c r="O35" s="1" t="str">
        <f>HYPERLINK(_xlfn.CONCAT(Sailstats!$F$1,J35),_xlfn.CONCAT(L35," ",TEXT(H35,"#0.0")))</f>
        <v>Koncept 5.8 Koncept 5.8</v>
      </c>
      <c r="P35" t="b">
        <f>IF(D35-E35&gt;=0,TRUE,FALSE)</f>
        <v>0</v>
      </c>
      <c r="Q35" t="b">
        <f>IF(B35&lt;&gt;"",TRUE,FALSE)</f>
        <v>0</v>
      </c>
      <c r="R35" t="b">
        <f>NOT(_xlfn.XOR(P35,Q35))</f>
        <v>1</v>
      </c>
    </row>
    <row r="36" spans="2:18" x14ac:dyDescent="0.25">
      <c r="B36" s="11">
        <v>19464</v>
      </c>
      <c r="C36" s="11"/>
      <c r="D36" s="11">
        <v>156</v>
      </c>
      <c r="E36" s="11">
        <v>47</v>
      </c>
      <c r="F36" s="11">
        <v>8</v>
      </c>
      <c r="G36" s="11">
        <v>8</v>
      </c>
      <c r="H36" s="13" t="s">
        <v>37</v>
      </c>
      <c r="I36" s="11">
        <v>1</v>
      </c>
      <c r="J36" s="11" t="str">
        <f>_xlfn.CONCAT(B36:C36)</f>
        <v>19464</v>
      </c>
      <c r="K36" s="11">
        <f>D36+E36</f>
        <v>203</v>
      </c>
      <c r="L36" s="13" t="s">
        <v>36</v>
      </c>
      <c r="M36" s="11">
        <v>2023</v>
      </c>
      <c r="N36" s="19" t="str">
        <f>_xlfn.CONCAT(Sailstats!$F$1,J36)</f>
        <v>https://www.gps-speedsurfing.com/mypage/sailstats?id=19464</v>
      </c>
      <c r="O36" s="1" t="str">
        <f>HYPERLINK(_xlfn.CONCAT(Sailstats!$F$1,J36),_xlfn.CONCAT(L36," ",TEXT(H36,"#0.0")))</f>
        <v>Warp fin 5.8 Warp Fin 5.8</v>
      </c>
      <c r="P36" t="b">
        <f>IF(D36-E36&gt;=0,TRUE,FALSE)</f>
        <v>1</v>
      </c>
      <c r="Q36" t="b">
        <f>IF(B36&lt;&gt;"",TRUE,FALSE)</f>
        <v>1</v>
      </c>
      <c r="R36" t="b">
        <f>NOT(_xlfn.XOR(P36,Q36))</f>
        <v>1</v>
      </c>
    </row>
    <row r="37" spans="2:18" x14ac:dyDescent="0.25">
      <c r="B37" s="12"/>
      <c r="C37" s="12">
        <v>19682</v>
      </c>
      <c r="D37" s="12">
        <v>156</v>
      </c>
      <c r="E37" s="12">
        <v>47</v>
      </c>
      <c r="F37" s="12">
        <v>8</v>
      </c>
      <c r="G37" s="12">
        <v>8</v>
      </c>
      <c r="H37" s="14" t="s">
        <v>37</v>
      </c>
      <c r="I37" s="12">
        <v>2</v>
      </c>
      <c r="J37" s="12" t="str">
        <f>_xlfn.CONCAT(B37:C37)</f>
        <v>19682</v>
      </c>
      <c r="K37" s="12">
        <f>D37+E37</f>
        <v>203</v>
      </c>
      <c r="L37" s="14" t="s">
        <v>36</v>
      </c>
      <c r="M37" s="12">
        <v>2023</v>
      </c>
      <c r="N37" s="19" t="str">
        <f>_xlfn.CONCAT(Sailstats!$F$1,J37)</f>
        <v>https://www.gps-speedsurfing.com/mypage/sailstats?id=19682</v>
      </c>
      <c r="O37" s="1" t="str">
        <f>HYPERLINK(_xlfn.CONCAT(Sailstats!$F$1,J37),_xlfn.CONCAT(L37," ",TEXT(H37,"#0.0")))</f>
        <v>Warp fin 5.8 Warp Fin 5.8</v>
      </c>
      <c r="P37" t="b">
        <f>IF(D37-E37&gt;=0,TRUE,FALSE)</f>
        <v>1</v>
      </c>
      <c r="Q37" t="b">
        <f>IF(B37&lt;&gt;"",TRUE,FALSE)</f>
        <v>0</v>
      </c>
      <c r="R37" t="b">
        <f>NOT(_xlfn.XOR(P37,Q37))</f>
        <v>0</v>
      </c>
    </row>
    <row r="38" spans="2:18" x14ac:dyDescent="0.25">
      <c r="B38" s="11">
        <v>2208</v>
      </c>
      <c r="C38" s="11"/>
      <c r="D38" s="11">
        <v>175</v>
      </c>
      <c r="E38" s="11">
        <v>25</v>
      </c>
      <c r="F38" s="11">
        <v>8</v>
      </c>
      <c r="G38" s="11">
        <v>8</v>
      </c>
      <c r="H38" s="13" t="s">
        <v>33</v>
      </c>
      <c r="I38" s="11">
        <v>1</v>
      </c>
      <c r="J38" s="11" t="str">
        <f>_xlfn.CONCAT(B38:C38)</f>
        <v>2208</v>
      </c>
      <c r="K38" s="11">
        <f>D38+E38</f>
        <v>200</v>
      </c>
      <c r="L38" s="13" t="s">
        <v>33</v>
      </c>
      <c r="M38" s="11">
        <v>2007</v>
      </c>
      <c r="N38" s="19" t="str">
        <f>_xlfn.CONCAT(Sailstats!$F$1,J38)</f>
        <v>https://www.gps-speedsurfing.com/mypage/sailstats?id=2208</v>
      </c>
      <c r="O38" s="1" t="str">
        <f>HYPERLINK(_xlfn.CONCAT(Sailstats!$F$1,J38),_xlfn.CONCAT(L38," ",TEXT(H38,"#0.0")))</f>
        <v>Blade 6.2 Blade 6.2</v>
      </c>
      <c r="P38" t="b">
        <f>IF(D38-E38&gt;=0,TRUE,FALSE)</f>
        <v>1</v>
      </c>
      <c r="Q38" t="b">
        <f>IF(B38&lt;&gt;"",TRUE,FALSE)</f>
        <v>1</v>
      </c>
      <c r="R38" t="b">
        <f>NOT(_xlfn.XOR(P38,Q38))</f>
        <v>1</v>
      </c>
    </row>
    <row r="39" spans="2:18" x14ac:dyDescent="0.25">
      <c r="B39" s="12"/>
      <c r="C39" s="12">
        <v>4203</v>
      </c>
      <c r="D39" s="12">
        <v>175</v>
      </c>
      <c r="E39" s="12">
        <v>25</v>
      </c>
      <c r="F39" s="12">
        <v>8</v>
      </c>
      <c r="G39" s="12">
        <v>8</v>
      </c>
      <c r="H39" s="14" t="s">
        <v>33</v>
      </c>
      <c r="I39" s="12">
        <v>2</v>
      </c>
      <c r="J39" s="12" t="str">
        <f>_xlfn.CONCAT(B39:C39)</f>
        <v>4203</v>
      </c>
      <c r="K39" s="12">
        <f>D39+E39</f>
        <v>200</v>
      </c>
      <c r="L39" s="14" t="s">
        <v>33</v>
      </c>
      <c r="M39" s="12">
        <v>2007</v>
      </c>
      <c r="N39" s="19" t="str">
        <f>_xlfn.CONCAT(Sailstats!$F$1,J39)</f>
        <v>https://www.gps-speedsurfing.com/mypage/sailstats?id=4203</v>
      </c>
      <c r="O39" s="1" t="str">
        <f>HYPERLINK(_xlfn.CONCAT(Sailstats!$F$1,J39),_xlfn.CONCAT(L39," ",TEXT(H39,"#0.0")))</f>
        <v>Blade 6.2 Blade 6.2</v>
      </c>
      <c r="P39" t="b">
        <f>IF(D39-E39&gt;=0,TRUE,FALSE)</f>
        <v>1</v>
      </c>
      <c r="Q39" t="b">
        <f>IF(B39&lt;&gt;"",TRUE,FALSE)</f>
        <v>0</v>
      </c>
      <c r="R39" t="b">
        <f>NOT(_xlfn.XOR(P39,Q39))</f>
        <v>0</v>
      </c>
    </row>
    <row r="40" spans="2:18" x14ac:dyDescent="0.25">
      <c r="B40" s="11">
        <v>18307</v>
      </c>
      <c r="C40" s="11"/>
      <c r="D40" s="11">
        <v>196</v>
      </c>
      <c r="E40" s="11">
        <v>0</v>
      </c>
      <c r="F40" s="11">
        <v>8</v>
      </c>
      <c r="G40" s="11">
        <v>8</v>
      </c>
      <c r="H40" s="13" t="s">
        <v>32</v>
      </c>
      <c r="I40" s="11">
        <v>1</v>
      </c>
      <c r="J40" s="11" t="str">
        <f>_xlfn.CONCAT(B40:C40)</f>
        <v>18307</v>
      </c>
      <c r="K40" s="11">
        <f>D40+E40</f>
        <v>196</v>
      </c>
      <c r="L40" s="13" t="s">
        <v>32</v>
      </c>
      <c r="M40" s="11">
        <v>2022</v>
      </c>
      <c r="N40" s="19" t="str">
        <f>_xlfn.CONCAT(Sailstats!$F$1,J40)</f>
        <v>https://www.gps-speedsurfing.com/mypage/sailstats?id=18307</v>
      </c>
      <c r="O40" s="1" t="str">
        <f>HYPERLINK(_xlfn.CONCAT(Sailstats!$F$1,J40),_xlfn.CONCAT(L40," ",TEXT(H40,"#0.0")))</f>
        <v>Racingblade 8.4 Racingblade 8.4</v>
      </c>
      <c r="P40" t="b">
        <f>IF(D40-E40&gt;=0,TRUE,FALSE)</f>
        <v>1</v>
      </c>
      <c r="Q40" t="b">
        <f>IF(B40&lt;&gt;"",TRUE,FALSE)</f>
        <v>1</v>
      </c>
      <c r="R40" t="b">
        <f>NOT(_xlfn.XOR(P40,Q40))</f>
        <v>1</v>
      </c>
    </row>
    <row r="41" spans="2:18" x14ac:dyDescent="0.25">
      <c r="B41" s="12"/>
      <c r="C41" s="12">
        <v>22598</v>
      </c>
      <c r="D41" s="12">
        <v>196</v>
      </c>
      <c r="E41" s="12">
        <v>0</v>
      </c>
      <c r="F41" s="12">
        <v>8</v>
      </c>
      <c r="G41" s="12">
        <v>8</v>
      </c>
      <c r="H41" s="14" t="s">
        <v>32</v>
      </c>
      <c r="I41" s="12">
        <v>2</v>
      </c>
      <c r="J41" s="12" t="str">
        <f>_xlfn.CONCAT(B41:C41)</f>
        <v>22598</v>
      </c>
      <c r="K41" s="12">
        <f>D41+E41</f>
        <v>196</v>
      </c>
      <c r="L41" s="14" t="s">
        <v>32</v>
      </c>
      <c r="M41" s="12">
        <v>2022</v>
      </c>
      <c r="N41" s="19" t="str">
        <f>_xlfn.CONCAT(Sailstats!$F$1,J41)</f>
        <v>https://www.gps-speedsurfing.com/mypage/sailstats?id=22598</v>
      </c>
      <c r="O41" s="1" t="str">
        <f>HYPERLINK(_xlfn.CONCAT(Sailstats!$F$1,J41),_xlfn.CONCAT(L41," ",TEXT(H41,"#0.0")))</f>
        <v>Racingblade 8.4 Racingblade 8.4</v>
      </c>
      <c r="P41" t="b">
        <f>IF(D41-E41&gt;=0,TRUE,FALSE)</f>
        <v>1</v>
      </c>
      <c r="Q41" t="b">
        <f>IF(B41&lt;&gt;"",TRUE,FALSE)</f>
        <v>0</v>
      </c>
      <c r="R41" t="b">
        <f>NOT(_xlfn.XOR(P41,Q41))</f>
        <v>0</v>
      </c>
    </row>
    <row r="42" spans="2:18" x14ac:dyDescent="0.25">
      <c r="B42" s="11">
        <v>17366</v>
      </c>
      <c r="C42" s="11"/>
      <c r="D42" s="11">
        <v>165</v>
      </c>
      <c r="E42" s="11">
        <v>3</v>
      </c>
      <c r="F42" s="11">
        <v>9</v>
      </c>
      <c r="G42" s="11">
        <v>9</v>
      </c>
      <c r="H42" s="13" t="s">
        <v>34</v>
      </c>
      <c r="I42" s="11">
        <v>1</v>
      </c>
      <c r="J42" s="11" t="str">
        <f>_xlfn.CONCAT(B42:C42)</f>
        <v>17366</v>
      </c>
      <c r="K42" s="11">
        <f>D42+E42</f>
        <v>168</v>
      </c>
      <c r="L42" s="13" t="s">
        <v>34</v>
      </c>
      <c r="M42" s="11">
        <v>2021</v>
      </c>
      <c r="N42" s="19" t="str">
        <f>_xlfn.CONCAT(Sailstats!$F$1,J42)</f>
        <v>https://www.gps-speedsurfing.com/mypage/sailstats?id=17366</v>
      </c>
      <c r="O42" s="1" t="str">
        <f>HYPERLINK(_xlfn.CONCAT(Sailstats!$F$1,J42),_xlfn.CONCAT(L42," ",TEXT(H42,"#0.0")))</f>
        <v>Phantom 7.1 Phantom 7.1</v>
      </c>
      <c r="P42" t="b">
        <f>IF(D42-E42&gt;=0,TRUE,FALSE)</f>
        <v>1</v>
      </c>
      <c r="Q42" t="b">
        <f>IF(B42&lt;&gt;"",TRUE,FALSE)</f>
        <v>1</v>
      </c>
      <c r="R42" t="b">
        <f>NOT(_xlfn.XOR(P42,Q42))</f>
        <v>1</v>
      </c>
    </row>
    <row r="43" spans="2:18" x14ac:dyDescent="0.25">
      <c r="B43" s="12"/>
      <c r="C43" s="12">
        <v>17367</v>
      </c>
      <c r="D43" s="12">
        <v>165</v>
      </c>
      <c r="E43" s="12">
        <v>3</v>
      </c>
      <c r="F43" s="12">
        <v>9</v>
      </c>
      <c r="G43" s="12">
        <v>9</v>
      </c>
      <c r="H43" s="14" t="s">
        <v>34</v>
      </c>
      <c r="I43" s="12">
        <v>2</v>
      </c>
      <c r="J43" s="12" t="str">
        <f>_xlfn.CONCAT(B43:C43)</f>
        <v>17367</v>
      </c>
      <c r="K43" s="12">
        <f>D43+E43</f>
        <v>168</v>
      </c>
      <c r="L43" s="14" t="s">
        <v>34</v>
      </c>
      <c r="M43" s="12">
        <v>2021</v>
      </c>
      <c r="N43" s="19" t="str">
        <f>_xlfn.CONCAT(Sailstats!$F$1,J43)</f>
        <v>https://www.gps-speedsurfing.com/mypage/sailstats?id=17367</v>
      </c>
      <c r="O43" s="1" t="str">
        <f>HYPERLINK(_xlfn.CONCAT(Sailstats!$F$1,J43),_xlfn.CONCAT(L43," ",TEXT(H43,"#0.0")))</f>
        <v>Phantom 7.1 Phantom 7.1</v>
      </c>
      <c r="P43" t="b">
        <f>IF(D43-E43&gt;=0,TRUE,FALSE)</f>
        <v>1</v>
      </c>
      <c r="Q43" t="b">
        <f>IF(B43&lt;&gt;"",TRUE,FALSE)</f>
        <v>0</v>
      </c>
      <c r="R43" t="b">
        <f>NOT(_xlfn.XOR(P43,Q43))</f>
        <v>0</v>
      </c>
    </row>
    <row r="44" spans="2:18" x14ac:dyDescent="0.25">
      <c r="B44" s="11">
        <v>14566</v>
      </c>
      <c r="C44" s="11"/>
      <c r="D44" s="11">
        <v>158</v>
      </c>
      <c r="E44" s="11">
        <v>1</v>
      </c>
      <c r="F44" s="11">
        <v>8</v>
      </c>
      <c r="G44" s="11">
        <v>8</v>
      </c>
      <c r="H44" s="13" t="s">
        <v>35</v>
      </c>
      <c r="I44" s="11">
        <v>1</v>
      </c>
      <c r="J44" s="11" t="str">
        <f>_xlfn.CONCAT(B44:C44)</f>
        <v>14566</v>
      </c>
      <c r="K44" s="11">
        <f>D44+E44</f>
        <v>159</v>
      </c>
      <c r="L44" s="13" t="s">
        <v>35</v>
      </c>
      <c r="M44" s="11">
        <v>2019</v>
      </c>
      <c r="N44" s="19" t="str">
        <f>_xlfn.CONCAT(Sailstats!$F$1,J44)</f>
        <v>https://www.gps-speedsurfing.com/mypage/sailstats?id=14566</v>
      </c>
      <c r="O44" s="1" t="str">
        <f>HYPERLINK(_xlfn.CONCAT(Sailstats!$F$1,J44),_xlfn.CONCAT(L44," ",TEXT(H44,"#0.0")))</f>
        <v>Mach 2 5.5 Mach 2 5.5</v>
      </c>
      <c r="P44" t="b">
        <f>IF(D44-E44&gt;=0,TRUE,FALSE)</f>
        <v>1</v>
      </c>
      <c r="Q44" t="b">
        <f>IF(B44&lt;&gt;"",TRUE,FALSE)</f>
        <v>1</v>
      </c>
      <c r="R44" t="b">
        <f>NOT(_xlfn.XOR(P44,Q44))</f>
        <v>1</v>
      </c>
    </row>
    <row r="45" spans="2:18" x14ac:dyDescent="0.25">
      <c r="B45" s="12"/>
      <c r="C45" s="12">
        <v>16776</v>
      </c>
      <c r="D45" s="12">
        <v>158</v>
      </c>
      <c r="E45" s="12">
        <v>1</v>
      </c>
      <c r="F45" s="12">
        <v>8</v>
      </c>
      <c r="G45" s="12">
        <v>8</v>
      </c>
      <c r="H45" s="14" t="s">
        <v>35</v>
      </c>
      <c r="I45" s="12">
        <v>2</v>
      </c>
      <c r="J45" s="12" t="str">
        <f>_xlfn.CONCAT(B45:C45)</f>
        <v>16776</v>
      </c>
      <c r="K45" s="12">
        <f>D45+E45</f>
        <v>159</v>
      </c>
      <c r="L45" s="14" t="s">
        <v>35</v>
      </c>
      <c r="M45" s="12">
        <v>2019</v>
      </c>
      <c r="N45" s="19" t="str">
        <f>_xlfn.CONCAT(Sailstats!$F$1,J45)</f>
        <v>https://www.gps-speedsurfing.com/mypage/sailstats?id=16776</v>
      </c>
      <c r="O45" s="1" t="str">
        <f>HYPERLINK(_xlfn.CONCAT(Sailstats!$F$1,J45),_xlfn.CONCAT(L45," ",TEXT(H45,"#0.0")))</f>
        <v>Mach 2 5.5 Mach 2 5.5</v>
      </c>
      <c r="P45" t="b">
        <f>IF(D45-E45&gt;=0,TRUE,FALSE)</f>
        <v>1</v>
      </c>
      <c r="Q45" t="b">
        <f>IF(B45&lt;&gt;"",TRUE,FALSE)</f>
        <v>0</v>
      </c>
      <c r="R45" t="b">
        <f>NOT(_xlfn.XOR(P45,Q45))</f>
        <v>0</v>
      </c>
    </row>
    <row r="46" spans="2:18" x14ac:dyDescent="0.25">
      <c r="B46" s="11">
        <v>2661</v>
      </c>
      <c r="C46" s="11"/>
      <c r="D46" s="11">
        <v>127</v>
      </c>
      <c r="E46" s="11">
        <v>28</v>
      </c>
      <c r="F46" s="11">
        <v>8</v>
      </c>
      <c r="G46" s="11">
        <v>8</v>
      </c>
      <c r="H46" s="13" t="s">
        <v>41</v>
      </c>
      <c r="I46" s="11">
        <v>1</v>
      </c>
      <c r="J46" s="11" t="str">
        <f>_xlfn.CONCAT(B46:C46)</f>
        <v>2661</v>
      </c>
      <c r="K46" s="11">
        <f>D46+E46</f>
        <v>155</v>
      </c>
      <c r="L46" s="13" t="s">
        <v>41</v>
      </c>
      <c r="M46" s="11">
        <v>2007</v>
      </c>
      <c r="N46" s="19" t="str">
        <f>_xlfn.CONCAT(Sailstats!$F$1,J46)</f>
        <v>https://www.gps-speedsurfing.com/mypage/sailstats?id=2661</v>
      </c>
      <c r="O46" s="1" t="str">
        <f>HYPERLINK(_xlfn.CONCAT(Sailstats!$F$1,J46),_xlfn.CONCAT(L46," ",TEXT(H46,"#0.0")))</f>
        <v>TR-3 6.3 TR-3 6.3</v>
      </c>
      <c r="P46" t="b">
        <f>IF(D46-E46&gt;=0,TRUE,FALSE)</f>
        <v>1</v>
      </c>
      <c r="Q46" t="b">
        <f>IF(B46&lt;&gt;"",TRUE,FALSE)</f>
        <v>1</v>
      </c>
      <c r="R46" t="b">
        <f>NOT(_xlfn.XOR(P46,Q46))</f>
        <v>1</v>
      </c>
    </row>
    <row r="47" spans="2:18" x14ac:dyDescent="0.25">
      <c r="B47" s="12"/>
      <c r="C47" s="12">
        <v>3070</v>
      </c>
      <c r="D47" s="12">
        <v>127</v>
      </c>
      <c r="E47" s="12">
        <v>28</v>
      </c>
      <c r="F47" s="12">
        <v>8</v>
      </c>
      <c r="G47" s="12">
        <v>8</v>
      </c>
      <c r="H47" s="14" t="s">
        <v>41</v>
      </c>
      <c r="I47" s="12">
        <v>2</v>
      </c>
      <c r="J47" s="12" t="str">
        <f>_xlfn.CONCAT(B47:C47)</f>
        <v>3070</v>
      </c>
      <c r="K47" s="12">
        <f>D47+E47</f>
        <v>155</v>
      </c>
      <c r="L47" s="14" t="s">
        <v>41</v>
      </c>
      <c r="M47" s="12">
        <v>2007</v>
      </c>
      <c r="N47" s="19" t="str">
        <f>_xlfn.CONCAT(Sailstats!$F$1,J47)</f>
        <v>https://www.gps-speedsurfing.com/mypage/sailstats?id=3070</v>
      </c>
      <c r="O47" s="1" t="str">
        <f>HYPERLINK(_xlfn.CONCAT(Sailstats!$F$1,J47),_xlfn.CONCAT(L47," ",TEXT(H47,"#0.0")))</f>
        <v>TR-3 6.3 TR-3 6.3</v>
      </c>
      <c r="P47" t="b">
        <f>IF(D47-E47&gt;=0,TRUE,FALSE)</f>
        <v>1</v>
      </c>
      <c r="Q47" t="b">
        <f>IF(B47&lt;&gt;"",TRUE,FALSE)</f>
        <v>0</v>
      </c>
      <c r="R47" t="b">
        <f>NOT(_xlfn.XOR(P47,Q47))</f>
        <v>0</v>
      </c>
    </row>
    <row r="48" spans="2:18" x14ac:dyDescent="0.25">
      <c r="B48" s="11">
        <v>17155</v>
      </c>
      <c r="C48" s="11"/>
      <c r="D48" s="11">
        <v>147</v>
      </c>
      <c r="E48" s="11">
        <v>0</v>
      </c>
      <c r="F48" s="11">
        <v>9</v>
      </c>
      <c r="G48" s="11">
        <v>9</v>
      </c>
      <c r="H48" s="13" t="s">
        <v>39</v>
      </c>
      <c r="I48" s="11">
        <v>1</v>
      </c>
      <c r="J48" s="11" t="str">
        <f>_xlfn.CONCAT(B48:C48)</f>
        <v>17155</v>
      </c>
      <c r="K48" s="11">
        <f>D48+E48</f>
        <v>147</v>
      </c>
      <c r="L48" s="13" t="s">
        <v>39</v>
      </c>
      <c r="M48" s="11">
        <v>2020</v>
      </c>
      <c r="N48" s="19" t="str">
        <f>_xlfn.CONCAT(Sailstats!$F$1,J48)</f>
        <v>https://www.gps-speedsurfing.com/mypage/sailstats?id=17155</v>
      </c>
      <c r="O48" s="1" t="str">
        <f>HYPERLINK(_xlfn.CONCAT(Sailstats!$F$1,J48),_xlfn.CONCAT(L48," ",TEXT(H48,"#0.0")))</f>
        <v>Vector 8.6 Vector 8.6</v>
      </c>
      <c r="P48" t="b">
        <f>IF(D48-E48&gt;=0,TRUE,FALSE)</f>
        <v>1</v>
      </c>
      <c r="Q48" t="b">
        <f>IF(B48&lt;&gt;"",TRUE,FALSE)</f>
        <v>1</v>
      </c>
      <c r="R48" t="b">
        <f>NOT(_xlfn.XOR(P48,Q48))</f>
        <v>1</v>
      </c>
    </row>
    <row r="49" spans="2:18" x14ac:dyDescent="0.25">
      <c r="B49" s="12"/>
      <c r="C49" s="12">
        <v>21220</v>
      </c>
      <c r="D49" s="12">
        <v>147</v>
      </c>
      <c r="E49" s="12">
        <v>0</v>
      </c>
      <c r="F49" s="12">
        <v>9</v>
      </c>
      <c r="G49" s="12">
        <v>9</v>
      </c>
      <c r="H49" s="14" t="s">
        <v>39</v>
      </c>
      <c r="I49" s="12">
        <v>2</v>
      </c>
      <c r="J49" s="12" t="str">
        <f>_xlfn.CONCAT(B49:C49)</f>
        <v>21220</v>
      </c>
      <c r="K49" s="12">
        <f>D49+E49</f>
        <v>147</v>
      </c>
      <c r="L49" s="14" t="s">
        <v>39</v>
      </c>
      <c r="M49" s="12">
        <v>2020</v>
      </c>
      <c r="N49" s="19" t="str">
        <f>_xlfn.CONCAT(Sailstats!$F$1,J49)</f>
        <v>https://www.gps-speedsurfing.com/mypage/sailstats?id=21220</v>
      </c>
      <c r="O49" s="1" t="str">
        <f>HYPERLINK(_xlfn.CONCAT(Sailstats!$F$1,J49),_xlfn.CONCAT(L49," ",TEXT(H49,"#0.0")))</f>
        <v>Vector 8.6 Vector 8.6</v>
      </c>
      <c r="P49" t="b">
        <f>IF(D49-E49&gt;=0,TRUE,FALSE)</f>
        <v>1</v>
      </c>
      <c r="Q49" t="b">
        <f>IF(B49&lt;&gt;"",TRUE,FALSE)</f>
        <v>0</v>
      </c>
      <c r="R49" t="b">
        <f>NOT(_xlfn.XOR(P49,Q49))</f>
        <v>0</v>
      </c>
    </row>
    <row r="50" spans="2:18" x14ac:dyDescent="0.25">
      <c r="B50" s="11">
        <v>4325</v>
      </c>
      <c r="C50" s="11"/>
      <c r="D50" s="11">
        <v>68</v>
      </c>
      <c r="E50" s="11">
        <v>73</v>
      </c>
      <c r="F50" s="11">
        <v>8</v>
      </c>
      <c r="G50" s="11">
        <v>8</v>
      </c>
      <c r="H50" s="13" t="s">
        <v>49</v>
      </c>
      <c r="I50" s="11">
        <v>1</v>
      </c>
      <c r="J50" s="11" t="str">
        <f>_xlfn.CONCAT(B50:C50)</f>
        <v>4325</v>
      </c>
      <c r="K50" s="11">
        <f>D50+E50</f>
        <v>141</v>
      </c>
      <c r="L50" s="13" t="s">
        <v>49</v>
      </c>
      <c r="M50" s="11">
        <v>2009</v>
      </c>
      <c r="N50" s="19" t="str">
        <f>_xlfn.CONCAT(Sailstats!$F$1,J50)</f>
        <v>https://www.gps-speedsurfing.com/mypage/sailstats?id=4325</v>
      </c>
      <c r="O50" s="1" t="str">
        <f>HYPERLINK(_xlfn.CONCAT(Sailstats!$F$1,J50),_xlfn.CONCAT(L50," ",TEXT(H50,"#0.0")))</f>
        <v>Blade 5.6 Blade 5.6</v>
      </c>
      <c r="P50" t="b">
        <f>IF(D50-E50&gt;=0,TRUE,FALSE)</f>
        <v>0</v>
      </c>
      <c r="Q50" t="b">
        <f>IF(B50&lt;&gt;"",TRUE,FALSE)</f>
        <v>1</v>
      </c>
      <c r="R50" t="b">
        <f>NOT(_xlfn.XOR(P50,Q50))</f>
        <v>0</v>
      </c>
    </row>
    <row r="51" spans="2:18" x14ac:dyDescent="0.25">
      <c r="B51" s="12"/>
      <c r="C51" s="12">
        <v>4586</v>
      </c>
      <c r="D51" s="12">
        <v>68</v>
      </c>
      <c r="E51" s="12">
        <v>73</v>
      </c>
      <c r="F51" s="12">
        <v>8</v>
      </c>
      <c r="G51" s="12">
        <v>8</v>
      </c>
      <c r="H51" s="14" t="s">
        <v>49</v>
      </c>
      <c r="I51" s="12">
        <v>2</v>
      </c>
      <c r="J51" s="12" t="str">
        <f>_xlfn.CONCAT(B51:C51)</f>
        <v>4586</v>
      </c>
      <c r="K51" s="12">
        <f>D51+E51</f>
        <v>141</v>
      </c>
      <c r="L51" s="14" t="s">
        <v>49</v>
      </c>
      <c r="M51" s="12">
        <v>2009</v>
      </c>
      <c r="N51" s="19" t="str">
        <f>_xlfn.CONCAT(Sailstats!$F$1,J51)</f>
        <v>https://www.gps-speedsurfing.com/mypage/sailstats?id=4586</v>
      </c>
      <c r="O51" s="1" t="str">
        <f>HYPERLINK(_xlfn.CONCAT(Sailstats!$F$1,J51),_xlfn.CONCAT(L51," ",TEXT(H51,"#0.0")))</f>
        <v>Blade 5.6 Blade 5.6</v>
      </c>
      <c r="P51" t="b">
        <f>IF(D51-E51&gt;=0,TRUE,FALSE)</f>
        <v>0</v>
      </c>
      <c r="Q51" t="b">
        <f>IF(B51&lt;&gt;"",TRUE,FALSE)</f>
        <v>0</v>
      </c>
      <c r="R51" t="b">
        <f>NOT(_xlfn.XOR(P51,Q51))</f>
        <v>1</v>
      </c>
    </row>
    <row r="52" spans="2:18" x14ac:dyDescent="0.25">
      <c r="B52" s="11">
        <v>3517</v>
      </c>
      <c r="C52" s="11"/>
      <c r="D52" s="11">
        <v>54</v>
      </c>
      <c r="E52" s="11">
        <v>73</v>
      </c>
      <c r="F52" s="11">
        <v>8</v>
      </c>
      <c r="G52" s="11">
        <v>8</v>
      </c>
      <c r="H52" s="13" t="s">
        <v>40</v>
      </c>
      <c r="I52" s="11">
        <v>1</v>
      </c>
      <c r="J52" s="11" t="str">
        <f>_xlfn.CONCAT(B52:C52)</f>
        <v>3517</v>
      </c>
      <c r="K52" s="11">
        <f>D52+E52</f>
        <v>127</v>
      </c>
      <c r="L52" s="13" t="s">
        <v>40</v>
      </c>
      <c r="M52" s="11">
        <v>2008</v>
      </c>
      <c r="N52" s="19" t="str">
        <f>_xlfn.CONCAT(Sailstats!$F$1,J52)</f>
        <v>https://www.gps-speedsurfing.com/mypage/sailstats?id=3517</v>
      </c>
      <c r="O52" s="1" t="str">
        <f>HYPERLINK(_xlfn.CONCAT(Sailstats!$F$1,J52),_xlfn.CONCAT(L52," ",TEXT(H52,"#0.0")))</f>
        <v>Blade 7.5 Blade 7.5</v>
      </c>
      <c r="P52" t="b">
        <f>IF(D52-E52&gt;=0,TRUE,FALSE)</f>
        <v>0</v>
      </c>
      <c r="Q52" t="b">
        <f>IF(B52&lt;&gt;"",TRUE,FALSE)</f>
        <v>1</v>
      </c>
      <c r="R52" t="b">
        <f>NOT(_xlfn.XOR(P52,Q52))</f>
        <v>0</v>
      </c>
    </row>
    <row r="53" spans="2:18" x14ac:dyDescent="0.25">
      <c r="B53" s="12"/>
      <c r="C53" s="12">
        <v>4110</v>
      </c>
      <c r="D53" s="12">
        <v>54</v>
      </c>
      <c r="E53" s="12">
        <v>73</v>
      </c>
      <c r="F53" s="12">
        <v>8</v>
      </c>
      <c r="G53" s="12">
        <v>8</v>
      </c>
      <c r="H53" s="14" t="s">
        <v>40</v>
      </c>
      <c r="I53" s="12">
        <v>2</v>
      </c>
      <c r="J53" s="12" t="str">
        <f>_xlfn.CONCAT(B53:C53)</f>
        <v>4110</v>
      </c>
      <c r="K53" s="12">
        <f>D53+E53</f>
        <v>127</v>
      </c>
      <c r="L53" s="14" t="s">
        <v>40</v>
      </c>
      <c r="M53" s="12">
        <v>2008</v>
      </c>
      <c r="N53" s="19" t="str">
        <f>_xlfn.CONCAT(Sailstats!$F$1,J53)</f>
        <v>https://www.gps-speedsurfing.com/mypage/sailstats?id=4110</v>
      </c>
      <c r="O53" s="1" t="str">
        <f>HYPERLINK(_xlfn.CONCAT(Sailstats!$F$1,J53),_xlfn.CONCAT(L53," ",TEXT(H53,"#0.0")))</f>
        <v>Blade 7.5 Blade 7.5</v>
      </c>
      <c r="P53" t="b">
        <f>IF(D53-E53&gt;=0,TRUE,FALSE)</f>
        <v>0</v>
      </c>
      <c r="Q53" t="b">
        <f>IF(B53&lt;&gt;"",TRUE,FALSE)</f>
        <v>0</v>
      </c>
      <c r="R53" t="b">
        <f>NOT(_xlfn.XOR(P53,Q53))</f>
        <v>1</v>
      </c>
    </row>
    <row r="54" spans="2:18" x14ac:dyDescent="0.25">
      <c r="B54" s="11">
        <v>6068</v>
      </c>
      <c r="C54" s="11"/>
      <c r="D54" s="11">
        <v>21</v>
      </c>
      <c r="E54" s="11">
        <v>104</v>
      </c>
      <c r="F54" s="11">
        <v>8</v>
      </c>
      <c r="G54" s="11">
        <v>8</v>
      </c>
      <c r="H54" s="13" t="s">
        <v>79</v>
      </c>
      <c r="I54" s="11">
        <v>1</v>
      </c>
      <c r="J54" s="11" t="str">
        <f>_xlfn.CONCAT(B54:C54)</f>
        <v>6068</v>
      </c>
      <c r="K54" s="11">
        <f>D54+E54</f>
        <v>125</v>
      </c>
      <c r="L54" s="13" t="s">
        <v>79</v>
      </c>
      <c r="M54" s="11">
        <v>2011</v>
      </c>
      <c r="N54" s="19" t="str">
        <f>_xlfn.CONCAT(Sailstats!$F$1,J54)</f>
        <v>https://www.gps-speedsurfing.com/mypage/sailstats?id=6068</v>
      </c>
      <c r="O54" s="1" t="str">
        <f>HYPERLINK(_xlfn.CONCAT(Sailstats!$F$1,J54),_xlfn.CONCAT(L54," ",TEXT(H54,"#0.0")))</f>
        <v>Mega XS 5.6 Mega XS 5.6</v>
      </c>
      <c r="P54" t="b">
        <f>IF(D54-E54&gt;=0,TRUE,FALSE)</f>
        <v>0</v>
      </c>
      <c r="Q54" t="b">
        <f>IF(B54&lt;&gt;"",TRUE,FALSE)</f>
        <v>1</v>
      </c>
      <c r="R54" t="b">
        <f>NOT(_xlfn.XOR(P54,Q54))</f>
        <v>0</v>
      </c>
    </row>
    <row r="55" spans="2:18" x14ac:dyDescent="0.25">
      <c r="B55" s="12"/>
      <c r="C55" s="12">
        <v>6078</v>
      </c>
      <c r="D55" s="12">
        <v>21</v>
      </c>
      <c r="E55" s="12">
        <v>104</v>
      </c>
      <c r="F55" s="12">
        <v>8</v>
      </c>
      <c r="G55" s="12">
        <v>8</v>
      </c>
      <c r="H55" s="14" t="s">
        <v>79</v>
      </c>
      <c r="I55" s="12">
        <v>2</v>
      </c>
      <c r="J55" s="12" t="str">
        <f>_xlfn.CONCAT(B55:C55)</f>
        <v>6078</v>
      </c>
      <c r="K55" s="12">
        <f>D55+E55</f>
        <v>125</v>
      </c>
      <c r="L55" s="14" t="s">
        <v>79</v>
      </c>
      <c r="M55" s="12">
        <v>2011</v>
      </c>
      <c r="N55" s="19" t="str">
        <f>_xlfn.CONCAT(Sailstats!$F$1,J55)</f>
        <v>https://www.gps-speedsurfing.com/mypage/sailstats?id=6078</v>
      </c>
      <c r="O55" s="1" t="str">
        <f>HYPERLINK(_xlfn.CONCAT(Sailstats!$F$1,J55),_xlfn.CONCAT(L55," ",TEXT(H55,"#0.0")))</f>
        <v>Mega XS 5.6 Mega XS 5.6</v>
      </c>
      <c r="P55" t="b">
        <f>IF(D55-E55&gt;=0,TRUE,FALSE)</f>
        <v>0</v>
      </c>
      <c r="Q55" t="b">
        <f>IF(B55&lt;&gt;"",TRUE,FALSE)</f>
        <v>0</v>
      </c>
      <c r="R55" t="b">
        <f>NOT(_xlfn.XOR(P55,Q55))</f>
        <v>1</v>
      </c>
    </row>
    <row r="56" spans="2:18" x14ac:dyDescent="0.25">
      <c r="B56" s="11">
        <v>2972</v>
      </c>
      <c r="C56" s="11"/>
      <c r="D56" s="11">
        <v>116</v>
      </c>
      <c r="E56" s="11">
        <v>2</v>
      </c>
      <c r="F56" s="11">
        <v>12</v>
      </c>
      <c r="G56" s="11">
        <v>12</v>
      </c>
      <c r="H56" s="13" t="s">
        <v>42</v>
      </c>
      <c r="I56" s="11">
        <v>1</v>
      </c>
      <c r="J56" s="11" t="str">
        <f>_xlfn.CONCAT(B56:C56)</f>
        <v>2972</v>
      </c>
      <c r="K56" s="11">
        <f>D56+E56</f>
        <v>118</v>
      </c>
      <c r="L56" s="13" t="s">
        <v>42</v>
      </c>
      <c r="M56" s="11">
        <v>2007</v>
      </c>
      <c r="N56" s="19" t="str">
        <f>_xlfn.CONCAT(Sailstats!$F$1,J56)</f>
        <v>https://www.gps-speedsurfing.com/mypage/sailstats?id=2972</v>
      </c>
      <c r="O56" s="1" t="str">
        <f>HYPERLINK(_xlfn.CONCAT(Sailstats!$F$1,J56),_xlfn.CONCAT(L56," ",TEXT(H56,"#0.0")))</f>
        <v>RS Racing 5.0 RS Racing 5.0</v>
      </c>
      <c r="P56" t="b">
        <f>IF(D56-E56&gt;=0,TRUE,FALSE)</f>
        <v>1</v>
      </c>
      <c r="Q56" t="b">
        <f>IF(B56&lt;&gt;"",TRUE,FALSE)</f>
        <v>1</v>
      </c>
      <c r="R56" t="b">
        <f>NOT(_xlfn.XOR(P56,Q56))</f>
        <v>1</v>
      </c>
    </row>
    <row r="57" spans="2:18" x14ac:dyDescent="0.25">
      <c r="B57" s="12"/>
      <c r="C57" s="12">
        <v>3552</v>
      </c>
      <c r="D57" s="12">
        <v>116</v>
      </c>
      <c r="E57" s="12">
        <v>2</v>
      </c>
      <c r="F57" s="12">
        <v>12</v>
      </c>
      <c r="G57" s="12">
        <v>12</v>
      </c>
      <c r="H57" s="14" t="s">
        <v>42</v>
      </c>
      <c r="I57" s="12">
        <v>2</v>
      </c>
      <c r="J57" s="12" t="str">
        <f>_xlfn.CONCAT(B57:C57)</f>
        <v>3552</v>
      </c>
      <c r="K57" s="12">
        <f>D57+E57</f>
        <v>118</v>
      </c>
      <c r="L57" s="14" t="s">
        <v>42</v>
      </c>
      <c r="M57" s="12">
        <v>2007</v>
      </c>
      <c r="N57" s="19" t="str">
        <f>_xlfn.CONCAT(Sailstats!$F$1,J57)</f>
        <v>https://www.gps-speedsurfing.com/mypage/sailstats?id=3552</v>
      </c>
      <c r="O57" s="1" t="str">
        <f>HYPERLINK(_xlfn.CONCAT(Sailstats!$F$1,J57),_xlfn.CONCAT(L57," ",TEXT(H57,"#0.0")))</f>
        <v>RS Racing 5.0 RS Racing 5.0</v>
      </c>
      <c r="P57" t="b">
        <f>IF(D57-E57&gt;=0,TRUE,FALSE)</f>
        <v>1</v>
      </c>
      <c r="Q57" t="b">
        <f>IF(B57&lt;&gt;"",TRUE,FALSE)</f>
        <v>0</v>
      </c>
      <c r="R57" t="b">
        <f>NOT(_xlfn.XOR(P57,Q57))</f>
        <v>0</v>
      </c>
    </row>
    <row r="58" spans="2:18" x14ac:dyDescent="0.25">
      <c r="B58" s="11">
        <v>17558</v>
      </c>
      <c r="C58" s="11"/>
      <c r="D58" s="11">
        <v>9</v>
      </c>
      <c r="E58" s="11">
        <v>106</v>
      </c>
      <c r="F58" s="11">
        <v>9</v>
      </c>
      <c r="G58" s="11">
        <v>8</v>
      </c>
      <c r="H58" s="13" t="s">
        <v>64</v>
      </c>
      <c r="I58" s="11">
        <v>1</v>
      </c>
      <c r="J58" s="11" t="str">
        <f>_xlfn.CONCAT(B58:C58)</f>
        <v>17558</v>
      </c>
      <c r="K58" s="11">
        <f>D58+E58</f>
        <v>115</v>
      </c>
      <c r="L58" s="13" t="s">
        <v>64</v>
      </c>
      <c r="M58" s="11">
        <v>2021</v>
      </c>
      <c r="N58" s="19" t="str">
        <f>_xlfn.CONCAT(Sailstats!$F$1,J58)</f>
        <v>https://www.gps-speedsurfing.com/mypage/sailstats?id=17558</v>
      </c>
      <c r="O58" s="1" t="str">
        <f>HYPERLINK(_xlfn.CONCAT(Sailstats!$F$1,J58),_xlfn.CONCAT(L58," ",TEXT(H58,"#0.0")))</f>
        <v>AC-Z 6.8 AC-Z 6.8</v>
      </c>
      <c r="P58" t="b">
        <f>IF(D58-E58&gt;=0,TRUE,FALSE)</f>
        <v>0</v>
      </c>
      <c r="Q58" t="b">
        <f>IF(B58&lt;&gt;"",TRUE,FALSE)</f>
        <v>1</v>
      </c>
      <c r="R58" t="b">
        <f>NOT(_xlfn.XOR(P58,Q58))</f>
        <v>0</v>
      </c>
    </row>
    <row r="59" spans="2:18" x14ac:dyDescent="0.25">
      <c r="B59" s="12"/>
      <c r="C59" s="12">
        <v>17923</v>
      </c>
      <c r="D59" s="12">
        <v>9</v>
      </c>
      <c r="E59" s="12">
        <v>106</v>
      </c>
      <c r="F59" s="12">
        <v>9</v>
      </c>
      <c r="G59" s="12">
        <v>8</v>
      </c>
      <c r="H59" s="14" t="s">
        <v>64</v>
      </c>
      <c r="I59" s="12">
        <v>2</v>
      </c>
      <c r="J59" s="12" t="str">
        <f>_xlfn.CONCAT(B59:C59)</f>
        <v>17923</v>
      </c>
      <c r="K59" s="12">
        <f>D59+E59</f>
        <v>115</v>
      </c>
      <c r="L59" s="14" t="s">
        <v>64</v>
      </c>
      <c r="M59" s="12">
        <v>2021</v>
      </c>
      <c r="N59" s="19" t="str">
        <f>_xlfn.CONCAT(Sailstats!$F$1,J59)</f>
        <v>https://www.gps-speedsurfing.com/mypage/sailstats?id=17923</v>
      </c>
      <c r="O59" s="1" t="str">
        <f>HYPERLINK(_xlfn.CONCAT(Sailstats!$F$1,J59),_xlfn.CONCAT(L59," ",TEXT(H59,"#0.0")))</f>
        <v>AC-Z 6.8 AC-Z 6.8</v>
      </c>
      <c r="P59" t="b">
        <f>IF(D59-E59&gt;=0,TRUE,FALSE)</f>
        <v>0</v>
      </c>
      <c r="Q59" t="b">
        <f>IF(B59&lt;&gt;"",TRUE,FALSE)</f>
        <v>0</v>
      </c>
      <c r="R59" t="b">
        <f>NOT(_xlfn.XOR(P59,Q59))</f>
        <v>1</v>
      </c>
    </row>
    <row r="60" spans="2:18" x14ac:dyDescent="0.25">
      <c r="B60" s="11">
        <v>14338</v>
      </c>
      <c r="C60" s="11"/>
      <c r="D60" s="11">
        <v>26</v>
      </c>
      <c r="E60" s="11">
        <v>84</v>
      </c>
      <c r="F60" s="11">
        <v>58</v>
      </c>
      <c r="G60" s="11">
        <v>58</v>
      </c>
      <c r="H60" s="13" t="s">
        <v>72</v>
      </c>
      <c r="I60" s="11">
        <v>1</v>
      </c>
      <c r="J60" s="11" t="str">
        <f>_xlfn.CONCAT(B60:C60)</f>
        <v>14338</v>
      </c>
      <c r="K60" s="11">
        <f>D60+E60</f>
        <v>110</v>
      </c>
      <c r="L60" s="13" t="s">
        <v>72</v>
      </c>
      <c r="M60" s="11">
        <v>2019</v>
      </c>
      <c r="N60" s="19" t="str">
        <f>_xlfn.CONCAT(Sailstats!$F$1,J60)</f>
        <v>https://www.gps-speedsurfing.com/mypage/sailstats?id=14338</v>
      </c>
      <c r="O60" s="1" t="str">
        <f>HYPERLINK(_xlfn.CONCAT(Sailstats!$F$1,J60),_xlfn.CONCAT(L60," ",TEXT(H60,"#0.0")))</f>
        <v>Skyscape 7.6 Skyscape 7.6</v>
      </c>
      <c r="P60" t="b">
        <f>IF(D60-E60&gt;=0,TRUE,FALSE)</f>
        <v>0</v>
      </c>
      <c r="Q60" t="b">
        <f>IF(B60&lt;&gt;"",TRUE,FALSE)</f>
        <v>1</v>
      </c>
      <c r="R60" t="b">
        <f>NOT(_xlfn.XOR(P60,Q60))</f>
        <v>0</v>
      </c>
    </row>
    <row r="61" spans="2:18" x14ac:dyDescent="0.25">
      <c r="B61" s="12"/>
      <c r="C61" s="12">
        <v>15490</v>
      </c>
      <c r="D61" s="12">
        <v>26</v>
      </c>
      <c r="E61" s="12">
        <v>84</v>
      </c>
      <c r="F61" s="12">
        <v>58</v>
      </c>
      <c r="G61" s="12">
        <v>58</v>
      </c>
      <c r="H61" s="14" t="s">
        <v>72</v>
      </c>
      <c r="I61" s="12">
        <v>2</v>
      </c>
      <c r="J61" s="12" t="str">
        <f>_xlfn.CONCAT(B61:C61)</f>
        <v>15490</v>
      </c>
      <c r="K61" s="12">
        <f>D61+E61</f>
        <v>110</v>
      </c>
      <c r="L61" s="14" t="s">
        <v>72</v>
      </c>
      <c r="M61" s="12">
        <v>2019</v>
      </c>
      <c r="N61" s="19" t="str">
        <f>_xlfn.CONCAT(Sailstats!$F$1,J61)</f>
        <v>https://www.gps-speedsurfing.com/mypage/sailstats?id=15490</v>
      </c>
      <c r="O61" s="1" t="str">
        <f>HYPERLINK(_xlfn.CONCAT(Sailstats!$F$1,J61),_xlfn.CONCAT(L61," ",TEXT(H61,"#0.0")))</f>
        <v>Skyscape 7.6 Skyscape 7.6</v>
      </c>
      <c r="P61" t="b">
        <f>IF(D61-E61&gt;=0,TRUE,FALSE)</f>
        <v>0</v>
      </c>
      <c r="Q61" t="b">
        <f>IF(B61&lt;&gt;"",TRUE,FALSE)</f>
        <v>0</v>
      </c>
      <c r="R61" t="b">
        <f>NOT(_xlfn.XOR(P61,Q61))</f>
        <v>1</v>
      </c>
    </row>
    <row r="62" spans="2:18" x14ac:dyDescent="0.25">
      <c r="B62" s="11">
        <v>17190</v>
      </c>
      <c r="C62" s="11"/>
      <c r="D62" s="11">
        <v>10</v>
      </c>
      <c r="E62" s="11">
        <v>99</v>
      </c>
      <c r="F62" s="11">
        <v>8</v>
      </c>
      <c r="G62" s="11">
        <v>8</v>
      </c>
      <c r="H62" s="13" t="s">
        <v>91</v>
      </c>
      <c r="I62" s="11">
        <v>1</v>
      </c>
      <c r="J62" s="11" t="str">
        <f>_xlfn.CONCAT(B62:C62)</f>
        <v>17190</v>
      </c>
      <c r="K62" s="11">
        <f>D62+E62</f>
        <v>109</v>
      </c>
      <c r="L62" s="13" t="s">
        <v>91</v>
      </c>
      <c r="M62" s="11">
        <v>2021</v>
      </c>
      <c r="N62" s="19" t="str">
        <f>_xlfn.CONCAT(Sailstats!$F$1,J62)</f>
        <v>https://www.gps-speedsurfing.com/mypage/sailstats?id=17190</v>
      </c>
      <c r="O62" s="1" t="str">
        <f>HYPERLINK(_xlfn.CONCAT(Sailstats!$F$1,J62),_xlfn.CONCAT(L62," ",TEXT(H62,"#0.0")))</f>
        <v>Racingblade 7.0 Racingblade 7.0</v>
      </c>
      <c r="P62" t="b">
        <f>IF(D62-E62&gt;=0,TRUE,FALSE)</f>
        <v>0</v>
      </c>
      <c r="Q62" t="b">
        <f>IF(B62&lt;&gt;"",TRUE,FALSE)</f>
        <v>1</v>
      </c>
      <c r="R62" t="b">
        <f>NOT(_xlfn.XOR(P62,Q62))</f>
        <v>0</v>
      </c>
    </row>
    <row r="63" spans="2:18" x14ac:dyDescent="0.25">
      <c r="B63" s="12"/>
      <c r="C63" s="12">
        <v>18061</v>
      </c>
      <c r="D63" s="12">
        <v>10</v>
      </c>
      <c r="E63" s="12">
        <v>99</v>
      </c>
      <c r="F63" s="12">
        <v>8</v>
      </c>
      <c r="G63" s="12">
        <v>8</v>
      </c>
      <c r="H63" s="14" t="s">
        <v>91</v>
      </c>
      <c r="I63" s="12">
        <v>2</v>
      </c>
      <c r="J63" s="12" t="str">
        <f>_xlfn.CONCAT(B63:C63)</f>
        <v>18061</v>
      </c>
      <c r="K63" s="12">
        <f>D63+E63</f>
        <v>109</v>
      </c>
      <c r="L63" s="14" t="s">
        <v>91</v>
      </c>
      <c r="M63" s="12">
        <v>2021</v>
      </c>
      <c r="N63" s="19" t="str">
        <f>_xlfn.CONCAT(Sailstats!$F$1,J63)</f>
        <v>https://www.gps-speedsurfing.com/mypage/sailstats?id=18061</v>
      </c>
      <c r="O63" s="1" t="str">
        <f>HYPERLINK(_xlfn.CONCAT(Sailstats!$F$1,J63),_xlfn.CONCAT(L63," ",TEXT(H63,"#0.0")))</f>
        <v>Racingblade 7.0 Racingblade 7.0</v>
      </c>
      <c r="P63" t="b">
        <f>IF(D63-E63&gt;=0,TRUE,FALSE)</f>
        <v>0</v>
      </c>
      <c r="Q63" t="b">
        <f>IF(B63&lt;&gt;"",TRUE,FALSE)</f>
        <v>0</v>
      </c>
      <c r="R63" t="b">
        <f>NOT(_xlfn.XOR(P63,Q63))</f>
        <v>1</v>
      </c>
    </row>
    <row r="64" spans="2:18" x14ac:dyDescent="0.25">
      <c r="B64" s="11">
        <v>3175</v>
      </c>
      <c r="C64" s="11"/>
      <c r="D64" s="11">
        <v>41</v>
      </c>
      <c r="E64" s="11">
        <v>63</v>
      </c>
      <c r="F64" s="11">
        <v>12</v>
      </c>
      <c r="G64" s="11">
        <v>12</v>
      </c>
      <c r="H64" s="13" t="s">
        <v>56</v>
      </c>
      <c r="I64" s="11">
        <v>1</v>
      </c>
      <c r="J64" s="11" t="str">
        <f>_xlfn.CONCAT(B64:C64)</f>
        <v>3175</v>
      </c>
      <c r="K64" s="11">
        <f>D64+E64</f>
        <v>104</v>
      </c>
      <c r="L64" s="13" t="s">
        <v>56</v>
      </c>
      <c r="M64" s="11">
        <v>2008</v>
      </c>
      <c r="N64" s="19" t="str">
        <f>_xlfn.CONCAT(Sailstats!$F$1,J64)</f>
        <v>https://www.gps-speedsurfing.com/mypage/sailstats?id=3175</v>
      </c>
      <c r="O64" s="1" t="str">
        <f>HYPERLINK(_xlfn.CONCAT(Sailstats!$F$1,J64),_xlfn.CONCAT(L64," ",TEXT(H64,"#0.0")))</f>
        <v>Mega XS 6.8 Mega XS 6.8</v>
      </c>
      <c r="P64" t="b">
        <f>IF(D64-E64&gt;=0,TRUE,FALSE)</f>
        <v>0</v>
      </c>
      <c r="Q64" t="b">
        <f>IF(B64&lt;&gt;"",TRUE,FALSE)</f>
        <v>1</v>
      </c>
      <c r="R64" t="b">
        <f>NOT(_xlfn.XOR(P64,Q64))</f>
        <v>0</v>
      </c>
    </row>
    <row r="65" spans="2:18" x14ac:dyDescent="0.25">
      <c r="B65" s="12"/>
      <c r="C65" s="12">
        <v>3673</v>
      </c>
      <c r="D65" s="12">
        <v>41</v>
      </c>
      <c r="E65" s="12">
        <v>63</v>
      </c>
      <c r="F65" s="12">
        <v>12</v>
      </c>
      <c r="G65" s="12">
        <v>12</v>
      </c>
      <c r="H65" s="14" t="s">
        <v>56</v>
      </c>
      <c r="I65" s="12">
        <v>2</v>
      </c>
      <c r="J65" s="12" t="str">
        <f>_xlfn.CONCAT(B65:C65)</f>
        <v>3673</v>
      </c>
      <c r="K65" s="12">
        <f>D65+E65</f>
        <v>104</v>
      </c>
      <c r="L65" s="14" t="s">
        <v>56</v>
      </c>
      <c r="M65" s="12">
        <v>2008</v>
      </c>
      <c r="N65" s="19" t="str">
        <f>_xlfn.CONCAT(Sailstats!$F$1,J65)</f>
        <v>https://www.gps-speedsurfing.com/mypage/sailstats?id=3673</v>
      </c>
      <c r="O65" s="1" t="str">
        <f>HYPERLINK(_xlfn.CONCAT(Sailstats!$F$1,J65),_xlfn.CONCAT(L65," ",TEXT(H65,"#0.0")))</f>
        <v>Mega XS 6.8 Mega XS 6.8</v>
      </c>
      <c r="P65" t="b">
        <f>IF(D65-E65&gt;=0,TRUE,FALSE)</f>
        <v>0</v>
      </c>
      <c r="Q65" t="b">
        <f>IF(B65&lt;&gt;"",TRUE,FALSE)</f>
        <v>0</v>
      </c>
      <c r="R65" t="b">
        <f>NOT(_xlfn.XOR(P65,Q65))</f>
        <v>1</v>
      </c>
    </row>
    <row r="66" spans="2:18" x14ac:dyDescent="0.25">
      <c r="B66" s="11">
        <v>5087</v>
      </c>
      <c r="C66" s="11"/>
      <c r="D66" s="11">
        <v>67</v>
      </c>
      <c r="E66" s="11">
        <v>32</v>
      </c>
      <c r="F66" s="11">
        <v>8</v>
      </c>
      <c r="G66" s="11">
        <v>9</v>
      </c>
      <c r="H66" s="13" t="s">
        <v>51</v>
      </c>
      <c r="I66" s="11">
        <v>1</v>
      </c>
      <c r="J66" s="11" t="str">
        <f>_xlfn.CONCAT(B66:C66)</f>
        <v>5087</v>
      </c>
      <c r="K66" s="11">
        <f>D66+E66</f>
        <v>99</v>
      </c>
      <c r="L66" s="13" t="s">
        <v>51</v>
      </c>
      <c r="M66" s="11">
        <v>2010</v>
      </c>
      <c r="N66" s="19" t="str">
        <f>_xlfn.CONCAT(Sailstats!$F$1,J66)</f>
        <v>https://www.gps-speedsurfing.com/mypage/sailstats?id=5087</v>
      </c>
      <c r="O66" s="1" t="str">
        <f>HYPERLINK(_xlfn.CONCAT(Sailstats!$F$1,J66),_xlfn.CONCAT(L66," ",TEXT(H66,"#0.0")))</f>
        <v>GTX Race 7.5 GTX Race 7.5</v>
      </c>
      <c r="P66" t="b">
        <f>IF(D66-E66&gt;=0,TRUE,FALSE)</f>
        <v>1</v>
      </c>
      <c r="Q66" t="b">
        <f>IF(B66&lt;&gt;"",TRUE,FALSE)</f>
        <v>1</v>
      </c>
      <c r="R66" t="b">
        <f>NOT(_xlfn.XOR(P66,Q66))</f>
        <v>1</v>
      </c>
    </row>
    <row r="67" spans="2:18" x14ac:dyDescent="0.25">
      <c r="B67" s="12"/>
      <c r="C67" s="12">
        <v>6718</v>
      </c>
      <c r="D67" s="12">
        <v>67</v>
      </c>
      <c r="E67" s="12">
        <v>32</v>
      </c>
      <c r="F67" s="12">
        <v>8</v>
      </c>
      <c r="G67" s="12">
        <v>9</v>
      </c>
      <c r="H67" s="14" t="s">
        <v>51</v>
      </c>
      <c r="I67" s="12">
        <v>2</v>
      </c>
      <c r="J67" s="12" t="str">
        <f>_xlfn.CONCAT(B67:C67)</f>
        <v>6718</v>
      </c>
      <c r="K67" s="12">
        <f>D67+E67</f>
        <v>99</v>
      </c>
      <c r="L67" s="14" t="s">
        <v>51</v>
      </c>
      <c r="M67" s="12">
        <v>2010</v>
      </c>
      <c r="N67" s="19" t="str">
        <f>_xlfn.CONCAT(Sailstats!$F$1,J67)</f>
        <v>https://www.gps-speedsurfing.com/mypage/sailstats?id=6718</v>
      </c>
      <c r="O67" s="1" t="str">
        <f>HYPERLINK(_xlfn.CONCAT(Sailstats!$F$1,J67),_xlfn.CONCAT(L67," ",TEXT(H67,"#0.0")))</f>
        <v>GTX Race 7.5 GTX Race 7.5</v>
      </c>
      <c r="P67" t="b">
        <f>IF(D67-E67&gt;=0,TRUE,FALSE)</f>
        <v>1</v>
      </c>
      <c r="Q67" t="b">
        <f>IF(B67&lt;&gt;"",TRUE,FALSE)</f>
        <v>0</v>
      </c>
      <c r="R67" t="b">
        <f>NOT(_xlfn.XOR(P67,Q67))</f>
        <v>0</v>
      </c>
    </row>
    <row r="68" spans="2:18" x14ac:dyDescent="0.25">
      <c r="B68" s="11">
        <v>540</v>
      </c>
      <c r="C68" s="11"/>
      <c r="D68" s="11">
        <v>83</v>
      </c>
      <c r="E68" s="11">
        <v>8</v>
      </c>
      <c r="F68" s="11">
        <v>8</v>
      </c>
      <c r="G68" s="11">
        <v>8</v>
      </c>
      <c r="H68" s="13" t="s">
        <v>45</v>
      </c>
      <c r="I68" s="11">
        <v>1</v>
      </c>
      <c r="J68" s="11" t="str">
        <f>_xlfn.CONCAT(B68:C68)</f>
        <v>540</v>
      </c>
      <c r="K68" s="11">
        <f>D68+E68</f>
        <v>91</v>
      </c>
      <c r="L68" s="13" t="s">
        <v>45</v>
      </c>
      <c r="M68" s="11">
        <v>2005</v>
      </c>
      <c r="N68" s="19" t="str">
        <f>_xlfn.CONCAT(Sailstats!$F$1,J68)</f>
        <v>https://www.gps-speedsurfing.com/mypage/sailstats?id=540</v>
      </c>
      <c r="O68" s="1" t="str">
        <f>HYPERLINK(_xlfn.CONCAT(Sailstats!$F$1,J68),_xlfn.CONCAT(L68," ",TEXT(H68,"#0.0")))</f>
        <v>Warp F2005 7.6 Warp F2005 7.6</v>
      </c>
      <c r="P68" t="b">
        <f>IF(D68-E68&gt;=0,TRUE,FALSE)</f>
        <v>1</v>
      </c>
      <c r="Q68" t="b">
        <f>IF(B68&lt;&gt;"",TRUE,FALSE)</f>
        <v>1</v>
      </c>
      <c r="R68" t="b">
        <f>NOT(_xlfn.XOR(P68,Q68))</f>
        <v>1</v>
      </c>
    </row>
    <row r="69" spans="2:18" x14ac:dyDescent="0.25">
      <c r="B69" s="11">
        <v>16205</v>
      </c>
      <c r="C69" s="11"/>
      <c r="D69" s="11">
        <v>73</v>
      </c>
      <c r="E69" s="11">
        <v>18</v>
      </c>
      <c r="F69" s="11">
        <v>8</v>
      </c>
      <c r="G69" s="11">
        <v>8</v>
      </c>
      <c r="H69" s="13" t="s">
        <v>47</v>
      </c>
      <c r="I69" s="11">
        <v>1</v>
      </c>
      <c r="J69" s="11" t="str">
        <f>_xlfn.CONCAT(B69:C69)</f>
        <v>16205</v>
      </c>
      <c r="K69" s="11">
        <f>D69+E69</f>
        <v>91</v>
      </c>
      <c r="L69" s="13" t="s">
        <v>47</v>
      </c>
      <c r="M69" s="11">
        <v>2020</v>
      </c>
      <c r="N69" s="19" t="str">
        <f>_xlfn.CONCAT(Sailstats!$F$1,J69)</f>
        <v>https://www.gps-speedsurfing.com/mypage/sailstats?id=16205</v>
      </c>
      <c r="O69" s="1" t="str">
        <f>HYPERLINK(_xlfn.CONCAT(Sailstats!$F$1,J69),_xlfn.CONCAT(L69," ",TEXT(H69,"#0.0")))</f>
        <v>Venom 5.6 Venom 5.6</v>
      </c>
      <c r="P69" t="b">
        <f>IF(D69-E69&gt;=0,TRUE,FALSE)</f>
        <v>1</v>
      </c>
      <c r="Q69" t="b">
        <f>IF(B69&lt;&gt;"",TRUE,FALSE)</f>
        <v>1</v>
      </c>
      <c r="R69" t="b">
        <f>NOT(_xlfn.XOR(P69,Q69))</f>
        <v>1</v>
      </c>
    </row>
    <row r="70" spans="2:18" x14ac:dyDescent="0.25">
      <c r="B70" s="12"/>
      <c r="C70" s="12">
        <v>2887</v>
      </c>
      <c r="D70" s="12">
        <v>83</v>
      </c>
      <c r="E70" s="12">
        <v>8</v>
      </c>
      <c r="F70" s="12">
        <v>8</v>
      </c>
      <c r="G70" s="12">
        <v>8</v>
      </c>
      <c r="H70" s="14" t="s">
        <v>45</v>
      </c>
      <c r="I70" s="12">
        <v>2</v>
      </c>
      <c r="J70" s="12" t="str">
        <f>_xlfn.CONCAT(B70:C70)</f>
        <v>2887</v>
      </c>
      <c r="K70" s="12">
        <f>D70+E70</f>
        <v>91</v>
      </c>
      <c r="L70" s="14" t="s">
        <v>45</v>
      </c>
      <c r="M70" s="12">
        <v>2005</v>
      </c>
      <c r="N70" s="19" t="str">
        <f>_xlfn.CONCAT(Sailstats!$F$1,J70)</f>
        <v>https://www.gps-speedsurfing.com/mypage/sailstats?id=2887</v>
      </c>
      <c r="O70" s="1" t="str">
        <f>HYPERLINK(_xlfn.CONCAT(Sailstats!$F$1,J70),_xlfn.CONCAT(L70," ",TEXT(H70,"#0.0")))</f>
        <v>Warp F2005 7.6 Warp F2005 7.6</v>
      </c>
      <c r="P70" t="b">
        <f>IF(D70-E70&gt;=0,TRUE,FALSE)</f>
        <v>1</v>
      </c>
      <c r="Q70" t="b">
        <f>IF(B70&lt;&gt;"",TRUE,FALSE)</f>
        <v>0</v>
      </c>
      <c r="R70" t="b">
        <f>NOT(_xlfn.XOR(P70,Q70))</f>
        <v>0</v>
      </c>
    </row>
    <row r="71" spans="2:18" x14ac:dyDescent="0.25">
      <c r="B71" s="12"/>
      <c r="C71" s="12">
        <v>17899</v>
      </c>
      <c r="D71" s="12">
        <v>73</v>
      </c>
      <c r="E71" s="12">
        <v>18</v>
      </c>
      <c r="F71" s="12">
        <v>8</v>
      </c>
      <c r="G71" s="12">
        <v>8</v>
      </c>
      <c r="H71" s="14" t="s">
        <v>47</v>
      </c>
      <c r="I71" s="12">
        <v>2</v>
      </c>
      <c r="J71" s="12" t="str">
        <f>_xlfn.CONCAT(B71:C71)</f>
        <v>17899</v>
      </c>
      <c r="K71" s="12">
        <f>D71+E71</f>
        <v>91</v>
      </c>
      <c r="L71" s="14" t="s">
        <v>47</v>
      </c>
      <c r="M71" s="12">
        <v>2020</v>
      </c>
      <c r="N71" s="19" t="str">
        <f>_xlfn.CONCAT(Sailstats!$F$1,J71)</f>
        <v>https://www.gps-speedsurfing.com/mypage/sailstats?id=17899</v>
      </c>
      <c r="O71" s="1" t="str">
        <f>HYPERLINK(_xlfn.CONCAT(Sailstats!$F$1,J71),_xlfn.CONCAT(L71," ",TEXT(H71,"#0.0")))</f>
        <v>Venom 5.6 Venom 5.6</v>
      </c>
      <c r="P71" t="b">
        <f>IF(D71-E71&gt;=0,TRUE,FALSE)</f>
        <v>1</v>
      </c>
      <c r="Q71" t="b">
        <f>IF(B71&lt;&gt;"",TRUE,FALSE)</f>
        <v>0</v>
      </c>
      <c r="R71" t="b">
        <f>NOT(_xlfn.XOR(P71,Q71))</f>
        <v>0</v>
      </c>
    </row>
    <row r="72" spans="2:18" x14ac:dyDescent="0.25">
      <c r="B72" s="11">
        <v>20516</v>
      </c>
      <c r="C72" s="11"/>
      <c r="D72" s="11">
        <v>15</v>
      </c>
      <c r="E72" s="11">
        <v>74</v>
      </c>
      <c r="F72" s="11">
        <v>8</v>
      </c>
      <c r="G72" s="11">
        <v>8</v>
      </c>
      <c r="H72" s="13" t="s">
        <v>86</v>
      </c>
      <c r="I72" s="11">
        <v>1</v>
      </c>
      <c r="J72" s="11" t="str">
        <f>_xlfn.CONCAT(B72:C72)</f>
        <v>20516</v>
      </c>
      <c r="K72" s="11">
        <f>D72+E72</f>
        <v>89</v>
      </c>
      <c r="L72" s="13" t="s">
        <v>86</v>
      </c>
      <c r="M72" s="11">
        <v>2024</v>
      </c>
      <c r="N72" s="19" t="str">
        <f>_xlfn.CONCAT(Sailstats!$F$1,J72)</f>
        <v>https://www.gps-speedsurfing.com/mypage/sailstats?id=20516</v>
      </c>
      <c r="O72" s="1" t="str">
        <f>HYPERLINK(_xlfn.CONCAT(Sailstats!$F$1,J72),_xlfn.CONCAT(L72," ",TEXT(H72,"#0.0")))</f>
        <v>Racingblade 6.6 Racingblade 6.6</v>
      </c>
      <c r="P72" t="b">
        <f>IF(D72-E72&gt;=0,TRUE,FALSE)</f>
        <v>0</v>
      </c>
      <c r="Q72" t="b">
        <f>IF(B72&lt;&gt;"",TRUE,FALSE)</f>
        <v>1</v>
      </c>
      <c r="R72" t="b">
        <f>NOT(_xlfn.XOR(P72,Q72))</f>
        <v>0</v>
      </c>
    </row>
    <row r="73" spans="2:18" x14ac:dyDescent="0.25">
      <c r="B73" s="12"/>
      <c r="C73" s="12">
        <v>20641</v>
      </c>
      <c r="D73" s="12">
        <v>15</v>
      </c>
      <c r="E73" s="12">
        <v>74</v>
      </c>
      <c r="F73" s="12">
        <v>8</v>
      </c>
      <c r="G73" s="12">
        <v>8</v>
      </c>
      <c r="H73" s="14" t="s">
        <v>86</v>
      </c>
      <c r="I73" s="12">
        <v>2</v>
      </c>
      <c r="J73" s="12" t="str">
        <f>_xlfn.CONCAT(B73:C73)</f>
        <v>20641</v>
      </c>
      <c r="K73" s="12">
        <f>D73+E73</f>
        <v>89</v>
      </c>
      <c r="L73" s="14" t="s">
        <v>86</v>
      </c>
      <c r="M73" s="12">
        <v>2024</v>
      </c>
      <c r="N73" s="19" t="str">
        <f>_xlfn.CONCAT(Sailstats!$F$1,J73)</f>
        <v>https://www.gps-speedsurfing.com/mypage/sailstats?id=20641</v>
      </c>
      <c r="O73" s="1" t="str">
        <f>HYPERLINK(_xlfn.CONCAT(Sailstats!$F$1,J73),_xlfn.CONCAT(L73," ",TEXT(H73,"#0.0")))</f>
        <v>Racingblade 6.6 Racingblade 6.6</v>
      </c>
      <c r="P73" t="b">
        <f>IF(D73-E73&gt;=0,TRUE,FALSE)</f>
        <v>0</v>
      </c>
      <c r="Q73" t="b">
        <f>IF(B73&lt;&gt;"",TRUE,FALSE)</f>
        <v>0</v>
      </c>
      <c r="R73" t="b">
        <f>NOT(_xlfn.XOR(P73,Q73))</f>
        <v>1</v>
      </c>
    </row>
    <row r="74" spans="2:18" x14ac:dyDescent="0.25">
      <c r="B74" s="11">
        <v>18426</v>
      </c>
      <c r="C74" s="11"/>
      <c r="D74" s="11">
        <v>70</v>
      </c>
      <c r="E74" s="11">
        <v>15</v>
      </c>
      <c r="F74" s="11">
        <v>9</v>
      </c>
      <c r="G74" s="11">
        <v>9</v>
      </c>
      <c r="H74" s="13" t="s">
        <v>48</v>
      </c>
      <c r="I74" s="11">
        <v>1</v>
      </c>
      <c r="J74" s="11" t="str">
        <f>_xlfn.CONCAT(B74:C74)</f>
        <v>18426</v>
      </c>
      <c r="K74" s="11">
        <f>D74+E74</f>
        <v>85</v>
      </c>
      <c r="L74" s="13" t="s">
        <v>48</v>
      </c>
      <c r="M74" s="11">
        <v>2022</v>
      </c>
      <c r="N74" s="19" t="str">
        <f>_xlfn.CONCAT(Sailstats!$F$1,J74)</f>
        <v>https://www.gps-speedsurfing.com/mypage/sailstats?id=18426</v>
      </c>
      <c r="O74" s="1" t="str">
        <f>HYPERLINK(_xlfn.CONCAT(Sailstats!$F$1,J74),_xlfn.CONCAT(L74," ",TEXT(H74,"#0.0")))</f>
        <v>Switchblade 9.5 Switchblade 9.5</v>
      </c>
      <c r="P74" t="b">
        <f>IF(D74-E74&gt;=0,TRUE,FALSE)</f>
        <v>1</v>
      </c>
      <c r="Q74" t="b">
        <f>IF(B74&lt;&gt;"",TRUE,FALSE)</f>
        <v>1</v>
      </c>
      <c r="R74" t="b">
        <f>NOT(_xlfn.XOR(P74,Q74))</f>
        <v>1</v>
      </c>
    </row>
    <row r="75" spans="2:18" x14ac:dyDescent="0.25">
      <c r="B75" s="12"/>
      <c r="C75" s="12">
        <v>19344</v>
      </c>
      <c r="D75" s="12">
        <v>70</v>
      </c>
      <c r="E75" s="12">
        <v>15</v>
      </c>
      <c r="F75" s="12">
        <v>9</v>
      </c>
      <c r="G75" s="12">
        <v>9</v>
      </c>
      <c r="H75" s="14" t="s">
        <v>48</v>
      </c>
      <c r="I75" s="12">
        <v>2</v>
      </c>
      <c r="J75" s="12" t="str">
        <f>_xlfn.CONCAT(B75:C75)</f>
        <v>19344</v>
      </c>
      <c r="K75" s="12">
        <f>D75+E75</f>
        <v>85</v>
      </c>
      <c r="L75" s="14" t="s">
        <v>48</v>
      </c>
      <c r="M75" s="12">
        <v>2022</v>
      </c>
      <c r="N75" s="19" t="str">
        <f>_xlfn.CONCAT(Sailstats!$F$1,J75)</f>
        <v>https://www.gps-speedsurfing.com/mypage/sailstats?id=19344</v>
      </c>
      <c r="O75" s="1" t="str">
        <f>HYPERLINK(_xlfn.CONCAT(Sailstats!$F$1,J75),_xlfn.CONCAT(L75," ",TEXT(H75,"#0.0")))</f>
        <v>Switchblade 9.5 Switchblade 9.5</v>
      </c>
      <c r="P75" t="b">
        <f>IF(D75-E75&gt;=0,TRUE,FALSE)</f>
        <v>1</v>
      </c>
      <c r="Q75" t="b">
        <f>IF(B75&lt;&gt;"",TRUE,FALSE)</f>
        <v>0</v>
      </c>
      <c r="R75" t="b">
        <f>NOT(_xlfn.XOR(P75,Q75))</f>
        <v>0</v>
      </c>
    </row>
    <row r="76" spans="2:18" x14ac:dyDescent="0.25">
      <c r="B76" s="11">
        <v>16947</v>
      </c>
      <c r="C76" s="11"/>
      <c r="D76" s="11">
        <v>29</v>
      </c>
      <c r="E76" s="11">
        <v>53</v>
      </c>
      <c r="F76" s="11">
        <v>8</v>
      </c>
      <c r="G76" s="11">
        <v>8</v>
      </c>
      <c r="H76" s="13" t="s">
        <v>66</v>
      </c>
      <c r="I76" s="11">
        <v>1</v>
      </c>
      <c r="J76" s="11" t="str">
        <f>_xlfn.CONCAT(B76:C76)</f>
        <v>16947</v>
      </c>
      <c r="K76" s="11">
        <f>D76+E76</f>
        <v>82</v>
      </c>
      <c r="L76" s="13" t="s">
        <v>66</v>
      </c>
      <c r="M76" s="11">
        <v>2021</v>
      </c>
      <c r="N76" s="19" t="str">
        <f>_xlfn.CONCAT(Sailstats!$F$1,J76)</f>
        <v>https://www.gps-speedsurfing.com/mypage/sailstats?id=16947</v>
      </c>
      <c r="O76" s="1" t="str">
        <f>HYPERLINK(_xlfn.CONCAT(Sailstats!$F$1,J76),_xlfn.CONCAT(L76," ",TEXT(H76,"#0.0")))</f>
        <v>Racingblade 5.6 Racingblade 5.6</v>
      </c>
      <c r="P76" t="b">
        <f>IF(D76-E76&gt;=0,TRUE,FALSE)</f>
        <v>0</v>
      </c>
      <c r="Q76" t="b">
        <f>IF(B76&lt;&gt;"",TRUE,FALSE)</f>
        <v>1</v>
      </c>
      <c r="R76" t="b">
        <f>NOT(_xlfn.XOR(P76,Q76))</f>
        <v>0</v>
      </c>
    </row>
    <row r="77" spans="2:18" x14ac:dyDescent="0.25">
      <c r="B77" s="12"/>
      <c r="C77" s="12">
        <v>17053</v>
      </c>
      <c r="D77" s="12">
        <v>29</v>
      </c>
      <c r="E77" s="12">
        <v>53</v>
      </c>
      <c r="F77" s="12">
        <v>8</v>
      </c>
      <c r="G77" s="12">
        <v>8</v>
      </c>
      <c r="H77" s="14" t="s">
        <v>66</v>
      </c>
      <c r="I77" s="12">
        <v>2</v>
      </c>
      <c r="J77" s="12" t="str">
        <f>_xlfn.CONCAT(B77:C77)</f>
        <v>17053</v>
      </c>
      <c r="K77" s="12">
        <f>D77+E77</f>
        <v>82</v>
      </c>
      <c r="L77" s="14" t="s">
        <v>66</v>
      </c>
      <c r="M77" s="12">
        <v>2021</v>
      </c>
      <c r="N77" s="19" t="str">
        <f>_xlfn.CONCAT(Sailstats!$F$1,J77)</f>
        <v>https://www.gps-speedsurfing.com/mypage/sailstats?id=17053</v>
      </c>
      <c r="O77" s="1" t="str">
        <f>HYPERLINK(_xlfn.CONCAT(Sailstats!$F$1,J77),_xlfn.CONCAT(L77," ",TEXT(H77,"#0.0")))</f>
        <v>Racingblade 5.6 Racingblade 5.6</v>
      </c>
      <c r="P77" t="b">
        <f>IF(D77-E77&gt;=0,TRUE,FALSE)</f>
        <v>0</v>
      </c>
      <c r="Q77" t="b">
        <f>IF(B77&lt;&gt;"",TRUE,FALSE)</f>
        <v>0</v>
      </c>
      <c r="R77" t="b">
        <f>NOT(_xlfn.XOR(P77,Q77))</f>
        <v>1</v>
      </c>
    </row>
    <row r="78" spans="2:18" x14ac:dyDescent="0.25">
      <c r="B78" s="11">
        <v>4321</v>
      </c>
      <c r="C78" s="11"/>
      <c r="D78" s="11">
        <v>68</v>
      </c>
      <c r="E78" s="11">
        <v>13</v>
      </c>
      <c r="F78" s="11">
        <v>8</v>
      </c>
      <c r="G78" s="11">
        <v>8</v>
      </c>
      <c r="H78" s="13" t="s">
        <v>50</v>
      </c>
      <c r="I78" s="11">
        <v>1</v>
      </c>
      <c r="J78" s="11" t="str">
        <f>_xlfn.CONCAT(B78:C78)</f>
        <v>4321</v>
      </c>
      <c r="K78" s="11">
        <f>D78+E78</f>
        <v>81</v>
      </c>
      <c r="L78" s="13" t="s">
        <v>50</v>
      </c>
      <c r="M78" s="11">
        <v>2009</v>
      </c>
      <c r="N78" s="19" t="str">
        <f>_xlfn.CONCAT(Sailstats!$F$1,J78)</f>
        <v>https://www.gps-speedsurfing.com/mypage/sailstats?id=4321</v>
      </c>
      <c r="O78" s="1" t="str">
        <f>HYPERLINK(_xlfn.CONCAT(Sailstats!$F$1,J78),_xlfn.CONCAT(L78," ",TEXT(H78,"#0.0")))</f>
        <v>Blade 8.3 Blade 8.3</v>
      </c>
      <c r="P78" t="b">
        <f>IF(D78-E78&gt;=0,TRUE,FALSE)</f>
        <v>1</v>
      </c>
      <c r="Q78" t="b">
        <f>IF(B78&lt;&gt;"",TRUE,FALSE)</f>
        <v>1</v>
      </c>
      <c r="R78" t="b">
        <f>NOT(_xlfn.XOR(P78,Q78))</f>
        <v>1</v>
      </c>
    </row>
    <row r="79" spans="2:18" x14ac:dyDescent="0.25">
      <c r="B79" s="12"/>
      <c r="C79" s="12">
        <v>4632</v>
      </c>
      <c r="D79" s="12">
        <v>68</v>
      </c>
      <c r="E79" s="12">
        <v>13</v>
      </c>
      <c r="F79" s="12">
        <v>8</v>
      </c>
      <c r="G79" s="12">
        <v>8</v>
      </c>
      <c r="H79" s="14" t="s">
        <v>50</v>
      </c>
      <c r="I79" s="12">
        <v>2</v>
      </c>
      <c r="J79" s="12" t="str">
        <f>_xlfn.CONCAT(B79:C79)</f>
        <v>4632</v>
      </c>
      <c r="K79" s="12">
        <f>D79+E79</f>
        <v>81</v>
      </c>
      <c r="L79" s="14" t="s">
        <v>50</v>
      </c>
      <c r="M79" s="12">
        <v>2009</v>
      </c>
      <c r="N79" s="19" t="str">
        <f>_xlfn.CONCAT(Sailstats!$F$1,J79)</f>
        <v>https://www.gps-speedsurfing.com/mypage/sailstats?id=4632</v>
      </c>
      <c r="O79" s="1" t="str">
        <f>HYPERLINK(_xlfn.CONCAT(Sailstats!$F$1,J79),_xlfn.CONCAT(L79," ",TEXT(H79,"#0.0")))</f>
        <v>Blade 8.3 Blade 8.3</v>
      </c>
      <c r="P79" t="b">
        <f>IF(D79-E79&gt;=0,TRUE,FALSE)</f>
        <v>1</v>
      </c>
      <c r="Q79" t="b">
        <f>IF(B79&lt;&gt;"",TRUE,FALSE)</f>
        <v>0</v>
      </c>
      <c r="R79" t="b">
        <f>NOT(_xlfn.XOR(P79,Q79))</f>
        <v>0</v>
      </c>
    </row>
    <row r="80" spans="2:18" x14ac:dyDescent="0.25">
      <c r="B80" s="11">
        <v>13124</v>
      </c>
      <c r="C80" s="11"/>
      <c r="D80" s="11">
        <v>33</v>
      </c>
      <c r="E80" s="11">
        <v>45</v>
      </c>
      <c r="F80" s="11">
        <v>8</v>
      </c>
      <c r="G80" s="11">
        <v>8</v>
      </c>
      <c r="H80" s="13" t="s">
        <v>62</v>
      </c>
      <c r="I80" s="11">
        <v>1</v>
      </c>
      <c r="J80" s="11" t="str">
        <f>_xlfn.CONCAT(B80:C80)</f>
        <v>13124</v>
      </c>
      <c r="K80" s="11">
        <f>D80+E80</f>
        <v>78</v>
      </c>
      <c r="L80" s="13" t="s">
        <v>62</v>
      </c>
      <c r="M80" s="11">
        <v>2017</v>
      </c>
      <c r="N80" s="19" t="str">
        <f>_xlfn.CONCAT(Sailstats!$F$1,J80)</f>
        <v>https://www.gps-speedsurfing.com/mypage/sailstats?id=13124</v>
      </c>
      <c r="O80" s="1" t="str">
        <f>HYPERLINK(_xlfn.CONCAT(Sailstats!$F$1,J80),_xlfn.CONCAT(L80," ",TEXT(H80,"#0.0")))</f>
        <v>GS-R 5.0 GS-R 5.0</v>
      </c>
      <c r="P80" t="b">
        <f>IF(D80-E80&gt;=0,TRUE,FALSE)</f>
        <v>0</v>
      </c>
      <c r="Q80" t="b">
        <f>IF(B80&lt;&gt;"",TRUE,FALSE)</f>
        <v>1</v>
      </c>
      <c r="R80" t="b">
        <f>NOT(_xlfn.XOR(P80,Q80))</f>
        <v>0</v>
      </c>
    </row>
    <row r="81" spans="2:18" x14ac:dyDescent="0.25">
      <c r="B81" s="12"/>
      <c r="C81" s="12">
        <v>16156</v>
      </c>
      <c r="D81" s="12">
        <v>33</v>
      </c>
      <c r="E81" s="12">
        <v>45</v>
      </c>
      <c r="F81" s="12">
        <v>8</v>
      </c>
      <c r="G81" s="12">
        <v>8</v>
      </c>
      <c r="H81" s="14" t="s">
        <v>62</v>
      </c>
      <c r="I81" s="12">
        <v>2</v>
      </c>
      <c r="J81" s="12" t="str">
        <f>_xlfn.CONCAT(B81:C81)</f>
        <v>16156</v>
      </c>
      <c r="K81" s="12">
        <f>D81+E81</f>
        <v>78</v>
      </c>
      <c r="L81" s="14" t="s">
        <v>62</v>
      </c>
      <c r="M81" s="12">
        <v>2017</v>
      </c>
      <c r="N81" s="19" t="str">
        <f>_xlfn.CONCAT(Sailstats!$F$1,J81)</f>
        <v>https://www.gps-speedsurfing.com/mypage/sailstats?id=16156</v>
      </c>
      <c r="O81" s="1" t="str">
        <f>HYPERLINK(_xlfn.CONCAT(Sailstats!$F$1,J81),_xlfn.CONCAT(L81," ",TEXT(H81,"#0.0")))</f>
        <v>GS-R 5.0 GS-R 5.0</v>
      </c>
      <c r="P81" t="b">
        <f>IF(D81-E81&gt;=0,TRUE,FALSE)</f>
        <v>0</v>
      </c>
      <c r="Q81" t="b">
        <f>IF(B81&lt;&gt;"",TRUE,FALSE)</f>
        <v>0</v>
      </c>
      <c r="R81" t="b">
        <f>NOT(_xlfn.XOR(P81,Q81))</f>
        <v>1</v>
      </c>
    </row>
    <row r="82" spans="2:18" x14ac:dyDescent="0.25">
      <c r="B82" s="11">
        <v>11094</v>
      </c>
      <c r="C82" s="11"/>
      <c r="D82" s="11">
        <v>75</v>
      </c>
      <c r="E82" s="11">
        <v>0</v>
      </c>
      <c r="F82" s="11">
        <v>9</v>
      </c>
      <c r="G82" s="11">
        <v>9</v>
      </c>
      <c r="H82" s="13" t="s">
        <v>46</v>
      </c>
      <c r="I82" s="11">
        <v>1</v>
      </c>
      <c r="J82" s="11" t="str">
        <f>_xlfn.CONCAT(B82:C82)</f>
        <v>11094</v>
      </c>
      <c r="K82" s="11">
        <f>D82+E82</f>
        <v>75</v>
      </c>
      <c r="L82" s="13" t="s">
        <v>46</v>
      </c>
      <c r="M82" s="11">
        <v>2015</v>
      </c>
      <c r="N82" s="19" t="str">
        <f>_xlfn.CONCAT(Sailstats!$F$1,J82)</f>
        <v>https://www.gps-speedsurfing.com/mypage/sailstats?id=11094</v>
      </c>
      <c r="O82" s="1" t="str">
        <f>HYPERLINK(_xlfn.CONCAT(Sailstats!$F$1,J82),_xlfn.CONCAT(L82," ",TEXT(H82,"#0.0")))</f>
        <v>AC-X 5G 5.8 AC-X 5G 5.8</v>
      </c>
      <c r="P82" t="b">
        <f>IF(D82-E82&gt;=0,TRUE,FALSE)</f>
        <v>1</v>
      </c>
      <c r="Q82" t="b">
        <f>IF(B82&lt;&gt;"",TRUE,FALSE)</f>
        <v>1</v>
      </c>
      <c r="R82" t="b">
        <f>NOT(_xlfn.XOR(P82,Q82))</f>
        <v>1</v>
      </c>
    </row>
    <row r="83" spans="2:18" x14ac:dyDescent="0.25">
      <c r="B83" s="12"/>
      <c r="C83" s="12">
        <v>18703</v>
      </c>
      <c r="D83" s="12">
        <v>75</v>
      </c>
      <c r="E83" s="12">
        <v>0</v>
      </c>
      <c r="F83" s="12">
        <v>9</v>
      </c>
      <c r="G83" s="12">
        <v>9</v>
      </c>
      <c r="H83" s="14" t="s">
        <v>46</v>
      </c>
      <c r="I83" s="12">
        <v>2</v>
      </c>
      <c r="J83" s="12" t="str">
        <f>_xlfn.CONCAT(B83:C83)</f>
        <v>18703</v>
      </c>
      <c r="K83" s="12">
        <f>D83+E83</f>
        <v>75</v>
      </c>
      <c r="L83" s="14" t="s">
        <v>46</v>
      </c>
      <c r="M83" s="12">
        <v>2015</v>
      </c>
      <c r="N83" s="19" t="str">
        <f>_xlfn.CONCAT(Sailstats!$F$1,J83)</f>
        <v>https://www.gps-speedsurfing.com/mypage/sailstats?id=18703</v>
      </c>
      <c r="O83" s="1" t="str">
        <f>HYPERLINK(_xlfn.CONCAT(Sailstats!$F$1,J83),_xlfn.CONCAT(L83," ",TEXT(H83,"#0.0")))</f>
        <v>AC-X 5G 5.8 AC-X 5G 5.8</v>
      </c>
      <c r="P83" t="b">
        <f>IF(D83-E83&gt;=0,TRUE,FALSE)</f>
        <v>1</v>
      </c>
      <c r="Q83" t="b">
        <f>IF(B83&lt;&gt;"",TRUE,FALSE)</f>
        <v>0</v>
      </c>
      <c r="R83" t="b">
        <f>NOT(_xlfn.XOR(P83,Q83))</f>
        <v>0</v>
      </c>
    </row>
    <row r="84" spans="2:18" x14ac:dyDescent="0.25">
      <c r="B84" s="11">
        <v>12112</v>
      </c>
      <c r="C84" s="11"/>
      <c r="D84" s="11">
        <v>38</v>
      </c>
      <c r="E84" s="11">
        <v>29</v>
      </c>
      <c r="F84" s="11">
        <v>8</v>
      </c>
      <c r="G84" s="11">
        <v>8</v>
      </c>
      <c r="H84" s="13" t="s">
        <v>58</v>
      </c>
      <c r="I84" s="11">
        <v>1</v>
      </c>
      <c r="J84" s="11" t="str">
        <f>_xlfn.CONCAT(B84:C84)</f>
        <v>12112</v>
      </c>
      <c r="K84" s="11">
        <f>D84+E84</f>
        <v>67</v>
      </c>
      <c r="L84" s="13" t="s">
        <v>58</v>
      </c>
      <c r="M84" s="11">
        <v>2015</v>
      </c>
      <c r="N84" s="19" t="str">
        <f>_xlfn.CONCAT(Sailstats!$F$1,J84)</f>
        <v>https://www.gps-speedsurfing.com/mypage/sailstats?id=12112</v>
      </c>
      <c r="O84" s="1" t="str">
        <f>HYPERLINK(_xlfn.CONCAT(Sailstats!$F$1,J84),_xlfn.CONCAT(L84," ",TEXT(H84,"#0.0")))</f>
        <v>AC-1 5.6 AC-1 5.6</v>
      </c>
      <c r="P84" t="b">
        <f>IF(D84-E84&gt;=0,TRUE,FALSE)</f>
        <v>1</v>
      </c>
      <c r="Q84" t="b">
        <f>IF(B84&lt;&gt;"",TRUE,FALSE)</f>
        <v>1</v>
      </c>
      <c r="R84" t="b">
        <f>NOT(_xlfn.XOR(P84,Q84))</f>
        <v>1</v>
      </c>
    </row>
    <row r="85" spans="2:18" x14ac:dyDescent="0.25">
      <c r="B85" s="12"/>
      <c r="C85" s="12">
        <v>14054</v>
      </c>
      <c r="D85" s="12">
        <v>38</v>
      </c>
      <c r="E85" s="12">
        <v>29</v>
      </c>
      <c r="F85" s="12">
        <v>8</v>
      </c>
      <c r="G85" s="12">
        <v>8</v>
      </c>
      <c r="H85" s="14" t="s">
        <v>58</v>
      </c>
      <c r="I85" s="12">
        <v>2</v>
      </c>
      <c r="J85" s="12" t="str">
        <f>_xlfn.CONCAT(B85:C85)</f>
        <v>14054</v>
      </c>
      <c r="K85" s="12">
        <f>D85+E85</f>
        <v>67</v>
      </c>
      <c r="L85" s="14" t="s">
        <v>58</v>
      </c>
      <c r="M85" s="12">
        <v>2015</v>
      </c>
      <c r="N85" s="19" t="str">
        <f>_xlfn.CONCAT(Sailstats!$F$1,J85)</f>
        <v>https://www.gps-speedsurfing.com/mypage/sailstats?id=14054</v>
      </c>
      <c r="O85" s="1" t="str">
        <f>HYPERLINK(_xlfn.CONCAT(Sailstats!$F$1,J85),_xlfn.CONCAT(L85," ",TEXT(H85,"#0.0")))</f>
        <v>AC-1 5.6 AC-1 5.6</v>
      </c>
      <c r="P85" t="b">
        <f>IF(D85-E85&gt;=0,TRUE,FALSE)</f>
        <v>1</v>
      </c>
      <c r="Q85" t="b">
        <f>IF(B85&lt;&gt;"",TRUE,FALSE)</f>
        <v>0</v>
      </c>
      <c r="R85" t="b">
        <f>NOT(_xlfn.XOR(P85,Q85))</f>
        <v>0</v>
      </c>
    </row>
    <row r="86" spans="2:18" x14ac:dyDescent="0.25">
      <c r="B86" s="11">
        <v>18691</v>
      </c>
      <c r="C86" s="11"/>
      <c r="D86" s="11">
        <v>13</v>
      </c>
      <c r="E86" s="11">
        <v>51</v>
      </c>
      <c r="F86" s="11">
        <v>9</v>
      </c>
      <c r="G86" s="11">
        <v>9</v>
      </c>
      <c r="H86" s="13" t="s">
        <v>88</v>
      </c>
      <c r="I86" s="11">
        <v>1</v>
      </c>
      <c r="J86" s="11" t="str">
        <f>_xlfn.CONCAT(B86:C86)</f>
        <v>18691</v>
      </c>
      <c r="K86" s="11">
        <f>D86+E86</f>
        <v>64</v>
      </c>
      <c r="L86" s="13" t="s">
        <v>88</v>
      </c>
      <c r="M86" s="11">
        <v>2022</v>
      </c>
      <c r="N86" s="19" t="str">
        <f>_xlfn.CONCAT(Sailstats!$F$1,J86)</f>
        <v>https://www.gps-speedsurfing.com/mypage/sailstats?id=18691</v>
      </c>
      <c r="O86" s="1" t="str">
        <f>HYPERLINK(_xlfn.CONCAT(Sailstats!$F$1,J86),_xlfn.CONCAT(L86," ",TEXT(H86,"#0.0")))</f>
        <v>AC-Z 8.5 AC-Z 8.5</v>
      </c>
      <c r="P86" t="b">
        <f>IF(D86-E86&gt;=0,TRUE,FALSE)</f>
        <v>0</v>
      </c>
      <c r="Q86" t="b">
        <f>IF(B86&lt;&gt;"",TRUE,FALSE)</f>
        <v>1</v>
      </c>
      <c r="R86" t="b">
        <f>NOT(_xlfn.XOR(P86,Q86))</f>
        <v>0</v>
      </c>
    </row>
    <row r="87" spans="2:18" x14ac:dyDescent="0.25">
      <c r="B87" s="12"/>
      <c r="C87" s="12">
        <v>18751</v>
      </c>
      <c r="D87" s="12">
        <v>13</v>
      </c>
      <c r="E87" s="12">
        <v>51</v>
      </c>
      <c r="F87" s="12">
        <v>9</v>
      </c>
      <c r="G87" s="12">
        <v>9</v>
      </c>
      <c r="H87" s="14" t="s">
        <v>88</v>
      </c>
      <c r="I87" s="12">
        <v>2</v>
      </c>
      <c r="J87" s="12" t="str">
        <f>_xlfn.CONCAT(B87:C87)</f>
        <v>18751</v>
      </c>
      <c r="K87" s="12">
        <f>D87+E87</f>
        <v>64</v>
      </c>
      <c r="L87" s="14" t="s">
        <v>88</v>
      </c>
      <c r="M87" s="12">
        <v>2022</v>
      </c>
      <c r="N87" s="19" t="str">
        <f>_xlfn.CONCAT(Sailstats!$F$1,J87)</f>
        <v>https://www.gps-speedsurfing.com/mypage/sailstats?id=18751</v>
      </c>
      <c r="O87" s="1" t="str">
        <f>HYPERLINK(_xlfn.CONCAT(Sailstats!$F$1,J87),_xlfn.CONCAT(L87," ",TEXT(H87,"#0.0")))</f>
        <v>AC-Z 8.5 AC-Z 8.5</v>
      </c>
      <c r="P87" t="b">
        <f>IF(D87-E87&gt;=0,TRUE,FALSE)</f>
        <v>0</v>
      </c>
      <c r="Q87" t="b">
        <f>IF(B87&lt;&gt;"",TRUE,FALSE)</f>
        <v>0</v>
      </c>
      <c r="R87" t="b">
        <f>NOT(_xlfn.XOR(P87,Q87))</f>
        <v>1</v>
      </c>
    </row>
    <row r="88" spans="2:18" x14ac:dyDescent="0.25">
      <c r="B88" s="11">
        <v>14035</v>
      </c>
      <c r="C88" s="11"/>
      <c r="D88" s="11">
        <v>63</v>
      </c>
      <c r="E88" s="11">
        <v>0</v>
      </c>
      <c r="F88" s="11">
        <v>8</v>
      </c>
      <c r="G88" s="11">
        <v>8</v>
      </c>
      <c r="H88" s="13" t="s">
        <v>52</v>
      </c>
      <c r="I88" s="11">
        <v>1</v>
      </c>
      <c r="J88" s="11" t="str">
        <f>_xlfn.CONCAT(B88:C88)</f>
        <v>14035</v>
      </c>
      <c r="K88" s="11">
        <f>D88+E88</f>
        <v>63</v>
      </c>
      <c r="L88" s="13" t="s">
        <v>52</v>
      </c>
      <c r="M88" s="11">
        <v>2018</v>
      </c>
      <c r="N88" s="19" t="str">
        <f>_xlfn.CONCAT(Sailstats!$F$1,J88)</f>
        <v>https://www.gps-speedsurfing.com/mypage/sailstats?id=14035</v>
      </c>
      <c r="O88" s="1" t="str">
        <f>HYPERLINK(_xlfn.CONCAT(Sailstats!$F$1,J88),_xlfn.CONCAT(L88," ",TEXT(H88,"#0.0")))</f>
        <v>Venom 5.0 Venom 5.0</v>
      </c>
      <c r="P88" t="b">
        <f>IF(D88-E88&gt;=0,TRUE,FALSE)</f>
        <v>1</v>
      </c>
      <c r="Q88" t="b">
        <f>IF(B88&lt;&gt;"",TRUE,FALSE)</f>
        <v>1</v>
      </c>
      <c r="R88" t="b">
        <f>NOT(_xlfn.XOR(P88,Q88))</f>
        <v>1</v>
      </c>
    </row>
    <row r="89" spans="2:18" x14ac:dyDescent="0.25">
      <c r="B89" s="11">
        <v>15040</v>
      </c>
      <c r="C89" s="11"/>
      <c r="D89" s="11">
        <v>9</v>
      </c>
      <c r="E89" s="11">
        <v>54</v>
      </c>
      <c r="F89" s="11">
        <v>8</v>
      </c>
      <c r="G89" s="11">
        <v>8</v>
      </c>
      <c r="H89" s="13" t="s">
        <v>93</v>
      </c>
      <c r="I89" s="11">
        <v>1</v>
      </c>
      <c r="J89" s="11" t="str">
        <f>_xlfn.CONCAT(B89:C89)</f>
        <v>15040</v>
      </c>
      <c r="K89" s="11">
        <f>D89+E89</f>
        <v>63</v>
      </c>
      <c r="L89" s="13" t="s">
        <v>93</v>
      </c>
      <c r="M89" s="11">
        <v>2020</v>
      </c>
      <c r="N89" s="19" t="str">
        <f>_xlfn.CONCAT(Sailstats!$F$1,J89)</f>
        <v>https://www.gps-speedsurfing.com/mypage/sailstats?id=15040</v>
      </c>
      <c r="O89" s="1" t="str">
        <f>HYPERLINK(_xlfn.CONCAT(Sailstats!$F$1,J89),_xlfn.CONCAT(L89," ",TEXT(H89,"#0.0")))</f>
        <v>S_Pace 6.6 S_Pace 6.6</v>
      </c>
      <c r="P89" t="b">
        <f>IF(D89-E89&gt;=0,TRUE,FALSE)</f>
        <v>0</v>
      </c>
      <c r="Q89" t="b">
        <f>IF(B89&lt;&gt;"",TRUE,FALSE)</f>
        <v>1</v>
      </c>
      <c r="R89" t="b">
        <f>NOT(_xlfn.XOR(P89,Q89))</f>
        <v>0</v>
      </c>
    </row>
    <row r="90" spans="2:18" x14ac:dyDescent="0.25">
      <c r="B90" s="12"/>
      <c r="C90" s="12">
        <v>17897</v>
      </c>
      <c r="D90" s="12">
        <v>63</v>
      </c>
      <c r="E90" s="12">
        <v>0</v>
      </c>
      <c r="F90" s="12">
        <v>8</v>
      </c>
      <c r="G90" s="12">
        <v>8</v>
      </c>
      <c r="H90" s="14" t="s">
        <v>52</v>
      </c>
      <c r="I90" s="12">
        <v>2</v>
      </c>
      <c r="J90" s="12" t="str">
        <f>_xlfn.CONCAT(B90:C90)</f>
        <v>17897</v>
      </c>
      <c r="K90" s="12">
        <f>D90+E90</f>
        <v>63</v>
      </c>
      <c r="L90" s="14" t="s">
        <v>52</v>
      </c>
      <c r="M90" s="12">
        <v>2018</v>
      </c>
      <c r="N90" s="19" t="str">
        <f>_xlfn.CONCAT(Sailstats!$F$1,J90)</f>
        <v>https://www.gps-speedsurfing.com/mypage/sailstats?id=17897</v>
      </c>
      <c r="O90" s="1" t="str">
        <f>HYPERLINK(_xlfn.CONCAT(Sailstats!$F$1,J90),_xlfn.CONCAT(L90," ",TEXT(H90,"#0.0")))</f>
        <v>Venom 5.0 Venom 5.0</v>
      </c>
      <c r="P90" t="b">
        <f>IF(D90-E90&gt;=0,TRUE,FALSE)</f>
        <v>1</v>
      </c>
      <c r="Q90" t="b">
        <f>IF(B90&lt;&gt;"",TRUE,FALSE)</f>
        <v>0</v>
      </c>
      <c r="R90" t="b">
        <f>NOT(_xlfn.XOR(P90,Q90))</f>
        <v>0</v>
      </c>
    </row>
    <row r="91" spans="2:18" x14ac:dyDescent="0.25">
      <c r="B91" s="12"/>
      <c r="C91" s="12">
        <v>15047</v>
      </c>
      <c r="D91" s="12">
        <v>9</v>
      </c>
      <c r="E91" s="12">
        <v>54</v>
      </c>
      <c r="F91" s="12">
        <v>8</v>
      </c>
      <c r="G91" s="12">
        <v>8</v>
      </c>
      <c r="H91" s="14" t="s">
        <v>93</v>
      </c>
      <c r="I91" s="12">
        <v>2</v>
      </c>
      <c r="J91" s="12" t="str">
        <f>_xlfn.CONCAT(B91:C91)</f>
        <v>15047</v>
      </c>
      <c r="K91" s="12">
        <f>D91+E91</f>
        <v>63</v>
      </c>
      <c r="L91" s="14" t="s">
        <v>93</v>
      </c>
      <c r="M91" s="12">
        <v>2020</v>
      </c>
      <c r="N91" s="19" t="str">
        <f>_xlfn.CONCAT(Sailstats!$F$1,J91)</f>
        <v>https://www.gps-speedsurfing.com/mypage/sailstats?id=15047</v>
      </c>
      <c r="O91" s="1" t="str">
        <f>HYPERLINK(_xlfn.CONCAT(Sailstats!$F$1,J91),_xlfn.CONCAT(L91," ",TEXT(H91,"#0.0")))</f>
        <v>S_Pace 6.6 S_Pace 6.6</v>
      </c>
      <c r="P91" t="b">
        <f>IF(D91-E91&gt;=0,TRUE,FALSE)</f>
        <v>0</v>
      </c>
      <c r="Q91" t="b">
        <f>IF(B91&lt;&gt;"",TRUE,FALSE)</f>
        <v>0</v>
      </c>
      <c r="R91" t="b">
        <f>NOT(_xlfn.XOR(P91,Q91))</f>
        <v>1</v>
      </c>
    </row>
    <row r="92" spans="2:18" x14ac:dyDescent="0.25">
      <c r="B92" s="11">
        <v>4320</v>
      </c>
      <c r="C92" s="11"/>
      <c r="D92" s="11">
        <v>29</v>
      </c>
      <c r="E92" s="11">
        <v>28</v>
      </c>
      <c r="F92" s="11">
        <v>8</v>
      </c>
      <c r="G92" s="11">
        <v>8</v>
      </c>
      <c r="H92" s="13" t="s">
        <v>67</v>
      </c>
      <c r="I92" s="11">
        <v>1</v>
      </c>
      <c r="J92" s="11" t="str">
        <f>_xlfn.CONCAT(B92:C92)</f>
        <v>4320</v>
      </c>
      <c r="K92" s="11">
        <f>D92+E92</f>
        <v>57</v>
      </c>
      <c r="L92" s="13" t="s">
        <v>67</v>
      </c>
      <c r="M92" s="11">
        <v>2009</v>
      </c>
      <c r="N92" s="19" t="str">
        <f>_xlfn.CONCAT(Sailstats!$F$1,J92)</f>
        <v>https://www.gps-speedsurfing.com/mypage/sailstats?id=4320</v>
      </c>
      <c r="O92" s="1" t="str">
        <f>HYPERLINK(_xlfn.CONCAT(Sailstats!$F$1,J92),_xlfn.CONCAT(L92," ",TEXT(H92,"#0.0")))</f>
        <v>Blade 8.5 Blade 8.5</v>
      </c>
      <c r="P92" t="b">
        <f>IF(D92-E92&gt;=0,TRUE,FALSE)</f>
        <v>1</v>
      </c>
      <c r="Q92" t="b">
        <f>IF(B92&lt;&gt;"",TRUE,FALSE)</f>
        <v>1</v>
      </c>
      <c r="R92" t="b">
        <f>NOT(_xlfn.XOR(P92,Q92))</f>
        <v>1</v>
      </c>
    </row>
    <row r="93" spans="2:18" x14ac:dyDescent="0.25">
      <c r="B93" s="12"/>
      <c r="C93" s="12">
        <v>5486</v>
      </c>
      <c r="D93" s="12">
        <v>29</v>
      </c>
      <c r="E93" s="12">
        <v>28</v>
      </c>
      <c r="F93" s="12">
        <v>8</v>
      </c>
      <c r="G93" s="12">
        <v>8</v>
      </c>
      <c r="H93" s="14" t="s">
        <v>67</v>
      </c>
      <c r="I93" s="12">
        <v>2</v>
      </c>
      <c r="J93" s="12" t="str">
        <f>_xlfn.CONCAT(B93:C93)</f>
        <v>5486</v>
      </c>
      <c r="K93" s="12">
        <f>D93+E93</f>
        <v>57</v>
      </c>
      <c r="L93" s="14" t="s">
        <v>67</v>
      </c>
      <c r="M93" s="12">
        <v>2009</v>
      </c>
      <c r="N93" s="19" t="str">
        <f>_xlfn.CONCAT(Sailstats!$F$1,J93)</f>
        <v>https://www.gps-speedsurfing.com/mypage/sailstats?id=5486</v>
      </c>
      <c r="O93" s="1" t="str">
        <f>HYPERLINK(_xlfn.CONCAT(Sailstats!$F$1,J93),_xlfn.CONCAT(L93," ",TEXT(H93,"#0.0")))</f>
        <v>Blade 8.5 Blade 8.5</v>
      </c>
      <c r="P93" t="b">
        <f>IF(D93-E93&gt;=0,TRUE,FALSE)</f>
        <v>1</v>
      </c>
      <c r="Q93" t="b">
        <f>IF(B93&lt;&gt;"",TRUE,FALSE)</f>
        <v>0</v>
      </c>
      <c r="R93" t="b">
        <f>NOT(_xlfn.XOR(P93,Q93))</f>
        <v>0</v>
      </c>
    </row>
    <row r="94" spans="2:18" x14ac:dyDescent="0.25">
      <c r="B94" s="11">
        <v>19986</v>
      </c>
      <c r="C94" s="11"/>
      <c r="D94" s="11">
        <v>34</v>
      </c>
      <c r="E94" s="11">
        <v>20</v>
      </c>
      <c r="F94" s="11">
        <v>8</v>
      </c>
      <c r="G94" s="11">
        <v>8</v>
      </c>
      <c r="H94" s="13" t="s">
        <v>60</v>
      </c>
      <c r="I94" s="11">
        <v>1</v>
      </c>
      <c r="J94" s="11" t="str">
        <f>_xlfn.CONCAT(B94:C94)</f>
        <v>19986</v>
      </c>
      <c r="K94" s="11">
        <f>D94+E94</f>
        <v>54</v>
      </c>
      <c r="L94" s="13" t="s">
        <v>60</v>
      </c>
      <c r="M94" s="11">
        <v>2022</v>
      </c>
      <c r="N94" s="19" t="str">
        <f>_xlfn.CONCAT(Sailstats!$F$1,J94)</f>
        <v>https://www.gps-speedsurfing.com/mypage/sailstats?id=19986</v>
      </c>
      <c r="O94" s="1" t="str">
        <f>HYPERLINK(_xlfn.CONCAT(Sailstats!$F$1,J94),_xlfn.CONCAT(L94," ",TEXT(H94,"#0.0")))</f>
        <v>Vapor 7.8 Vapor 7.8</v>
      </c>
      <c r="P94" t="b">
        <f>IF(D94-E94&gt;=0,TRUE,FALSE)</f>
        <v>1</v>
      </c>
      <c r="Q94" t="b">
        <f>IF(B94&lt;&gt;"",TRUE,FALSE)</f>
        <v>1</v>
      </c>
      <c r="R94" t="b">
        <f>NOT(_xlfn.XOR(P94,Q94))</f>
        <v>1</v>
      </c>
    </row>
    <row r="95" spans="2:18" x14ac:dyDescent="0.25">
      <c r="B95" s="12"/>
      <c r="C95" s="12">
        <v>20363</v>
      </c>
      <c r="D95" s="12">
        <v>34</v>
      </c>
      <c r="E95" s="12">
        <v>20</v>
      </c>
      <c r="F95" s="12">
        <v>8</v>
      </c>
      <c r="G95" s="12">
        <v>8</v>
      </c>
      <c r="H95" s="14" t="s">
        <v>60</v>
      </c>
      <c r="I95" s="12">
        <v>2</v>
      </c>
      <c r="J95" s="12" t="str">
        <f>_xlfn.CONCAT(B95:C95)</f>
        <v>20363</v>
      </c>
      <c r="K95" s="12">
        <f>D95+E95</f>
        <v>54</v>
      </c>
      <c r="L95" s="14" t="s">
        <v>60</v>
      </c>
      <c r="M95" s="12">
        <v>2022</v>
      </c>
      <c r="N95" s="19" t="str">
        <f>_xlfn.CONCAT(Sailstats!$F$1,J95)</f>
        <v>https://www.gps-speedsurfing.com/mypage/sailstats?id=20363</v>
      </c>
      <c r="O95" s="1" t="str">
        <f>HYPERLINK(_xlfn.CONCAT(Sailstats!$F$1,J95),_xlfn.CONCAT(L95," ",TEXT(H95,"#0.0")))</f>
        <v>Vapor 7.8 Vapor 7.8</v>
      </c>
      <c r="P95" t="b">
        <f>IF(D95-E95&gt;=0,TRUE,FALSE)</f>
        <v>1</v>
      </c>
      <c r="Q95" t="b">
        <f>IF(B95&lt;&gt;"",TRUE,FALSE)</f>
        <v>0</v>
      </c>
      <c r="R95" t="b">
        <f>NOT(_xlfn.XOR(P95,Q95))</f>
        <v>0</v>
      </c>
    </row>
    <row r="96" spans="2:18" x14ac:dyDescent="0.25">
      <c r="B96" s="11">
        <v>6296</v>
      </c>
      <c r="C96" s="11"/>
      <c r="D96" s="11">
        <v>25</v>
      </c>
      <c r="E96" s="11">
        <v>25</v>
      </c>
      <c r="F96" s="11">
        <v>8</v>
      </c>
      <c r="G96" s="11">
        <v>8</v>
      </c>
      <c r="H96" s="13" t="s">
        <v>73</v>
      </c>
      <c r="I96" s="11">
        <v>1</v>
      </c>
      <c r="J96" s="11" t="str">
        <f>_xlfn.CONCAT(B96:C96)</f>
        <v>6296</v>
      </c>
      <c r="K96" s="11">
        <f>D96+E96</f>
        <v>50</v>
      </c>
      <c r="L96" s="13" t="s">
        <v>73</v>
      </c>
      <c r="M96" s="11">
        <v>2011</v>
      </c>
      <c r="N96" s="19" t="str">
        <f>_xlfn.CONCAT(Sailstats!$F$1,J96)</f>
        <v>https://www.gps-speedsurfing.com/mypage/sailstats?id=6296</v>
      </c>
      <c r="O96" s="1" t="str">
        <f>HYPERLINK(_xlfn.CONCAT(Sailstats!$F$1,J96),_xlfn.CONCAT(L96," ",TEXT(H96,"#0.0")))</f>
        <v>Reflex Slalom II 8.6 Reflex Slalom II 8.6</v>
      </c>
      <c r="P96" t="b">
        <f>IF(D96-E96&gt;=0,TRUE,FALSE)</f>
        <v>1</v>
      </c>
      <c r="Q96" t="b">
        <f>IF(B96&lt;&gt;"",TRUE,FALSE)</f>
        <v>1</v>
      </c>
      <c r="R96" t="b">
        <f>NOT(_xlfn.XOR(P96,Q96))</f>
        <v>1</v>
      </c>
    </row>
    <row r="97" spans="2:18" x14ac:dyDescent="0.25">
      <c r="B97" s="12"/>
      <c r="C97" s="12">
        <v>6297</v>
      </c>
      <c r="D97" s="12">
        <v>25</v>
      </c>
      <c r="E97" s="12">
        <v>25</v>
      </c>
      <c r="F97" s="12">
        <v>8</v>
      </c>
      <c r="G97" s="12">
        <v>8</v>
      </c>
      <c r="H97" s="14" t="s">
        <v>73</v>
      </c>
      <c r="I97" s="12">
        <v>2</v>
      </c>
      <c r="J97" s="12" t="str">
        <f>_xlfn.CONCAT(B97:C97)</f>
        <v>6297</v>
      </c>
      <c r="K97" s="12">
        <f>D97+E97</f>
        <v>50</v>
      </c>
      <c r="L97" s="14" t="s">
        <v>73</v>
      </c>
      <c r="M97" s="12">
        <v>2011</v>
      </c>
      <c r="N97" s="19" t="str">
        <f>_xlfn.CONCAT(Sailstats!$F$1,J97)</f>
        <v>https://www.gps-speedsurfing.com/mypage/sailstats?id=6297</v>
      </c>
      <c r="O97" s="1" t="str">
        <f>HYPERLINK(_xlfn.CONCAT(Sailstats!$F$1,J97),_xlfn.CONCAT(L97," ",TEXT(H97,"#0.0")))</f>
        <v>Reflex Slalom II 8.6 Reflex Slalom II 8.6</v>
      </c>
      <c r="P97" t="b">
        <f>IF(D97-E97&gt;=0,TRUE,FALSE)</f>
        <v>1</v>
      </c>
      <c r="Q97" t="b">
        <f>IF(B97&lt;&gt;"",TRUE,FALSE)</f>
        <v>0</v>
      </c>
      <c r="R97" t="b">
        <f>NOT(_xlfn.XOR(P97,Q97))</f>
        <v>0</v>
      </c>
    </row>
    <row r="98" spans="2:18" x14ac:dyDescent="0.25">
      <c r="B98" s="11">
        <v>13449</v>
      </c>
      <c r="C98" s="11"/>
      <c r="D98" s="11">
        <v>5</v>
      </c>
      <c r="E98" s="11">
        <v>43</v>
      </c>
      <c r="F98" s="11">
        <v>11</v>
      </c>
      <c r="G98" s="11">
        <v>11</v>
      </c>
      <c r="H98" s="13" t="s">
        <v>99</v>
      </c>
      <c r="I98" s="11">
        <v>1</v>
      </c>
      <c r="J98" s="11" t="str">
        <f>_xlfn.CONCAT(B98:C98)</f>
        <v>13449</v>
      </c>
      <c r="K98" s="11">
        <f>D98+E98</f>
        <v>48</v>
      </c>
      <c r="L98" s="13" t="s">
        <v>99</v>
      </c>
      <c r="M98" s="11">
        <v>2017</v>
      </c>
      <c r="N98" s="19" t="str">
        <f>_xlfn.CONCAT(Sailstats!$F$1,J98)</f>
        <v>https://www.gps-speedsurfing.com/mypage/sailstats?id=13449</v>
      </c>
      <c r="O98" s="1" t="str">
        <f>HYPERLINK(_xlfn.CONCAT(Sailstats!$F$1,J98),_xlfn.CONCAT(L98," ",TEXT(H98,"#0.0")))</f>
        <v>Icon 4.7 Icon 4.7</v>
      </c>
      <c r="P98" t="b">
        <f>IF(D98-E98&gt;=0,TRUE,FALSE)</f>
        <v>0</v>
      </c>
      <c r="Q98" t="b">
        <f>IF(B98&lt;&gt;"",TRUE,FALSE)</f>
        <v>1</v>
      </c>
      <c r="R98" t="b">
        <f>NOT(_xlfn.XOR(P98,Q98))</f>
        <v>0</v>
      </c>
    </row>
    <row r="99" spans="2:18" x14ac:dyDescent="0.25">
      <c r="B99" s="12"/>
      <c r="C99" s="12">
        <v>13947</v>
      </c>
      <c r="D99" s="12">
        <v>5</v>
      </c>
      <c r="E99" s="12">
        <v>43</v>
      </c>
      <c r="F99" s="12">
        <v>11</v>
      </c>
      <c r="G99" s="12">
        <v>11</v>
      </c>
      <c r="H99" s="14" t="s">
        <v>99</v>
      </c>
      <c r="I99" s="12">
        <v>2</v>
      </c>
      <c r="J99" s="12" t="str">
        <f>_xlfn.CONCAT(B99:C99)</f>
        <v>13947</v>
      </c>
      <c r="K99" s="12">
        <f>D99+E99</f>
        <v>48</v>
      </c>
      <c r="L99" s="14" t="s">
        <v>99</v>
      </c>
      <c r="M99" s="12">
        <v>2017</v>
      </c>
      <c r="N99" s="19" t="str">
        <f>_xlfn.CONCAT(Sailstats!$F$1,J99)</f>
        <v>https://www.gps-speedsurfing.com/mypage/sailstats?id=13947</v>
      </c>
      <c r="O99" s="1" t="str">
        <f>HYPERLINK(_xlfn.CONCAT(Sailstats!$F$1,J99),_xlfn.CONCAT(L99," ",TEXT(H99,"#0.0")))</f>
        <v>Icon 4.7 Icon 4.7</v>
      </c>
      <c r="P99" t="b">
        <f>IF(D99-E99&gt;=0,TRUE,FALSE)</f>
        <v>0</v>
      </c>
      <c r="Q99" t="b">
        <f>IF(B99&lt;&gt;"",TRUE,FALSE)</f>
        <v>0</v>
      </c>
      <c r="R99" t="b">
        <f>NOT(_xlfn.XOR(P99,Q99))</f>
        <v>1</v>
      </c>
    </row>
    <row r="100" spans="2:18" x14ac:dyDescent="0.25">
      <c r="B100" s="11">
        <v>18272</v>
      </c>
      <c r="C100" s="11"/>
      <c r="D100" s="11">
        <v>41</v>
      </c>
      <c r="E100" s="11">
        <v>5</v>
      </c>
      <c r="F100" s="11">
        <v>8</v>
      </c>
      <c r="G100" s="11">
        <v>8</v>
      </c>
      <c r="H100" s="13" t="s">
        <v>57</v>
      </c>
      <c r="I100" s="11">
        <v>1</v>
      </c>
      <c r="J100" s="11" t="str">
        <f>_xlfn.CONCAT(B100:C100)</f>
        <v>18272</v>
      </c>
      <c r="K100" s="11">
        <f>D100+E100</f>
        <v>46</v>
      </c>
      <c r="L100" s="13" t="s">
        <v>57</v>
      </c>
      <c r="M100" s="11">
        <v>2022</v>
      </c>
      <c r="N100" s="19" t="str">
        <f>_xlfn.CONCAT(Sailstats!$F$1,J100)</f>
        <v>https://www.gps-speedsurfing.com/mypage/sailstats?id=18272</v>
      </c>
      <c r="O100" s="1" t="str">
        <f>HYPERLINK(_xlfn.CONCAT(Sailstats!$F$1,J100),_xlfn.CONCAT(L100," ",TEXT(H100,"#0.0")))</f>
        <v>Mach 5 Luderitz Edition 5.5 Mach 5 Luderitz Edition 5.5</v>
      </c>
      <c r="P100" t="b">
        <f>IF(D100-E100&gt;=0,TRUE,FALSE)</f>
        <v>1</v>
      </c>
      <c r="Q100" t="b">
        <f>IF(B100&lt;&gt;"",TRUE,FALSE)</f>
        <v>1</v>
      </c>
      <c r="R100" t="b">
        <f>NOT(_xlfn.XOR(P100,Q100))</f>
        <v>1</v>
      </c>
    </row>
    <row r="101" spans="2:18" x14ac:dyDescent="0.25">
      <c r="B101" s="12"/>
      <c r="C101" s="12">
        <v>18514</v>
      </c>
      <c r="D101" s="12">
        <v>41</v>
      </c>
      <c r="E101" s="12">
        <v>5</v>
      </c>
      <c r="F101" s="12">
        <v>8</v>
      </c>
      <c r="G101" s="12">
        <v>8</v>
      </c>
      <c r="H101" s="14" t="s">
        <v>57</v>
      </c>
      <c r="I101" s="12">
        <v>2</v>
      </c>
      <c r="J101" s="12" t="str">
        <f>_xlfn.CONCAT(B101:C101)</f>
        <v>18514</v>
      </c>
      <c r="K101" s="12">
        <f>D101+E101</f>
        <v>46</v>
      </c>
      <c r="L101" s="14" t="s">
        <v>57</v>
      </c>
      <c r="M101" s="12">
        <v>2022</v>
      </c>
      <c r="N101" s="19" t="str">
        <f>_xlfn.CONCAT(Sailstats!$F$1,J101)</f>
        <v>https://www.gps-speedsurfing.com/mypage/sailstats?id=18514</v>
      </c>
      <c r="O101" s="1" t="str">
        <f>HYPERLINK(_xlfn.CONCAT(Sailstats!$F$1,J101),_xlfn.CONCAT(L101," ",TEXT(H101,"#0.0")))</f>
        <v>Mach 5 Luderitz Edition 5.5 Mach 5 Luderitz Edition 5.5</v>
      </c>
      <c r="P101" t="b">
        <f>IF(D101-E101&gt;=0,TRUE,FALSE)</f>
        <v>1</v>
      </c>
      <c r="Q101" t="b">
        <f>IF(B101&lt;&gt;"",TRUE,FALSE)</f>
        <v>0</v>
      </c>
      <c r="R101" t="b">
        <f>NOT(_xlfn.XOR(P101,Q101))</f>
        <v>0</v>
      </c>
    </row>
    <row r="102" spans="2:18" x14ac:dyDescent="0.25">
      <c r="B102" s="11">
        <v>19457</v>
      </c>
      <c r="C102" s="11"/>
      <c r="D102" s="11">
        <v>29</v>
      </c>
      <c r="E102" s="11">
        <v>16</v>
      </c>
      <c r="F102" s="11">
        <v>9</v>
      </c>
      <c r="G102" s="11">
        <v>9</v>
      </c>
      <c r="H102" s="13" t="s">
        <v>68</v>
      </c>
      <c r="I102" s="11">
        <v>1</v>
      </c>
      <c r="J102" s="11" t="str">
        <f>_xlfn.CONCAT(B102:C102)</f>
        <v>19457</v>
      </c>
      <c r="K102" s="11">
        <f>D102+E102</f>
        <v>45</v>
      </c>
      <c r="L102" s="13" t="s">
        <v>68</v>
      </c>
      <c r="M102" s="11">
        <v>2021</v>
      </c>
      <c r="N102" s="19" t="str">
        <f>_xlfn.CONCAT(Sailstats!$F$1,J102)</f>
        <v>https://www.gps-speedsurfing.com/mypage/sailstats?id=19457</v>
      </c>
      <c r="O102" s="1" t="str">
        <f>HYPERLINK(_xlfn.CONCAT(Sailstats!$F$1,J102),_xlfn.CONCAT(L102," ",TEXT(H102,"#0.0")))</f>
        <v>Switchblade 7.8 Switchblade 7.8</v>
      </c>
      <c r="P102" t="b">
        <f>IF(D102-E102&gt;=0,TRUE,FALSE)</f>
        <v>1</v>
      </c>
      <c r="Q102" t="b">
        <f>IF(B102&lt;&gt;"",TRUE,FALSE)</f>
        <v>1</v>
      </c>
      <c r="R102" t="b">
        <f>NOT(_xlfn.XOR(P102,Q102))</f>
        <v>1</v>
      </c>
    </row>
    <row r="103" spans="2:18" x14ac:dyDescent="0.25">
      <c r="B103" s="12"/>
      <c r="C103" s="12">
        <v>19470</v>
      </c>
      <c r="D103" s="12">
        <v>29</v>
      </c>
      <c r="E103" s="12">
        <v>16</v>
      </c>
      <c r="F103" s="12">
        <v>9</v>
      </c>
      <c r="G103" s="12">
        <v>9</v>
      </c>
      <c r="H103" s="14" t="s">
        <v>68</v>
      </c>
      <c r="I103" s="12">
        <v>2</v>
      </c>
      <c r="J103" s="12" t="str">
        <f>_xlfn.CONCAT(B103:C103)</f>
        <v>19470</v>
      </c>
      <c r="K103" s="12">
        <f>D103+E103</f>
        <v>45</v>
      </c>
      <c r="L103" s="14" t="s">
        <v>68</v>
      </c>
      <c r="M103" s="12">
        <v>2021</v>
      </c>
      <c r="N103" s="19" t="str">
        <f>_xlfn.CONCAT(Sailstats!$F$1,J103)</f>
        <v>https://www.gps-speedsurfing.com/mypage/sailstats?id=19470</v>
      </c>
      <c r="O103" s="1" t="str">
        <f>HYPERLINK(_xlfn.CONCAT(Sailstats!$F$1,J103),_xlfn.CONCAT(L103," ",TEXT(H103,"#0.0")))</f>
        <v>Switchblade 7.8 Switchblade 7.8</v>
      </c>
      <c r="P103" t="b">
        <f>IF(D103-E103&gt;=0,TRUE,FALSE)</f>
        <v>1</v>
      </c>
      <c r="Q103" t="b">
        <f>IF(B103&lt;&gt;"",TRUE,FALSE)</f>
        <v>0</v>
      </c>
      <c r="R103" t="b">
        <f>NOT(_xlfn.XOR(P103,Q103))</f>
        <v>0</v>
      </c>
    </row>
    <row r="104" spans="2:18" x14ac:dyDescent="0.25">
      <c r="B104" s="11">
        <v>19350</v>
      </c>
      <c r="C104" s="11"/>
      <c r="D104" s="11">
        <v>44</v>
      </c>
      <c r="E104" s="11">
        <v>0</v>
      </c>
      <c r="F104" s="11">
        <v>9</v>
      </c>
      <c r="G104" s="11">
        <v>9</v>
      </c>
      <c r="H104" s="13" t="s">
        <v>55</v>
      </c>
      <c r="I104" s="11">
        <v>1</v>
      </c>
      <c r="J104" s="11" t="str">
        <f>_xlfn.CONCAT(B104:C104)</f>
        <v>19350</v>
      </c>
      <c r="K104" s="11">
        <f>D104+E104</f>
        <v>44</v>
      </c>
      <c r="L104" s="13" t="s">
        <v>55</v>
      </c>
      <c r="M104" s="11">
        <v>2022</v>
      </c>
      <c r="N104" s="19" t="str">
        <f>_xlfn.CONCAT(Sailstats!$F$1,J104)</f>
        <v>https://www.gps-speedsurfing.com/mypage/sailstats?id=19350</v>
      </c>
      <c r="O104" s="1" t="str">
        <f>HYPERLINK(_xlfn.CONCAT(Sailstats!$F$1,J104),_xlfn.CONCAT(L104," ",TEXT(H104,"#0.0")))</f>
        <v>AC-Z 7.8 AC-Z 7.8</v>
      </c>
      <c r="P104" t="b">
        <f>IF(D104-E104&gt;=0,TRUE,FALSE)</f>
        <v>1</v>
      </c>
      <c r="Q104" t="b">
        <f>IF(B104&lt;&gt;"",TRUE,FALSE)</f>
        <v>1</v>
      </c>
      <c r="R104" t="b">
        <f>NOT(_xlfn.XOR(P104,Q104))</f>
        <v>1</v>
      </c>
    </row>
    <row r="105" spans="2:18" x14ac:dyDescent="0.25">
      <c r="B105" s="12"/>
      <c r="C105" s="12">
        <v>22213</v>
      </c>
      <c r="D105" s="12">
        <v>44</v>
      </c>
      <c r="E105" s="12">
        <v>0</v>
      </c>
      <c r="F105" s="12">
        <v>9</v>
      </c>
      <c r="G105" s="12">
        <v>9</v>
      </c>
      <c r="H105" s="14" t="s">
        <v>55</v>
      </c>
      <c r="I105" s="12">
        <v>2</v>
      </c>
      <c r="J105" s="12" t="str">
        <f>_xlfn.CONCAT(B105:C105)</f>
        <v>22213</v>
      </c>
      <c r="K105" s="12">
        <f>D105+E105</f>
        <v>44</v>
      </c>
      <c r="L105" s="14" t="s">
        <v>55</v>
      </c>
      <c r="M105" s="12">
        <v>2022</v>
      </c>
      <c r="N105" s="19" t="str">
        <f>_xlfn.CONCAT(Sailstats!$F$1,J105)</f>
        <v>https://www.gps-speedsurfing.com/mypage/sailstats?id=22213</v>
      </c>
      <c r="O105" s="1" t="str">
        <f>HYPERLINK(_xlfn.CONCAT(Sailstats!$F$1,J105),_xlfn.CONCAT(L105," ",TEXT(H105,"#0.0")))</f>
        <v>AC-Z 7.8 AC-Z 7.8</v>
      </c>
      <c r="P105" t="b">
        <f>IF(D105-E105&gt;=0,TRUE,FALSE)</f>
        <v>1</v>
      </c>
      <c r="Q105" t="b">
        <f>IF(B105&lt;&gt;"",TRUE,FALSE)</f>
        <v>0</v>
      </c>
      <c r="R105" t="b">
        <f>NOT(_xlfn.XOR(P105,Q105))</f>
        <v>0</v>
      </c>
    </row>
    <row r="106" spans="2:18" x14ac:dyDescent="0.25">
      <c r="B106" s="11">
        <v>16419</v>
      </c>
      <c r="C106" s="11"/>
      <c r="D106" s="11">
        <v>17</v>
      </c>
      <c r="E106" s="11">
        <v>25</v>
      </c>
      <c r="F106" s="11">
        <v>9</v>
      </c>
      <c r="G106" s="11">
        <v>9</v>
      </c>
      <c r="H106" s="13" t="s">
        <v>83</v>
      </c>
      <c r="I106" s="11">
        <v>1</v>
      </c>
      <c r="J106" s="11" t="str">
        <f>_xlfn.CONCAT(B106:C106)</f>
        <v>16419</v>
      </c>
      <c r="K106" s="11">
        <f>D106+E106</f>
        <v>42</v>
      </c>
      <c r="L106" s="13" t="s">
        <v>83</v>
      </c>
      <c r="M106" s="11">
        <v>2020</v>
      </c>
      <c r="N106" s="19" t="str">
        <f>_xlfn.CONCAT(Sailstats!$F$1,J106)</f>
        <v>https://www.gps-speedsurfing.com/mypage/sailstats?id=16419</v>
      </c>
      <c r="O106" s="1" t="str">
        <f>HYPERLINK(_xlfn.CONCAT(Sailstats!$F$1,J106),_xlfn.CONCAT(L106," ",TEXT(H106,"#0.0")))</f>
        <v>AC-X 7.9 AC-X 7.9</v>
      </c>
      <c r="P106" t="b">
        <f>IF(D106-E106&gt;=0,TRUE,FALSE)</f>
        <v>0</v>
      </c>
      <c r="Q106" t="b">
        <f>IF(B106&lt;&gt;"",TRUE,FALSE)</f>
        <v>1</v>
      </c>
      <c r="R106" t="b">
        <f>NOT(_xlfn.XOR(P106,Q106))</f>
        <v>0</v>
      </c>
    </row>
    <row r="107" spans="2:18" x14ac:dyDescent="0.25">
      <c r="B107" s="12"/>
      <c r="C107" s="12">
        <v>17810</v>
      </c>
      <c r="D107" s="12">
        <v>17</v>
      </c>
      <c r="E107" s="12">
        <v>25</v>
      </c>
      <c r="F107" s="12">
        <v>9</v>
      </c>
      <c r="G107" s="12">
        <v>9</v>
      </c>
      <c r="H107" s="14" t="s">
        <v>83</v>
      </c>
      <c r="I107" s="12">
        <v>2</v>
      </c>
      <c r="J107" s="12" t="str">
        <f>_xlfn.CONCAT(B107:C107)</f>
        <v>17810</v>
      </c>
      <c r="K107" s="12">
        <f>D107+E107</f>
        <v>42</v>
      </c>
      <c r="L107" s="14" t="s">
        <v>83</v>
      </c>
      <c r="M107" s="12">
        <v>2020</v>
      </c>
      <c r="N107" s="19" t="str">
        <f>_xlfn.CONCAT(Sailstats!$F$1,J107)</f>
        <v>https://www.gps-speedsurfing.com/mypage/sailstats?id=17810</v>
      </c>
      <c r="O107" s="1" t="str">
        <f>HYPERLINK(_xlfn.CONCAT(Sailstats!$F$1,J107),_xlfn.CONCAT(L107," ",TEXT(H107,"#0.0")))</f>
        <v>AC-X 7.9 AC-X 7.9</v>
      </c>
      <c r="P107" t="b">
        <f>IF(D107-E107&gt;=0,TRUE,FALSE)</f>
        <v>0</v>
      </c>
      <c r="Q107" t="b">
        <f>IF(B107&lt;&gt;"",TRUE,FALSE)</f>
        <v>0</v>
      </c>
      <c r="R107" t="b">
        <f>NOT(_xlfn.XOR(P107,Q107))</f>
        <v>1</v>
      </c>
    </row>
    <row r="108" spans="2:18" x14ac:dyDescent="0.25">
      <c r="B108" s="11">
        <v>18260</v>
      </c>
      <c r="C108" s="11"/>
      <c r="D108" s="11">
        <v>33</v>
      </c>
      <c r="E108" s="11">
        <v>7</v>
      </c>
      <c r="F108" s="11">
        <v>9</v>
      </c>
      <c r="G108" s="11">
        <v>9</v>
      </c>
      <c r="H108" s="13" t="s">
        <v>63</v>
      </c>
      <c r="I108" s="11">
        <v>1</v>
      </c>
      <c r="J108" s="11" t="str">
        <f>_xlfn.CONCAT(B108:C108)</f>
        <v>18260</v>
      </c>
      <c r="K108" s="11">
        <f>D108+E108</f>
        <v>40</v>
      </c>
      <c r="L108" s="13" t="s">
        <v>63</v>
      </c>
      <c r="M108" s="11">
        <v>2022</v>
      </c>
      <c r="N108" s="19" t="str">
        <f>_xlfn.CONCAT(Sailstats!$F$1,J108)</f>
        <v>https://www.gps-speedsurfing.com/mypage/sailstats?id=18260</v>
      </c>
      <c r="O108" s="1" t="str">
        <f>HYPERLINK(_xlfn.CONCAT(Sailstats!$F$1,J108),_xlfn.CONCAT(L108," ",TEXT(H108,"#0.0")))</f>
        <v>AC-K 8.5 AC-K 8.5</v>
      </c>
      <c r="P108" t="b">
        <f>IF(D108-E108&gt;=0,TRUE,FALSE)</f>
        <v>1</v>
      </c>
      <c r="Q108" t="b">
        <f>IF(B108&lt;&gt;"",TRUE,FALSE)</f>
        <v>1</v>
      </c>
      <c r="R108" t="b">
        <f>NOT(_xlfn.XOR(P108,Q108))</f>
        <v>1</v>
      </c>
    </row>
    <row r="109" spans="2:18" x14ac:dyDescent="0.25">
      <c r="B109" s="12"/>
      <c r="C109" s="12">
        <v>18786</v>
      </c>
      <c r="D109" s="12">
        <v>33</v>
      </c>
      <c r="E109" s="12">
        <v>7</v>
      </c>
      <c r="F109" s="12">
        <v>9</v>
      </c>
      <c r="G109" s="12">
        <v>9</v>
      </c>
      <c r="H109" s="14" t="s">
        <v>63</v>
      </c>
      <c r="I109" s="12">
        <v>2</v>
      </c>
      <c r="J109" s="12" t="str">
        <f>_xlfn.CONCAT(B109:C109)</f>
        <v>18786</v>
      </c>
      <c r="K109" s="12">
        <f>D109+E109</f>
        <v>40</v>
      </c>
      <c r="L109" s="14" t="s">
        <v>63</v>
      </c>
      <c r="M109" s="12">
        <v>2022</v>
      </c>
      <c r="N109" s="19" t="str">
        <f>_xlfn.CONCAT(Sailstats!$F$1,J109)</f>
        <v>https://www.gps-speedsurfing.com/mypage/sailstats?id=18786</v>
      </c>
      <c r="O109" s="1" t="str">
        <f>HYPERLINK(_xlfn.CONCAT(Sailstats!$F$1,J109),_xlfn.CONCAT(L109," ",TEXT(H109,"#0.0")))</f>
        <v>AC-K 8.5 AC-K 8.5</v>
      </c>
      <c r="P109" t="b">
        <f>IF(D109-E109&gt;=0,TRUE,FALSE)</f>
        <v>1</v>
      </c>
      <c r="Q109" t="b">
        <f>IF(B109&lt;&gt;"",TRUE,FALSE)</f>
        <v>0</v>
      </c>
      <c r="R109" t="b">
        <f>NOT(_xlfn.XOR(P109,Q109))</f>
        <v>0</v>
      </c>
    </row>
    <row r="110" spans="2:18" x14ac:dyDescent="0.25">
      <c r="B110" s="11">
        <v>15477</v>
      </c>
      <c r="C110" s="11"/>
      <c r="D110" s="11">
        <v>34</v>
      </c>
      <c r="E110" s="11">
        <v>5</v>
      </c>
      <c r="F110" s="11">
        <v>58</v>
      </c>
      <c r="G110" s="11">
        <v>58</v>
      </c>
      <c r="H110" s="13" t="s">
        <v>61</v>
      </c>
      <c r="I110" s="11">
        <v>1</v>
      </c>
      <c r="J110" s="11" t="str">
        <f>_xlfn.CONCAT(B110:C110)</f>
        <v>15477</v>
      </c>
      <c r="K110" s="11">
        <f>D110+E110</f>
        <v>39</v>
      </c>
      <c r="L110" s="13" t="s">
        <v>61</v>
      </c>
      <c r="M110" s="11">
        <v>2018</v>
      </c>
      <c r="N110" s="19" t="str">
        <f>_xlfn.CONCAT(Sailstats!$F$1,J110)</f>
        <v>https://www.gps-speedsurfing.com/mypage/sailstats?id=15477</v>
      </c>
      <c r="O110" s="1" t="str">
        <f>HYPERLINK(_xlfn.CONCAT(Sailstats!$F$1,J110),_xlfn.CONCAT(L110," ",TEXT(H110,"#0.0")))</f>
        <v>Skyscape 6.4 Skyscape 6.4</v>
      </c>
      <c r="P110" t="b">
        <f>IF(D110-E110&gt;=0,TRUE,FALSE)</f>
        <v>1</v>
      </c>
      <c r="Q110" t="b">
        <f>IF(B110&lt;&gt;"",TRUE,FALSE)</f>
        <v>1</v>
      </c>
      <c r="R110" t="b">
        <f>NOT(_xlfn.XOR(P110,Q110))</f>
        <v>1</v>
      </c>
    </row>
    <row r="111" spans="2:18" x14ac:dyDescent="0.25">
      <c r="B111" s="12"/>
      <c r="C111" s="12">
        <v>17363</v>
      </c>
      <c r="D111" s="12">
        <v>34</v>
      </c>
      <c r="E111" s="12">
        <v>5</v>
      </c>
      <c r="F111" s="12">
        <v>58</v>
      </c>
      <c r="G111" s="12">
        <v>58</v>
      </c>
      <c r="H111" s="14" t="s">
        <v>61</v>
      </c>
      <c r="I111" s="12">
        <v>2</v>
      </c>
      <c r="J111" s="12" t="str">
        <f>_xlfn.CONCAT(B111:C111)</f>
        <v>17363</v>
      </c>
      <c r="K111" s="12">
        <f>D111+E111</f>
        <v>39</v>
      </c>
      <c r="L111" s="14" t="s">
        <v>61</v>
      </c>
      <c r="M111" s="12">
        <v>2018</v>
      </c>
      <c r="N111" s="19" t="str">
        <f>_xlfn.CONCAT(Sailstats!$F$1,J111)</f>
        <v>https://www.gps-speedsurfing.com/mypage/sailstats?id=17363</v>
      </c>
      <c r="O111" s="1" t="str">
        <f>HYPERLINK(_xlfn.CONCAT(Sailstats!$F$1,J111),_xlfn.CONCAT(L111," ",TEXT(H111,"#0.0")))</f>
        <v>Skyscape 6.4 Skyscape 6.4</v>
      </c>
      <c r="P111" t="b">
        <f>IF(D111-E111&gt;=0,TRUE,FALSE)</f>
        <v>1</v>
      </c>
      <c r="Q111" t="b">
        <f>IF(B111&lt;&gt;"",TRUE,FALSE)</f>
        <v>0</v>
      </c>
      <c r="R111" t="b">
        <f>NOT(_xlfn.XOR(P111,Q111))</f>
        <v>0</v>
      </c>
    </row>
    <row r="112" spans="2:18" x14ac:dyDescent="0.25">
      <c r="B112" s="11">
        <v>1002</v>
      </c>
      <c r="C112" s="11"/>
      <c r="D112" s="11">
        <v>19</v>
      </c>
      <c r="E112" s="11">
        <v>19</v>
      </c>
      <c r="F112" s="11">
        <v>12</v>
      </c>
      <c r="G112" s="11">
        <v>12</v>
      </c>
      <c r="H112" s="13" t="s">
        <v>81</v>
      </c>
      <c r="I112" s="11">
        <v>1</v>
      </c>
      <c r="J112" s="11" t="str">
        <f>_xlfn.CONCAT(B112:C112)</f>
        <v>1002</v>
      </c>
      <c r="K112" s="11">
        <f>D112+E112</f>
        <v>38</v>
      </c>
      <c r="L112" s="13" t="s">
        <v>81</v>
      </c>
      <c r="M112" s="11">
        <v>1999</v>
      </c>
      <c r="N112" s="19" t="str">
        <f>_xlfn.CONCAT(Sailstats!$F$1,J112)</f>
        <v>https://www.gps-speedsurfing.com/mypage/sailstats?id=1002</v>
      </c>
      <c r="O112" s="1" t="str">
        <f>HYPERLINK(_xlfn.CONCAT(Sailstats!$F$1,J112),_xlfn.CONCAT(L112," ",TEXT(H112,"#0.0")))</f>
        <v>NR 4.7 NR 4.7</v>
      </c>
      <c r="P112" t="b">
        <f>IF(D112-E112&gt;=0,TRUE,FALSE)</f>
        <v>1</v>
      </c>
      <c r="Q112" t="b">
        <f>IF(B112&lt;&gt;"",TRUE,FALSE)</f>
        <v>1</v>
      </c>
      <c r="R112" t="b">
        <f>NOT(_xlfn.XOR(P112,Q112))</f>
        <v>1</v>
      </c>
    </row>
    <row r="113" spans="2:18" x14ac:dyDescent="0.25">
      <c r="B113" s="12"/>
      <c r="C113" s="12">
        <v>1012</v>
      </c>
      <c r="D113" s="12">
        <v>19</v>
      </c>
      <c r="E113" s="12">
        <v>19</v>
      </c>
      <c r="F113" s="12">
        <v>12</v>
      </c>
      <c r="G113" s="12">
        <v>12</v>
      </c>
      <c r="H113" s="14" t="s">
        <v>81</v>
      </c>
      <c r="I113" s="12">
        <v>2</v>
      </c>
      <c r="J113" s="12" t="str">
        <f>_xlfn.CONCAT(B113:C113)</f>
        <v>1012</v>
      </c>
      <c r="K113" s="12">
        <f>D113+E113</f>
        <v>38</v>
      </c>
      <c r="L113" s="14" t="s">
        <v>81</v>
      </c>
      <c r="M113" s="12">
        <v>1999</v>
      </c>
      <c r="N113" s="19" t="str">
        <f>_xlfn.CONCAT(Sailstats!$F$1,J113)</f>
        <v>https://www.gps-speedsurfing.com/mypage/sailstats?id=1012</v>
      </c>
      <c r="O113" s="1" t="str">
        <f>HYPERLINK(_xlfn.CONCAT(Sailstats!$F$1,J113),_xlfn.CONCAT(L113," ",TEXT(H113,"#0.0")))</f>
        <v>NR 4.7 NR 4.7</v>
      </c>
      <c r="P113" t="b">
        <f>IF(D113-E113&gt;=0,TRUE,FALSE)</f>
        <v>1</v>
      </c>
      <c r="Q113" t="b">
        <f>IF(B113&lt;&gt;"",TRUE,FALSE)</f>
        <v>0</v>
      </c>
      <c r="R113" t="b">
        <f>NOT(_xlfn.XOR(P113,Q113))</f>
        <v>0</v>
      </c>
    </row>
    <row r="114" spans="2:18" x14ac:dyDescent="0.25">
      <c r="B114" s="11">
        <v>4326</v>
      </c>
      <c r="C114" s="11"/>
      <c r="D114" s="11">
        <v>18</v>
      </c>
      <c r="E114" s="11">
        <v>19</v>
      </c>
      <c r="F114" s="11">
        <v>8</v>
      </c>
      <c r="G114" s="11">
        <v>8</v>
      </c>
      <c r="H114" s="13" t="s">
        <v>82</v>
      </c>
      <c r="I114" s="11">
        <v>1</v>
      </c>
      <c r="J114" s="11" t="str">
        <f>_xlfn.CONCAT(B114:C114)</f>
        <v>4326</v>
      </c>
      <c r="K114" s="11">
        <f>D114+E114</f>
        <v>37</v>
      </c>
      <c r="L114" s="13" t="s">
        <v>82</v>
      </c>
      <c r="M114" s="11">
        <v>2009</v>
      </c>
      <c r="N114" s="19" t="str">
        <f>_xlfn.CONCAT(Sailstats!$F$1,J114)</f>
        <v>https://www.gps-speedsurfing.com/mypage/sailstats?id=4326</v>
      </c>
      <c r="O114" s="1" t="str">
        <f>HYPERLINK(_xlfn.CONCAT(Sailstats!$F$1,J114),_xlfn.CONCAT(L114," ",TEXT(H114,"#0.0")))</f>
        <v>Blade 5.1 Blade 5.1</v>
      </c>
      <c r="P114" t="b">
        <f>IF(D114-E114&gt;=0,TRUE,FALSE)</f>
        <v>0</v>
      </c>
      <c r="Q114" t="b">
        <f>IF(B114&lt;&gt;"",TRUE,FALSE)</f>
        <v>1</v>
      </c>
      <c r="R114" t="b">
        <f>NOT(_xlfn.XOR(P114,Q114))</f>
        <v>0</v>
      </c>
    </row>
    <row r="115" spans="2:18" x14ac:dyDescent="0.25">
      <c r="B115" s="11">
        <v>19587</v>
      </c>
      <c r="C115" s="11"/>
      <c r="D115" s="11">
        <v>0</v>
      </c>
      <c r="E115" s="11">
        <v>37</v>
      </c>
      <c r="F115" s="11">
        <v>9</v>
      </c>
      <c r="G115" s="11">
        <v>9</v>
      </c>
      <c r="H115" s="13" t="s">
        <v>110</v>
      </c>
      <c r="I115" s="11">
        <v>1</v>
      </c>
      <c r="J115" s="11" t="str">
        <f>_xlfn.CONCAT(B115:C115)</f>
        <v>19587</v>
      </c>
      <c r="K115" s="11">
        <f>D115+E115</f>
        <v>37</v>
      </c>
      <c r="L115" s="13" t="s">
        <v>110</v>
      </c>
      <c r="M115" s="11">
        <v>2021</v>
      </c>
      <c r="N115" s="19" t="str">
        <f>_xlfn.CONCAT(Sailstats!$F$1,J115)</f>
        <v>https://www.gps-speedsurfing.com/mypage/sailstats?id=19587</v>
      </c>
      <c r="O115" s="1" t="str">
        <f>HYPERLINK(_xlfn.CONCAT(Sailstats!$F$1,J115),_xlfn.CONCAT(L115," ",TEXT(H115,"#0.0")))</f>
        <v>Lion 8.5 Lion 8.5</v>
      </c>
      <c r="P115" t="b">
        <f>IF(D115-E115&gt;=0,TRUE,FALSE)</f>
        <v>0</v>
      </c>
      <c r="Q115" t="b">
        <f>IF(B115&lt;&gt;"",TRUE,FALSE)</f>
        <v>1</v>
      </c>
      <c r="R115" t="b">
        <f>NOT(_xlfn.XOR(P115,Q115))</f>
        <v>0</v>
      </c>
    </row>
    <row r="116" spans="2:18" x14ac:dyDescent="0.25">
      <c r="B116" s="12"/>
      <c r="C116" s="12">
        <v>5723</v>
      </c>
      <c r="D116" s="12">
        <v>18</v>
      </c>
      <c r="E116" s="12">
        <v>19</v>
      </c>
      <c r="F116" s="12">
        <v>8</v>
      </c>
      <c r="G116" s="12">
        <v>8</v>
      </c>
      <c r="H116" s="14" t="s">
        <v>82</v>
      </c>
      <c r="I116" s="12">
        <v>2</v>
      </c>
      <c r="J116" s="12" t="str">
        <f>_xlfn.CONCAT(B116:C116)</f>
        <v>5723</v>
      </c>
      <c r="K116" s="12">
        <f>D116+E116</f>
        <v>37</v>
      </c>
      <c r="L116" s="14" t="s">
        <v>82</v>
      </c>
      <c r="M116" s="12">
        <v>2009</v>
      </c>
      <c r="N116" s="19" t="str">
        <f>_xlfn.CONCAT(Sailstats!$F$1,J116)</f>
        <v>https://www.gps-speedsurfing.com/mypage/sailstats?id=5723</v>
      </c>
      <c r="O116" s="1" t="str">
        <f>HYPERLINK(_xlfn.CONCAT(Sailstats!$F$1,J116),_xlfn.CONCAT(L116," ",TEXT(H116,"#0.0")))</f>
        <v>Blade 5.1 Blade 5.1</v>
      </c>
      <c r="P116" t="b">
        <f>IF(D116-E116&gt;=0,TRUE,FALSE)</f>
        <v>0</v>
      </c>
      <c r="Q116" t="b">
        <f>IF(B116&lt;&gt;"",TRUE,FALSE)</f>
        <v>0</v>
      </c>
      <c r="R116" t="b">
        <f>NOT(_xlfn.XOR(P116,Q116))</f>
        <v>1</v>
      </c>
    </row>
    <row r="117" spans="2:18" x14ac:dyDescent="0.25">
      <c r="B117" s="12"/>
      <c r="C117" s="12">
        <v>19943</v>
      </c>
      <c r="D117" s="12">
        <v>0</v>
      </c>
      <c r="E117" s="12">
        <v>37</v>
      </c>
      <c r="F117" s="12">
        <v>9</v>
      </c>
      <c r="G117" s="12">
        <v>9</v>
      </c>
      <c r="H117" s="14" t="s">
        <v>110</v>
      </c>
      <c r="I117" s="12">
        <v>2</v>
      </c>
      <c r="J117" s="12" t="str">
        <f>_xlfn.CONCAT(B117:C117)</f>
        <v>19943</v>
      </c>
      <c r="K117" s="12">
        <f>D117+E117</f>
        <v>37</v>
      </c>
      <c r="L117" s="14" t="s">
        <v>110</v>
      </c>
      <c r="M117" s="12">
        <v>2021</v>
      </c>
      <c r="N117" s="19" t="str">
        <f>_xlfn.CONCAT(Sailstats!$F$1,J117)</f>
        <v>https://www.gps-speedsurfing.com/mypage/sailstats?id=19943</v>
      </c>
      <c r="O117" s="1" t="str">
        <f>HYPERLINK(_xlfn.CONCAT(Sailstats!$F$1,J117),_xlfn.CONCAT(L117," ",TEXT(H117,"#0.0")))</f>
        <v>Lion 8.5 Lion 8.5</v>
      </c>
      <c r="P117" t="b">
        <f>IF(D117-E117&gt;=0,TRUE,FALSE)</f>
        <v>0</v>
      </c>
      <c r="Q117" t="b">
        <f>IF(B117&lt;&gt;"",TRUE,FALSE)</f>
        <v>0</v>
      </c>
      <c r="R117" t="b">
        <f>NOT(_xlfn.XOR(P117,Q117))</f>
        <v>1</v>
      </c>
    </row>
    <row r="118" spans="2:18" x14ac:dyDescent="0.25">
      <c r="B118" s="11">
        <v>17215</v>
      </c>
      <c r="C118" s="11"/>
      <c r="D118" s="11">
        <v>35</v>
      </c>
      <c r="E118" s="11">
        <v>1</v>
      </c>
      <c r="F118" s="11">
        <v>58</v>
      </c>
      <c r="G118" s="11">
        <v>58</v>
      </c>
      <c r="H118" s="13" t="s">
        <v>59</v>
      </c>
      <c r="I118" s="11">
        <v>1</v>
      </c>
      <c r="J118" s="11" t="str">
        <f>_xlfn.CONCAT(B118:C118)</f>
        <v>17215</v>
      </c>
      <c r="K118" s="11">
        <f>D118+E118</f>
        <v>36</v>
      </c>
      <c r="L118" s="13" t="s">
        <v>59</v>
      </c>
      <c r="M118" s="11">
        <v>2021</v>
      </c>
      <c r="N118" s="19" t="str">
        <f>_xlfn.CONCAT(Sailstats!$F$1,J118)</f>
        <v>https://www.gps-speedsurfing.com/mypage/sailstats?id=17215</v>
      </c>
      <c r="O118" s="1" t="str">
        <f>HYPERLINK(_xlfn.CONCAT(Sailstats!$F$1,J118),_xlfn.CONCAT(L118," ",TEXT(H118,"#0.0")))</f>
        <v>V8 Flight 6.0 V8 Flight 6.0</v>
      </c>
      <c r="P118" t="b">
        <f>IF(D118-E118&gt;=0,TRUE,FALSE)</f>
        <v>1</v>
      </c>
      <c r="Q118" t="b">
        <f>IF(B118&lt;&gt;"",TRUE,FALSE)</f>
        <v>1</v>
      </c>
      <c r="R118" t="b">
        <f>NOT(_xlfn.XOR(P118,Q118))</f>
        <v>1</v>
      </c>
    </row>
    <row r="119" spans="2:18" x14ac:dyDescent="0.25">
      <c r="B119" s="12"/>
      <c r="C119" s="12">
        <v>17216</v>
      </c>
      <c r="D119" s="12">
        <v>35</v>
      </c>
      <c r="E119" s="12">
        <v>1</v>
      </c>
      <c r="F119" s="12">
        <v>58</v>
      </c>
      <c r="G119" s="12">
        <v>58</v>
      </c>
      <c r="H119" s="14" t="s">
        <v>59</v>
      </c>
      <c r="I119" s="12">
        <v>2</v>
      </c>
      <c r="J119" s="12" t="str">
        <f>_xlfn.CONCAT(B119:C119)</f>
        <v>17216</v>
      </c>
      <c r="K119" s="12">
        <f>D119+E119</f>
        <v>36</v>
      </c>
      <c r="L119" s="14" t="s">
        <v>59</v>
      </c>
      <c r="M119" s="12">
        <v>2021</v>
      </c>
      <c r="N119" s="19" t="str">
        <f>_xlfn.CONCAT(Sailstats!$F$1,J119)</f>
        <v>https://www.gps-speedsurfing.com/mypage/sailstats?id=17216</v>
      </c>
      <c r="O119" s="1" t="str">
        <f>HYPERLINK(_xlfn.CONCAT(Sailstats!$F$1,J119),_xlfn.CONCAT(L119," ",TEXT(H119,"#0.0")))</f>
        <v>V8 Flight 6.0 V8 Flight 6.0</v>
      </c>
      <c r="P119" t="b">
        <f>IF(D119-E119&gt;=0,TRUE,FALSE)</f>
        <v>1</v>
      </c>
      <c r="Q119" t="b">
        <f>IF(B119&lt;&gt;"",TRUE,FALSE)</f>
        <v>0</v>
      </c>
      <c r="R119" t="b">
        <f>NOT(_xlfn.XOR(P119,Q119))</f>
        <v>0</v>
      </c>
    </row>
    <row r="120" spans="2:18" x14ac:dyDescent="0.25">
      <c r="B120" s="11">
        <v>13147</v>
      </c>
      <c r="C120" s="11"/>
      <c r="D120" s="11">
        <v>29</v>
      </c>
      <c r="E120" s="11">
        <v>6</v>
      </c>
      <c r="F120" s="11">
        <v>9</v>
      </c>
      <c r="G120" s="11">
        <v>9</v>
      </c>
      <c r="H120" s="13" t="s">
        <v>69</v>
      </c>
      <c r="I120" s="11">
        <v>1</v>
      </c>
      <c r="J120" s="11" t="str">
        <f>_xlfn.CONCAT(B120:C120)</f>
        <v>13147</v>
      </c>
      <c r="K120" s="11">
        <f>D120+E120</f>
        <v>35</v>
      </c>
      <c r="L120" s="13" t="s">
        <v>69</v>
      </c>
      <c r="M120" s="11">
        <v>2017</v>
      </c>
      <c r="N120" s="19" t="str">
        <f>_xlfn.CONCAT(Sailstats!$F$1,J120)</f>
        <v>https://www.gps-speedsurfing.com/mypage/sailstats?id=13147</v>
      </c>
      <c r="O120" s="1" t="str">
        <f>HYPERLINK(_xlfn.CONCAT(Sailstats!$F$1,J120),_xlfn.CONCAT(L120," ",TEXT(H120,"#0.0")))</f>
        <v>NCX 6.5 NCX 6.5</v>
      </c>
      <c r="P120" t="b">
        <f>IF(D120-E120&gt;=0,TRUE,FALSE)</f>
        <v>1</v>
      </c>
      <c r="Q120" t="b">
        <f>IF(B120&lt;&gt;"",TRUE,FALSE)</f>
        <v>1</v>
      </c>
      <c r="R120" t="b">
        <f>NOT(_xlfn.XOR(P120,Q120))</f>
        <v>1</v>
      </c>
    </row>
    <row r="121" spans="2:18" x14ac:dyDescent="0.25">
      <c r="B121" s="12"/>
      <c r="C121" s="12">
        <v>15296</v>
      </c>
      <c r="D121" s="12">
        <v>29</v>
      </c>
      <c r="E121" s="12">
        <v>6</v>
      </c>
      <c r="F121" s="12">
        <v>9</v>
      </c>
      <c r="G121" s="12">
        <v>9</v>
      </c>
      <c r="H121" s="14" t="s">
        <v>69</v>
      </c>
      <c r="I121" s="12">
        <v>2</v>
      </c>
      <c r="J121" s="12" t="str">
        <f>_xlfn.CONCAT(B121:C121)</f>
        <v>15296</v>
      </c>
      <c r="K121" s="12">
        <f>D121+E121</f>
        <v>35</v>
      </c>
      <c r="L121" s="14" t="s">
        <v>69</v>
      </c>
      <c r="M121" s="12">
        <v>2017</v>
      </c>
      <c r="N121" s="19" t="str">
        <f>_xlfn.CONCAT(Sailstats!$F$1,J121)</f>
        <v>https://www.gps-speedsurfing.com/mypage/sailstats?id=15296</v>
      </c>
      <c r="O121" s="1" t="str">
        <f>HYPERLINK(_xlfn.CONCAT(Sailstats!$F$1,J121),_xlfn.CONCAT(L121," ",TEXT(H121,"#0.0")))</f>
        <v>NCX 6.5 NCX 6.5</v>
      </c>
      <c r="P121" t="b">
        <f>IF(D121-E121&gt;=0,TRUE,FALSE)</f>
        <v>1</v>
      </c>
      <c r="Q121" t="b">
        <f>IF(B121&lt;&gt;"",TRUE,FALSE)</f>
        <v>0</v>
      </c>
      <c r="R121" t="b">
        <f>NOT(_xlfn.XOR(P121,Q121))</f>
        <v>0</v>
      </c>
    </row>
    <row r="122" spans="2:18" x14ac:dyDescent="0.25">
      <c r="B122" s="11">
        <v>18752</v>
      </c>
      <c r="C122" s="11"/>
      <c r="D122" s="11">
        <v>33</v>
      </c>
      <c r="E122" s="11">
        <v>0</v>
      </c>
      <c r="F122" s="11">
        <v>9</v>
      </c>
      <c r="G122" s="11">
        <v>9</v>
      </c>
      <c r="H122" s="13" t="s">
        <v>64</v>
      </c>
      <c r="I122" s="11">
        <v>1</v>
      </c>
      <c r="J122" s="11" t="str">
        <f>_xlfn.CONCAT(B122:C122)</f>
        <v>18752</v>
      </c>
      <c r="K122" s="11">
        <f>D122+E122</f>
        <v>33</v>
      </c>
      <c r="L122" s="13" t="s">
        <v>64</v>
      </c>
      <c r="M122" s="11">
        <v>2022</v>
      </c>
      <c r="N122" s="19" t="str">
        <f>_xlfn.CONCAT(Sailstats!$F$1,J122)</f>
        <v>https://www.gps-speedsurfing.com/mypage/sailstats?id=18752</v>
      </c>
      <c r="O122" s="1" t="str">
        <f>HYPERLINK(_xlfn.CONCAT(Sailstats!$F$1,J122),_xlfn.CONCAT(L122," ",TEXT(H122,"#0.0")))</f>
        <v>AC-Z 6.8 AC-Z 6.8</v>
      </c>
      <c r="P122" t="b">
        <f>IF(D122-E122&gt;=0,TRUE,FALSE)</f>
        <v>1</v>
      </c>
      <c r="Q122" t="b">
        <f>IF(B122&lt;&gt;"",TRUE,FALSE)</f>
        <v>1</v>
      </c>
      <c r="R122" t="b">
        <f>NOT(_xlfn.XOR(P122,Q122))</f>
        <v>1</v>
      </c>
    </row>
    <row r="123" spans="2:18" x14ac:dyDescent="0.25">
      <c r="B123" s="11">
        <v>14946</v>
      </c>
      <c r="C123" s="11"/>
      <c r="D123" s="11">
        <v>1</v>
      </c>
      <c r="E123" s="11">
        <v>32</v>
      </c>
      <c r="F123" s="11">
        <v>8</v>
      </c>
      <c r="G123" s="11">
        <v>8</v>
      </c>
      <c r="H123" s="13" t="s">
        <v>108</v>
      </c>
      <c r="I123" s="11">
        <v>1</v>
      </c>
      <c r="J123" s="11" t="str">
        <f>_xlfn.CONCAT(B123:C123)</f>
        <v>14946</v>
      </c>
      <c r="K123" s="11">
        <f>D123+E123</f>
        <v>33</v>
      </c>
      <c r="L123" s="13" t="s">
        <v>108</v>
      </c>
      <c r="M123" s="11">
        <v>2019</v>
      </c>
      <c r="N123" s="19" t="str">
        <f>_xlfn.CONCAT(Sailstats!$F$1,J123)</f>
        <v>https://www.gps-speedsurfing.com/mypage/sailstats?id=14946</v>
      </c>
      <c r="O123" s="1" t="str">
        <f>HYPERLINK(_xlfn.CONCAT(Sailstats!$F$1,J123),_xlfn.CONCAT(L123," ",TEXT(H123,"#0.0")))</f>
        <v>Race 5.5 Race 5.5</v>
      </c>
      <c r="P123" t="b">
        <f>IF(D123-E123&gt;=0,TRUE,FALSE)</f>
        <v>0</v>
      </c>
      <c r="Q123" t="b">
        <f>IF(B123&lt;&gt;"",TRUE,FALSE)</f>
        <v>1</v>
      </c>
      <c r="R123" t="b">
        <f>NOT(_xlfn.XOR(P123,Q123))</f>
        <v>0</v>
      </c>
    </row>
    <row r="124" spans="2:18" x14ac:dyDescent="0.25">
      <c r="B124" s="12"/>
      <c r="C124" s="12">
        <v>22565</v>
      </c>
      <c r="D124" s="12">
        <v>33</v>
      </c>
      <c r="E124" s="12">
        <v>0</v>
      </c>
      <c r="F124" s="12">
        <v>9</v>
      </c>
      <c r="G124" s="12">
        <v>9</v>
      </c>
      <c r="H124" s="14" t="s">
        <v>64</v>
      </c>
      <c r="I124" s="12">
        <v>2</v>
      </c>
      <c r="J124" s="12" t="str">
        <f>_xlfn.CONCAT(B124:C124)</f>
        <v>22565</v>
      </c>
      <c r="K124" s="12">
        <f>D124+E124</f>
        <v>33</v>
      </c>
      <c r="L124" s="14" t="s">
        <v>64</v>
      </c>
      <c r="M124" s="12">
        <v>2022</v>
      </c>
      <c r="N124" s="19" t="str">
        <f>_xlfn.CONCAT(Sailstats!$F$1,J124)</f>
        <v>https://www.gps-speedsurfing.com/mypage/sailstats?id=22565</v>
      </c>
      <c r="O124" s="1" t="str">
        <f>HYPERLINK(_xlfn.CONCAT(Sailstats!$F$1,J124),_xlfn.CONCAT(L124," ",TEXT(H124,"#0.0")))</f>
        <v>AC-Z 6.8 AC-Z 6.8</v>
      </c>
      <c r="P124" t="b">
        <f>IF(D124-E124&gt;=0,TRUE,FALSE)</f>
        <v>1</v>
      </c>
      <c r="Q124" t="b">
        <f>IF(B124&lt;&gt;"",TRUE,FALSE)</f>
        <v>0</v>
      </c>
      <c r="R124" t="b">
        <f>NOT(_xlfn.XOR(P124,Q124))</f>
        <v>0</v>
      </c>
    </row>
    <row r="125" spans="2:18" x14ac:dyDescent="0.25">
      <c r="B125" s="12"/>
      <c r="C125" s="12">
        <v>17874</v>
      </c>
      <c r="D125" s="12">
        <v>1</v>
      </c>
      <c r="E125" s="12">
        <v>32</v>
      </c>
      <c r="F125" s="12">
        <v>8</v>
      </c>
      <c r="G125" s="12">
        <v>8</v>
      </c>
      <c r="H125" s="14" t="s">
        <v>108</v>
      </c>
      <c r="I125" s="12">
        <v>2</v>
      </c>
      <c r="J125" s="12" t="str">
        <f>_xlfn.CONCAT(B125:C125)</f>
        <v>17874</v>
      </c>
      <c r="K125" s="12">
        <f>D125+E125</f>
        <v>33</v>
      </c>
      <c r="L125" s="14" t="s">
        <v>108</v>
      </c>
      <c r="M125" s="12">
        <v>2019</v>
      </c>
      <c r="N125" s="19" t="str">
        <f>_xlfn.CONCAT(Sailstats!$F$1,J125)</f>
        <v>https://www.gps-speedsurfing.com/mypage/sailstats?id=17874</v>
      </c>
      <c r="O125" s="1" t="str">
        <f>HYPERLINK(_xlfn.CONCAT(Sailstats!$F$1,J125),_xlfn.CONCAT(L125," ",TEXT(H125,"#0.0")))</f>
        <v>Race 5.5 Race 5.5</v>
      </c>
      <c r="P125" t="b">
        <f>IF(D125-E125&gt;=0,TRUE,FALSE)</f>
        <v>0</v>
      </c>
      <c r="Q125" t="b">
        <f>IF(B125&lt;&gt;"",TRUE,FALSE)</f>
        <v>0</v>
      </c>
      <c r="R125" t="b">
        <f>NOT(_xlfn.XOR(P125,Q125))</f>
        <v>1</v>
      </c>
    </row>
    <row r="126" spans="2:18" x14ac:dyDescent="0.25">
      <c r="B126" s="11">
        <v>19629</v>
      </c>
      <c r="C126" s="11"/>
      <c r="D126" s="11">
        <v>31</v>
      </c>
      <c r="E126" s="11">
        <v>1</v>
      </c>
      <c r="F126" s="11">
        <v>8</v>
      </c>
      <c r="G126" s="11">
        <v>8</v>
      </c>
      <c r="H126" s="13" t="s">
        <v>65</v>
      </c>
      <c r="I126" s="11">
        <v>1</v>
      </c>
      <c r="J126" s="11" t="str">
        <f>_xlfn.CONCAT(B126:C126)</f>
        <v>19629</v>
      </c>
      <c r="K126" s="11">
        <f>D126+E126</f>
        <v>32</v>
      </c>
      <c r="L126" s="13" t="s">
        <v>65</v>
      </c>
      <c r="M126" s="11">
        <v>2023</v>
      </c>
      <c r="N126" s="19" t="str">
        <f>_xlfn.CONCAT(Sailstats!$F$1,J126)</f>
        <v>https://www.gps-speedsurfing.com/mypage/sailstats?id=19629</v>
      </c>
      <c r="O126" s="1" t="str">
        <f>HYPERLINK(_xlfn.CONCAT(Sailstats!$F$1,J126),_xlfn.CONCAT(L126," ",TEXT(H126,"#0.0")))</f>
        <v>Aero 8.4 Aero 8.4</v>
      </c>
      <c r="P126" t="b">
        <f>IF(D126-E126&gt;=0,TRUE,FALSE)</f>
        <v>1</v>
      </c>
      <c r="Q126" t="b">
        <f>IF(B126&lt;&gt;"",TRUE,FALSE)</f>
        <v>1</v>
      </c>
      <c r="R126" t="b">
        <f>NOT(_xlfn.XOR(P126,Q126))</f>
        <v>1</v>
      </c>
    </row>
    <row r="127" spans="2:18" x14ac:dyDescent="0.25">
      <c r="B127" s="11">
        <v>13144</v>
      </c>
      <c r="C127" s="11"/>
      <c r="D127" s="11">
        <v>16</v>
      </c>
      <c r="E127" s="11">
        <v>16</v>
      </c>
      <c r="F127" s="11">
        <v>8</v>
      </c>
      <c r="G127" s="11">
        <v>8</v>
      </c>
      <c r="H127" s="13" t="s">
        <v>84</v>
      </c>
      <c r="I127" s="11">
        <v>1</v>
      </c>
      <c r="J127" s="11" t="str">
        <f>_xlfn.CONCAT(B127:C127)</f>
        <v>13144</v>
      </c>
      <c r="K127" s="11">
        <f>D127+E127</f>
        <v>32</v>
      </c>
      <c r="L127" s="13" t="s">
        <v>84</v>
      </c>
      <c r="M127" s="11">
        <v>2016</v>
      </c>
      <c r="N127" s="19" t="str">
        <f>_xlfn.CONCAT(Sailstats!$F$1,J127)</f>
        <v>https://www.gps-speedsurfing.com/mypage/sailstats?id=13144</v>
      </c>
      <c r="O127" s="1" t="str">
        <f>HYPERLINK(_xlfn.CONCAT(Sailstats!$F$1,J127),_xlfn.CONCAT(L127," ",TEXT(H127,"#0.0")))</f>
        <v>TR 8.4 TR 8.4</v>
      </c>
      <c r="P127" t="b">
        <f>IF(D127-E127&gt;=0,TRUE,FALSE)</f>
        <v>1</v>
      </c>
      <c r="Q127" t="b">
        <f>IF(B127&lt;&gt;"",TRUE,FALSE)</f>
        <v>1</v>
      </c>
      <c r="R127" t="b">
        <f>NOT(_xlfn.XOR(P127,Q127))</f>
        <v>1</v>
      </c>
    </row>
    <row r="128" spans="2:18" x14ac:dyDescent="0.25">
      <c r="B128" s="12"/>
      <c r="C128" s="12">
        <v>19907</v>
      </c>
      <c r="D128" s="12">
        <v>31</v>
      </c>
      <c r="E128" s="12">
        <v>1</v>
      </c>
      <c r="F128" s="12">
        <v>8</v>
      </c>
      <c r="G128" s="12">
        <v>8</v>
      </c>
      <c r="H128" s="14" t="s">
        <v>65</v>
      </c>
      <c r="I128" s="12">
        <v>2</v>
      </c>
      <c r="J128" s="12" t="str">
        <f>_xlfn.CONCAT(B128:C128)</f>
        <v>19907</v>
      </c>
      <c r="K128" s="12">
        <f>D128+E128</f>
        <v>32</v>
      </c>
      <c r="L128" s="14" t="s">
        <v>65</v>
      </c>
      <c r="M128" s="12">
        <v>2023</v>
      </c>
      <c r="N128" s="19" t="str">
        <f>_xlfn.CONCAT(Sailstats!$F$1,J128)</f>
        <v>https://www.gps-speedsurfing.com/mypage/sailstats?id=19907</v>
      </c>
      <c r="O128" s="1" t="str">
        <f>HYPERLINK(_xlfn.CONCAT(Sailstats!$F$1,J128),_xlfn.CONCAT(L128," ",TEXT(H128,"#0.0")))</f>
        <v>Aero 8.4 Aero 8.4</v>
      </c>
      <c r="P128" t="b">
        <f>IF(D128-E128&gt;=0,TRUE,FALSE)</f>
        <v>1</v>
      </c>
      <c r="Q128" t="b">
        <f>IF(B128&lt;&gt;"",TRUE,FALSE)</f>
        <v>0</v>
      </c>
      <c r="R128" t="b">
        <f>NOT(_xlfn.XOR(P128,Q128))</f>
        <v>0</v>
      </c>
    </row>
    <row r="129" spans="2:18" x14ac:dyDescent="0.25">
      <c r="B129" s="12"/>
      <c r="C129" s="12">
        <v>15430</v>
      </c>
      <c r="D129" s="12">
        <v>16</v>
      </c>
      <c r="E129" s="12">
        <v>16</v>
      </c>
      <c r="F129" s="12">
        <v>8</v>
      </c>
      <c r="G129" s="12">
        <v>8</v>
      </c>
      <c r="H129" s="14" t="s">
        <v>84</v>
      </c>
      <c r="I129" s="12">
        <v>2</v>
      </c>
      <c r="J129" s="12" t="str">
        <f>_xlfn.CONCAT(B129:C129)</f>
        <v>15430</v>
      </c>
      <c r="K129" s="12">
        <f>D129+E129</f>
        <v>32</v>
      </c>
      <c r="L129" s="14" t="s">
        <v>84</v>
      </c>
      <c r="M129" s="12">
        <v>2016</v>
      </c>
      <c r="N129" s="19" t="str">
        <f>_xlfn.CONCAT(Sailstats!$F$1,J129)</f>
        <v>https://www.gps-speedsurfing.com/mypage/sailstats?id=15430</v>
      </c>
      <c r="O129" s="1" t="str">
        <f>HYPERLINK(_xlfn.CONCAT(Sailstats!$F$1,J129),_xlfn.CONCAT(L129," ",TEXT(H129,"#0.0")))</f>
        <v>TR 8.4 TR 8.4</v>
      </c>
      <c r="P129" t="b">
        <f>IF(D129-E129&gt;=0,TRUE,FALSE)</f>
        <v>1</v>
      </c>
      <c r="Q129" t="b">
        <f>IF(B129&lt;&gt;"",TRUE,FALSE)</f>
        <v>0</v>
      </c>
      <c r="R129" t="b">
        <f>NOT(_xlfn.XOR(P129,Q129))</f>
        <v>0</v>
      </c>
    </row>
    <row r="130" spans="2:18" x14ac:dyDescent="0.25">
      <c r="B130" s="11">
        <v>14267</v>
      </c>
      <c r="C130" s="11"/>
      <c r="D130" s="11">
        <v>29</v>
      </c>
      <c r="E130" s="11">
        <v>0</v>
      </c>
      <c r="F130" s="11">
        <v>8</v>
      </c>
      <c r="G130" s="11">
        <v>8</v>
      </c>
      <c r="H130" s="13" t="s">
        <v>70</v>
      </c>
      <c r="I130" s="11">
        <v>1</v>
      </c>
      <c r="J130" s="11" t="str">
        <f>_xlfn.CONCAT(B130:C130)</f>
        <v>14267</v>
      </c>
      <c r="K130" s="11">
        <f>D130+E130</f>
        <v>29</v>
      </c>
      <c r="L130" s="13" t="s">
        <v>70</v>
      </c>
      <c r="M130" s="11">
        <v>2019</v>
      </c>
      <c r="N130" s="19" t="str">
        <f>_xlfn.CONCAT(Sailstats!$F$1,J130)</f>
        <v>https://www.gps-speedsurfing.com/mypage/sailstats?id=14267</v>
      </c>
      <c r="O130" s="1" t="str">
        <f>HYPERLINK(_xlfn.CONCAT(Sailstats!$F$1,J130),_xlfn.CONCAT(L130," ",TEXT(H130,"#0.0")))</f>
        <v>RS Racing EVO XI 5.4 RS Racing EVO XI 5.4</v>
      </c>
      <c r="P130" t="b">
        <f>IF(D130-E130&gt;=0,TRUE,FALSE)</f>
        <v>1</v>
      </c>
      <c r="Q130" t="b">
        <f>IF(B130&lt;&gt;"",TRUE,FALSE)</f>
        <v>1</v>
      </c>
      <c r="R130" t="b">
        <f>NOT(_xlfn.XOR(P130,Q130))</f>
        <v>1</v>
      </c>
    </row>
    <row r="131" spans="2:18" x14ac:dyDescent="0.25">
      <c r="B131" s="11">
        <v>9586</v>
      </c>
      <c r="C131" s="11"/>
      <c r="D131" s="11">
        <v>27</v>
      </c>
      <c r="E131" s="11">
        <v>2</v>
      </c>
      <c r="F131" s="11">
        <v>8</v>
      </c>
      <c r="G131" s="11">
        <v>8</v>
      </c>
      <c r="H131" s="13" t="s">
        <v>71</v>
      </c>
      <c r="I131" s="11">
        <v>1</v>
      </c>
      <c r="J131" s="11" t="str">
        <f>_xlfn.CONCAT(B131:C131)</f>
        <v>9586</v>
      </c>
      <c r="K131" s="11">
        <f>D131+E131</f>
        <v>29</v>
      </c>
      <c r="L131" s="13" t="s">
        <v>71</v>
      </c>
      <c r="M131" s="11">
        <v>2015</v>
      </c>
      <c r="N131" s="19" t="str">
        <f>_xlfn.CONCAT(Sailstats!$F$1,J131)</f>
        <v>https://www.gps-speedsurfing.com/mypage/sailstats?id=9586</v>
      </c>
      <c r="O131" s="1" t="str">
        <f>HYPERLINK(_xlfn.CONCAT(Sailstats!$F$1,J131),_xlfn.CONCAT(L131," ",TEXT(H131,"#0.0")))</f>
        <v>SC Speed 5.8 SC Speed 5.8</v>
      </c>
      <c r="P131" t="b">
        <f>IF(D131-E131&gt;=0,TRUE,FALSE)</f>
        <v>1</v>
      </c>
      <c r="Q131" t="b">
        <f>IF(B131&lt;&gt;"",TRUE,FALSE)</f>
        <v>1</v>
      </c>
      <c r="R131" t="b">
        <f>NOT(_xlfn.XOR(P131,Q131))</f>
        <v>1</v>
      </c>
    </row>
    <row r="132" spans="2:18" x14ac:dyDescent="0.25">
      <c r="B132" s="12"/>
      <c r="C132" s="12">
        <v>14377</v>
      </c>
      <c r="D132" s="12">
        <v>29</v>
      </c>
      <c r="E132" s="12">
        <v>0</v>
      </c>
      <c r="F132" s="12">
        <v>8</v>
      </c>
      <c r="G132" s="12">
        <v>8</v>
      </c>
      <c r="H132" s="14" t="s">
        <v>70</v>
      </c>
      <c r="I132" s="12">
        <v>2</v>
      </c>
      <c r="J132" s="12" t="str">
        <f>_xlfn.CONCAT(B132:C132)</f>
        <v>14377</v>
      </c>
      <c r="K132" s="12">
        <f>D132+E132</f>
        <v>29</v>
      </c>
      <c r="L132" s="14" t="s">
        <v>70</v>
      </c>
      <c r="M132" s="12">
        <v>2019</v>
      </c>
      <c r="N132" s="19" t="str">
        <f>_xlfn.CONCAT(Sailstats!$F$1,J132)</f>
        <v>https://www.gps-speedsurfing.com/mypage/sailstats?id=14377</v>
      </c>
      <c r="O132" s="1" t="str">
        <f>HYPERLINK(_xlfn.CONCAT(Sailstats!$F$1,J132),_xlfn.CONCAT(L132," ",TEXT(H132,"#0.0")))</f>
        <v>RS Racing EVO XI 5.4 RS Racing EVO XI 5.4</v>
      </c>
      <c r="P132" t="b">
        <f>IF(D132-E132&gt;=0,TRUE,FALSE)</f>
        <v>1</v>
      </c>
      <c r="Q132" t="b">
        <f>IF(B132&lt;&gt;"",TRUE,FALSE)</f>
        <v>0</v>
      </c>
      <c r="R132" t="b">
        <f>NOT(_xlfn.XOR(P132,Q132))</f>
        <v>0</v>
      </c>
    </row>
    <row r="133" spans="2:18" x14ac:dyDescent="0.25">
      <c r="B133" s="12"/>
      <c r="C133" s="12">
        <v>12229</v>
      </c>
      <c r="D133" s="12">
        <v>27</v>
      </c>
      <c r="E133" s="12">
        <v>2</v>
      </c>
      <c r="F133" s="12">
        <v>8</v>
      </c>
      <c r="G133" s="12">
        <v>8</v>
      </c>
      <c r="H133" s="14" t="s">
        <v>71</v>
      </c>
      <c r="I133" s="12">
        <v>2</v>
      </c>
      <c r="J133" s="12" t="str">
        <f>_xlfn.CONCAT(B133:C133)</f>
        <v>12229</v>
      </c>
      <c r="K133" s="12">
        <f>D133+E133</f>
        <v>29</v>
      </c>
      <c r="L133" s="14" t="s">
        <v>71</v>
      </c>
      <c r="M133" s="12">
        <v>2015</v>
      </c>
      <c r="N133" s="19" t="str">
        <f>_xlfn.CONCAT(Sailstats!$F$1,J133)</f>
        <v>https://www.gps-speedsurfing.com/mypage/sailstats?id=12229</v>
      </c>
      <c r="O133" s="1" t="str">
        <f>HYPERLINK(_xlfn.CONCAT(Sailstats!$F$1,J133),_xlfn.CONCAT(L133," ",TEXT(H133,"#0.0")))</f>
        <v>SC Speed 5.8 SC Speed 5.8</v>
      </c>
      <c r="P133" t="b">
        <f>IF(D133-E133&gt;=0,TRUE,FALSE)</f>
        <v>1</v>
      </c>
      <c r="Q133" t="b">
        <f>IF(B133&lt;&gt;"",TRUE,FALSE)</f>
        <v>0</v>
      </c>
      <c r="R133" t="b">
        <f>NOT(_xlfn.XOR(P133,Q133))</f>
        <v>0</v>
      </c>
    </row>
    <row r="134" spans="2:18" x14ac:dyDescent="0.25">
      <c r="B134" s="11">
        <v>17025</v>
      </c>
      <c r="C134" s="11"/>
      <c r="D134" s="11">
        <v>23</v>
      </c>
      <c r="E134" s="11">
        <v>1</v>
      </c>
      <c r="F134" s="11">
        <v>9</v>
      </c>
      <c r="G134" s="11">
        <v>9</v>
      </c>
      <c r="H134" s="13" t="s">
        <v>74</v>
      </c>
      <c r="I134" s="11">
        <v>1</v>
      </c>
      <c r="J134" s="11" t="str">
        <f>_xlfn.CONCAT(B134:C134)</f>
        <v>17025</v>
      </c>
      <c r="K134" s="11">
        <f>D134+E134</f>
        <v>24</v>
      </c>
      <c r="L134" s="13" t="s">
        <v>74</v>
      </c>
      <c r="M134" s="11">
        <v>2020</v>
      </c>
      <c r="N134" s="19" t="str">
        <f>_xlfn.CONCAT(Sailstats!$F$1,J134)</f>
        <v>https://www.gps-speedsurfing.com/mypage/sailstats?id=17025</v>
      </c>
      <c r="O134" s="1" t="str">
        <f>HYPERLINK(_xlfn.CONCAT(Sailstats!$F$1,J134),_xlfn.CONCAT(L134," ",TEXT(H134,"#0.0")))</f>
        <v>Vector 5.6 Vector 5.6</v>
      </c>
      <c r="P134" t="b">
        <f>IF(D134-E134&gt;=0,TRUE,FALSE)</f>
        <v>1</v>
      </c>
      <c r="Q134" t="b">
        <f>IF(B134&lt;&gt;"",TRUE,FALSE)</f>
        <v>1</v>
      </c>
      <c r="R134" t="b">
        <f>NOT(_xlfn.XOR(P134,Q134))</f>
        <v>1</v>
      </c>
    </row>
    <row r="135" spans="2:18" x14ac:dyDescent="0.25">
      <c r="B135" s="11">
        <v>20561</v>
      </c>
      <c r="C135" s="11"/>
      <c r="D135" s="11">
        <v>3</v>
      </c>
      <c r="E135" s="11">
        <v>21</v>
      </c>
      <c r="F135" s="11">
        <v>8</v>
      </c>
      <c r="G135" s="11">
        <v>8</v>
      </c>
      <c r="H135" s="13" t="s">
        <v>102</v>
      </c>
      <c r="I135" s="11">
        <v>1</v>
      </c>
      <c r="J135" s="11" t="str">
        <f>_xlfn.CONCAT(B135:C135)</f>
        <v>20561</v>
      </c>
      <c r="K135" s="11">
        <f>D135+E135</f>
        <v>24</v>
      </c>
      <c r="L135" s="13" t="s">
        <v>102</v>
      </c>
      <c r="M135" s="11">
        <v>2024</v>
      </c>
      <c r="N135" s="19" t="str">
        <f>_xlfn.CONCAT(Sailstats!$F$1,J135)</f>
        <v>https://www.gps-speedsurfing.com/mypage/sailstats?id=20561</v>
      </c>
      <c r="O135" s="1" t="str">
        <f>HYPERLINK(_xlfn.CONCAT(Sailstats!$F$1,J135),_xlfn.CONCAT(L135," ",TEXT(H135,"#0.0")))</f>
        <v>Racingblade 5.8 Racingblade 5.8</v>
      </c>
      <c r="P135" t="b">
        <f>IF(D135-E135&gt;=0,TRUE,FALSE)</f>
        <v>0</v>
      </c>
      <c r="Q135" t="b">
        <f>IF(B135&lt;&gt;"",TRUE,FALSE)</f>
        <v>1</v>
      </c>
      <c r="R135" t="b">
        <f>NOT(_xlfn.XOR(P135,Q135))</f>
        <v>0</v>
      </c>
    </row>
    <row r="136" spans="2:18" x14ac:dyDescent="0.25">
      <c r="B136" s="12"/>
      <c r="C136" s="12">
        <v>22408</v>
      </c>
      <c r="D136" s="12">
        <v>23</v>
      </c>
      <c r="E136" s="12">
        <v>1</v>
      </c>
      <c r="F136" s="12">
        <v>9</v>
      </c>
      <c r="G136" s="12">
        <v>9</v>
      </c>
      <c r="H136" s="14" t="s">
        <v>74</v>
      </c>
      <c r="I136" s="12">
        <v>2</v>
      </c>
      <c r="J136" s="12" t="str">
        <f>_xlfn.CONCAT(B136:C136)</f>
        <v>22408</v>
      </c>
      <c r="K136" s="12">
        <f>D136+E136</f>
        <v>24</v>
      </c>
      <c r="L136" s="14" t="s">
        <v>74</v>
      </c>
      <c r="M136" s="12">
        <v>2020</v>
      </c>
      <c r="N136" s="19" t="str">
        <f>_xlfn.CONCAT(Sailstats!$F$1,J136)</f>
        <v>https://www.gps-speedsurfing.com/mypage/sailstats?id=22408</v>
      </c>
      <c r="O136" s="1" t="str">
        <f>HYPERLINK(_xlfn.CONCAT(Sailstats!$F$1,J136),_xlfn.CONCAT(L136," ",TEXT(H136,"#0.0")))</f>
        <v>Vector 5.6 Vector 5.6</v>
      </c>
      <c r="P136" t="b">
        <f>IF(D136-E136&gt;=0,TRUE,FALSE)</f>
        <v>1</v>
      </c>
      <c r="Q136" t="b">
        <f>IF(B136&lt;&gt;"",TRUE,FALSE)</f>
        <v>0</v>
      </c>
      <c r="R136" t="b">
        <f>NOT(_xlfn.XOR(P136,Q136))</f>
        <v>0</v>
      </c>
    </row>
    <row r="137" spans="2:18" x14ac:dyDescent="0.25">
      <c r="B137" s="12"/>
      <c r="C137" s="12">
        <v>20642</v>
      </c>
      <c r="D137" s="12">
        <v>3</v>
      </c>
      <c r="E137" s="12">
        <v>21</v>
      </c>
      <c r="F137" s="12">
        <v>8</v>
      </c>
      <c r="G137" s="12">
        <v>8</v>
      </c>
      <c r="H137" s="14" t="s">
        <v>102</v>
      </c>
      <c r="I137" s="12">
        <v>2</v>
      </c>
      <c r="J137" s="12" t="str">
        <f>_xlfn.CONCAT(B137:C137)</f>
        <v>20642</v>
      </c>
      <c r="K137" s="12">
        <f>D137+E137</f>
        <v>24</v>
      </c>
      <c r="L137" s="14" t="s">
        <v>102</v>
      </c>
      <c r="M137" s="12">
        <v>2024</v>
      </c>
      <c r="N137" s="19" t="str">
        <f>_xlfn.CONCAT(Sailstats!$F$1,J137)</f>
        <v>https://www.gps-speedsurfing.com/mypage/sailstats?id=20642</v>
      </c>
      <c r="O137" s="1" t="str">
        <f>HYPERLINK(_xlfn.CONCAT(Sailstats!$F$1,J137),_xlfn.CONCAT(L137," ",TEXT(H137,"#0.0")))</f>
        <v>Racingblade 5.8 Racingblade 5.8</v>
      </c>
      <c r="P137" t="b">
        <f>IF(D137-E137&gt;=0,TRUE,FALSE)</f>
        <v>0</v>
      </c>
      <c r="Q137" t="b">
        <f>IF(B137&lt;&gt;"",TRUE,FALSE)</f>
        <v>0</v>
      </c>
      <c r="R137" t="b">
        <f>NOT(_xlfn.XOR(P137,Q137))</f>
        <v>1</v>
      </c>
    </row>
    <row r="138" spans="2:18" x14ac:dyDescent="0.25">
      <c r="B138" s="11">
        <v>13402</v>
      </c>
      <c r="C138" s="11"/>
      <c r="D138" s="11">
        <v>23</v>
      </c>
      <c r="E138" s="11">
        <v>0</v>
      </c>
      <c r="F138" s="11">
        <v>8</v>
      </c>
      <c r="G138" s="11">
        <v>8</v>
      </c>
      <c r="H138" s="13" t="s">
        <v>76</v>
      </c>
      <c r="I138" s="11">
        <v>1</v>
      </c>
      <c r="J138" s="11" t="str">
        <f>_xlfn.CONCAT(B138:C138)</f>
        <v>13402</v>
      </c>
      <c r="K138" s="11">
        <f>D138+E138</f>
        <v>23</v>
      </c>
      <c r="L138" s="13" t="s">
        <v>75</v>
      </c>
      <c r="M138" s="11">
        <v>2017</v>
      </c>
      <c r="N138" s="19" t="str">
        <f>_xlfn.CONCAT(Sailstats!$F$1,J138)</f>
        <v>https://www.gps-speedsurfing.com/mypage/sailstats?id=13402</v>
      </c>
      <c r="O138" s="1" t="str">
        <f>HYPERLINK(_xlfn.CONCAT(Sailstats!$F$1,J138),_xlfn.CONCAT(L138," ",TEXT(H138,"#0.0")))</f>
        <v>ultimate 6.3 Ultimate 6.3</v>
      </c>
      <c r="P138" t="b">
        <f>IF(D138-E138&gt;=0,TRUE,FALSE)</f>
        <v>1</v>
      </c>
      <c r="Q138" t="b">
        <f>IF(B138&lt;&gt;"",TRUE,FALSE)</f>
        <v>1</v>
      </c>
      <c r="R138" t="b">
        <f>NOT(_xlfn.XOR(P138,Q138))</f>
        <v>1</v>
      </c>
    </row>
    <row r="139" spans="2:18" x14ac:dyDescent="0.25">
      <c r="B139" s="11">
        <v>13145</v>
      </c>
      <c r="C139" s="11"/>
      <c r="D139" s="11">
        <v>21</v>
      </c>
      <c r="E139" s="11">
        <v>2</v>
      </c>
      <c r="F139" s="11">
        <v>9</v>
      </c>
      <c r="G139" s="11">
        <v>9</v>
      </c>
      <c r="H139" s="13" t="s">
        <v>80</v>
      </c>
      <c r="I139" s="11">
        <v>1</v>
      </c>
      <c r="J139" s="11" t="str">
        <f>_xlfn.CONCAT(B139:C139)</f>
        <v>13145</v>
      </c>
      <c r="K139" s="11">
        <f>D139+E139</f>
        <v>23</v>
      </c>
      <c r="L139" s="13" t="s">
        <v>80</v>
      </c>
      <c r="M139" s="11">
        <v>2017</v>
      </c>
      <c r="N139" s="19" t="str">
        <f>_xlfn.CONCAT(Sailstats!$F$1,J139)</f>
        <v>https://www.gps-speedsurfing.com/mypage/sailstats?id=13145</v>
      </c>
      <c r="O139" s="1" t="str">
        <f>HYPERLINK(_xlfn.CONCAT(Sailstats!$F$1,J139),_xlfn.CONCAT(L139," ",TEXT(H139,"#0.0")))</f>
        <v>NCX 9.0 NCX 9.0</v>
      </c>
      <c r="P139" t="b">
        <f>IF(D139-E139&gt;=0,TRUE,FALSE)</f>
        <v>1</v>
      </c>
      <c r="Q139" t="b">
        <f>IF(B139&lt;&gt;"",TRUE,FALSE)</f>
        <v>1</v>
      </c>
      <c r="R139" t="b">
        <f>NOT(_xlfn.XOR(P139,Q139))</f>
        <v>1</v>
      </c>
    </row>
    <row r="140" spans="2:18" x14ac:dyDescent="0.25">
      <c r="B140" s="12"/>
      <c r="C140" s="12">
        <v>22358</v>
      </c>
      <c r="D140" s="12">
        <v>23</v>
      </c>
      <c r="E140" s="12">
        <v>0</v>
      </c>
      <c r="F140" s="12">
        <v>8</v>
      </c>
      <c r="G140" s="12">
        <v>8</v>
      </c>
      <c r="H140" s="14" t="s">
        <v>76</v>
      </c>
      <c r="I140" s="12">
        <v>2</v>
      </c>
      <c r="J140" s="12" t="str">
        <f>_xlfn.CONCAT(B140:C140)</f>
        <v>22358</v>
      </c>
      <c r="K140" s="12">
        <f>D140+E140</f>
        <v>23</v>
      </c>
      <c r="L140" s="14" t="s">
        <v>75</v>
      </c>
      <c r="M140" s="12">
        <v>2017</v>
      </c>
      <c r="N140" s="19" t="str">
        <f>_xlfn.CONCAT(Sailstats!$F$1,J140)</f>
        <v>https://www.gps-speedsurfing.com/mypage/sailstats?id=22358</v>
      </c>
      <c r="O140" s="1" t="str">
        <f>HYPERLINK(_xlfn.CONCAT(Sailstats!$F$1,J140),_xlfn.CONCAT(L140," ",TEXT(H140,"#0.0")))</f>
        <v>ultimate 6.3 Ultimate 6.3</v>
      </c>
      <c r="P140" t="b">
        <f>IF(D140-E140&gt;=0,TRUE,FALSE)</f>
        <v>1</v>
      </c>
      <c r="Q140" t="b">
        <f>IF(B140&lt;&gt;"",TRUE,FALSE)</f>
        <v>0</v>
      </c>
      <c r="R140" t="b">
        <f>NOT(_xlfn.XOR(P140,Q140))</f>
        <v>0</v>
      </c>
    </row>
    <row r="141" spans="2:18" x14ac:dyDescent="0.25">
      <c r="B141" s="12"/>
      <c r="C141" s="12">
        <v>14358</v>
      </c>
      <c r="D141" s="12">
        <v>21</v>
      </c>
      <c r="E141" s="12">
        <v>2</v>
      </c>
      <c r="F141" s="12">
        <v>9</v>
      </c>
      <c r="G141" s="12">
        <v>9</v>
      </c>
      <c r="H141" s="14" t="s">
        <v>80</v>
      </c>
      <c r="I141" s="12">
        <v>2</v>
      </c>
      <c r="J141" s="12" t="str">
        <f>_xlfn.CONCAT(B141:C141)</f>
        <v>14358</v>
      </c>
      <c r="K141" s="12">
        <f>D141+E141</f>
        <v>23</v>
      </c>
      <c r="L141" s="14" t="s">
        <v>80</v>
      </c>
      <c r="M141" s="12">
        <v>2017</v>
      </c>
      <c r="N141" s="19" t="str">
        <f>_xlfn.CONCAT(Sailstats!$F$1,J141)</f>
        <v>https://www.gps-speedsurfing.com/mypage/sailstats?id=14358</v>
      </c>
      <c r="O141" s="1" t="str">
        <f>HYPERLINK(_xlfn.CONCAT(Sailstats!$F$1,J141),_xlfn.CONCAT(L141," ",TEXT(H141,"#0.0")))</f>
        <v>NCX 9.0 NCX 9.0</v>
      </c>
      <c r="P141" t="b">
        <f>IF(D141-E141&gt;=0,TRUE,FALSE)</f>
        <v>1</v>
      </c>
      <c r="Q141" t="b">
        <f>IF(B141&lt;&gt;"",TRUE,FALSE)</f>
        <v>0</v>
      </c>
      <c r="R141" t="b">
        <f>NOT(_xlfn.XOR(P141,Q141))</f>
        <v>0</v>
      </c>
    </row>
    <row r="142" spans="2:18" x14ac:dyDescent="0.25">
      <c r="B142" s="11">
        <v>14301</v>
      </c>
      <c r="C142" s="11"/>
      <c r="D142" s="11">
        <v>22</v>
      </c>
      <c r="E142" s="11">
        <v>0</v>
      </c>
      <c r="F142" s="11">
        <v>8</v>
      </c>
      <c r="G142" s="11">
        <v>8</v>
      </c>
      <c r="H142" s="13" t="s">
        <v>78</v>
      </c>
      <c r="I142" s="11">
        <v>1</v>
      </c>
      <c r="J142" s="11" t="str">
        <f>_xlfn.CONCAT(B142:C142)</f>
        <v>14301</v>
      </c>
      <c r="K142" s="11">
        <f>D142+E142</f>
        <v>22</v>
      </c>
      <c r="L142" s="13" t="s">
        <v>78</v>
      </c>
      <c r="M142" s="11">
        <v>2019</v>
      </c>
      <c r="N142" s="19" t="str">
        <f>_xlfn.CONCAT(Sailstats!$F$1,J142)</f>
        <v>https://www.gps-speedsurfing.com/mypage/sailstats?id=14301</v>
      </c>
      <c r="O142" s="1" t="str">
        <f>HYPERLINK(_xlfn.CONCAT(Sailstats!$F$1,J142),_xlfn.CONCAT(L142," ",TEXT(H142,"#0.0")))</f>
        <v>Koncept 7.0 Koncept 7.0</v>
      </c>
      <c r="P142" t="b">
        <f>IF(D142-E142&gt;=0,TRUE,FALSE)</f>
        <v>1</v>
      </c>
      <c r="Q142" t="b">
        <f>IF(B142&lt;&gt;"",TRUE,FALSE)</f>
        <v>1</v>
      </c>
      <c r="R142" t="b">
        <f>NOT(_xlfn.XOR(P142,Q142))</f>
        <v>1</v>
      </c>
    </row>
    <row r="143" spans="2:18" x14ac:dyDescent="0.25">
      <c r="B143" s="12"/>
      <c r="C143" s="12">
        <v>14936</v>
      </c>
      <c r="D143" s="12">
        <v>22</v>
      </c>
      <c r="E143" s="12">
        <v>0</v>
      </c>
      <c r="F143" s="12">
        <v>8</v>
      </c>
      <c r="G143" s="12">
        <v>8</v>
      </c>
      <c r="H143" s="14" t="s">
        <v>78</v>
      </c>
      <c r="I143" s="12">
        <v>2</v>
      </c>
      <c r="J143" s="12" t="str">
        <f>_xlfn.CONCAT(B143:C143)</f>
        <v>14936</v>
      </c>
      <c r="K143" s="12">
        <f>D143+E143</f>
        <v>22</v>
      </c>
      <c r="L143" s="14" t="s">
        <v>78</v>
      </c>
      <c r="M143" s="12">
        <v>2019</v>
      </c>
      <c r="N143" s="19" t="str">
        <f>_xlfn.CONCAT(Sailstats!$F$1,J143)</f>
        <v>https://www.gps-speedsurfing.com/mypage/sailstats?id=14936</v>
      </c>
      <c r="O143" s="1" t="str">
        <f>HYPERLINK(_xlfn.CONCAT(Sailstats!$F$1,J143),_xlfn.CONCAT(L143," ",TEXT(H143,"#0.0")))</f>
        <v>Koncept 7.0 Koncept 7.0</v>
      </c>
      <c r="P143" t="b">
        <f>IF(D143-E143&gt;=0,TRUE,FALSE)</f>
        <v>1</v>
      </c>
      <c r="Q143" t="b">
        <f>IF(B143&lt;&gt;"",TRUE,FALSE)</f>
        <v>0</v>
      </c>
      <c r="R143" t="b">
        <f>NOT(_xlfn.XOR(P143,Q143))</f>
        <v>0</v>
      </c>
    </row>
    <row r="144" spans="2:18" x14ac:dyDescent="0.25">
      <c r="B144" s="11">
        <v>16959</v>
      </c>
      <c r="C144" s="11"/>
      <c r="D144" s="11">
        <v>13</v>
      </c>
      <c r="E144" s="11">
        <v>7</v>
      </c>
      <c r="F144" s="11">
        <v>8</v>
      </c>
      <c r="G144" s="11">
        <v>8</v>
      </c>
      <c r="H144" s="13" t="s">
        <v>89</v>
      </c>
      <c r="I144" s="11">
        <v>1</v>
      </c>
      <c r="J144" s="11" t="str">
        <f>_xlfn.CONCAT(B144:C144)</f>
        <v>16959</v>
      </c>
      <c r="K144" s="11">
        <f>D144+E144</f>
        <v>20</v>
      </c>
      <c r="L144" s="13" t="s">
        <v>89</v>
      </c>
      <c r="M144" s="11">
        <v>2021</v>
      </c>
      <c r="N144" s="19" t="str">
        <f>_xlfn.CONCAT(Sailstats!$F$1,J144)</f>
        <v>https://www.gps-speedsurfing.com/mypage/sailstats?id=16959</v>
      </c>
      <c r="O144" s="1" t="str">
        <f>HYPERLINK(_xlfn.CONCAT(Sailstats!$F$1,J144),_xlfn.CONCAT(L144," ",TEXT(H144,"#0.0")))</f>
        <v>Warp Foil Slalom 6.8 Warp Foil Slalom 6.8</v>
      </c>
      <c r="P144" t="b">
        <f>IF(D144-E144&gt;=0,TRUE,FALSE)</f>
        <v>1</v>
      </c>
      <c r="Q144" t="b">
        <f>IF(B144&lt;&gt;"",TRUE,FALSE)</f>
        <v>1</v>
      </c>
      <c r="R144" t="b">
        <f>NOT(_xlfn.XOR(P144,Q144))</f>
        <v>1</v>
      </c>
    </row>
    <row r="145" spans="2:18" x14ac:dyDescent="0.25">
      <c r="B145" s="12"/>
      <c r="C145" s="12">
        <v>17342</v>
      </c>
      <c r="D145" s="12">
        <v>13</v>
      </c>
      <c r="E145" s="12">
        <v>7</v>
      </c>
      <c r="F145" s="12">
        <v>8</v>
      </c>
      <c r="G145" s="12">
        <v>8</v>
      </c>
      <c r="H145" s="14" t="s">
        <v>89</v>
      </c>
      <c r="I145" s="12">
        <v>2</v>
      </c>
      <c r="J145" s="12" t="str">
        <f>_xlfn.CONCAT(B145:C145)</f>
        <v>17342</v>
      </c>
      <c r="K145" s="12">
        <f>D145+E145</f>
        <v>20</v>
      </c>
      <c r="L145" s="14" t="s">
        <v>89</v>
      </c>
      <c r="M145" s="12">
        <v>2021</v>
      </c>
      <c r="N145" s="19" t="str">
        <f>_xlfn.CONCAT(Sailstats!$F$1,J145)</f>
        <v>https://www.gps-speedsurfing.com/mypage/sailstats?id=17342</v>
      </c>
      <c r="O145" s="1" t="str">
        <f>HYPERLINK(_xlfn.CONCAT(Sailstats!$F$1,J145),_xlfn.CONCAT(L145," ",TEXT(H145,"#0.0")))</f>
        <v>Warp Foil Slalom 6.8 Warp Foil Slalom 6.8</v>
      </c>
      <c r="P145" t="b">
        <f>IF(D145-E145&gt;=0,TRUE,FALSE)</f>
        <v>1</v>
      </c>
      <c r="Q145" t="b">
        <f>IF(B145&lt;&gt;"",TRUE,FALSE)</f>
        <v>0</v>
      </c>
      <c r="R145" t="b">
        <f>NOT(_xlfn.XOR(P145,Q145))</f>
        <v>0</v>
      </c>
    </row>
    <row r="146" spans="2:18" x14ac:dyDescent="0.25">
      <c r="B146" s="11">
        <v>16946</v>
      </c>
      <c r="C146" s="11"/>
      <c r="D146" s="11">
        <v>10</v>
      </c>
      <c r="E146" s="11">
        <v>9</v>
      </c>
      <c r="F146" s="11">
        <v>8</v>
      </c>
      <c r="G146" s="11">
        <v>8</v>
      </c>
      <c r="H146" s="13" t="s">
        <v>92</v>
      </c>
      <c r="I146" s="11">
        <v>1</v>
      </c>
      <c r="J146" s="11" t="str">
        <f>_xlfn.CONCAT(B146:C146)</f>
        <v>16946</v>
      </c>
      <c r="K146" s="11">
        <f>D146+E146</f>
        <v>19</v>
      </c>
      <c r="L146" s="13" t="s">
        <v>92</v>
      </c>
      <c r="M146" s="11">
        <v>2021</v>
      </c>
      <c r="N146" s="19" t="str">
        <f>_xlfn.CONCAT(Sailstats!$F$1,J146)</f>
        <v>https://www.gps-speedsurfing.com/mypage/sailstats?id=16946</v>
      </c>
      <c r="O146" s="1" t="str">
        <f>HYPERLINK(_xlfn.CONCAT(Sailstats!$F$1,J146),_xlfn.CONCAT(L146," ",TEXT(H146,"#0.0")))</f>
        <v>Racingblade 5.0 Racingblade 5.0</v>
      </c>
      <c r="P146" t="b">
        <f>IF(D146-E146&gt;=0,TRUE,FALSE)</f>
        <v>1</v>
      </c>
      <c r="Q146" t="b">
        <f>IF(B146&lt;&gt;"",TRUE,FALSE)</f>
        <v>1</v>
      </c>
      <c r="R146" t="b">
        <f>NOT(_xlfn.XOR(P146,Q146))</f>
        <v>1</v>
      </c>
    </row>
    <row r="147" spans="2:18" x14ac:dyDescent="0.25">
      <c r="B147" s="11">
        <v>4319</v>
      </c>
      <c r="C147" s="11"/>
      <c r="D147" s="11">
        <v>6</v>
      </c>
      <c r="E147" s="11">
        <v>13</v>
      </c>
      <c r="F147" s="11">
        <v>8</v>
      </c>
      <c r="G147" s="11">
        <v>8</v>
      </c>
      <c r="H147" s="13" t="s">
        <v>96</v>
      </c>
      <c r="I147" s="11">
        <v>1</v>
      </c>
      <c r="J147" s="11" t="str">
        <f>_xlfn.CONCAT(B147:C147)</f>
        <v>4319</v>
      </c>
      <c r="K147" s="11">
        <f>D147+E147</f>
        <v>19</v>
      </c>
      <c r="L147" s="13" t="s">
        <v>96</v>
      </c>
      <c r="M147" s="11">
        <v>2009</v>
      </c>
      <c r="N147" s="19" t="str">
        <f>_xlfn.CONCAT(Sailstats!$F$1,J147)</f>
        <v>https://www.gps-speedsurfing.com/mypage/sailstats?id=4319</v>
      </c>
      <c r="O147" s="1" t="str">
        <f>HYPERLINK(_xlfn.CONCAT(Sailstats!$F$1,J147),_xlfn.CONCAT(L147," ",TEXT(H147,"#0.0")))</f>
        <v>Blade 9.0 Blade 9.0</v>
      </c>
      <c r="P147" t="b">
        <f>IF(D147-E147&gt;=0,TRUE,FALSE)</f>
        <v>0</v>
      </c>
      <c r="Q147" t="b">
        <f>IF(B147&lt;&gt;"",TRUE,FALSE)</f>
        <v>1</v>
      </c>
      <c r="R147" t="b">
        <f>NOT(_xlfn.XOR(P147,Q147))</f>
        <v>0</v>
      </c>
    </row>
    <row r="148" spans="2:18" x14ac:dyDescent="0.25">
      <c r="B148" s="12"/>
      <c r="C148" s="12">
        <v>17054</v>
      </c>
      <c r="D148" s="12">
        <v>10</v>
      </c>
      <c r="E148" s="12">
        <v>9</v>
      </c>
      <c r="F148" s="12">
        <v>8</v>
      </c>
      <c r="G148" s="12">
        <v>8</v>
      </c>
      <c r="H148" s="14" t="s">
        <v>92</v>
      </c>
      <c r="I148" s="12">
        <v>2</v>
      </c>
      <c r="J148" s="12" t="str">
        <f>_xlfn.CONCAT(B148:C148)</f>
        <v>17054</v>
      </c>
      <c r="K148" s="12">
        <f>D148+E148</f>
        <v>19</v>
      </c>
      <c r="L148" s="14" t="s">
        <v>92</v>
      </c>
      <c r="M148" s="12">
        <v>2021</v>
      </c>
      <c r="N148" s="19" t="str">
        <f>_xlfn.CONCAT(Sailstats!$F$1,J148)</f>
        <v>https://www.gps-speedsurfing.com/mypage/sailstats?id=17054</v>
      </c>
      <c r="O148" s="1" t="str">
        <f>HYPERLINK(_xlfn.CONCAT(Sailstats!$F$1,J148),_xlfn.CONCAT(L148," ",TEXT(H148,"#0.0")))</f>
        <v>Racingblade 5.0 Racingblade 5.0</v>
      </c>
      <c r="P148" t="b">
        <f>IF(D148-E148&gt;=0,TRUE,FALSE)</f>
        <v>1</v>
      </c>
      <c r="Q148" t="b">
        <f>IF(B148&lt;&gt;"",TRUE,FALSE)</f>
        <v>0</v>
      </c>
      <c r="R148" t="b">
        <f>NOT(_xlfn.XOR(P148,Q148))</f>
        <v>0</v>
      </c>
    </row>
    <row r="149" spans="2:18" x14ac:dyDescent="0.25">
      <c r="B149" s="12"/>
      <c r="C149" s="12">
        <v>4633</v>
      </c>
      <c r="D149" s="12">
        <v>6</v>
      </c>
      <c r="E149" s="12">
        <v>13</v>
      </c>
      <c r="F149" s="12">
        <v>8</v>
      </c>
      <c r="G149" s="12">
        <v>8</v>
      </c>
      <c r="H149" s="14" t="s">
        <v>96</v>
      </c>
      <c r="I149" s="12">
        <v>2</v>
      </c>
      <c r="J149" s="12" t="str">
        <f>_xlfn.CONCAT(B149:C149)</f>
        <v>4633</v>
      </c>
      <c r="K149" s="12">
        <f>D149+E149</f>
        <v>19</v>
      </c>
      <c r="L149" s="14" t="s">
        <v>96</v>
      </c>
      <c r="M149" s="12">
        <v>2009</v>
      </c>
      <c r="N149" s="19" t="str">
        <f>_xlfn.CONCAT(Sailstats!$F$1,J149)</f>
        <v>https://www.gps-speedsurfing.com/mypage/sailstats?id=4633</v>
      </c>
      <c r="O149" s="1" t="str">
        <f>HYPERLINK(_xlfn.CONCAT(Sailstats!$F$1,J149),_xlfn.CONCAT(L149," ",TEXT(H149,"#0.0")))</f>
        <v>Blade 9.0 Blade 9.0</v>
      </c>
      <c r="P149" t="b">
        <f>IF(D149-E149&gt;=0,TRUE,FALSE)</f>
        <v>0</v>
      </c>
      <c r="Q149" t="b">
        <f>IF(B149&lt;&gt;"",TRUE,FALSE)</f>
        <v>0</v>
      </c>
      <c r="R149" t="b">
        <f>NOT(_xlfn.XOR(P149,Q149))</f>
        <v>1</v>
      </c>
    </row>
    <row r="150" spans="2:18" x14ac:dyDescent="0.25">
      <c r="B150" s="11">
        <v>17521</v>
      </c>
      <c r="C150" s="11"/>
      <c r="D150" s="11">
        <v>0</v>
      </c>
      <c r="E150" s="11">
        <v>18</v>
      </c>
      <c r="F150" s="11">
        <v>8</v>
      </c>
      <c r="G150" s="11">
        <v>8</v>
      </c>
      <c r="H150" s="13" t="s">
        <v>111</v>
      </c>
      <c r="I150" s="11">
        <v>1</v>
      </c>
      <c r="J150" s="11" t="str">
        <f>_xlfn.CONCAT(B150:C150)</f>
        <v>17521</v>
      </c>
      <c r="K150" s="11">
        <f>D150+E150</f>
        <v>18</v>
      </c>
      <c r="L150" s="13" t="s">
        <v>111</v>
      </c>
      <c r="M150" s="11">
        <v>2021</v>
      </c>
      <c r="N150" s="19" t="str">
        <f>_xlfn.CONCAT(Sailstats!$F$1,J150)</f>
        <v>https://www.gps-speedsurfing.com/mypage/sailstats?id=17521</v>
      </c>
      <c r="O150" s="1" t="str">
        <f>HYPERLINK(_xlfn.CONCAT(Sailstats!$F$1,J150),_xlfn.CONCAT(L150," ",TEXT(H150,"#0.0")))</f>
        <v>Principe Speed Line 6.4 Principe Speed Line 6.4</v>
      </c>
      <c r="P150" t="b">
        <f>IF(D150-E150&gt;=0,TRUE,FALSE)</f>
        <v>0</v>
      </c>
      <c r="Q150" t="b">
        <f>IF(B150&lt;&gt;"",TRUE,FALSE)</f>
        <v>1</v>
      </c>
      <c r="R150" t="b">
        <f>NOT(_xlfn.XOR(P150,Q150))</f>
        <v>0</v>
      </c>
    </row>
    <row r="151" spans="2:18" x14ac:dyDescent="0.25">
      <c r="B151" s="12"/>
      <c r="C151" s="12">
        <v>17861</v>
      </c>
      <c r="D151" s="12">
        <v>0</v>
      </c>
      <c r="E151" s="12">
        <v>18</v>
      </c>
      <c r="F151" s="12">
        <v>8</v>
      </c>
      <c r="G151" s="12">
        <v>8</v>
      </c>
      <c r="H151" s="14" t="s">
        <v>111</v>
      </c>
      <c r="I151" s="12">
        <v>2</v>
      </c>
      <c r="J151" s="12" t="str">
        <f>_xlfn.CONCAT(B151:C151)</f>
        <v>17861</v>
      </c>
      <c r="K151" s="12">
        <f>D151+E151</f>
        <v>18</v>
      </c>
      <c r="L151" s="14" t="s">
        <v>111</v>
      </c>
      <c r="M151" s="12">
        <v>2021</v>
      </c>
      <c r="N151" s="19" t="str">
        <f>_xlfn.CONCAT(Sailstats!$F$1,J151)</f>
        <v>https://www.gps-speedsurfing.com/mypage/sailstats?id=17861</v>
      </c>
      <c r="O151" s="1" t="str">
        <f>HYPERLINK(_xlfn.CONCAT(Sailstats!$F$1,J151),_xlfn.CONCAT(L151," ",TEXT(H151,"#0.0")))</f>
        <v>Principe Speed Line 6.4 Principe Speed Line 6.4</v>
      </c>
      <c r="P151" t="b">
        <f>IF(D151-E151&gt;=0,TRUE,FALSE)</f>
        <v>0</v>
      </c>
      <c r="Q151" t="b">
        <f>IF(B151&lt;&gt;"",TRUE,FALSE)</f>
        <v>0</v>
      </c>
      <c r="R151" t="b">
        <f>NOT(_xlfn.XOR(P151,Q151))</f>
        <v>1</v>
      </c>
    </row>
    <row r="152" spans="2:18" x14ac:dyDescent="0.25">
      <c r="B152" s="11">
        <v>14662</v>
      </c>
      <c r="C152" s="11"/>
      <c r="D152" s="11">
        <v>15</v>
      </c>
      <c r="E152" s="11">
        <v>2</v>
      </c>
      <c r="F152" s="11">
        <v>11</v>
      </c>
      <c r="G152" s="11">
        <v>11</v>
      </c>
      <c r="H152" s="13" t="s">
        <v>87</v>
      </c>
      <c r="I152" s="11">
        <v>1</v>
      </c>
      <c r="J152" s="11" t="str">
        <f>_xlfn.CONCAT(B152:C152)</f>
        <v>14662</v>
      </c>
      <c r="K152" s="11">
        <f>D152+E152</f>
        <v>17</v>
      </c>
      <c r="L152" s="13" t="s">
        <v>87</v>
      </c>
      <c r="M152" s="11">
        <v>2019</v>
      </c>
      <c r="N152" s="19" t="str">
        <f>_xlfn.CONCAT(Sailstats!$F$1,J152)</f>
        <v>https://www.gps-speedsurfing.com/mypage/sailstats?id=14662</v>
      </c>
      <c r="O152" s="1" t="str">
        <f>HYPERLINK(_xlfn.CONCAT(Sailstats!$F$1,J152),_xlfn.CONCAT(L152," ",TEXT(H152,"#0.0")))</f>
        <v>Super Hero 5.3 Super Hero 5.3</v>
      </c>
      <c r="P152" t="b">
        <f>IF(D152-E152&gt;=0,TRUE,FALSE)</f>
        <v>1</v>
      </c>
      <c r="Q152" t="b">
        <f>IF(B152&lt;&gt;"",TRUE,FALSE)</f>
        <v>1</v>
      </c>
      <c r="R152" t="b">
        <f>NOT(_xlfn.XOR(P152,Q152))</f>
        <v>1</v>
      </c>
    </row>
    <row r="153" spans="2:18" x14ac:dyDescent="0.25">
      <c r="B153" s="12"/>
      <c r="C153" s="12">
        <v>18214</v>
      </c>
      <c r="D153" s="12">
        <v>15</v>
      </c>
      <c r="E153" s="12">
        <v>2</v>
      </c>
      <c r="F153" s="12">
        <v>11</v>
      </c>
      <c r="G153" s="12">
        <v>11</v>
      </c>
      <c r="H153" s="14" t="s">
        <v>87</v>
      </c>
      <c r="I153" s="12">
        <v>2</v>
      </c>
      <c r="J153" s="12" t="str">
        <f>_xlfn.CONCAT(B153:C153)</f>
        <v>18214</v>
      </c>
      <c r="K153" s="12">
        <f>D153+E153</f>
        <v>17</v>
      </c>
      <c r="L153" s="14" t="s">
        <v>87</v>
      </c>
      <c r="M153" s="12">
        <v>2019</v>
      </c>
      <c r="N153" s="19" t="str">
        <f>_xlfn.CONCAT(Sailstats!$F$1,J153)</f>
        <v>https://www.gps-speedsurfing.com/mypage/sailstats?id=18214</v>
      </c>
      <c r="O153" s="1" t="str">
        <f>HYPERLINK(_xlfn.CONCAT(Sailstats!$F$1,J153),_xlfn.CONCAT(L153," ",TEXT(H153,"#0.0")))</f>
        <v>Super Hero 5.3 Super Hero 5.3</v>
      </c>
      <c r="P153" t="b">
        <f>IF(D153-E153&gt;=0,TRUE,FALSE)</f>
        <v>1</v>
      </c>
      <c r="Q153" t="b">
        <f>IF(B153&lt;&gt;"",TRUE,FALSE)</f>
        <v>0</v>
      </c>
      <c r="R153" t="b">
        <f>NOT(_xlfn.XOR(P153,Q153))</f>
        <v>0</v>
      </c>
    </row>
    <row r="154" spans="2:18" x14ac:dyDescent="0.25">
      <c r="B154" s="11">
        <v>17739</v>
      </c>
      <c r="C154" s="11"/>
      <c r="D154" s="11">
        <v>14</v>
      </c>
      <c r="E154" s="11">
        <v>2</v>
      </c>
      <c r="F154" s="11">
        <v>8</v>
      </c>
      <c r="G154" s="11">
        <v>8</v>
      </c>
      <c r="H154" s="13" t="s">
        <v>52</v>
      </c>
      <c r="I154" s="11">
        <v>1</v>
      </c>
      <c r="J154" s="11" t="str">
        <f>_xlfn.CONCAT(B154:C154)</f>
        <v>17739</v>
      </c>
      <c r="K154" s="11">
        <f>D154+E154</f>
        <v>16</v>
      </c>
      <c r="L154" s="13" t="s">
        <v>52</v>
      </c>
      <c r="M154" s="11">
        <v>2021</v>
      </c>
      <c r="N154" s="19" t="str">
        <f>_xlfn.CONCAT(Sailstats!$F$1,J154)</f>
        <v>https://www.gps-speedsurfing.com/mypage/sailstats?id=17739</v>
      </c>
      <c r="O154" s="1" t="str">
        <f>HYPERLINK(_xlfn.CONCAT(Sailstats!$F$1,J154),_xlfn.CONCAT(L154," ",TEXT(H154,"#0.0")))</f>
        <v>Venom 5.0 Venom 5.0</v>
      </c>
      <c r="P154" t="b">
        <f>IF(D154-E154&gt;=0,TRUE,FALSE)</f>
        <v>1</v>
      </c>
      <c r="Q154" t="b">
        <f>IF(B154&lt;&gt;"",TRUE,FALSE)</f>
        <v>1</v>
      </c>
      <c r="R154" t="b">
        <f>NOT(_xlfn.XOR(P154,Q154))</f>
        <v>1</v>
      </c>
    </row>
    <row r="155" spans="2:18" x14ac:dyDescent="0.25">
      <c r="B155" s="12"/>
      <c r="C155" s="12">
        <v>17898</v>
      </c>
      <c r="D155" s="12">
        <v>14</v>
      </c>
      <c r="E155" s="12">
        <v>2</v>
      </c>
      <c r="F155" s="12">
        <v>8</v>
      </c>
      <c r="G155" s="12">
        <v>8</v>
      </c>
      <c r="H155" s="14" t="s">
        <v>52</v>
      </c>
      <c r="I155" s="12">
        <v>2</v>
      </c>
      <c r="J155" s="12" t="str">
        <f>_xlfn.CONCAT(B155:C155)</f>
        <v>17898</v>
      </c>
      <c r="K155" s="12">
        <f>D155+E155</f>
        <v>16</v>
      </c>
      <c r="L155" s="14" t="s">
        <v>52</v>
      </c>
      <c r="M155" s="12">
        <v>2021</v>
      </c>
      <c r="N155" s="19" t="str">
        <f>_xlfn.CONCAT(Sailstats!$F$1,J155)</f>
        <v>https://www.gps-speedsurfing.com/mypage/sailstats?id=17898</v>
      </c>
      <c r="O155" s="1" t="str">
        <f>HYPERLINK(_xlfn.CONCAT(Sailstats!$F$1,J155),_xlfn.CONCAT(L155," ",TEXT(H155,"#0.0")))</f>
        <v>Venom 5.0 Venom 5.0</v>
      </c>
      <c r="P155" t="b">
        <f>IF(D155-E155&gt;=0,TRUE,FALSE)</f>
        <v>1</v>
      </c>
      <c r="Q155" t="b">
        <f>IF(B155&lt;&gt;"",TRUE,FALSE)</f>
        <v>0</v>
      </c>
      <c r="R155" t="b">
        <f>NOT(_xlfn.XOR(P155,Q155))</f>
        <v>0</v>
      </c>
    </row>
    <row r="156" spans="2:18" x14ac:dyDescent="0.25">
      <c r="B156" s="11">
        <v>16974</v>
      </c>
      <c r="C156" s="11"/>
      <c r="D156" s="11">
        <v>13</v>
      </c>
      <c r="E156" s="11">
        <v>0</v>
      </c>
      <c r="F156" s="11">
        <v>-2</v>
      </c>
      <c r="G156" s="11">
        <v>12</v>
      </c>
      <c r="H156" s="13" t="s">
        <v>90</v>
      </c>
      <c r="I156" s="11">
        <v>1</v>
      </c>
      <c r="J156" s="11" t="str">
        <f>_xlfn.CONCAT(B156:C156)</f>
        <v>16974</v>
      </c>
      <c r="K156" s="11">
        <f>D156+E156</f>
        <v>13</v>
      </c>
      <c r="L156" s="13" t="s">
        <v>90</v>
      </c>
      <c r="M156" s="11">
        <v>2021</v>
      </c>
      <c r="N156" s="19" t="str">
        <f>_xlfn.CONCAT(Sailstats!$F$1,J156)</f>
        <v>https://www.gps-speedsurfing.com/mypage/sailstats?id=16974</v>
      </c>
      <c r="O156" s="1" t="str">
        <f>HYPERLINK(_xlfn.CONCAT(Sailstats!$F$1,J156),_xlfn.CONCAT(L156," ",TEXT(H156,"#0.0")))</f>
        <v>Warp Foil Course 9.9 Warp Foil Course 9.9</v>
      </c>
      <c r="P156" t="b">
        <f>IF(D156-E156&gt;=0,TRUE,FALSE)</f>
        <v>1</v>
      </c>
      <c r="Q156" t="b">
        <f>IF(B156&lt;&gt;"",TRUE,FALSE)</f>
        <v>1</v>
      </c>
      <c r="R156" t="b">
        <f>NOT(_xlfn.XOR(P156,Q156))</f>
        <v>1</v>
      </c>
    </row>
    <row r="157" spans="2:18" x14ac:dyDescent="0.25">
      <c r="B157" s="11">
        <v>20272</v>
      </c>
      <c r="C157" s="11"/>
      <c r="D157" s="11">
        <v>8</v>
      </c>
      <c r="E157" s="11">
        <v>5</v>
      </c>
      <c r="F157" s="11">
        <v>8</v>
      </c>
      <c r="G157" s="11">
        <v>8</v>
      </c>
      <c r="H157" s="13" t="s">
        <v>94</v>
      </c>
      <c r="I157" s="11">
        <v>1</v>
      </c>
      <c r="J157" s="11" t="str">
        <f>_xlfn.CONCAT(B157:C157)</f>
        <v>20272</v>
      </c>
      <c r="K157" s="11">
        <f>D157+E157</f>
        <v>13</v>
      </c>
      <c r="L157" s="13" t="s">
        <v>94</v>
      </c>
      <c r="M157" s="11">
        <v>2023</v>
      </c>
      <c r="N157" s="19" t="str">
        <f>_xlfn.CONCAT(Sailstats!$F$1,J157)</f>
        <v>https://www.gps-speedsurfing.com/mypage/sailstats?id=20272</v>
      </c>
      <c r="O157" s="1" t="str">
        <f>HYPERLINK(_xlfn.CONCAT(Sailstats!$F$1,J157),_xlfn.CONCAT(L157," ",TEXT(H157,"#0.0")))</f>
        <v>Vapor 6.7 Vapor 6.7</v>
      </c>
      <c r="P157" t="b">
        <f>IF(D157-E157&gt;=0,TRUE,FALSE)</f>
        <v>1</v>
      </c>
      <c r="Q157" t="b">
        <f>IF(B157&lt;&gt;"",TRUE,FALSE)</f>
        <v>1</v>
      </c>
      <c r="R157" t="b">
        <f>NOT(_xlfn.XOR(P157,Q157))</f>
        <v>1</v>
      </c>
    </row>
    <row r="158" spans="2:18" x14ac:dyDescent="0.25">
      <c r="B158" s="12"/>
      <c r="C158" s="12">
        <v>20990</v>
      </c>
      <c r="D158" s="12">
        <v>13</v>
      </c>
      <c r="E158" s="12">
        <v>0</v>
      </c>
      <c r="F158" s="12">
        <v>-2</v>
      </c>
      <c r="G158" s="12">
        <v>12</v>
      </c>
      <c r="H158" s="14" t="s">
        <v>90</v>
      </c>
      <c r="I158" s="12">
        <v>2</v>
      </c>
      <c r="J158" s="12" t="str">
        <f>_xlfn.CONCAT(B158:C158)</f>
        <v>20990</v>
      </c>
      <c r="K158" s="12">
        <f>D158+E158</f>
        <v>13</v>
      </c>
      <c r="L158" s="14" t="s">
        <v>90</v>
      </c>
      <c r="M158" s="12">
        <v>2021</v>
      </c>
      <c r="N158" s="19" t="str">
        <f>_xlfn.CONCAT(Sailstats!$F$1,J158)</f>
        <v>https://www.gps-speedsurfing.com/mypage/sailstats?id=20990</v>
      </c>
      <c r="O158" s="1" t="str">
        <f>HYPERLINK(_xlfn.CONCAT(Sailstats!$F$1,J158),_xlfn.CONCAT(L158," ",TEXT(H158,"#0.0")))</f>
        <v>Warp Foil Course 9.9 Warp Foil Course 9.9</v>
      </c>
      <c r="P158" t="b">
        <f>IF(D158-E158&gt;=0,TRUE,FALSE)</f>
        <v>1</v>
      </c>
      <c r="Q158" t="b">
        <f>IF(B158&lt;&gt;"",TRUE,FALSE)</f>
        <v>0</v>
      </c>
      <c r="R158" t="b">
        <f>NOT(_xlfn.XOR(P158,Q158))</f>
        <v>0</v>
      </c>
    </row>
    <row r="159" spans="2:18" x14ac:dyDescent="0.25">
      <c r="B159" s="12"/>
      <c r="C159" s="12">
        <v>20718</v>
      </c>
      <c r="D159" s="12">
        <v>8</v>
      </c>
      <c r="E159" s="12">
        <v>5</v>
      </c>
      <c r="F159" s="12">
        <v>8</v>
      </c>
      <c r="G159" s="12">
        <v>8</v>
      </c>
      <c r="H159" s="14" t="s">
        <v>94</v>
      </c>
      <c r="I159" s="12">
        <v>2</v>
      </c>
      <c r="J159" s="12" t="str">
        <f>_xlfn.CONCAT(B159:C159)</f>
        <v>20718</v>
      </c>
      <c r="K159" s="12">
        <f>D159+E159</f>
        <v>13</v>
      </c>
      <c r="L159" s="14" t="s">
        <v>94</v>
      </c>
      <c r="M159" s="12">
        <v>2023</v>
      </c>
      <c r="N159" s="19" t="str">
        <f>_xlfn.CONCAT(Sailstats!$F$1,J159)</f>
        <v>https://www.gps-speedsurfing.com/mypage/sailstats?id=20718</v>
      </c>
      <c r="O159" s="1" t="str">
        <f>HYPERLINK(_xlfn.CONCAT(Sailstats!$F$1,J159),_xlfn.CONCAT(L159," ",TEXT(H159,"#0.0")))</f>
        <v>Vapor 6.7 Vapor 6.7</v>
      </c>
      <c r="P159" t="b">
        <f>IF(D159-E159&gt;=0,TRUE,FALSE)</f>
        <v>1</v>
      </c>
      <c r="Q159" t="b">
        <f>IF(B159&lt;&gt;"",TRUE,FALSE)</f>
        <v>0</v>
      </c>
      <c r="R159" t="b">
        <f>NOT(_xlfn.XOR(P159,Q159))</f>
        <v>0</v>
      </c>
    </row>
    <row r="160" spans="2:18" x14ac:dyDescent="0.25">
      <c r="B160" s="11">
        <v>2806</v>
      </c>
      <c r="C160" s="11"/>
      <c r="D160" s="11">
        <v>6</v>
      </c>
      <c r="E160" s="11">
        <v>3</v>
      </c>
      <c r="F160" s="11">
        <v>8</v>
      </c>
      <c r="G160" s="11">
        <v>8</v>
      </c>
      <c r="H160" s="13" t="s">
        <v>97</v>
      </c>
      <c r="I160" s="11">
        <v>1</v>
      </c>
      <c r="J160" s="11" t="str">
        <f>_xlfn.CONCAT(B160:C160)</f>
        <v>2806</v>
      </c>
      <c r="K160" s="11">
        <f>D160+E160</f>
        <v>9</v>
      </c>
      <c r="L160" s="13" t="s">
        <v>97</v>
      </c>
      <c r="M160" s="11">
        <v>2006</v>
      </c>
      <c r="N160" s="19" t="str">
        <f>_xlfn.CONCAT(Sailstats!$F$1,J160)</f>
        <v>https://www.gps-speedsurfing.com/mypage/sailstats?id=2806</v>
      </c>
      <c r="O160" s="1" t="str">
        <f>HYPERLINK(_xlfn.CONCAT(Sailstats!$F$1,J160),_xlfn.CONCAT(L160," ",TEXT(H160,"#0.0")))</f>
        <v>TR-2 8.0 TR-2 8.0</v>
      </c>
      <c r="P160" t="b">
        <f>IF(D160-E160&gt;=0,TRUE,FALSE)</f>
        <v>1</v>
      </c>
      <c r="Q160" t="b">
        <f>IF(B160&lt;&gt;"",TRUE,FALSE)</f>
        <v>1</v>
      </c>
      <c r="R160" t="b">
        <f>NOT(_xlfn.XOR(P160,Q160))</f>
        <v>1</v>
      </c>
    </row>
    <row r="161" spans="2:18" x14ac:dyDescent="0.25">
      <c r="B161" s="11">
        <v>7441</v>
      </c>
      <c r="C161" s="11"/>
      <c r="D161" s="11">
        <v>0</v>
      </c>
      <c r="E161" s="11">
        <v>9</v>
      </c>
      <c r="F161" s="11">
        <v>8</v>
      </c>
      <c r="G161" s="11">
        <v>8</v>
      </c>
      <c r="H161" s="13" t="s">
        <v>112</v>
      </c>
      <c r="I161" s="11">
        <v>1</v>
      </c>
      <c r="J161" s="11" t="str">
        <f>_xlfn.CONCAT(B161:C161)</f>
        <v>7441</v>
      </c>
      <c r="K161" s="11">
        <f>D161+E161</f>
        <v>9</v>
      </c>
      <c r="L161" s="13" t="s">
        <v>112</v>
      </c>
      <c r="M161" s="11">
        <v>2013</v>
      </c>
      <c r="N161" s="19" t="str">
        <f>_xlfn.CONCAT(Sailstats!$F$1,J161)</f>
        <v>https://www.gps-speedsurfing.com/mypage/sailstats?id=7441</v>
      </c>
      <c r="O161" s="1" t="str">
        <f>HYPERLINK(_xlfn.CONCAT(Sailstats!$F$1,J161),_xlfn.CONCAT(L161," ",TEXT(H161,"#0.0")))</f>
        <v>Koncept 4.2 Koncept 4.2</v>
      </c>
      <c r="P161" t="b">
        <f>IF(D161-E161&gt;=0,TRUE,FALSE)</f>
        <v>0</v>
      </c>
      <c r="Q161" t="b">
        <f>IF(B161&lt;&gt;"",TRUE,FALSE)</f>
        <v>1</v>
      </c>
      <c r="R161" t="b">
        <f>NOT(_xlfn.XOR(P161,Q161))</f>
        <v>0</v>
      </c>
    </row>
    <row r="162" spans="2:18" x14ac:dyDescent="0.25">
      <c r="B162" s="12"/>
      <c r="C162" s="12">
        <v>21158</v>
      </c>
      <c r="D162" s="12">
        <v>6</v>
      </c>
      <c r="E162" s="12">
        <v>3</v>
      </c>
      <c r="F162" s="12">
        <v>8</v>
      </c>
      <c r="G162" s="12">
        <v>8</v>
      </c>
      <c r="H162" s="14" t="s">
        <v>97</v>
      </c>
      <c r="I162" s="12">
        <v>2</v>
      </c>
      <c r="J162" s="12" t="str">
        <f>_xlfn.CONCAT(B162:C162)</f>
        <v>21158</v>
      </c>
      <c r="K162" s="12">
        <f>D162+E162</f>
        <v>9</v>
      </c>
      <c r="L162" s="14" t="s">
        <v>97</v>
      </c>
      <c r="M162" s="12">
        <v>2006</v>
      </c>
      <c r="N162" s="19" t="str">
        <f>_xlfn.CONCAT(Sailstats!$F$1,J162)</f>
        <v>https://www.gps-speedsurfing.com/mypage/sailstats?id=21158</v>
      </c>
      <c r="O162" s="1" t="str">
        <f>HYPERLINK(_xlfn.CONCAT(Sailstats!$F$1,J162),_xlfn.CONCAT(L162," ",TEXT(H162,"#0.0")))</f>
        <v>TR-2 8.0 TR-2 8.0</v>
      </c>
      <c r="P162" t="b">
        <f>IF(D162-E162&gt;=0,TRUE,FALSE)</f>
        <v>1</v>
      </c>
      <c r="Q162" t="b">
        <f>IF(B162&lt;&gt;"",TRUE,FALSE)</f>
        <v>0</v>
      </c>
      <c r="R162" t="b">
        <f>NOT(_xlfn.XOR(P162,Q162))</f>
        <v>0</v>
      </c>
    </row>
    <row r="163" spans="2:18" x14ac:dyDescent="0.25">
      <c r="B163" s="12"/>
      <c r="C163" s="12">
        <v>15322</v>
      </c>
      <c r="D163" s="12">
        <v>0</v>
      </c>
      <c r="E163" s="12">
        <v>9</v>
      </c>
      <c r="F163" s="12">
        <v>8</v>
      </c>
      <c r="G163" s="12">
        <v>8</v>
      </c>
      <c r="H163" s="14" t="s">
        <v>112</v>
      </c>
      <c r="I163" s="12">
        <v>2</v>
      </c>
      <c r="J163" s="12" t="str">
        <f>_xlfn.CONCAT(B163:C163)</f>
        <v>15322</v>
      </c>
      <c r="K163" s="12">
        <f>D163+E163</f>
        <v>9</v>
      </c>
      <c r="L163" s="14" t="s">
        <v>112</v>
      </c>
      <c r="M163" s="12">
        <v>2013</v>
      </c>
      <c r="N163" s="19" t="str">
        <f>_xlfn.CONCAT(Sailstats!$F$1,J163)</f>
        <v>https://www.gps-speedsurfing.com/mypage/sailstats?id=15322</v>
      </c>
      <c r="O163" s="1" t="str">
        <f>HYPERLINK(_xlfn.CONCAT(Sailstats!$F$1,J163),_xlfn.CONCAT(L163," ",TEXT(H163,"#0.0")))</f>
        <v>Koncept 4.2 Koncept 4.2</v>
      </c>
      <c r="P163" t="b">
        <f>IF(D163-E163&gt;=0,TRUE,FALSE)</f>
        <v>0</v>
      </c>
      <c r="Q163" t="b">
        <f>IF(B163&lt;&gt;"",TRUE,FALSE)</f>
        <v>0</v>
      </c>
      <c r="R163" t="b">
        <f>NOT(_xlfn.XOR(P163,Q163))</f>
        <v>1</v>
      </c>
    </row>
    <row r="164" spans="2:18" x14ac:dyDescent="0.25">
      <c r="B164" s="11">
        <v>20781</v>
      </c>
      <c r="C164" s="11"/>
      <c r="D164" s="11">
        <v>7</v>
      </c>
      <c r="E164" s="11">
        <v>1</v>
      </c>
      <c r="F164" s="11">
        <v>53</v>
      </c>
      <c r="G164" s="11">
        <v>10</v>
      </c>
      <c r="H164" s="13" t="s">
        <v>95</v>
      </c>
      <c r="I164" s="11">
        <v>1</v>
      </c>
      <c r="J164" s="11" t="str">
        <f>_xlfn.CONCAT(B164:C164)</f>
        <v>20781</v>
      </c>
      <c r="K164" s="11">
        <f>D164+E164</f>
        <v>8</v>
      </c>
      <c r="L164" s="13" t="s">
        <v>95</v>
      </c>
      <c r="M164" s="11">
        <v>2024</v>
      </c>
      <c r="N164" s="19" t="str">
        <f>_xlfn.CONCAT(Sailstats!$F$1,J164)</f>
        <v>https://www.gps-speedsurfing.com/mypage/sailstats?id=20781</v>
      </c>
      <c r="O164" s="1" t="str">
        <f>HYPERLINK(_xlfn.CONCAT(Sailstats!$F$1,J164),_xlfn.CONCAT(L164," ",TEXT(H164,"#0.0")))</f>
        <v>Flux 3.6 Flux 3.6</v>
      </c>
      <c r="P164" t="b">
        <f>IF(D164-E164&gt;=0,TRUE,FALSE)</f>
        <v>1</v>
      </c>
      <c r="Q164" t="b">
        <f>IF(B164&lt;&gt;"",TRUE,FALSE)</f>
        <v>1</v>
      </c>
      <c r="R164" t="b">
        <f>NOT(_xlfn.XOR(P164,Q164))</f>
        <v>1</v>
      </c>
    </row>
    <row r="165" spans="2:18" x14ac:dyDescent="0.25">
      <c r="B165" s="11">
        <v>36</v>
      </c>
      <c r="C165" s="11"/>
      <c r="D165" s="11">
        <v>6</v>
      </c>
      <c r="E165" s="11">
        <v>2</v>
      </c>
      <c r="F165" s="11">
        <v>12</v>
      </c>
      <c r="G165" s="11">
        <v>12</v>
      </c>
      <c r="H165" s="13" t="s">
        <v>98</v>
      </c>
      <c r="I165" s="11">
        <v>1</v>
      </c>
      <c r="J165" s="11" t="str">
        <f>_xlfn.CONCAT(B165:C165)</f>
        <v>36</v>
      </c>
      <c r="K165" s="11">
        <f>D165+E165</f>
        <v>8</v>
      </c>
      <c r="L165" s="13" t="s">
        <v>98</v>
      </c>
      <c r="M165" s="11">
        <v>1997</v>
      </c>
      <c r="N165" s="19" t="str">
        <f>_xlfn.CONCAT(Sailstats!$F$1,J165)</f>
        <v>https://www.gps-speedsurfing.com/mypage/sailstats?id=36</v>
      </c>
      <c r="O165" s="1" t="str">
        <f>HYPERLINK(_xlfn.CONCAT(Sailstats!$F$1,J165),_xlfn.CONCAT(L165," ",TEXT(H165,"#0.0")))</f>
        <v>IQ 6.2 IQ 6.2</v>
      </c>
      <c r="P165" t="b">
        <f>IF(D165-E165&gt;=0,TRUE,FALSE)</f>
        <v>1</v>
      </c>
      <c r="Q165" t="b">
        <f>IF(B165&lt;&gt;"",TRUE,FALSE)</f>
        <v>1</v>
      </c>
      <c r="R165" t="b">
        <f>NOT(_xlfn.XOR(P165,Q165))</f>
        <v>1</v>
      </c>
    </row>
    <row r="166" spans="2:18" x14ac:dyDescent="0.25">
      <c r="B166" s="12"/>
      <c r="C166" s="12">
        <v>22663</v>
      </c>
      <c r="D166" s="12">
        <v>7</v>
      </c>
      <c r="E166" s="12">
        <v>1</v>
      </c>
      <c r="F166" s="12">
        <v>53</v>
      </c>
      <c r="G166" s="12">
        <v>10</v>
      </c>
      <c r="H166" s="14" t="s">
        <v>95</v>
      </c>
      <c r="I166" s="12">
        <v>2</v>
      </c>
      <c r="J166" s="12" t="str">
        <f>_xlfn.CONCAT(B166:C166)</f>
        <v>22663</v>
      </c>
      <c r="K166" s="12">
        <f>D166+E166</f>
        <v>8</v>
      </c>
      <c r="L166" s="14" t="s">
        <v>95</v>
      </c>
      <c r="M166" s="12">
        <v>2024</v>
      </c>
      <c r="N166" s="19" t="str">
        <f>_xlfn.CONCAT(Sailstats!$F$1,J166)</f>
        <v>https://www.gps-speedsurfing.com/mypage/sailstats?id=22663</v>
      </c>
      <c r="O166" s="1" t="str">
        <f>HYPERLINK(_xlfn.CONCAT(Sailstats!$F$1,J166),_xlfn.CONCAT(L166," ",TEXT(H166,"#0.0")))</f>
        <v>Flux 3.6 Flux 3.6</v>
      </c>
      <c r="P166" t="b">
        <f>IF(D166-E166&gt;=0,TRUE,FALSE)</f>
        <v>1</v>
      </c>
      <c r="Q166" t="b">
        <f>IF(B166&lt;&gt;"",TRUE,FALSE)</f>
        <v>0</v>
      </c>
      <c r="R166" t="b">
        <f>NOT(_xlfn.XOR(P166,Q166))</f>
        <v>0</v>
      </c>
    </row>
    <row r="167" spans="2:18" x14ac:dyDescent="0.25">
      <c r="B167" s="12"/>
      <c r="C167" s="12">
        <v>191</v>
      </c>
      <c r="D167" s="12">
        <v>6</v>
      </c>
      <c r="E167" s="12">
        <v>2</v>
      </c>
      <c r="F167" s="12">
        <v>12</v>
      </c>
      <c r="G167" s="12">
        <v>12</v>
      </c>
      <c r="H167" s="14" t="s">
        <v>98</v>
      </c>
      <c r="I167" s="12">
        <v>2</v>
      </c>
      <c r="J167" s="12" t="str">
        <f>_xlfn.CONCAT(B167:C167)</f>
        <v>191</v>
      </c>
      <c r="K167" s="12">
        <f>D167+E167</f>
        <v>8</v>
      </c>
      <c r="L167" s="14" t="s">
        <v>98</v>
      </c>
      <c r="M167" s="12">
        <v>1997</v>
      </c>
      <c r="N167" s="19" t="str">
        <f>_xlfn.CONCAT(Sailstats!$F$1,J167)</f>
        <v>https://www.gps-speedsurfing.com/mypage/sailstats?id=191</v>
      </c>
      <c r="O167" s="1" t="str">
        <f>HYPERLINK(_xlfn.CONCAT(Sailstats!$F$1,J167),_xlfn.CONCAT(L167," ",TEXT(H167,"#0.0")))</f>
        <v>IQ 6.2 IQ 6.2</v>
      </c>
      <c r="P167" t="b">
        <f>IF(D167-E167&gt;=0,TRUE,FALSE)</f>
        <v>1</v>
      </c>
      <c r="Q167" t="b">
        <f>IF(B167&lt;&gt;"",TRUE,FALSE)</f>
        <v>0</v>
      </c>
      <c r="R167" t="b">
        <f>NOT(_xlfn.XOR(P167,Q167))</f>
        <v>0</v>
      </c>
    </row>
    <row r="168" spans="2:18" x14ac:dyDescent="0.25">
      <c r="B168" s="11">
        <v>15187</v>
      </c>
      <c r="C168" s="11"/>
      <c r="D168" s="11">
        <v>3</v>
      </c>
      <c r="E168" s="11">
        <v>3</v>
      </c>
      <c r="F168" s="11">
        <v>9</v>
      </c>
      <c r="G168" s="11">
        <v>9</v>
      </c>
      <c r="H168" s="13" t="s">
        <v>103</v>
      </c>
      <c r="I168" s="11">
        <v>1</v>
      </c>
      <c r="J168" s="11" t="str">
        <f>_xlfn.CONCAT(B168:C168)</f>
        <v>15187</v>
      </c>
      <c r="K168" s="11">
        <f>D168+E168</f>
        <v>6</v>
      </c>
      <c r="L168" s="13" t="s">
        <v>103</v>
      </c>
      <c r="M168" s="11">
        <v>2020</v>
      </c>
      <c r="N168" s="19" t="str">
        <f>_xlfn.CONCAT(Sailstats!$F$1,J168)</f>
        <v>https://www.gps-speedsurfing.com/mypage/sailstats?id=15187</v>
      </c>
      <c r="O168" s="1" t="str">
        <f>HYPERLINK(_xlfn.CONCAT(Sailstats!$F$1,J168),_xlfn.CONCAT(L168," ",TEXT(H168,"#0.0")))</f>
        <v>AC-X 7.0 AC-X 7.0</v>
      </c>
      <c r="P168" t="b">
        <f>IF(D168-E168&gt;=0,TRUE,FALSE)</f>
        <v>1</v>
      </c>
      <c r="Q168" t="b">
        <f>IF(B168&lt;&gt;"",TRUE,FALSE)</f>
        <v>1</v>
      </c>
      <c r="R168" t="b">
        <f>NOT(_xlfn.XOR(P168,Q168))</f>
        <v>1</v>
      </c>
    </row>
    <row r="169" spans="2:18" x14ac:dyDescent="0.25">
      <c r="B169" s="12"/>
      <c r="C169" s="12">
        <v>16418</v>
      </c>
      <c r="D169" s="12">
        <v>3</v>
      </c>
      <c r="E169" s="12">
        <v>3</v>
      </c>
      <c r="F169" s="12">
        <v>9</v>
      </c>
      <c r="G169" s="12">
        <v>9</v>
      </c>
      <c r="H169" s="14" t="s">
        <v>103</v>
      </c>
      <c r="I169" s="12">
        <v>2</v>
      </c>
      <c r="J169" s="12" t="str">
        <f>_xlfn.CONCAT(B169:C169)</f>
        <v>16418</v>
      </c>
      <c r="K169" s="12">
        <f>D169+E169</f>
        <v>6</v>
      </c>
      <c r="L169" s="14" t="s">
        <v>103</v>
      </c>
      <c r="M169" s="12">
        <v>2020</v>
      </c>
      <c r="N169" s="19" t="str">
        <f>_xlfn.CONCAT(Sailstats!$F$1,J169)</f>
        <v>https://www.gps-speedsurfing.com/mypage/sailstats?id=16418</v>
      </c>
      <c r="O169" s="1" t="str">
        <f>HYPERLINK(_xlfn.CONCAT(Sailstats!$F$1,J169),_xlfn.CONCAT(L169," ",TEXT(H169,"#0.0")))</f>
        <v>AC-X 7.0 AC-X 7.0</v>
      </c>
      <c r="P169" t="b">
        <f>IF(D169-E169&gt;=0,TRUE,FALSE)</f>
        <v>1</v>
      </c>
      <c r="Q169" t="b">
        <f>IF(B169&lt;&gt;"",TRUE,FALSE)</f>
        <v>0</v>
      </c>
      <c r="R169" t="b">
        <f>NOT(_xlfn.XOR(P169,Q169))</f>
        <v>0</v>
      </c>
    </row>
    <row r="170" spans="2:18" x14ac:dyDescent="0.25">
      <c r="B170" s="11">
        <v>16237</v>
      </c>
      <c r="C170" s="11"/>
      <c r="D170" s="11">
        <v>4</v>
      </c>
      <c r="E170" s="11">
        <v>0</v>
      </c>
      <c r="F170" s="11">
        <v>11</v>
      </c>
      <c r="G170" s="11">
        <v>11</v>
      </c>
      <c r="H170" s="13" t="s">
        <v>100</v>
      </c>
      <c r="I170" s="11">
        <v>1</v>
      </c>
      <c r="J170" s="11" t="str">
        <f>_xlfn.CONCAT(B170:C170)</f>
        <v>16237</v>
      </c>
      <c r="K170" s="11">
        <f>D170+E170</f>
        <v>4</v>
      </c>
      <c r="L170" s="13" t="s">
        <v>100</v>
      </c>
      <c r="M170" s="11">
        <v>2020</v>
      </c>
      <c r="N170" s="19" t="str">
        <f>_xlfn.CONCAT(Sailstats!$F$1,J170)</f>
        <v>https://www.gps-speedsurfing.com/mypage/sailstats?id=16237</v>
      </c>
      <c r="O170" s="1" t="str">
        <f>HYPERLINK(_xlfn.CONCAT(Sailstats!$F$1,J170),_xlfn.CONCAT(L170," ",TEXT(H170,"#0.0")))</f>
        <v>Spy 6.4 Spy 6.4</v>
      </c>
      <c r="P170" t="b">
        <f>IF(D170-E170&gt;=0,TRUE,FALSE)</f>
        <v>1</v>
      </c>
      <c r="Q170" t="b">
        <f>IF(B170&lt;&gt;"",TRUE,FALSE)</f>
        <v>1</v>
      </c>
      <c r="R170" t="b">
        <f>NOT(_xlfn.XOR(P170,Q170))</f>
        <v>1</v>
      </c>
    </row>
    <row r="171" spans="2:18" x14ac:dyDescent="0.25">
      <c r="B171" s="11">
        <v>10850</v>
      </c>
      <c r="C171" s="11"/>
      <c r="D171" s="11">
        <v>4</v>
      </c>
      <c r="E171" s="11">
        <v>0</v>
      </c>
      <c r="F171" s="11">
        <v>-2</v>
      </c>
      <c r="G171" s="11">
        <v>12</v>
      </c>
      <c r="H171" s="13" t="s">
        <v>101</v>
      </c>
      <c r="I171" s="11">
        <v>1</v>
      </c>
      <c r="J171" s="11" t="str">
        <f>_xlfn.CONCAT(B171:C171)</f>
        <v>10850</v>
      </c>
      <c r="K171" s="11">
        <f>D171+E171</f>
        <v>4</v>
      </c>
      <c r="L171" s="13" t="s">
        <v>101</v>
      </c>
      <c r="M171" s="11">
        <v>2014</v>
      </c>
      <c r="N171" s="19" t="str">
        <f>_xlfn.CONCAT(Sailstats!$F$1,J171)</f>
        <v>https://www.gps-speedsurfing.com/mypage/sailstats?id=10850</v>
      </c>
      <c r="O171" s="1" t="str">
        <f>HYPERLINK(_xlfn.CONCAT(Sailstats!$F$1,J171),_xlfn.CONCAT(L171," ",TEXT(H171,"#0.0")))</f>
        <v>Raceboard 9.5 Raceboard 9.5</v>
      </c>
      <c r="P171" t="b">
        <f>IF(D171-E171&gt;=0,TRUE,FALSE)</f>
        <v>1</v>
      </c>
      <c r="Q171" t="b">
        <f>IF(B171&lt;&gt;"",TRUE,FALSE)</f>
        <v>1</v>
      </c>
      <c r="R171" t="b">
        <f>NOT(_xlfn.XOR(P171,Q171))</f>
        <v>1</v>
      </c>
    </row>
    <row r="172" spans="2:18" x14ac:dyDescent="0.25">
      <c r="B172" s="11">
        <v>14805</v>
      </c>
      <c r="C172" s="11"/>
      <c r="D172" s="11">
        <v>3</v>
      </c>
      <c r="E172" s="11">
        <v>1</v>
      </c>
      <c r="F172" s="11">
        <v>8</v>
      </c>
      <c r="G172" s="11">
        <v>8</v>
      </c>
      <c r="H172" s="13" t="s">
        <v>27</v>
      </c>
      <c r="I172" s="11">
        <v>1</v>
      </c>
      <c r="J172" s="11" t="str">
        <f>_xlfn.CONCAT(B172:C172)</f>
        <v>14805</v>
      </c>
      <c r="K172" s="11">
        <f>D172+E172</f>
        <v>4</v>
      </c>
      <c r="L172" s="13" t="s">
        <v>27</v>
      </c>
      <c r="M172" s="11">
        <v>2019</v>
      </c>
      <c r="N172" s="19" t="str">
        <f>_xlfn.CONCAT(Sailstats!$F$1,J172)</f>
        <v>https://www.gps-speedsurfing.com/mypage/sailstats?id=14805</v>
      </c>
      <c r="O172" s="1" t="str">
        <f>HYPERLINK(_xlfn.CONCAT(Sailstats!$F$1,J172),_xlfn.CONCAT(L172," ",TEXT(H172,"#0.0")))</f>
        <v>Koncept 6.6 Koncept 6.6</v>
      </c>
      <c r="P172" t="b">
        <f>IF(D172-E172&gt;=0,TRUE,FALSE)</f>
        <v>1</v>
      </c>
      <c r="Q172" t="b">
        <f>IF(B172&lt;&gt;"",TRUE,FALSE)</f>
        <v>1</v>
      </c>
      <c r="R172" t="b">
        <f>NOT(_xlfn.XOR(P172,Q172))</f>
        <v>1</v>
      </c>
    </row>
    <row r="173" spans="2:18" x14ac:dyDescent="0.25">
      <c r="B173" s="11">
        <v>18337</v>
      </c>
      <c r="C173" s="11"/>
      <c r="D173" s="11">
        <v>2</v>
      </c>
      <c r="E173" s="11">
        <v>2</v>
      </c>
      <c r="F173" s="11">
        <v>12</v>
      </c>
      <c r="G173" s="11">
        <v>11</v>
      </c>
      <c r="H173" s="13" t="s">
        <v>105</v>
      </c>
      <c r="I173" s="11">
        <v>1</v>
      </c>
      <c r="J173" s="11" t="str">
        <f>_xlfn.CONCAT(B173:C173)</f>
        <v>18337</v>
      </c>
      <c r="K173" s="11">
        <f>D173+E173</f>
        <v>4</v>
      </c>
      <c r="L173" s="13" t="s">
        <v>104</v>
      </c>
      <c r="M173" s="11">
        <v>2022</v>
      </c>
      <c r="N173" s="19" t="str">
        <f>_xlfn.CONCAT(Sailstats!$F$1,J173)</f>
        <v>https://www.gps-speedsurfing.com/mypage/sailstats?id=18337</v>
      </c>
      <c r="O173" s="1" t="str">
        <f>HYPERLINK(_xlfn.CONCAT(Sailstats!$F$1,J173),_xlfn.CONCAT(L173," ",TEXT(H173,"#0.0")))</f>
        <v>Spy 5.0 spy 5.0</v>
      </c>
      <c r="P173" t="b">
        <f>IF(D173-E173&gt;=0,TRUE,FALSE)</f>
        <v>1</v>
      </c>
      <c r="Q173" t="b">
        <f>IF(B173&lt;&gt;"",TRUE,FALSE)</f>
        <v>1</v>
      </c>
      <c r="R173" t="b">
        <f>NOT(_xlfn.XOR(P173,Q173))</f>
        <v>1</v>
      </c>
    </row>
    <row r="174" spans="2:18" x14ac:dyDescent="0.25">
      <c r="B174" s="11">
        <v>20533</v>
      </c>
      <c r="C174" s="11"/>
      <c r="D174" s="11">
        <v>0</v>
      </c>
      <c r="E174" s="11">
        <v>4</v>
      </c>
      <c r="F174" s="11">
        <v>9</v>
      </c>
      <c r="G174" s="11">
        <v>9</v>
      </c>
      <c r="H174" s="13" t="s">
        <v>113</v>
      </c>
      <c r="I174" s="11">
        <v>1</v>
      </c>
      <c r="J174" s="11" t="str">
        <f>_xlfn.CONCAT(B174:C174)</f>
        <v>20533</v>
      </c>
      <c r="K174" s="11">
        <f>D174+E174</f>
        <v>4</v>
      </c>
      <c r="L174" s="13" t="s">
        <v>113</v>
      </c>
      <c r="M174" s="11">
        <v>2024</v>
      </c>
      <c r="N174" s="19" t="str">
        <f>_xlfn.CONCAT(Sailstats!$F$1,J174)</f>
        <v>https://www.gps-speedsurfing.com/mypage/sailstats?id=20533</v>
      </c>
      <c r="O174" s="1" t="str">
        <f>HYPERLINK(_xlfn.CONCAT(Sailstats!$F$1,J174),_xlfn.CONCAT(L174," ",TEXT(H174,"#0.0")))</f>
        <v>GT-3 FRC 7.4 GT-3 FRC 7.4</v>
      </c>
      <c r="P174" t="b">
        <f>IF(D174-E174&gt;=0,TRUE,FALSE)</f>
        <v>0</v>
      </c>
      <c r="Q174" t="b">
        <f>IF(B174&lt;&gt;"",TRUE,FALSE)</f>
        <v>1</v>
      </c>
      <c r="R174" t="b">
        <f>NOT(_xlfn.XOR(P174,Q174))</f>
        <v>0</v>
      </c>
    </row>
    <row r="175" spans="2:18" x14ac:dyDescent="0.25">
      <c r="B175" s="12"/>
      <c r="C175" s="12">
        <v>16383</v>
      </c>
      <c r="D175" s="12">
        <v>4</v>
      </c>
      <c r="E175" s="12">
        <v>0</v>
      </c>
      <c r="F175" s="12">
        <v>11</v>
      </c>
      <c r="G175" s="12">
        <v>11</v>
      </c>
      <c r="H175" s="14" t="s">
        <v>100</v>
      </c>
      <c r="I175" s="12">
        <v>2</v>
      </c>
      <c r="J175" s="12" t="str">
        <f>_xlfn.CONCAT(B175:C175)</f>
        <v>16383</v>
      </c>
      <c r="K175" s="12">
        <f>D175+E175</f>
        <v>4</v>
      </c>
      <c r="L175" s="14" t="s">
        <v>100</v>
      </c>
      <c r="M175" s="12">
        <v>2020</v>
      </c>
      <c r="N175" s="19" t="str">
        <f>_xlfn.CONCAT(Sailstats!$F$1,J175)</f>
        <v>https://www.gps-speedsurfing.com/mypage/sailstats?id=16383</v>
      </c>
      <c r="O175" s="1" t="str">
        <f>HYPERLINK(_xlfn.CONCAT(Sailstats!$F$1,J175),_xlfn.CONCAT(L175," ",TEXT(H175,"#0.0")))</f>
        <v>Spy 6.4 Spy 6.4</v>
      </c>
      <c r="P175" t="b">
        <f>IF(D175-E175&gt;=0,TRUE,FALSE)</f>
        <v>1</v>
      </c>
      <c r="Q175" t="b">
        <f>IF(B175&lt;&gt;"",TRUE,FALSE)</f>
        <v>0</v>
      </c>
      <c r="R175" t="b">
        <f>NOT(_xlfn.XOR(P175,Q175))</f>
        <v>0</v>
      </c>
    </row>
    <row r="176" spans="2:18" x14ac:dyDescent="0.25">
      <c r="B176" s="12"/>
      <c r="C176" s="12">
        <v>18670</v>
      </c>
      <c r="D176" s="12">
        <v>4</v>
      </c>
      <c r="E176" s="12">
        <v>0</v>
      </c>
      <c r="F176" s="12">
        <v>-2</v>
      </c>
      <c r="G176" s="12">
        <v>12</v>
      </c>
      <c r="H176" s="14" t="s">
        <v>101</v>
      </c>
      <c r="I176" s="12">
        <v>2</v>
      </c>
      <c r="J176" s="12" t="str">
        <f>_xlfn.CONCAT(B176:C176)</f>
        <v>18670</v>
      </c>
      <c r="K176" s="12">
        <f>D176+E176</f>
        <v>4</v>
      </c>
      <c r="L176" s="14" t="s">
        <v>101</v>
      </c>
      <c r="M176" s="12">
        <v>2014</v>
      </c>
      <c r="N176" s="19" t="str">
        <f>_xlfn.CONCAT(Sailstats!$F$1,J176)</f>
        <v>https://www.gps-speedsurfing.com/mypage/sailstats?id=18670</v>
      </c>
      <c r="O176" s="1" t="str">
        <f>HYPERLINK(_xlfn.CONCAT(Sailstats!$F$1,J176),_xlfn.CONCAT(L176," ",TEXT(H176,"#0.0")))</f>
        <v>Raceboard 9.5 Raceboard 9.5</v>
      </c>
      <c r="P176" t="b">
        <f>IF(D176-E176&gt;=0,TRUE,FALSE)</f>
        <v>1</v>
      </c>
      <c r="Q176" t="b">
        <f>IF(B176&lt;&gt;"",TRUE,FALSE)</f>
        <v>0</v>
      </c>
      <c r="R176" t="b">
        <f>NOT(_xlfn.XOR(P176,Q176))</f>
        <v>0</v>
      </c>
    </row>
    <row r="177" spans="2:18" x14ac:dyDescent="0.25">
      <c r="B177" s="12"/>
      <c r="C177" s="12">
        <v>14935</v>
      </c>
      <c r="D177" s="12">
        <v>3</v>
      </c>
      <c r="E177" s="12">
        <v>1</v>
      </c>
      <c r="F177" s="12">
        <v>8</v>
      </c>
      <c r="G177" s="12">
        <v>8</v>
      </c>
      <c r="H177" s="14" t="s">
        <v>27</v>
      </c>
      <c r="I177" s="12">
        <v>2</v>
      </c>
      <c r="J177" s="12" t="str">
        <f>_xlfn.CONCAT(B177:C177)</f>
        <v>14935</v>
      </c>
      <c r="K177" s="12">
        <f>D177+E177</f>
        <v>4</v>
      </c>
      <c r="L177" s="14" t="s">
        <v>27</v>
      </c>
      <c r="M177" s="12">
        <v>2019</v>
      </c>
      <c r="N177" s="19" t="str">
        <f>_xlfn.CONCAT(Sailstats!$F$1,J177)</f>
        <v>https://www.gps-speedsurfing.com/mypage/sailstats?id=14935</v>
      </c>
      <c r="O177" s="1" t="str">
        <f>HYPERLINK(_xlfn.CONCAT(Sailstats!$F$1,J177),_xlfn.CONCAT(L177," ",TEXT(H177,"#0.0")))</f>
        <v>Koncept 6.6 Koncept 6.6</v>
      </c>
      <c r="P177" t="b">
        <f>IF(D177-E177&gt;=0,TRUE,FALSE)</f>
        <v>1</v>
      </c>
      <c r="Q177" t="b">
        <f>IF(B177&lt;&gt;"",TRUE,FALSE)</f>
        <v>0</v>
      </c>
      <c r="R177" t="b">
        <f>NOT(_xlfn.XOR(P177,Q177))</f>
        <v>0</v>
      </c>
    </row>
    <row r="178" spans="2:18" x14ac:dyDescent="0.25">
      <c r="B178" s="12"/>
      <c r="C178" s="12">
        <v>18472</v>
      </c>
      <c r="D178" s="12">
        <v>2</v>
      </c>
      <c r="E178" s="12">
        <v>2</v>
      </c>
      <c r="F178" s="12">
        <v>12</v>
      </c>
      <c r="G178" s="12">
        <v>11</v>
      </c>
      <c r="H178" s="14" t="s">
        <v>105</v>
      </c>
      <c r="I178" s="12">
        <v>2</v>
      </c>
      <c r="J178" s="12" t="str">
        <f>_xlfn.CONCAT(B178:C178)</f>
        <v>18472</v>
      </c>
      <c r="K178" s="12">
        <f>D178+E178</f>
        <v>4</v>
      </c>
      <c r="L178" s="14" t="s">
        <v>104</v>
      </c>
      <c r="M178" s="12">
        <v>2022</v>
      </c>
      <c r="N178" s="19" t="str">
        <f>_xlfn.CONCAT(Sailstats!$F$1,J178)</f>
        <v>https://www.gps-speedsurfing.com/mypage/sailstats?id=18472</v>
      </c>
      <c r="O178" s="1" t="str">
        <f>HYPERLINK(_xlfn.CONCAT(Sailstats!$F$1,J178),_xlfn.CONCAT(L178," ",TEXT(H178,"#0.0")))</f>
        <v>Spy 5.0 spy 5.0</v>
      </c>
      <c r="P178" t="b">
        <f>IF(D178-E178&gt;=0,TRUE,FALSE)</f>
        <v>1</v>
      </c>
      <c r="Q178" t="b">
        <f>IF(B178&lt;&gt;"",TRUE,FALSE)</f>
        <v>0</v>
      </c>
      <c r="R178" t="b">
        <f>NOT(_xlfn.XOR(P178,Q178))</f>
        <v>0</v>
      </c>
    </row>
    <row r="179" spans="2:18" x14ac:dyDescent="0.25">
      <c r="B179" s="12"/>
      <c r="C179" s="12">
        <v>21481</v>
      </c>
      <c r="D179" s="12">
        <v>0</v>
      </c>
      <c r="E179" s="12">
        <v>4</v>
      </c>
      <c r="F179" s="12">
        <v>9</v>
      </c>
      <c r="G179" s="12">
        <v>9</v>
      </c>
      <c r="H179" s="14" t="s">
        <v>113</v>
      </c>
      <c r="I179" s="12">
        <v>2</v>
      </c>
      <c r="J179" s="12" t="str">
        <f>_xlfn.CONCAT(B179:C179)</f>
        <v>21481</v>
      </c>
      <c r="K179" s="12">
        <f>D179+E179</f>
        <v>4</v>
      </c>
      <c r="L179" s="14" t="s">
        <v>113</v>
      </c>
      <c r="M179" s="12">
        <v>2024</v>
      </c>
      <c r="N179" s="19" t="str">
        <f>_xlfn.CONCAT(Sailstats!$F$1,J179)</f>
        <v>https://www.gps-speedsurfing.com/mypage/sailstats?id=21481</v>
      </c>
      <c r="O179" s="1" t="str">
        <f>HYPERLINK(_xlfn.CONCAT(Sailstats!$F$1,J179),_xlfn.CONCAT(L179," ",TEXT(H179,"#0.0")))</f>
        <v>GT-3 FRC 7.4 GT-3 FRC 7.4</v>
      </c>
      <c r="P179" t="b">
        <f>IF(D179-E179&gt;=0,TRUE,FALSE)</f>
        <v>0</v>
      </c>
      <c r="Q179" t="b">
        <f>IF(B179&lt;&gt;"",TRUE,FALSE)</f>
        <v>0</v>
      </c>
      <c r="R179" t="b">
        <f>NOT(_xlfn.XOR(P179,Q179))</f>
        <v>1</v>
      </c>
    </row>
    <row r="180" spans="2:18" x14ac:dyDescent="0.25">
      <c r="B180" s="11">
        <v>1007</v>
      </c>
      <c r="C180" s="11"/>
      <c r="D180" s="11">
        <v>2</v>
      </c>
      <c r="E180" s="11">
        <v>1</v>
      </c>
      <c r="F180" s="11">
        <v>12</v>
      </c>
      <c r="G180" s="11">
        <v>11</v>
      </c>
      <c r="H180" s="13" t="s">
        <v>106</v>
      </c>
      <c r="I180" s="11">
        <v>1</v>
      </c>
      <c r="J180" s="11" t="str">
        <f>_xlfn.CONCAT(B180:C180)</f>
        <v>1007</v>
      </c>
      <c r="K180" s="11">
        <f>D180+E180</f>
        <v>3</v>
      </c>
      <c r="L180" s="13" t="s">
        <v>106</v>
      </c>
      <c r="M180" s="11">
        <v>2002</v>
      </c>
      <c r="N180" s="19" t="str">
        <f>_xlfn.CONCAT(Sailstats!$F$1,J180)</f>
        <v>https://www.gps-speedsurfing.com/mypage/sailstats?id=1007</v>
      </c>
      <c r="O180" s="1" t="str">
        <f>HYPERLINK(_xlfn.CONCAT(Sailstats!$F$1,J180),_xlfn.CONCAT(L180," ",TEXT(H180,"#0.0")))</f>
        <v>Search 4.7 Search 4.7</v>
      </c>
      <c r="P180" t="b">
        <f>IF(D180-E180&gt;=0,TRUE,FALSE)</f>
        <v>1</v>
      </c>
      <c r="Q180" t="b">
        <f>IF(B180&lt;&gt;"",TRUE,FALSE)</f>
        <v>1</v>
      </c>
      <c r="R180" t="b">
        <f>NOT(_xlfn.XOR(P180,Q180))</f>
        <v>1</v>
      </c>
    </row>
    <row r="181" spans="2:18" x14ac:dyDescent="0.25">
      <c r="B181" s="12"/>
      <c r="C181" s="12">
        <v>22015</v>
      </c>
      <c r="D181" s="12">
        <v>2</v>
      </c>
      <c r="E181" s="12">
        <v>1</v>
      </c>
      <c r="F181" s="12">
        <v>12</v>
      </c>
      <c r="G181" s="12">
        <v>11</v>
      </c>
      <c r="H181" s="14" t="s">
        <v>106</v>
      </c>
      <c r="I181" s="12">
        <v>2</v>
      </c>
      <c r="J181" s="12" t="str">
        <f>_xlfn.CONCAT(B181:C181)</f>
        <v>22015</v>
      </c>
      <c r="K181" s="12">
        <f>D181+E181</f>
        <v>3</v>
      </c>
      <c r="L181" s="14" t="s">
        <v>106</v>
      </c>
      <c r="M181" s="12">
        <v>2002</v>
      </c>
      <c r="N181" s="19" t="str">
        <f>_xlfn.CONCAT(Sailstats!$F$1,J181)</f>
        <v>https://www.gps-speedsurfing.com/mypage/sailstats?id=22015</v>
      </c>
      <c r="O181" s="1" t="str">
        <f>HYPERLINK(_xlfn.CONCAT(Sailstats!$F$1,J181),_xlfn.CONCAT(L181," ",TEXT(H181,"#0.0")))</f>
        <v>Search 4.7 Search 4.7</v>
      </c>
      <c r="P181" t="b">
        <f>IF(D181-E181&gt;=0,TRUE,FALSE)</f>
        <v>1</v>
      </c>
      <c r="Q181" t="b">
        <f>IF(B181&lt;&gt;"",TRUE,FALSE)</f>
        <v>0</v>
      </c>
      <c r="R181" t="b">
        <f>NOT(_xlfn.XOR(P181,Q181))</f>
        <v>0</v>
      </c>
    </row>
    <row r="182" spans="2:18" x14ac:dyDescent="0.25">
      <c r="B182" s="11">
        <v>3009</v>
      </c>
      <c r="C182" s="11"/>
      <c r="D182" s="11">
        <v>2</v>
      </c>
      <c r="E182" s="11">
        <v>0</v>
      </c>
      <c r="F182" s="11">
        <v>12</v>
      </c>
      <c r="G182" s="11">
        <v>-2</v>
      </c>
      <c r="H182" s="13" t="s">
        <v>107</v>
      </c>
      <c r="I182" s="11">
        <v>1</v>
      </c>
      <c r="J182" s="11" t="str">
        <f>_xlfn.CONCAT(B182:C182)</f>
        <v>3009</v>
      </c>
      <c r="K182" s="11">
        <f>D182+E182</f>
        <v>2</v>
      </c>
      <c r="L182" s="13" t="s">
        <v>107</v>
      </c>
      <c r="M182" s="11">
        <v>2004</v>
      </c>
      <c r="N182" s="19" t="str">
        <f>_xlfn.CONCAT(Sailstats!$F$1,J182)</f>
        <v>https://www.gps-speedsurfing.com/mypage/sailstats?id=3009</v>
      </c>
      <c r="O182" s="1" t="str">
        <f>HYPERLINK(_xlfn.CONCAT(Sailstats!$F$1,J182),_xlfn.CONCAT(L182," ",TEXT(H182,"#0.0")))</f>
        <v>Natural 7.0 Natural 7.0</v>
      </c>
      <c r="P182" t="b">
        <f>IF(D182-E182&gt;=0,TRUE,FALSE)</f>
        <v>1</v>
      </c>
      <c r="Q182" t="b">
        <f>IF(B182&lt;&gt;"",TRUE,FALSE)</f>
        <v>1</v>
      </c>
      <c r="R182" t="b">
        <f>NOT(_xlfn.XOR(P182,Q182))</f>
        <v>1</v>
      </c>
    </row>
    <row r="183" spans="2:18" x14ac:dyDescent="0.25">
      <c r="B183" s="12"/>
      <c r="C183" s="12">
        <v>6384</v>
      </c>
      <c r="D183" s="12">
        <v>2</v>
      </c>
      <c r="E183" s="12">
        <v>0</v>
      </c>
      <c r="F183" s="12">
        <v>12</v>
      </c>
      <c r="G183" s="12">
        <v>-2</v>
      </c>
      <c r="H183" s="14" t="s">
        <v>107</v>
      </c>
      <c r="I183" s="12">
        <v>2</v>
      </c>
      <c r="J183" s="12" t="str">
        <f>_xlfn.CONCAT(B183:C183)</f>
        <v>6384</v>
      </c>
      <c r="K183" s="12">
        <f>D183+E183</f>
        <v>2</v>
      </c>
      <c r="L183" s="14" t="s">
        <v>107</v>
      </c>
      <c r="M183" s="12">
        <v>2004</v>
      </c>
      <c r="N183" s="19" t="str">
        <f>_xlfn.CONCAT(Sailstats!$F$1,J183)</f>
        <v>https://www.gps-speedsurfing.com/mypage/sailstats?id=6384</v>
      </c>
      <c r="O183" s="1" t="str">
        <f>HYPERLINK(_xlfn.CONCAT(Sailstats!$F$1,J183),_xlfn.CONCAT(L183," ",TEXT(H183,"#0.0")))</f>
        <v>Natural 7.0 Natural 7.0</v>
      </c>
      <c r="P183" t="b">
        <f>IF(D183-E183&gt;=0,TRUE,FALSE)</f>
        <v>1</v>
      </c>
      <c r="Q183" t="b">
        <f>IF(B183&lt;&gt;"",TRUE,FALSE)</f>
        <v>0</v>
      </c>
      <c r="R183" t="b">
        <f>NOT(_xlfn.XOR(P183,Q183))</f>
        <v>0</v>
      </c>
    </row>
    <row r="184" spans="2:18" x14ac:dyDescent="0.25">
      <c r="B184" s="11">
        <v>12727</v>
      </c>
      <c r="C184" s="11"/>
      <c r="D184" s="11">
        <v>1</v>
      </c>
      <c r="E184" s="11">
        <v>0</v>
      </c>
      <c r="F184" s="11">
        <v>8</v>
      </c>
      <c r="G184" s="11">
        <v>8</v>
      </c>
      <c r="H184" s="13" t="s">
        <v>109</v>
      </c>
      <c r="I184" s="11">
        <v>1</v>
      </c>
      <c r="J184" s="11" t="str">
        <f>_xlfn.CONCAT(B184:C184)</f>
        <v>12727</v>
      </c>
      <c r="K184" s="11">
        <f>D184+E184</f>
        <v>1</v>
      </c>
      <c r="L184" s="13" t="s">
        <v>109</v>
      </c>
      <c r="M184" s="11">
        <v>1996</v>
      </c>
      <c r="N184" s="19" t="str">
        <f>_xlfn.CONCAT(Sailstats!$F$1,J184)</f>
        <v>https://www.gps-speedsurfing.com/mypage/sailstats?id=12727</v>
      </c>
      <c r="O184" s="1" t="str">
        <f>HYPERLINK(_xlfn.CONCAT(Sailstats!$F$1,J184),_xlfn.CONCAT(L184," ",TEXT(H184,"#0.0")))</f>
        <v>VX LTD 5.5 VX LTD 5.5</v>
      </c>
      <c r="P184" t="b">
        <f>IF(D184-E184&gt;=0,TRUE,FALSE)</f>
        <v>1</v>
      </c>
      <c r="Q184" t="b">
        <f>IF(B184&lt;&gt;"",TRUE,FALSE)</f>
        <v>1</v>
      </c>
      <c r="R184" t="b">
        <f>NOT(_xlfn.XOR(P184,Q184))</f>
        <v>1</v>
      </c>
    </row>
    <row r="185" spans="2:18" x14ac:dyDescent="0.25">
      <c r="B185" s="11">
        <v>5769</v>
      </c>
      <c r="C185" s="11"/>
      <c r="D185" s="11">
        <v>0</v>
      </c>
      <c r="E185" s="11">
        <v>1</v>
      </c>
      <c r="F185" s="11">
        <v>8</v>
      </c>
      <c r="G185" s="11">
        <v>8</v>
      </c>
      <c r="H185" s="13" t="s">
        <v>114</v>
      </c>
      <c r="I185" s="11">
        <v>1</v>
      </c>
      <c r="J185" s="11" t="str">
        <f>_xlfn.CONCAT(B185:C185)</f>
        <v>5769</v>
      </c>
      <c r="K185" s="11">
        <f>D185+E185</f>
        <v>1</v>
      </c>
      <c r="L185" s="13" t="s">
        <v>114</v>
      </c>
      <c r="M185" s="11">
        <v>2010</v>
      </c>
      <c r="N185" s="19" t="str">
        <f>_xlfn.CONCAT(Sailstats!$F$1,J185)</f>
        <v>https://www.gps-speedsurfing.com/mypage/sailstats?id=5769</v>
      </c>
      <c r="O185" s="1" t="str">
        <f>HYPERLINK(_xlfn.CONCAT(Sailstats!$F$1,J185),_xlfn.CONCAT(L185," ",TEXT(H185,"#0.0")))</f>
        <v>LX SEVEN 7.8 LX SEVEN 7.8</v>
      </c>
      <c r="P185" t="b">
        <f>IF(D185-E185&gt;=0,TRUE,FALSE)</f>
        <v>0</v>
      </c>
      <c r="Q185" t="b">
        <f>IF(B185&lt;&gt;"",TRUE,FALSE)</f>
        <v>1</v>
      </c>
      <c r="R185" t="b">
        <f>NOT(_xlfn.XOR(P185,Q185))</f>
        <v>0</v>
      </c>
    </row>
    <row r="186" spans="2:18" x14ac:dyDescent="0.25">
      <c r="B186" s="11">
        <v>4315</v>
      </c>
      <c r="C186" s="11"/>
      <c r="D186" s="11">
        <v>0</v>
      </c>
      <c r="E186" s="11">
        <v>1</v>
      </c>
      <c r="F186" s="11">
        <v>-2</v>
      </c>
      <c r="G186" s="11">
        <v>0</v>
      </c>
      <c r="H186" s="13" t="s">
        <v>115</v>
      </c>
      <c r="I186" s="11">
        <v>1</v>
      </c>
      <c r="J186" s="11" t="str">
        <f>_xlfn.CONCAT(B186:C186)</f>
        <v>4315</v>
      </c>
      <c r="K186" s="11">
        <f>D186+E186</f>
        <v>1</v>
      </c>
      <c r="L186" s="13" t="s">
        <v>115</v>
      </c>
      <c r="M186" s="11">
        <v>2009</v>
      </c>
      <c r="N186" s="19" t="str">
        <f>_xlfn.CONCAT(Sailstats!$F$1,J186)</f>
        <v>https://www.gps-speedsurfing.com/mypage/sailstats?id=4315</v>
      </c>
      <c r="O186" s="1" t="str">
        <f>HYPERLINK(_xlfn.CONCAT(Sailstats!$F$1,J186),_xlfn.CONCAT(L186," ",TEXT(H186,"#0.0")))</f>
        <v>Blade FR 11.9 Blade FR 11.9</v>
      </c>
      <c r="P186" t="b">
        <f>IF(D186-E186&gt;=0,TRUE,FALSE)</f>
        <v>0</v>
      </c>
      <c r="Q186" t="b">
        <f>IF(B186&lt;&gt;"",TRUE,FALSE)</f>
        <v>1</v>
      </c>
      <c r="R186" t="b">
        <f>NOT(_xlfn.XOR(P186,Q186))</f>
        <v>0</v>
      </c>
    </row>
    <row r="187" spans="2:18" x14ac:dyDescent="0.25">
      <c r="B187" s="12"/>
      <c r="C187" s="12">
        <v>19101</v>
      </c>
      <c r="D187" s="12">
        <v>1</v>
      </c>
      <c r="E187" s="12">
        <v>0</v>
      </c>
      <c r="F187" s="12">
        <v>8</v>
      </c>
      <c r="G187" s="12">
        <v>8</v>
      </c>
      <c r="H187" s="14" t="s">
        <v>109</v>
      </c>
      <c r="I187" s="12">
        <v>2</v>
      </c>
      <c r="J187" s="12" t="str">
        <f>_xlfn.CONCAT(B187:C187)</f>
        <v>19101</v>
      </c>
      <c r="K187" s="12">
        <f>D187+E187</f>
        <v>1</v>
      </c>
      <c r="L187" s="14" t="s">
        <v>109</v>
      </c>
      <c r="M187" s="12">
        <v>1996</v>
      </c>
      <c r="N187" s="19" t="str">
        <f>_xlfn.CONCAT(Sailstats!$F$1,J187)</f>
        <v>https://www.gps-speedsurfing.com/mypage/sailstats?id=19101</v>
      </c>
      <c r="O187" s="1" t="str">
        <f>HYPERLINK(_xlfn.CONCAT(Sailstats!$F$1,J187),_xlfn.CONCAT(L187," ",TEXT(H187,"#0.0")))</f>
        <v>VX LTD 5.5 VX LTD 5.5</v>
      </c>
      <c r="P187" t="b">
        <f>IF(D187-E187&gt;=0,TRUE,FALSE)</f>
        <v>1</v>
      </c>
      <c r="Q187" t="b">
        <f>IF(B187&lt;&gt;"",TRUE,FALSE)</f>
        <v>0</v>
      </c>
      <c r="R187" t="b">
        <f>NOT(_xlfn.XOR(P187,Q187))</f>
        <v>0</v>
      </c>
    </row>
    <row r="188" spans="2:18" x14ac:dyDescent="0.25">
      <c r="B188" s="12"/>
      <c r="C188" s="12">
        <v>5777</v>
      </c>
      <c r="D188" s="12">
        <v>0</v>
      </c>
      <c r="E188" s="12">
        <v>1</v>
      </c>
      <c r="F188" s="12">
        <v>8</v>
      </c>
      <c r="G188" s="12">
        <v>8</v>
      </c>
      <c r="H188" s="14" t="s">
        <v>114</v>
      </c>
      <c r="I188" s="12">
        <v>2</v>
      </c>
      <c r="J188" s="12" t="str">
        <f>_xlfn.CONCAT(B188:C188)</f>
        <v>5777</v>
      </c>
      <c r="K188" s="12">
        <f>D188+E188</f>
        <v>1</v>
      </c>
      <c r="L188" s="14" t="s">
        <v>114</v>
      </c>
      <c r="M188" s="12">
        <v>2010</v>
      </c>
      <c r="N188" s="19" t="str">
        <f>_xlfn.CONCAT(Sailstats!$F$1,J188)</f>
        <v>https://www.gps-speedsurfing.com/mypage/sailstats?id=5777</v>
      </c>
      <c r="O188" s="1" t="str">
        <f>HYPERLINK(_xlfn.CONCAT(Sailstats!$F$1,J188),_xlfn.CONCAT(L188," ",TEXT(H188,"#0.0")))</f>
        <v>LX SEVEN 7.8 LX SEVEN 7.8</v>
      </c>
      <c r="P188" t="b">
        <f>IF(D188-E188&gt;=0,TRUE,FALSE)</f>
        <v>0</v>
      </c>
      <c r="Q188" t="b">
        <f>IF(B188&lt;&gt;"",TRUE,FALSE)</f>
        <v>0</v>
      </c>
      <c r="R188" t="b">
        <f>NOT(_xlfn.XOR(P188,Q188))</f>
        <v>1</v>
      </c>
    </row>
    <row r="189" spans="2:18" x14ac:dyDescent="0.25">
      <c r="B189" s="12"/>
      <c r="C189" s="12">
        <v>4316</v>
      </c>
      <c r="D189" s="12">
        <v>0</v>
      </c>
      <c r="E189" s="12">
        <v>1</v>
      </c>
      <c r="F189" s="12">
        <v>-2</v>
      </c>
      <c r="G189" s="12">
        <v>0</v>
      </c>
      <c r="H189" s="14" t="s">
        <v>115</v>
      </c>
      <c r="I189" s="12">
        <v>2</v>
      </c>
      <c r="J189" s="12" t="str">
        <f>_xlfn.CONCAT(B189:C189)</f>
        <v>4316</v>
      </c>
      <c r="K189" s="12">
        <f>D189+E189</f>
        <v>1</v>
      </c>
      <c r="L189" s="14" t="s">
        <v>115</v>
      </c>
      <c r="M189" s="12">
        <v>2009</v>
      </c>
      <c r="N189" s="19" t="str">
        <f>_xlfn.CONCAT(Sailstats!$F$1,J189)</f>
        <v>https://www.gps-speedsurfing.com/mypage/sailstats?id=4316</v>
      </c>
      <c r="O189" s="1" t="str">
        <f>HYPERLINK(_xlfn.CONCAT(Sailstats!$F$1,J189),_xlfn.CONCAT(L189," ",TEXT(H189,"#0.0")))</f>
        <v>Blade FR 11.9 Blade FR 11.9</v>
      </c>
      <c r="P189" t="b">
        <f>IF(D189-E189&gt;=0,TRUE,FALSE)</f>
        <v>0</v>
      </c>
      <c r="Q189" t="b">
        <f>IF(B189&lt;&gt;"",TRUE,FALSE)</f>
        <v>0</v>
      </c>
      <c r="R189" t="b">
        <f>NOT(_xlfn.XOR(P189,Q189))</f>
        <v>1</v>
      </c>
    </row>
    <row r="190" spans="2:18" x14ac:dyDescent="0.25">
      <c r="B190" s="11">
        <v>5771</v>
      </c>
      <c r="C190" s="11"/>
      <c r="D190" s="11">
        <v>0</v>
      </c>
      <c r="E190" s="11">
        <v>0</v>
      </c>
      <c r="F190" s="11">
        <v>8</v>
      </c>
      <c r="G190" s="11">
        <v>8</v>
      </c>
      <c r="H190" s="13" t="s">
        <v>116</v>
      </c>
      <c r="I190" s="11">
        <v>1</v>
      </c>
      <c r="J190" s="11" t="str">
        <f>_xlfn.CONCAT(B190:C190)</f>
        <v>5771</v>
      </c>
      <c r="K190" s="11">
        <f>D190+E190</f>
        <v>0</v>
      </c>
      <c r="L190" s="13" t="s">
        <v>116</v>
      </c>
      <c r="M190" s="11">
        <v>2010</v>
      </c>
      <c r="N190" s="19" t="str">
        <f>_xlfn.CONCAT(Sailstats!$F$1,J190)</f>
        <v>https://www.gps-speedsurfing.com/mypage/sailstats?id=5771</v>
      </c>
      <c r="O190" s="1" t="str">
        <f>HYPERLINK(_xlfn.CONCAT(Sailstats!$F$1,J190),_xlfn.CONCAT(L190," ",TEXT(H190,"#0.0")))</f>
        <v>LX SEVEN 9.5 LX SEVEN 9.5</v>
      </c>
      <c r="P190" t="b">
        <f>IF(D190-E190&gt;=0,TRUE,FALSE)</f>
        <v>1</v>
      </c>
      <c r="Q190" t="b">
        <f>IF(B190&lt;&gt;"",TRUE,FALSE)</f>
        <v>1</v>
      </c>
      <c r="R190" t="b">
        <f>NOT(_xlfn.XOR(P190,Q190))</f>
        <v>1</v>
      </c>
    </row>
    <row r="191" spans="2:18" x14ac:dyDescent="0.25">
      <c r="B191" s="11">
        <v>2592</v>
      </c>
      <c r="C191" s="11"/>
      <c r="D191" s="11">
        <v>0</v>
      </c>
      <c r="E191" s="11">
        <v>0</v>
      </c>
      <c r="F191" s="11">
        <v>12</v>
      </c>
      <c r="G191" s="11">
        <v>12</v>
      </c>
      <c r="H191" s="13" t="s">
        <v>117</v>
      </c>
      <c r="I191" s="11">
        <v>1</v>
      </c>
      <c r="J191" s="11" t="str">
        <f>_xlfn.CONCAT(B191:C191)</f>
        <v>2592</v>
      </c>
      <c r="K191" s="11">
        <f>D191+E191</f>
        <v>0</v>
      </c>
      <c r="L191" s="13" t="s">
        <v>117</v>
      </c>
      <c r="M191" s="11">
        <v>2005</v>
      </c>
      <c r="N191" s="19" t="str">
        <f>_xlfn.CONCAT(Sailstats!$F$1,J191)</f>
        <v>https://www.gps-speedsurfing.com/mypage/sailstats?id=2592</v>
      </c>
      <c r="O191" s="1" t="str">
        <f>HYPERLINK(_xlfn.CONCAT(Sailstats!$F$1,J191),_xlfn.CONCAT(L191," ",TEXT(H191,"#0.0")))</f>
        <v>Combat 3.5 Combat 3.5</v>
      </c>
      <c r="P191" t="b">
        <f>IF(D191-E191&gt;=0,TRUE,FALSE)</f>
        <v>1</v>
      </c>
      <c r="Q191" t="b">
        <f>IF(B191&lt;&gt;"",TRUE,FALSE)</f>
        <v>1</v>
      </c>
      <c r="R191" t="b">
        <f>NOT(_xlfn.XOR(P191,Q191))</f>
        <v>1</v>
      </c>
    </row>
    <row r="192" spans="2:18" x14ac:dyDescent="0.25">
      <c r="B192" s="11">
        <v>6381</v>
      </c>
      <c r="C192" s="11"/>
      <c r="D192" s="11">
        <v>0</v>
      </c>
      <c r="E192" s="11">
        <v>0</v>
      </c>
      <c r="F192" s="11">
        <v>-2</v>
      </c>
      <c r="G192" s="11">
        <v>11</v>
      </c>
      <c r="H192" s="13" t="s">
        <v>118</v>
      </c>
      <c r="I192" s="11">
        <v>1</v>
      </c>
      <c r="J192" s="11" t="str">
        <f>_xlfn.CONCAT(B192:C192)</f>
        <v>6381</v>
      </c>
      <c r="K192" s="11">
        <f>D192+E192</f>
        <v>0</v>
      </c>
      <c r="L192" s="13" t="s">
        <v>118</v>
      </c>
      <c r="M192" s="11">
        <v>2004</v>
      </c>
      <c r="N192" s="19" t="str">
        <f>_xlfn.CONCAT(Sailstats!$F$1,J192)</f>
        <v>https://www.gps-speedsurfing.com/mypage/sailstats?id=6381</v>
      </c>
      <c r="O192" s="1" t="str">
        <f>HYPERLINK(_xlfn.CONCAT(Sailstats!$F$1,J192),_xlfn.CONCAT(L192," ",TEXT(H192,"#0.0")))</f>
        <v>Superstar 5.0 Superstar 5.0</v>
      </c>
      <c r="P192" t="b">
        <f>IF(D192-E192&gt;=0,TRUE,FALSE)</f>
        <v>1</v>
      </c>
      <c r="Q192" t="b">
        <f>IF(B192&lt;&gt;"",TRUE,FALSE)</f>
        <v>1</v>
      </c>
      <c r="R192" t="b">
        <f>NOT(_xlfn.XOR(P192,Q192))</f>
        <v>1</v>
      </c>
    </row>
    <row r="193" spans="2:18" x14ac:dyDescent="0.25">
      <c r="B193" s="11">
        <v>11040</v>
      </c>
      <c r="C193" s="11"/>
      <c r="D193" s="11">
        <v>0</v>
      </c>
      <c r="E193" s="11">
        <v>0</v>
      </c>
      <c r="F193" s="11">
        <v>21</v>
      </c>
      <c r="G193" s="11">
        <v>12</v>
      </c>
      <c r="H193" s="13" t="s">
        <v>119</v>
      </c>
      <c r="I193" s="11">
        <v>1</v>
      </c>
      <c r="J193" s="11" t="str">
        <f>_xlfn.CONCAT(B193:C193)</f>
        <v>11040</v>
      </c>
      <c r="K193" s="11">
        <f>D193+E193</f>
        <v>0</v>
      </c>
      <c r="L193" s="13" t="s">
        <v>119</v>
      </c>
      <c r="M193" s="11">
        <v>2014</v>
      </c>
      <c r="N193" s="19" t="str">
        <f>_xlfn.CONCAT(Sailstats!$F$1,J193)</f>
        <v>https://www.gps-speedsurfing.com/mypage/sailstats?id=11040</v>
      </c>
      <c r="O193" s="1" t="str">
        <f>HYPERLINK(_xlfn.CONCAT(Sailstats!$F$1,J193),_xlfn.CONCAT(L193," ",TEXT(H193,"#0.0")))</f>
        <v>Vapor 12.5 Vapor 12.5</v>
      </c>
      <c r="P193" t="b">
        <f>IF(D193-E193&gt;=0,TRUE,FALSE)</f>
        <v>1</v>
      </c>
      <c r="Q193" t="b">
        <f>IF(B193&lt;&gt;"",TRUE,FALSE)</f>
        <v>1</v>
      </c>
      <c r="R193" t="b">
        <f>NOT(_xlfn.XOR(P193,Q193))</f>
        <v>1</v>
      </c>
    </row>
    <row r="194" spans="2:18" x14ac:dyDescent="0.25">
      <c r="B194" s="11">
        <v>21760</v>
      </c>
      <c r="C194" s="11"/>
      <c r="D194" s="11">
        <v>0</v>
      </c>
      <c r="E194" s="11">
        <v>0</v>
      </c>
      <c r="F194" s="11">
        <v>9</v>
      </c>
      <c r="G194" s="11">
        <v>9</v>
      </c>
      <c r="H194" s="13" t="s">
        <v>120</v>
      </c>
      <c r="I194" s="11">
        <v>1</v>
      </c>
      <c r="J194" s="11" t="str">
        <f>_xlfn.CONCAT(B194:C194)</f>
        <v>21760</v>
      </c>
      <c r="K194" s="11">
        <f>D194+E194</f>
        <v>0</v>
      </c>
      <c r="L194" s="13" t="s">
        <v>120</v>
      </c>
      <c r="M194" s="11">
        <v>2025</v>
      </c>
      <c r="N194" s="19" t="str">
        <f>_xlfn.CONCAT(Sailstats!$F$1,J194)</f>
        <v>https://www.gps-speedsurfing.com/mypage/sailstats?id=21760</v>
      </c>
      <c r="O194" s="1" t="str">
        <f>HYPERLINK(_xlfn.CONCAT(Sailstats!$F$1,J194),_xlfn.CONCAT(L194," ",TEXT(H194,"#0.0")))</f>
        <v>Goya Mark 7 5.4 Goya Mark 7 5.4</v>
      </c>
      <c r="P194" t="b">
        <f>IF(D194-E194&gt;=0,TRUE,FALSE)</f>
        <v>1</v>
      </c>
      <c r="Q194" t="b">
        <f>IF(B194&lt;&gt;"",TRUE,FALSE)</f>
        <v>1</v>
      </c>
      <c r="R194" t="b">
        <f>NOT(_xlfn.XOR(P194,Q194))</f>
        <v>1</v>
      </c>
    </row>
    <row r="195" spans="2:18" x14ac:dyDescent="0.25">
      <c r="B195" s="11">
        <v>22004</v>
      </c>
      <c r="C195" s="11"/>
      <c r="D195" s="11">
        <v>0</v>
      </c>
      <c r="E195" s="11">
        <v>0</v>
      </c>
      <c r="F195" s="11">
        <v>11</v>
      </c>
      <c r="G195" s="11">
        <v>11</v>
      </c>
      <c r="H195" s="13" t="s">
        <v>121</v>
      </c>
      <c r="I195" s="11">
        <v>1</v>
      </c>
      <c r="J195" s="11" t="str">
        <f>_xlfn.CONCAT(B195:C195)</f>
        <v>22004</v>
      </c>
      <c r="K195" s="11">
        <f>D195+E195</f>
        <v>0</v>
      </c>
      <c r="L195" s="13" t="s">
        <v>121</v>
      </c>
      <c r="M195" s="11">
        <v>2022</v>
      </c>
      <c r="N195" s="19" t="str">
        <f>_xlfn.CONCAT(Sailstats!$F$1,J195)</f>
        <v>https://www.gps-speedsurfing.com/mypage/sailstats?id=22004</v>
      </c>
      <c r="O195" s="1" t="str">
        <f>HYPERLINK(_xlfn.CONCAT(Sailstats!$F$1,J195),_xlfn.CONCAT(L195," ",TEXT(H195,"#0.0")))</f>
        <v>Dragon 4.9 Dragon 4.9</v>
      </c>
      <c r="P195" t="b">
        <f>IF(D195-E195&gt;=0,TRUE,FALSE)</f>
        <v>1</v>
      </c>
      <c r="Q195" t="b">
        <f>IF(B195&lt;&gt;"",TRUE,FALSE)</f>
        <v>1</v>
      </c>
      <c r="R195" t="b">
        <f>NOT(_xlfn.XOR(P195,Q195))</f>
        <v>1</v>
      </c>
    </row>
    <row r="196" spans="2:18" x14ac:dyDescent="0.25">
      <c r="B196" s="12"/>
      <c r="C196" s="12">
        <v>5779</v>
      </c>
      <c r="D196" s="12">
        <v>0</v>
      </c>
      <c r="E196" s="12">
        <v>0</v>
      </c>
      <c r="F196" s="12">
        <v>8</v>
      </c>
      <c r="G196" s="12">
        <v>8</v>
      </c>
      <c r="H196" s="14" t="s">
        <v>116</v>
      </c>
      <c r="I196" s="12">
        <v>2</v>
      </c>
      <c r="J196" s="12" t="str">
        <f>_xlfn.CONCAT(B196:C196)</f>
        <v>5779</v>
      </c>
      <c r="K196" s="12">
        <f>D196+E196</f>
        <v>0</v>
      </c>
      <c r="L196" s="14" t="s">
        <v>116</v>
      </c>
      <c r="M196" s="12">
        <v>2010</v>
      </c>
      <c r="N196" s="19" t="str">
        <f>_xlfn.CONCAT(Sailstats!$F$1,J196)</f>
        <v>https://www.gps-speedsurfing.com/mypage/sailstats?id=5779</v>
      </c>
      <c r="O196" s="1" t="str">
        <f>HYPERLINK(_xlfn.CONCAT(Sailstats!$F$1,J196),_xlfn.CONCAT(L196," ",TEXT(H196,"#0.0")))</f>
        <v>LX SEVEN 9.5 LX SEVEN 9.5</v>
      </c>
      <c r="P196" t="b">
        <f>IF(D196-E196&gt;=0,TRUE,FALSE)</f>
        <v>1</v>
      </c>
      <c r="Q196" t="b">
        <f>IF(B196&lt;&gt;"",TRUE,FALSE)</f>
        <v>0</v>
      </c>
      <c r="R196" t="b">
        <f t="shared" ref="R195:R201" si="0">NOT(_xlfn.XOR(P196,Q196))</f>
        <v>0</v>
      </c>
    </row>
    <row r="197" spans="2:18" x14ac:dyDescent="0.25">
      <c r="B197" s="12"/>
      <c r="C197" s="12">
        <v>2986</v>
      </c>
      <c r="D197" s="12">
        <v>0</v>
      </c>
      <c r="E197" s="12">
        <v>0</v>
      </c>
      <c r="F197" s="12">
        <v>12</v>
      </c>
      <c r="G197" s="12">
        <v>12</v>
      </c>
      <c r="H197" s="14" t="s">
        <v>117</v>
      </c>
      <c r="I197" s="12">
        <v>2</v>
      </c>
      <c r="J197" s="12" t="str">
        <f>_xlfn.CONCAT(B197:C197)</f>
        <v>2986</v>
      </c>
      <c r="K197" s="12">
        <f>D197+E197</f>
        <v>0</v>
      </c>
      <c r="L197" s="14" t="s">
        <v>117</v>
      </c>
      <c r="M197" s="12">
        <v>2005</v>
      </c>
      <c r="N197" s="19" t="str">
        <f>_xlfn.CONCAT(Sailstats!$F$1,J197)</f>
        <v>https://www.gps-speedsurfing.com/mypage/sailstats?id=2986</v>
      </c>
      <c r="O197" s="1" t="str">
        <f>HYPERLINK(_xlfn.CONCAT(Sailstats!$F$1,J197),_xlfn.CONCAT(L197," ",TEXT(H197,"#0.0")))</f>
        <v>Combat 3.5 Combat 3.5</v>
      </c>
      <c r="P197" t="b">
        <f>IF(D197-E197&gt;=0,TRUE,FALSE)</f>
        <v>1</v>
      </c>
      <c r="Q197" t="b">
        <f>IF(B197&lt;&gt;"",TRUE,FALSE)</f>
        <v>0</v>
      </c>
      <c r="R197" t="b">
        <f t="shared" si="0"/>
        <v>0</v>
      </c>
    </row>
    <row r="198" spans="2:18" x14ac:dyDescent="0.25">
      <c r="B198" s="12"/>
      <c r="C198" s="12">
        <v>6385</v>
      </c>
      <c r="D198" s="12">
        <v>0</v>
      </c>
      <c r="E198" s="12">
        <v>0</v>
      </c>
      <c r="F198" s="12">
        <v>-2</v>
      </c>
      <c r="G198" s="12">
        <v>11</v>
      </c>
      <c r="H198" s="14" t="s">
        <v>118</v>
      </c>
      <c r="I198" s="12">
        <v>2</v>
      </c>
      <c r="J198" s="12" t="str">
        <f>_xlfn.CONCAT(B198:C198)</f>
        <v>6385</v>
      </c>
      <c r="K198" s="12">
        <f>D198+E198</f>
        <v>0</v>
      </c>
      <c r="L198" s="14" t="s">
        <v>118</v>
      </c>
      <c r="M198" s="12">
        <v>2004</v>
      </c>
      <c r="N198" s="19" t="str">
        <f>_xlfn.CONCAT(Sailstats!$F$1,J198)</f>
        <v>https://www.gps-speedsurfing.com/mypage/sailstats?id=6385</v>
      </c>
      <c r="O198" s="1" t="str">
        <f>HYPERLINK(_xlfn.CONCAT(Sailstats!$F$1,J198),_xlfn.CONCAT(L198," ",TEXT(H198,"#0.0")))</f>
        <v>Superstar 5.0 Superstar 5.0</v>
      </c>
      <c r="P198" t="b">
        <f>IF(D198-E198&gt;=0,TRUE,FALSE)</f>
        <v>1</v>
      </c>
      <c r="Q198" t="b">
        <f>IF(B198&lt;&gt;"",TRUE,FALSE)</f>
        <v>0</v>
      </c>
      <c r="R198" t="b">
        <f t="shared" si="0"/>
        <v>0</v>
      </c>
    </row>
    <row r="199" spans="2:18" x14ac:dyDescent="0.25">
      <c r="B199" s="12"/>
      <c r="C199" s="12">
        <v>11043</v>
      </c>
      <c r="D199" s="12">
        <v>0</v>
      </c>
      <c r="E199" s="12">
        <v>0</v>
      </c>
      <c r="F199" s="12">
        <v>21</v>
      </c>
      <c r="G199" s="12">
        <v>12</v>
      </c>
      <c r="H199" s="14" t="s">
        <v>119</v>
      </c>
      <c r="I199" s="12">
        <v>2</v>
      </c>
      <c r="J199" s="12" t="str">
        <f>_xlfn.CONCAT(B199:C199)</f>
        <v>11043</v>
      </c>
      <c r="K199" s="12">
        <f>D199+E199</f>
        <v>0</v>
      </c>
      <c r="L199" s="14" t="s">
        <v>119</v>
      </c>
      <c r="M199" s="12">
        <v>2014</v>
      </c>
      <c r="N199" s="19" t="str">
        <f>_xlfn.CONCAT(Sailstats!$F$1,J199)</f>
        <v>https://www.gps-speedsurfing.com/mypage/sailstats?id=11043</v>
      </c>
      <c r="O199" s="1" t="str">
        <f>HYPERLINK(_xlfn.CONCAT(Sailstats!$F$1,J199),_xlfn.CONCAT(L199," ",TEXT(H199,"#0.0")))</f>
        <v>Vapor 12.5 Vapor 12.5</v>
      </c>
      <c r="P199" t="b">
        <f>IF(D199-E199&gt;=0,TRUE,FALSE)</f>
        <v>1</v>
      </c>
      <c r="Q199" t="b">
        <f>IF(B199&lt;&gt;"",TRUE,FALSE)</f>
        <v>0</v>
      </c>
      <c r="R199" t="b">
        <f t="shared" si="0"/>
        <v>0</v>
      </c>
    </row>
    <row r="200" spans="2:18" x14ac:dyDescent="0.25">
      <c r="B200" s="12"/>
      <c r="C200" s="12">
        <v>21762</v>
      </c>
      <c r="D200" s="12">
        <v>0</v>
      </c>
      <c r="E200" s="12">
        <v>0</v>
      </c>
      <c r="F200" s="12">
        <v>9</v>
      </c>
      <c r="G200" s="12">
        <v>9</v>
      </c>
      <c r="H200" s="14" t="s">
        <v>120</v>
      </c>
      <c r="I200" s="12">
        <v>2</v>
      </c>
      <c r="J200" s="12" t="str">
        <f>_xlfn.CONCAT(B200:C200)</f>
        <v>21762</v>
      </c>
      <c r="K200" s="12">
        <f>D200+E200</f>
        <v>0</v>
      </c>
      <c r="L200" s="14" t="s">
        <v>120</v>
      </c>
      <c r="M200" s="12">
        <v>2025</v>
      </c>
      <c r="N200" s="19" t="str">
        <f>_xlfn.CONCAT(Sailstats!$F$1,J200)</f>
        <v>https://www.gps-speedsurfing.com/mypage/sailstats?id=21762</v>
      </c>
      <c r="O200" s="1" t="str">
        <f>HYPERLINK(_xlfn.CONCAT(Sailstats!$F$1,J200),_xlfn.CONCAT(L200," ",TEXT(H200,"#0.0")))</f>
        <v>Goya Mark 7 5.4 Goya Mark 7 5.4</v>
      </c>
      <c r="P200" t="b">
        <f>IF(D200-E200&gt;=0,TRUE,FALSE)</f>
        <v>1</v>
      </c>
      <c r="Q200" t="b">
        <f>IF(B200&lt;&gt;"",TRUE,FALSE)</f>
        <v>0</v>
      </c>
      <c r="R200" t="b">
        <f t="shared" si="0"/>
        <v>0</v>
      </c>
    </row>
    <row r="201" spans="2:18" x14ac:dyDescent="0.25">
      <c r="B201" s="12"/>
      <c r="C201" s="12">
        <v>22689</v>
      </c>
      <c r="D201" s="12">
        <v>0</v>
      </c>
      <c r="E201" s="12">
        <v>0</v>
      </c>
      <c r="F201" s="12">
        <v>11</v>
      </c>
      <c r="G201" s="12">
        <v>11</v>
      </c>
      <c r="H201" s="14" t="s">
        <v>121</v>
      </c>
      <c r="I201" s="12">
        <v>2</v>
      </c>
      <c r="J201" s="12" t="str">
        <f>_xlfn.CONCAT(B201:C201)</f>
        <v>22689</v>
      </c>
      <c r="K201" s="12">
        <f>D201+E201</f>
        <v>0</v>
      </c>
      <c r="L201" s="14" t="s">
        <v>121</v>
      </c>
      <c r="M201" s="12">
        <v>2022</v>
      </c>
      <c r="N201" s="19" t="str">
        <f>_xlfn.CONCAT(Sailstats!$F$1,J201)</f>
        <v>https://www.gps-speedsurfing.com/mypage/sailstats?id=22689</v>
      </c>
      <c r="O201" s="1" t="str">
        <f>HYPERLINK(_xlfn.CONCAT(Sailstats!$F$1,J201),_xlfn.CONCAT(L201," ",TEXT(H201,"#0.0")))</f>
        <v>Dragon 4.9 Dragon 4.9</v>
      </c>
      <c r="P201" t="b">
        <f>IF(D201-E201&gt;=0,TRUE,FALSE)</f>
        <v>1</v>
      </c>
      <c r="Q201" t="b">
        <f>IF(B201&lt;&gt;"",TRUE,FALSE)</f>
        <v>0</v>
      </c>
      <c r="R201" t="b">
        <f t="shared" si="0"/>
        <v>0</v>
      </c>
    </row>
  </sheetData>
  <autoFilter ref="B1:R201" xr:uid="{7742F8BD-C0B2-4C05-821C-B5D4C083783C}">
    <sortState xmlns:xlrd2="http://schemas.microsoft.com/office/spreadsheetml/2017/richdata2" ref="B3:R195">
      <sortCondition descending="1" ref="K1:K201"/>
    </sortState>
  </autoFilter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1" r:id="rId3" name="Button 1">
              <controlPr defaultSize="0" print="0" autoFill="0" autoPict="0" macro="[0]!ExportMarkdownFile">
                <anchor moveWithCells="1" sizeWithCells="1">
                  <from>
                    <xdr:col>7</xdr:col>
                    <xdr:colOff>76200</xdr:colOff>
                    <xdr:row>0</xdr:row>
                    <xdr:rowOff>76200</xdr:rowOff>
                  </from>
                  <to>
                    <xdr:col>9</xdr:col>
                    <xdr:colOff>552450</xdr:colOff>
                    <xdr:row>0</xdr:row>
                    <xdr:rowOff>352425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4F8209D-DDA2-4889-B4AB-60D6C7258D21}">
  <sheetPr codeName="Sheet5"/>
  <dimension ref="B2:H15"/>
  <sheetViews>
    <sheetView workbookViewId="0">
      <selection activeCell="H26" sqref="H26"/>
    </sheetView>
  </sheetViews>
  <sheetFormatPr defaultRowHeight="15" x14ac:dyDescent="0.25"/>
  <cols>
    <col min="2" max="2" width="14.85546875" bestFit="1" customWidth="1"/>
    <col min="3" max="3" width="6.7109375" bestFit="1" customWidth="1"/>
    <col min="4" max="4" width="6" bestFit="1" customWidth="1"/>
    <col min="5" max="5" width="11.5703125" bestFit="1" customWidth="1"/>
    <col min="6" max="6" width="14.85546875" bestFit="1" customWidth="1"/>
    <col min="7" max="7" width="5" bestFit="1" customWidth="1"/>
    <col min="8" max="8" width="59" bestFit="1" customWidth="1"/>
  </cols>
  <sheetData>
    <row r="2" spans="2:8" x14ac:dyDescent="0.25">
      <c r="B2" t="s">
        <v>19</v>
      </c>
      <c r="C2" t="s">
        <v>125</v>
      </c>
      <c r="D2" t="s">
        <v>1</v>
      </c>
      <c r="E2" t="s">
        <v>130</v>
      </c>
      <c r="F2" t="s">
        <v>18</v>
      </c>
      <c r="G2" t="s">
        <v>5</v>
      </c>
      <c r="H2" t="s">
        <v>126</v>
      </c>
    </row>
    <row r="3" spans="2:8" x14ac:dyDescent="0.25">
      <c r="B3" t="s">
        <v>28</v>
      </c>
      <c r="C3">
        <v>2</v>
      </c>
      <c r="D3" t="s">
        <v>131</v>
      </c>
      <c r="E3">
        <v>716</v>
      </c>
      <c r="F3" t="s">
        <v>28</v>
      </c>
      <c r="G3">
        <v>2021</v>
      </c>
      <c r="H3" t="s">
        <v>132</v>
      </c>
    </row>
    <row r="4" spans="2:8" x14ac:dyDescent="0.25">
      <c r="B4" t="s">
        <v>23</v>
      </c>
      <c r="C4">
        <v>1</v>
      </c>
      <c r="D4" t="s">
        <v>133</v>
      </c>
      <c r="E4">
        <v>616</v>
      </c>
      <c r="F4" t="s">
        <v>23</v>
      </c>
      <c r="G4">
        <v>2021</v>
      </c>
      <c r="H4" t="s">
        <v>134</v>
      </c>
    </row>
    <row r="5" spans="2:8" x14ac:dyDescent="0.25">
      <c r="B5" t="s">
        <v>77</v>
      </c>
      <c r="C5">
        <v>2</v>
      </c>
      <c r="D5" t="s">
        <v>135</v>
      </c>
      <c r="E5">
        <v>411</v>
      </c>
      <c r="F5" t="s">
        <v>77</v>
      </c>
      <c r="G5">
        <v>2021</v>
      </c>
      <c r="H5" t="s">
        <v>136</v>
      </c>
    </row>
    <row r="6" spans="2:8" x14ac:dyDescent="0.25">
      <c r="B6" t="s">
        <v>24</v>
      </c>
      <c r="C6">
        <v>2</v>
      </c>
      <c r="D6" t="s">
        <v>137</v>
      </c>
      <c r="E6">
        <v>393</v>
      </c>
      <c r="F6" t="s">
        <v>24</v>
      </c>
      <c r="G6">
        <v>2021</v>
      </c>
      <c r="H6" t="s">
        <v>138</v>
      </c>
    </row>
    <row r="7" spans="2:8" x14ac:dyDescent="0.25">
      <c r="B7" t="s">
        <v>54</v>
      </c>
      <c r="C7">
        <v>2</v>
      </c>
      <c r="D7" t="s">
        <v>139</v>
      </c>
      <c r="E7">
        <v>348</v>
      </c>
      <c r="F7" t="s">
        <v>53</v>
      </c>
      <c r="G7">
        <v>2021</v>
      </c>
      <c r="H7" t="s">
        <v>140</v>
      </c>
    </row>
    <row r="8" spans="2:8" x14ac:dyDescent="0.25">
      <c r="B8" t="s">
        <v>24</v>
      </c>
      <c r="C8">
        <v>1</v>
      </c>
      <c r="D8" t="s">
        <v>141</v>
      </c>
      <c r="E8">
        <v>342</v>
      </c>
      <c r="F8" t="s">
        <v>24</v>
      </c>
      <c r="G8">
        <v>2022</v>
      </c>
      <c r="H8" t="s">
        <v>142</v>
      </c>
    </row>
    <row r="9" spans="2:8" x14ac:dyDescent="0.25">
      <c r="B9" t="s">
        <v>40</v>
      </c>
      <c r="C9">
        <v>2</v>
      </c>
      <c r="D9" t="s">
        <v>143</v>
      </c>
      <c r="E9">
        <v>335</v>
      </c>
      <c r="F9" t="s">
        <v>40</v>
      </c>
      <c r="G9">
        <v>2009</v>
      </c>
      <c r="H9" t="s">
        <v>144</v>
      </c>
    </row>
    <row r="10" spans="2:8" x14ac:dyDescent="0.25">
      <c r="B10" t="s">
        <v>43</v>
      </c>
      <c r="C10">
        <v>2</v>
      </c>
      <c r="D10" t="s">
        <v>145</v>
      </c>
      <c r="E10">
        <v>307</v>
      </c>
      <c r="F10" t="s">
        <v>43</v>
      </c>
      <c r="G10">
        <v>2009</v>
      </c>
      <c r="H10" t="s">
        <v>146</v>
      </c>
    </row>
    <row r="11" spans="2:8" x14ac:dyDescent="0.25">
      <c r="B11" t="s">
        <v>25</v>
      </c>
      <c r="C11">
        <v>1</v>
      </c>
      <c r="D11" t="s">
        <v>147</v>
      </c>
      <c r="E11">
        <v>306</v>
      </c>
      <c r="F11" t="s">
        <v>25</v>
      </c>
      <c r="G11">
        <v>2014</v>
      </c>
      <c r="H11" t="s">
        <v>148</v>
      </c>
    </row>
    <row r="12" spans="2:8" x14ac:dyDescent="0.25">
      <c r="B12" t="s">
        <v>26</v>
      </c>
      <c r="C12">
        <v>1</v>
      </c>
      <c r="D12" t="s">
        <v>149</v>
      </c>
      <c r="E12">
        <v>280</v>
      </c>
      <c r="F12" t="s">
        <v>26</v>
      </c>
      <c r="G12">
        <v>2018</v>
      </c>
      <c r="H12" t="s">
        <v>150</v>
      </c>
    </row>
    <row r="13" spans="2:8" x14ac:dyDescent="0.25">
      <c r="B13" t="s">
        <v>38</v>
      </c>
      <c r="C13">
        <v>1</v>
      </c>
      <c r="D13" t="s">
        <v>151</v>
      </c>
      <c r="E13">
        <v>269</v>
      </c>
      <c r="F13" t="s">
        <v>38</v>
      </c>
      <c r="G13">
        <v>2010</v>
      </c>
      <c r="H13" t="s">
        <v>152</v>
      </c>
    </row>
    <row r="14" spans="2:8" x14ac:dyDescent="0.25">
      <c r="B14" t="s">
        <v>27</v>
      </c>
      <c r="C14">
        <v>1</v>
      </c>
      <c r="D14" t="s">
        <v>153</v>
      </c>
      <c r="E14">
        <v>268</v>
      </c>
      <c r="F14" t="s">
        <v>27</v>
      </c>
      <c r="G14">
        <v>2006</v>
      </c>
      <c r="H14" t="s">
        <v>154</v>
      </c>
    </row>
    <row r="15" spans="2:8" x14ac:dyDescent="0.25">
      <c r="B15" t="s">
        <v>29</v>
      </c>
      <c r="C15">
        <v>1</v>
      </c>
      <c r="D15" t="s">
        <v>155</v>
      </c>
      <c r="E15">
        <v>258</v>
      </c>
      <c r="F15" t="s">
        <v>29</v>
      </c>
      <c r="G15">
        <v>2007</v>
      </c>
      <c r="H15" t="s">
        <v>156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5</vt:i4>
      </vt:variant>
      <vt:variant>
        <vt:lpstr>Named Ranges</vt:lpstr>
      </vt:variant>
      <vt:variant>
        <vt:i4>1</vt:i4>
      </vt:variant>
    </vt:vector>
  </HeadingPairs>
  <TitlesOfParts>
    <vt:vector size="6" baseType="lpstr">
      <vt:lpstr>Sailstats</vt:lpstr>
      <vt:lpstr>ddl</vt:lpstr>
      <vt:lpstr>Temp</vt:lpstr>
      <vt:lpstr>Temp2-Merge-6May</vt:lpstr>
      <vt:lpstr>Temp3</vt:lpstr>
      <vt:lpstr>rYear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Björn Johansson</dc:creator>
  <cp:lastModifiedBy>Björn Johansson</cp:lastModifiedBy>
  <dcterms:created xsi:type="dcterms:W3CDTF">2015-06-05T18:17:20Z</dcterms:created>
  <dcterms:modified xsi:type="dcterms:W3CDTF">2026-05-06T11:49:02Z</dcterms:modified>
</cp:coreProperties>
</file>