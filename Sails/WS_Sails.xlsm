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bjorn\Documents\bjorn76\WS\Sails\"/>
    </mc:Choice>
  </mc:AlternateContent>
  <xr:revisionPtr revIDLastSave="0" documentId="13_ncr:1_{34D51796-7D67-49B5-93C5-BE6C3CD98B69}" xr6:coauthVersionLast="47" xr6:coauthVersionMax="47" xr10:uidLastSave="{00000000-0000-0000-0000-000000000000}"/>
  <bookViews>
    <workbookView xWindow="-120" yWindow="-120" windowWidth="38640" windowHeight="21120" activeTab="3" xr2:uid="{00000000-000D-0000-FFFF-FFFF00000000}"/>
  </bookViews>
  <sheets>
    <sheet name="Sails" sheetId="1" r:id="rId1"/>
    <sheet name="GPS_Validation" sheetId="2" r:id="rId2"/>
    <sheet name="Temp-Berra-mall" sheetId="5" r:id="rId3"/>
    <sheet name="AI-Prompt" sheetId="10" r:id="rId4"/>
    <sheet name="Temp-Berra" sheetId="3" r:id="rId5"/>
    <sheet name="Temp-Berra2-NP" sheetId="4" r:id="rId6"/>
    <sheet name="Temp-Berra-3-Loftsails" sheetId="6" r:id="rId7"/>
    <sheet name="Temp-Berra-Simmer" sheetId="7" r:id="rId8"/>
    <sheet name="Sheet1" sheetId="8" r:id="rId9"/>
    <sheet name="Sheet2" sheetId="9" r:id="rId10"/>
  </sheets>
  <definedNames>
    <definedName name="_xlnm._FilterDatabase" localSheetId="0" hidden="1">Sails!$A$1:$M$1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1" l="1"/>
  <c r="A23" i="1"/>
  <c r="A24" i="1"/>
  <c r="A25" i="1"/>
  <c r="A26" i="1"/>
  <c r="A27" i="1"/>
  <c r="A28" i="1"/>
  <c r="A29" i="1"/>
  <c r="A30" i="1"/>
  <c r="A31" i="1"/>
  <c r="A32" i="1"/>
  <c r="A33" i="1"/>
  <c r="A34" i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" i="1"/>
  <c r="Q3" i="2" s="1"/>
  <c r="P3" i="2" l="1"/>
  <c r="P2" i="2"/>
  <c r="Q8" i="2"/>
  <c r="P9" i="2"/>
  <c r="P8" i="2"/>
  <c r="Q7" i="2"/>
  <c r="Q2" i="2"/>
  <c r="P7" i="2"/>
  <c r="Q6" i="2"/>
  <c r="Q5" i="2"/>
  <c r="P12" i="2"/>
  <c r="P5" i="2"/>
  <c r="Q4" i="2"/>
  <c r="P6" i="2"/>
  <c r="P4" i="2"/>
  <c r="P11" i="2"/>
  <c r="Q12" i="2"/>
  <c r="Q15" i="2"/>
  <c r="Q13" i="2"/>
  <c r="P15" i="2"/>
  <c r="Q14" i="2"/>
  <c r="P10" i="2"/>
  <c r="P14" i="2"/>
  <c r="Q11" i="2"/>
  <c r="Q10" i="2"/>
  <c r="P13" i="2"/>
  <c r="Q9" i="2"/>
</calcChain>
</file>

<file path=xl/sharedStrings.xml><?xml version="1.0" encoding="utf-8"?>
<sst xmlns="http://schemas.openxmlformats.org/spreadsheetml/2006/main" count="788" uniqueCount="116">
  <si>
    <t>Luff</t>
  </si>
  <si>
    <t>Boom</t>
  </si>
  <si>
    <t>Battens</t>
  </si>
  <si>
    <t>Cams</t>
  </si>
  <si>
    <t>Weight</t>
  </si>
  <si>
    <t>Head</t>
  </si>
  <si>
    <t>Mast</t>
  </si>
  <si>
    <t>SDM/RDM</t>
  </si>
  <si>
    <t>4 x RDM</t>
  </si>
  <si>
    <t>FIXED</t>
  </si>
  <si>
    <t>SEVERNE 400/370</t>
  </si>
  <si>
    <t>RDM or SDM</t>
  </si>
  <si>
    <t>SEVERNE 400</t>
  </si>
  <si>
    <t>SEVERNE 430</t>
  </si>
  <si>
    <t>4 x SDM</t>
  </si>
  <si>
    <t>SDM</t>
  </si>
  <si>
    <t>SEVERNE 460</t>
  </si>
  <si>
    <t>SEVERNE 490</t>
  </si>
  <si>
    <t>ID</t>
  </si>
  <si>
    <t>Brand</t>
  </si>
  <si>
    <t>Type</t>
  </si>
  <si>
    <t>Size</t>
  </si>
  <si>
    <t>Year</t>
  </si>
  <si>
    <t>Class</t>
  </si>
  <si>
    <t>Sessions</t>
  </si>
  <si>
    <t>Severne</t>
  </si>
  <si>
    <t>ID2</t>
  </si>
  <si>
    <t>Temp Notes</t>
  </si>
  <si>
    <t>XMATCH</t>
  </si>
  <si>
    <t>XLookUp "-1"</t>
  </si>
  <si>
    <t>Mach 4</t>
  </si>
  <si>
    <t>BATTENS</t>
  </si>
  <si>
    <t>400/19</t>
  </si>
  <si>
    <t>430/21</t>
  </si>
  <si>
    <t>460/25</t>
  </si>
  <si>
    <t>490/29</t>
  </si>
  <si>
    <t>520/34</t>
  </si>
  <si>
    <t>Simmer Sails</t>
  </si>
  <si>
    <t>SCR</t>
  </si>
  <si>
    <t>Simmer</t>
  </si>
  <si>
    <t>&lt;- Paste Data to validate to the left</t>
  </si>
  <si>
    <t>View result in formulas to the right -&gt;</t>
  </si>
  <si>
    <t>SIZE m2</t>
  </si>
  <si>
    <t>LUFF cm</t>
  </si>
  <si>
    <t>BOOM cm</t>
  </si>
  <si>
    <t>WEIGHT kg</t>
  </si>
  <si>
    <t>CAMS</t>
  </si>
  <si>
    <t>IDEAL MAST</t>
  </si>
  <si>
    <t>166-172</t>
  </si>
  <si>
    <t>168-174</t>
  </si>
  <si>
    <t>174-180</t>
  </si>
  <si>
    <t>186-192</t>
  </si>
  <si>
    <t>200-206</t>
  </si>
  <si>
    <t>210-216</t>
  </si>
  <si>
    <t>220-226</t>
  </si>
  <si>
    <t>RDM</t>
  </si>
  <si>
    <t>Fixed</t>
  </si>
  <si>
    <t>RS Racing EVO XIV</t>
  </si>
  <si>
    <t>Neilpryde</t>
  </si>
  <si>
    <t>Racing EVO XVII</t>
  </si>
  <si>
    <t>Size (m²)</t>
  </si>
  <si>
    <t>Luff (cm)</t>
  </si>
  <si>
    <t>Boom (cm)</t>
  </si>
  <si>
    <t>Weight (kg)</t>
  </si>
  <si>
    <t>166–172</t>
  </si>
  <si>
    <t>168–174</t>
  </si>
  <si>
    <t>174–180</t>
  </si>
  <si>
    <t>172–174</t>
  </si>
  <si>
    <t>186–192</t>
  </si>
  <si>
    <t>200–206</t>
  </si>
  <si>
    <t>210–216</t>
  </si>
  <si>
    <t>220–226</t>
  </si>
  <si>
    <t>MDM</t>
  </si>
  <si>
    <t>RS Racing EVO XVII</t>
  </si>
  <si>
    <t>Extension</t>
  </si>
  <si>
    <t>Cambers</t>
  </si>
  <si>
    <t>Rec. Mast</t>
  </si>
  <si>
    <t>4,86</t>
  </si>
  <si>
    <t>Team Edition 400 RDM</t>
  </si>
  <si>
    <t>5,15</t>
  </si>
  <si>
    <t>5,47</t>
  </si>
  <si>
    <t>Team Edition 430 SDM</t>
  </si>
  <si>
    <t>5,78</t>
  </si>
  <si>
    <t>Team Edition 460 SDM</t>
  </si>
  <si>
    <t>6,10</t>
  </si>
  <si>
    <t>Team Edition 490 SDM</t>
  </si>
  <si>
    <t>170/172</t>
  </si>
  <si>
    <t>182/184</t>
  </si>
  <si>
    <t>198/200</t>
  </si>
  <si>
    <t>206/208</t>
  </si>
  <si>
    <t>216/218</t>
  </si>
  <si>
    <t>Racingblade</t>
  </si>
  <si>
    <t>Loftsails</t>
  </si>
  <si>
    <t>BQ</t>
  </si>
  <si>
    <t>https://www.gps-speedsurfing.com/sessions/userequipment?userid=2558</t>
  </si>
  <si>
    <t>SX8 RDM/SDM</t>
  </si>
  <si>
    <t>Adjustable</t>
  </si>
  <si>
    <t>SX8 SDM</t>
  </si>
  <si>
    <t>S-Max</t>
  </si>
  <si>
    <t>V-Max</t>
  </si>
  <si>
    <t>RDM/SDM</t>
  </si>
  <si>
    <t>400/430</t>
  </si>
  <si>
    <t>Enduro</t>
  </si>
  <si>
    <t>Icon</t>
  </si>
  <si>
    <t>—</t>
  </si>
  <si>
    <t>Blacktip</t>
  </si>
  <si>
    <t>Mast Type</t>
  </si>
  <si>
    <t>Duotone</t>
  </si>
  <si>
    <t>X_PACE</t>
  </si>
  <si>
    <t>RDM / SDM</t>
  </si>
  <si>
    <t>SDM / RDM</t>
  </si>
  <si>
    <t>Mast Length</t>
  </si>
  <si>
    <t>FIX</t>
  </si>
  <si>
    <t>RDM [2](https://office.com?path=0965fd51-5558-4577-a7c6-a0cc5c436922)</t>
  </si>
  <si>
    <t>RDM/SDM [2](https://office.com?path=0965fd51-5558-4577-a7c6-a0cc5c436922)</t>
  </si>
  <si>
    <t>SDM/RDM [2](https://office.com?path=0965fd51-5558-4577-a7c6-a0cc5c436922)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</si>
</sst>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1" fillId="2" borderId="0" xfId="0" applyFont="1" applyFill="1"/>
    <xf numFmtId="0" fontId="1" fillId="3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0" fontId="0" fillId="5" borderId="0" xfId="0" applyFill="1"/>
    <xf numFmtId="0" fontId="0" fillId="2" borderId="0" xfId="0" applyFill="1"/>
    <xf numFmtId="0" fontId="1" fillId="4" borderId="0" xfId="0" applyFont="1" applyFill="1"/>
    <xf numFmtId="0" fontId="1" fillId="2" borderId="1" xfId="0" applyFont="1" applyFill="1" applyBorder="1"/>
    <xf numFmtId="0" fontId="3" fillId="6" borderId="0" xfId="0" applyFont="1" applyFill="1"/>
    <xf numFmtId="0" fontId="1" fillId="0" borderId="2" xfId="0" applyFont="1" applyBorder="1"/>
    <xf numFmtId="0" fontId="0" fillId="7" borderId="3" xfId="0" applyFill="1" applyBorder="1"/>
    <xf numFmtId="0" fontId="4" fillId="2" borderId="0" xfId="0" applyFont="1" applyFill="1"/>
    <xf numFmtId="0" fontId="0" fillId="6" borderId="0" xfId="0" applyFill="1"/>
    <xf numFmtId="0" fontId="5" fillId="6" borderId="0" xfId="0" applyFont="1" applyFill="1"/>
    <xf numFmtId="0" fontId="6" fillId="0" borderId="0" xfId="0" quotePrefix="1" applyFont="1"/>
    <xf numFmtId="0" fontId="6" fillId="0" borderId="0" xfId="0" applyFont="1"/>
    <xf numFmtId="0" fontId="7" fillId="0" borderId="0" xfId="1"/>
    <xf numFmtId="0" fontId="1" fillId="0" borderId="0" xfId="0" applyFont="1"/>
  </cellXfs>
  <cellStyles count="2">
    <cellStyle name="Hyperlink" xfId="1" builtinId="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289560</xdr:colOff>
      <xdr:row>1</xdr:row>
      <xdr:rowOff>32385</xdr:rowOff>
    </xdr:from>
    <xdr:to>
      <xdr:col>25</xdr:col>
      <xdr:colOff>552450</xdr:colOff>
      <xdr:row>9</xdr:row>
      <xdr:rowOff>173355</xdr:rowOff>
    </xdr:to>
    <xdr:sp macro="" textlink="">
      <xdr:nvSpPr>
        <xdr:cNvPr id="6145" name="Text Box 1">
          <a:extLst>
            <a:ext uri="{FF2B5EF4-FFF2-40B4-BE49-F238E27FC236}">
              <a16:creationId xmlns:a16="http://schemas.microsoft.com/office/drawing/2014/main" id="{90BCD358-61B7-D71B-16F5-E5BDD2CC5A03}"/>
            </a:ext>
          </a:extLst>
        </xdr:cNvPr>
        <xdr:cNvSpPr txBox="1">
          <a:spLocks noChangeArrowheads="1"/>
        </xdr:cNvSpPr>
      </xdr:nvSpPr>
      <xdr:spPr bwMode="auto">
        <a:xfrm>
          <a:off x="11433810" y="222885"/>
          <a:ext cx="5749290" cy="166497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Create a table with the following column order:</a:t>
          </a:r>
        </a:p>
        <a:p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Brand, Type, Size, Year, Luff, Boom, Battens, Cams, Weight, Head, Mast Length, Mast Type.</a:t>
          </a: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Brand = Duotone.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Type =X_PACE.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Year =2026. 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The other data can be found in a table in </a:t>
          </a:r>
          <a:r>
            <a:rPr lang="sv-SE" sz="1100">
              <a:effectLst/>
              <a:latin typeface="+mn-lt"/>
              <a:ea typeface="+mn-ea"/>
              <a:cs typeface="+mn-cs"/>
            </a:rPr>
            <a:t>this url:</a:t>
          </a:r>
          <a:endParaRPr lang="sv-SE">
            <a:effectLst/>
          </a:endParaRPr>
        </a:p>
        <a:p>
          <a:r>
            <a:rPr lang="sv-SE" sz="1100">
              <a:effectLst/>
              <a:latin typeface="+mn-lt"/>
              <a:ea typeface="+mn-ea"/>
              <a:cs typeface="+mn-cs"/>
            </a:rPr>
            <a:t>https://www.duotonesports.com/en/products/duotone-x_pace-2027-14260-1212?variant=57715249774979</a:t>
          </a:r>
          <a:endParaRPr lang="sv-SE">
            <a:effectLst/>
          </a:endParaRPr>
        </a:p>
        <a:p>
          <a:pPr algn="l" rtl="0">
            <a:defRPr sz="1000"/>
          </a:pPr>
          <a:endParaRPr lang="sv-SE" sz="1100" b="0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342900</xdr:colOff>
      <xdr:row>32</xdr:row>
      <xdr:rowOff>119061</xdr:rowOff>
    </xdr:from>
    <xdr:to>
      <xdr:col>26</xdr:col>
      <xdr:colOff>371475</xdr:colOff>
      <xdr:row>50</xdr:row>
      <xdr:rowOff>123824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7612EF3-D51F-3C8C-D00A-E7D6F9663A18}"/>
            </a:ext>
          </a:extLst>
        </xdr:cNvPr>
        <xdr:cNvSpPr txBox="1"/>
      </xdr:nvSpPr>
      <xdr:spPr>
        <a:xfrm>
          <a:off x="10267950" y="6215061"/>
          <a:ext cx="7343775" cy="34337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b="1"/>
            <a:t>Prompt:</a:t>
          </a:r>
          <a:endParaRPr lang="sv-SE"/>
        </a:p>
        <a:p>
          <a:r>
            <a:rPr lang="sv-SE" b="1"/>
            <a:t>Task:</a:t>
          </a:r>
          <a:r>
            <a:rPr lang="sv-SE"/>
            <a:t> Create a technical specification table for windsurfing equipment.</a:t>
          </a:r>
        </a:p>
        <a:p>
          <a:r>
            <a:rPr lang="sv-SE" b="1"/>
            <a:t>Data Source:</a:t>
          </a:r>
          <a:r>
            <a:rPr lang="sv-SE">
              <a:hlinkClick xmlns:r="http://schemas.openxmlformats.org/officeDocument/2006/relationships" r:id=""/>
            </a:rPr>
            <a:t>https://www.duotonesports.com/en/products/duotone-x_pace-2027-14260-1212?variant=57715249774979</a:t>
          </a:r>
          <a:endParaRPr lang="sv-SE"/>
        </a:p>
        <a:p>
          <a:endParaRPr lang="sv-SE"/>
        </a:p>
        <a:p>
          <a:r>
            <a:rPr lang="sv-SE" b="1"/>
            <a:t>Output Format:</a:t>
          </a:r>
          <a:r>
            <a:rPr lang="sv-SE"/>
            <a:t> Please generate a table with the columns in this exact order:</a:t>
          </a:r>
        </a:p>
        <a:p>
          <a:r>
            <a:rPr lang="sv-SE" b="1"/>
            <a:t>Brand</a:t>
          </a:r>
          <a:r>
            <a:rPr lang="sv-SE"/>
            <a:t> (Value for all rows: "Duotone")</a:t>
          </a:r>
        </a:p>
        <a:p>
          <a:r>
            <a:rPr lang="sv-SE" b="1"/>
            <a:t>Type</a:t>
          </a:r>
          <a:r>
            <a:rPr lang="sv-SE"/>
            <a:t> (Value for all rows: "X_PACE")</a:t>
          </a:r>
        </a:p>
        <a:p>
          <a:r>
            <a:rPr lang="sv-SE" b="1"/>
            <a:t>Size</a:t>
          </a:r>
          <a:r>
            <a:rPr lang="sv-SE"/>
            <a:t> (Extract from source)</a:t>
          </a:r>
        </a:p>
        <a:p>
          <a:r>
            <a:rPr lang="sv-SE" b="1"/>
            <a:t>Year</a:t>
          </a:r>
          <a:r>
            <a:rPr lang="sv-SE"/>
            <a:t> (Value for all rows: "2026")</a:t>
          </a:r>
        </a:p>
        <a:p>
          <a:r>
            <a:rPr lang="sv-SE" b="1"/>
            <a:t>Luff</a:t>
          </a:r>
          <a:r>
            <a:rPr lang="sv-SE"/>
            <a:t> (Extract from source)</a:t>
          </a:r>
        </a:p>
        <a:p>
          <a:r>
            <a:rPr lang="sv-SE" b="1"/>
            <a:t>Boom</a:t>
          </a:r>
          <a:r>
            <a:rPr lang="sv-SE"/>
            <a:t> (Extract from source)</a:t>
          </a:r>
        </a:p>
        <a:p>
          <a:r>
            <a:rPr lang="sv-SE" b="1"/>
            <a:t>Battens</a:t>
          </a:r>
          <a:r>
            <a:rPr lang="sv-SE"/>
            <a:t> (Extract from source)</a:t>
          </a:r>
        </a:p>
        <a:p>
          <a:r>
            <a:rPr lang="sv-SE" b="1"/>
            <a:t>Cams</a:t>
          </a:r>
          <a:r>
            <a:rPr lang="sv-SE"/>
            <a:t> (Extract from source)</a:t>
          </a:r>
        </a:p>
        <a:p>
          <a:r>
            <a:rPr lang="sv-SE" b="1"/>
            <a:t>Weight</a:t>
          </a:r>
          <a:r>
            <a:rPr lang="sv-SE"/>
            <a:t> (Extract from source)</a:t>
          </a:r>
        </a:p>
        <a:p>
          <a:r>
            <a:rPr lang="sv-SE" b="1"/>
            <a:t>Head</a:t>
          </a:r>
          <a:r>
            <a:rPr lang="sv-SE"/>
            <a:t> (Extract from source)</a:t>
          </a:r>
        </a:p>
        <a:p>
          <a:r>
            <a:rPr lang="sv-SE" b="1"/>
            <a:t>Mast Length</a:t>
          </a:r>
          <a:r>
            <a:rPr lang="sv-SE"/>
            <a:t> (Extract from source)</a:t>
          </a:r>
        </a:p>
        <a:p>
          <a:r>
            <a:rPr lang="sv-SE" b="1"/>
            <a:t>SDM/RDM</a:t>
          </a:r>
          <a:r>
            <a:rPr lang="sv-SE" b="1" baseline="0"/>
            <a:t> </a:t>
          </a:r>
          <a:r>
            <a:rPr lang="sv-SE"/>
            <a:t>(Extract from source)</a:t>
          </a:r>
        </a:p>
        <a:p>
          <a:endParaRPr lang="sv-S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66676</xdr:colOff>
      <xdr:row>0</xdr:row>
      <xdr:rowOff>176211</xdr:rowOff>
    </xdr:from>
    <xdr:to>
      <xdr:col>28</xdr:col>
      <xdr:colOff>19050</xdr:colOff>
      <xdr:row>23</xdr:row>
      <xdr:rowOff>123825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0A43A5D-0B89-4E11-A788-38ABCEAD7206}"/>
            </a:ext>
          </a:extLst>
        </xdr:cNvPr>
        <xdr:cNvSpPr txBox="1"/>
      </xdr:nvSpPr>
      <xdr:spPr>
        <a:xfrm>
          <a:off x="9496426" y="176211"/>
          <a:ext cx="6048374" cy="43291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Create a technical specification table for windsurfing sails.</a:t>
          </a:r>
          <a:r>
            <a:rPr lang="sv-SE" sz="1400" baseline="0">
              <a:latin typeface="Aptos Narrow" panose="020B0004020202020204" pitchFamily="34" charset="0"/>
            </a:rPr>
            <a:t> No links nor explanation should be inluced. Only output the table. Copy the table to the clipboard</a:t>
          </a:r>
        </a:p>
        <a:p>
          <a:endParaRPr lang="sv-SE" sz="14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Reapeat</a:t>
          </a:r>
          <a:r>
            <a:rPr lang="sv-SE" sz="1400" b="1" baseline="0">
              <a:latin typeface="Aptos Narrow" panose="020B0004020202020204" pitchFamily="34" charset="0"/>
            </a:rPr>
            <a:t> to 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Sail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Output Format:</a:t>
          </a:r>
          <a:r>
            <a:rPr lang="sv-SE" sz="1400">
              <a:latin typeface="Aptos Narrow" panose="020B0004020202020204" pitchFamily="34" charset="0"/>
            </a:rPr>
            <a:t> Please generate a table with the columns in this exact order: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Luff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Boom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Battens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Cams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Weight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Head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Mast Length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SDM/RDM</a:t>
          </a:r>
          <a:r>
            <a:rPr lang="sv-SE" sz="1400" b="1" baseline="0">
              <a:latin typeface="Aptos Narrow" panose="020B0004020202020204" pitchFamily="34" charset="0"/>
            </a:rPr>
            <a:t> </a:t>
          </a:r>
          <a:r>
            <a:rPr lang="sv-SE" sz="1400"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13</xdr:col>
      <xdr:colOff>76199</xdr:colOff>
      <xdr:row>26</xdr:row>
      <xdr:rowOff>133350</xdr:rowOff>
    </xdr:from>
    <xdr:to>
      <xdr:col>17</xdr:col>
      <xdr:colOff>314325</xdr:colOff>
      <xdr:row>35</xdr:row>
      <xdr:rowOff>85725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2F6F037-3BE3-D787-3DB5-227B62CD9602}"/>
            </a:ext>
          </a:extLst>
        </xdr:cNvPr>
        <xdr:cNvSpPr txBox="1"/>
      </xdr:nvSpPr>
      <xdr:spPr>
        <a:xfrm>
          <a:off x="6467474" y="5086350"/>
          <a:ext cx="2676526" cy="1666875"/>
        </a:xfrm>
        <a:prstGeom prst="rect">
          <a:avLst/>
        </a:prstGeom>
        <a:gradFill flip="none" rotWithShape="1"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https://www.duotonesports.com/en/windsurfing/sails</a:t>
          </a:r>
        </a:p>
        <a:p>
          <a:endParaRPr lang="sv-SE" sz="14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E_PACE</a:t>
          </a:r>
        </a:p>
      </xdr:txBody>
    </xdr:sp>
    <xdr:clientData/>
  </xdr:twoCellAnchor>
  <xdr:twoCellAnchor>
    <xdr:from>
      <xdr:col>13</xdr:col>
      <xdr:colOff>190499</xdr:colOff>
      <xdr:row>46</xdr:row>
      <xdr:rowOff>19050</xdr:rowOff>
    </xdr:from>
    <xdr:to>
      <xdr:col>17</xdr:col>
      <xdr:colOff>447675</xdr:colOff>
      <xdr:row>53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A0F95E0-B86E-9BD2-B256-7361AE34CCE1}"/>
            </a:ext>
          </a:extLst>
        </xdr:cNvPr>
        <xdr:cNvSpPr txBox="1"/>
      </xdr:nvSpPr>
      <xdr:spPr>
        <a:xfrm>
          <a:off x="6581774" y="8782050"/>
          <a:ext cx="2695576" cy="14573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https://www.duotonesports.com/en/uk/products/duotone-s_pace-2026-14260-1213?color=C05%3Awhite%2Fviolet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S_PACE</a:t>
          </a:r>
        </a:p>
      </xdr:txBody>
    </xdr:sp>
    <xdr:clientData/>
  </xdr:twoCellAnchor>
  <xdr:twoCellAnchor>
    <xdr:from>
      <xdr:col>12</xdr:col>
      <xdr:colOff>647698</xdr:colOff>
      <xdr:row>14</xdr:row>
      <xdr:rowOff>28575</xdr:rowOff>
    </xdr:from>
    <xdr:to>
      <xdr:col>17</xdr:col>
      <xdr:colOff>200025</xdr:colOff>
      <xdr:row>22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4B24272-B9D9-4714-5429-700C11A0026A}"/>
            </a:ext>
          </a:extLst>
        </xdr:cNvPr>
        <xdr:cNvSpPr txBox="1"/>
      </xdr:nvSpPr>
      <xdr:spPr>
        <a:xfrm>
          <a:off x="6353173" y="269557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https://www.duotonesports.com/en/windsurfing/sails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X_PACE</a:t>
          </a:r>
        </a:p>
      </xdr:txBody>
    </xdr:sp>
    <xdr:clientData/>
  </xdr:twoCellAnchor>
  <xdr:twoCellAnchor>
    <xdr:from>
      <xdr:col>13</xdr:col>
      <xdr:colOff>142873</xdr:colOff>
      <xdr:row>37</xdr:row>
      <xdr:rowOff>104775</xdr:rowOff>
    </xdr:from>
    <xdr:to>
      <xdr:col>17</xdr:col>
      <xdr:colOff>381000</xdr:colOff>
      <xdr:row>45</xdr:row>
      <xdr:rowOff>76200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B2C24C3-5BC8-B064-BF98-57C3A7242B5B}"/>
            </a:ext>
          </a:extLst>
        </xdr:cNvPr>
        <xdr:cNvSpPr txBox="1"/>
      </xdr:nvSpPr>
      <xdr:spPr>
        <a:xfrm>
          <a:off x="6534148" y="715327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https://www.patrikinternational.com/en/shop/windsurfing/windsurf-sails/patrik-race-ha-gen2.html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PATRIK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Race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HA Gen2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18</xdr:col>
      <xdr:colOff>381000</xdr:colOff>
      <xdr:row>27</xdr:row>
      <xdr:rowOff>28575</xdr:rowOff>
    </xdr:from>
    <xdr:to>
      <xdr:col>25</xdr:col>
      <xdr:colOff>553070</xdr:colOff>
      <xdr:row>39</xdr:row>
      <xdr:rowOff>105105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BDAB38F-2374-B838-95E9-91A3895C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20275" y="5172075"/>
          <a:ext cx="4439270" cy="2362530"/>
        </a:xfrm>
        <a:prstGeom prst="rect">
          <a:avLst/>
        </a:prstGeom>
      </xdr:spPr>
    </xdr:pic>
    <xdr:clientData/>
  </xdr:twoCellAnchor>
  <xdr:twoCellAnchor>
    <xdr:from>
      <xdr:col>12</xdr:col>
      <xdr:colOff>609598</xdr:colOff>
      <xdr:row>0</xdr:row>
      <xdr:rowOff>133350</xdr:rowOff>
    </xdr:from>
    <xdr:to>
      <xdr:col>17</xdr:col>
      <xdr:colOff>161925</xdr:colOff>
      <xdr:row>8</xdr:row>
      <xdr:rowOff>104775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FBD8553-5898-0358-890E-EA67959219C9}"/>
            </a:ext>
          </a:extLst>
        </xdr:cNvPr>
        <xdr:cNvSpPr txBox="1"/>
      </xdr:nvSpPr>
      <xdr:spPr>
        <a:xfrm>
          <a:off x="6315073" y="133350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https://www.patrikinternational.com/en/shop/windsurfing/windsurf-sails/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PATRIK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Race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LA Gen2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581025</xdr:colOff>
      <xdr:row>14</xdr:row>
      <xdr:rowOff>151897</xdr:rowOff>
    </xdr:from>
    <xdr:to>
      <xdr:col>11</xdr:col>
      <xdr:colOff>258233</xdr:colOff>
      <xdr:row>49</xdr:row>
      <xdr:rowOff>39051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2FAE50-B5D5-D0ED-0B93-AF05A6A17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2818897"/>
          <a:ext cx="7297208" cy="6554654"/>
        </a:xfrm>
        <a:prstGeom prst="rect">
          <a:avLst/>
        </a:prstGeom>
      </xdr:spPr>
    </xdr:pic>
    <xdr:clientData/>
  </xdr:twoCellAnchor>
  <xdr:twoCellAnchor editAs="oneCell">
    <xdr:from>
      <xdr:col>11</xdr:col>
      <xdr:colOff>209550</xdr:colOff>
      <xdr:row>14</xdr:row>
      <xdr:rowOff>114300</xdr:rowOff>
    </xdr:from>
    <xdr:to>
      <xdr:col>29</xdr:col>
      <xdr:colOff>466725</xdr:colOff>
      <xdr:row>48</xdr:row>
      <xdr:rowOff>159991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1A329C3-6730-56ED-C975-A9B00B53B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29550" y="2781300"/>
          <a:ext cx="11229975" cy="65226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47624</xdr:colOff>
      <xdr:row>12</xdr:row>
      <xdr:rowOff>167326</xdr:rowOff>
    </xdr:from>
    <xdr:to>
      <xdr:col>25</xdr:col>
      <xdr:colOff>524617</xdr:colOff>
      <xdr:row>26</xdr:row>
      <xdr:rowOff>57505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B7B7FB-1FA8-3997-D059-2F421533D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44424" y="2453326"/>
          <a:ext cx="5353793" cy="2557179"/>
        </a:xfrm>
        <a:prstGeom prst="rect">
          <a:avLst/>
        </a:prstGeom>
      </xdr:spPr>
    </xdr:pic>
    <xdr:clientData/>
  </xdr:twoCellAnchor>
  <xdr:twoCellAnchor editAs="oneCell">
    <xdr:from>
      <xdr:col>17</xdr:col>
      <xdr:colOff>59568</xdr:colOff>
      <xdr:row>27</xdr:row>
      <xdr:rowOff>152400</xdr:rowOff>
    </xdr:from>
    <xdr:to>
      <xdr:col>23</xdr:col>
      <xdr:colOff>496156</xdr:colOff>
      <xdr:row>45</xdr:row>
      <xdr:rowOff>29266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BCA180B-F00F-88AD-E10E-64262933D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56368" y="5295900"/>
          <a:ext cx="4094188" cy="3305866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12</xdr:row>
      <xdr:rowOff>38100</xdr:rowOff>
    </xdr:from>
    <xdr:to>
      <xdr:col>16</xdr:col>
      <xdr:colOff>106416</xdr:colOff>
      <xdr:row>36</xdr:row>
      <xdr:rowOff>76843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24BB73E-A458-4C54-2863-D1D800A85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2324100"/>
          <a:ext cx="11755491" cy="46107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109624</xdr:colOff>
      <xdr:row>1</xdr:row>
      <xdr:rowOff>11429</xdr:rowOff>
    </xdr:from>
    <xdr:to>
      <xdr:col>27</xdr:col>
      <xdr:colOff>346710</xdr:colOff>
      <xdr:row>24</xdr:row>
      <xdr:rowOff>41667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B6D0D8-9A09-5383-7767-7C37956A3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85244" y="392429"/>
          <a:ext cx="6950306" cy="441935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18BDF6-32C1-480E-9B8E-B099EEBE95C0}" name="Table1" displayName="Table1" ref="A1:L7" totalsRowShown="0">
  <autoFilter ref="A1:L7" xr:uid="{9C18BDF6-32C1-480E-9B8E-B099EEBE95C0}"/>
  <tableColumns count="12">
    <tableColumn id="1" xr3:uid="{831A0BEE-80DD-465D-9FA6-15BC34364821}" name="Brand"/>
    <tableColumn id="2" xr3:uid="{92A1262E-2C8F-4118-8A93-11A6494806B0}" name="Type"/>
    <tableColumn id="3" xr3:uid="{F3E0AC80-B458-4B7C-B2CC-6472CA8E063A}" name="Size"/>
    <tableColumn id="4" xr3:uid="{7E662E96-8054-4C52-9584-AD1D53439173}" name="Year"/>
    <tableColumn id="5" xr3:uid="{B9928869-7AEA-4C81-8956-40E77AE1FC3A}" name="Luff"/>
    <tableColumn id="6" xr3:uid="{A012E963-3C97-4CFE-BE06-6EEA8E69FDCA}" name="Boom"/>
    <tableColumn id="7" xr3:uid="{4428A4AF-A034-4B47-852B-52076CBB2732}" name="Battens"/>
    <tableColumn id="8" xr3:uid="{8D85E246-20FA-4FA2-8C24-69C21B569252}" name="Cams"/>
    <tableColumn id="9" xr3:uid="{241034D8-B083-472B-B6A5-37762C4E934F}" name="Weight"/>
    <tableColumn id="10" xr3:uid="{9D797DA5-CFC4-4465-8212-E98B74968191}" name="Head"/>
    <tableColumn id="11" xr3:uid="{F652C91A-414F-4DFC-B5BD-E71F79CF03B4}" name="Mast Length"/>
    <tableColumn id="12" xr3:uid="{2E42F1AD-9007-4775-BBCC-357655704C38}" name="Mast 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3C4258-46F3-4146-B9EC-15068BEE6BB8}" name="Table2" displayName="Table2" ref="A1:L7" totalsRowShown="0">
  <autoFilter ref="A1:L7" xr:uid="{AF3C4258-46F3-4146-B9EC-15068BEE6BB8}"/>
  <tableColumns count="12">
    <tableColumn id="1" xr3:uid="{3DC38B7E-C84C-4D8D-96FE-14602B8AC4A6}" name="Brand"/>
    <tableColumn id="2" xr3:uid="{AC838C6B-FD1D-494C-9DFC-F176BDCB77CB}" name="Type"/>
    <tableColumn id="3" xr3:uid="{2E2CC861-463D-429E-AADA-C19F12A4C94A}" name="Size"/>
    <tableColumn id="4" xr3:uid="{566D22BF-4224-4A7F-8D02-A74E5B659588}" name="Year"/>
    <tableColumn id="5" xr3:uid="{F6B94F8C-4C01-404E-94FB-1A2E1A5FFE73}" name="Luff"/>
    <tableColumn id="6" xr3:uid="{9B726B51-0B2D-4785-B7CE-3B2DC0AB48B0}" name="Boom"/>
    <tableColumn id="7" xr3:uid="{C08CE3AF-61BF-461F-97BE-DAB80AE37EC8}" name="Battens"/>
    <tableColumn id="8" xr3:uid="{4D15AF73-45D9-4C96-8C83-5ED27F8F7216}" name="Cams"/>
    <tableColumn id="9" xr3:uid="{09D74325-42BD-4FD3-90ED-BD51B6A76C93}" name="Weight"/>
    <tableColumn id="10" xr3:uid="{429CE112-EF9F-4908-AB47-BCB12D4BD4AB}" name="Head"/>
    <tableColumn id="11" xr3:uid="{AA54B76E-4DF0-4655-A196-FFC2B4347C16}" name="Mast Length"/>
    <tableColumn id="12" xr3:uid="{01436DD6-51F2-41B2-975B-53BB02D6B9C3}" name="Mast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gps-speedsurfing.com/sessions/userequipment?userid=2558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59999389629810485"/>
  </sheetPr>
  <dimension ref="A1:M34"/>
  <sheetViews>
    <sheetView workbookViewId="0">
      <selection activeCell="B2" sqref="B2"/>
    </sheetView>
  </sheetViews>
  <sheetFormatPr defaultRowHeight="15" x14ac:dyDescent="0.25"/>
  <cols>
    <col min="1" max="1" width="37.28515625" customWidth="1"/>
    <col min="2" max="2" width="12.28515625" customWidth="1"/>
    <col min="3" max="3" width="19.28515625" customWidth="1"/>
    <col min="4" max="4" width="7.7109375" style="4" customWidth="1"/>
    <col min="5" max="5" width="7.28515625" bestFit="1" customWidth="1"/>
    <col min="12" max="12" width="16.28515625" bestFit="1" customWidth="1"/>
    <col min="13" max="13" width="11.85546875" bestFit="1" customWidth="1"/>
    <col min="14" max="14" width="13.140625" bestFit="1" customWidth="1"/>
  </cols>
  <sheetData>
    <row r="1" spans="1:13" ht="27.75" customHeight="1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A2" s="9" t="str">
        <f>_xlfn.CONCAT(E2,"-",LEFT(B2,2),"-",SUBSTITUTE(C2," "," "),"-",D2)</f>
        <v>2021-Se-Mach 4-5</v>
      </c>
      <c r="B2" t="s">
        <v>25</v>
      </c>
      <c r="C2" t="s">
        <v>30</v>
      </c>
      <c r="D2" s="4">
        <v>5</v>
      </c>
      <c r="E2">
        <v>2021</v>
      </c>
      <c r="F2">
        <v>400</v>
      </c>
      <c r="G2">
        <v>176</v>
      </c>
      <c r="H2">
        <v>7</v>
      </c>
      <c r="I2" t="s">
        <v>8</v>
      </c>
      <c r="J2">
        <v>4.25</v>
      </c>
      <c r="K2" t="s">
        <v>9</v>
      </c>
      <c r="L2" t="s">
        <v>10</v>
      </c>
      <c r="M2" t="s">
        <v>11</v>
      </c>
    </row>
    <row r="3" spans="1:13" x14ac:dyDescent="0.25">
      <c r="A3" s="9" t="str">
        <f t="shared" ref="A3:A34" si="0">_xlfn.CONCAT(E3,"-",LEFT(B3,2),"-",SUBSTITUTE(C3," "," "),"-",D3)</f>
        <v>2021-Se-Mach 4-5.5</v>
      </c>
      <c r="B3" t="s">
        <v>25</v>
      </c>
      <c r="C3" t="s">
        <v>30</v>
      </c>
      <c r="D3" s="4">
        <v>5.5</v>
      </c>
      <c r="E3">
        <v>2021</v>
      </c>
      <c r="F3">
        <v>411</v>
      </c>
      <c r="G3">
        <v>184</v>
      </c>
      <c r="H3">
        <v>7</v>
      </c>
      <c r="I3" t="s">
        <v>8</v>
      </c>
      <c r="J3">
        <v>4.45</v>
      </c>
      <c r="K3" t="s">
        <v>9</v>
      </c>
      <c r="L3" t="s">
        <v>12</v>
      </c>
      <c r="M3" t="s">
        <v>11</v>
      </c>
    </row>
    <row r="4" spans="1:13" x14ac:dyDescent="0.25">
      <c r="A4" s="9" t="str">
        <f t="shared" si="0"/>
        <v>2021-Se-Mach 4-6.2</v>
      </c>
      <c r="B4" t="s">
        <v>25</v>
      </c>
      <c r="C4" t="s">
        <v>30</v>
      </c>
      <c r="D4" s="4">
        <v>6.2</v>
      </c>
      <c r="E4">
        <v>2021</v>
      </c>
      <c r="F4">
        <v>433</v>
      </c>
      <c r="G4">
        <v>190</v>
      </c>
      <c r="H4">
        <v>7</v>
      </c>
      <c r="I4" t="s">
        <v>8</v>
      </c>
      <c r="J4">
        <v>4.6500000000000004</v>
      </c>
      <c r="K4" t="s">
        <v>9</v>
      </c>
      <c r="L4" t="s">
        <v>13</v>
      </c>
      <c r="M4" t="s">
        <v>11</v>
      </c>
    </row>
    <row r="5" spans="1:13" x14ac:dyDescent="0.25">
      <c r="A5" s="9" t="str">
        <f t="shared" si="0"/>
        <v>2021-Se-Mach 4-7</v>
      </c>
      <c r="B5" t="s">
        <v>25</v>
      </c>
      <c r="C5" t="s">
        <v>30</v>
      </c>
      <c r="D5" s="4">
        <v>7</v>
      </c>
      <c r="E5">
        <v>2021</v>
      </c>
      <c r="F5">
        <v>461</v>
      </c>
      <c r="G5">
        <v>202</v>
      </c>
      <c r="H5">
        <v>7</v>
      </c>
      <c r="I5" t="s">
        <v>14</v>
      </c>
      <c r="J5">
        <v>5.15</v>
      </c>
      <c r="K5" t="s">
        <v>9</v>
      </c>
      <c r="L5" t="s">
        <v>13</v>
      </c>
      <c r="M5" t="s">
        <v>15</v>
      </c>
    </row>
    <row r="6" spans="1:13" x14ac:dyDescent="0.25">
      <c r="A6" s="9" t="str">
        <f t="shared" si="0"/>
        <v>2021-Se-Mach 4-7.8</v>
      </c>
      <c r="B6" t="s">
        <v>25</v>
      </c>
      <c r="C6" t="s">
        <v>30</v>
      </c>
      <c r="D6" s="4">
        <v>7.8</v>
      </c>
      <c r="E6">
        <v>2021</v>
      </c>
      <c r="F6">
        <v>488</v>
      </c>
      <c r="G6">
        <v>210</v>
      </c>
      <c r="H6">
        <v>7</v>
      </c>
      <c r="I6" t="s">
        <v>14</v>
      </c>
      <c r="J6">
        <v>5.45</v>
      </c>
      <c r="K6" t="s">
        <v>9</v>
      </c>
      <c r="L6" t="s">
        <v>16</v>
      </c>
      <c r="M6" t="s">
        <v>15</v>
      </c>
    </row>
    <row r="7" spans="1:13" x14ac:dyDescent="0.25">
      <c r="A7" s="9" t="str">
        <f t="shared" si="0"/>
        <v>2021-Se-Mach 4-8.6</v>
      </c>
      <c r="B7" t="s">
        <v>25</v>
      </c>
      <c r="C7" t="s">
        <v>30</v>
      </c>
      <c r="D7" s="4">
        <v>8.6</v>
      </c>
      <c r="E7">
        <v>2021</v>
      </c>
      <c r="F7">
        <v>518</v>
      </c>
      <c r="G7">
        <v>222</v>
      </c>
      <c r="H7">
        <v>7</v>
      </c>
      <c r="I7" t="s">
        <v>14</v>
      </c>
      <c r="J7">
        <v>5.75</v>
      </c>
      <c r="K7" t="s">
        <v>9</v>
      </c>
      <c r="L7" t="s">
        <v>17</v>
      </c>
      <c r="M7" t="s">
        <v>15</v>
      </c>
    </row>
    <row r="8" spans="1:13" x14ac:dyDescent="0.25">
      <c r="A8" s="9" t="str">
        <f t="shared" si="0"/>
        <v>2021-Se-Mach 4-9.4</v>
      </c>
      <c r="B8" t="s">
        <v>25</v>
      </c>
      <c r="C8" t="s">
        <v>30</v>
      </c>
      <c r="D8" s="4">
        <v>9.4</v>
      </c>
      <c r="E8">
        <v>2021</v>
      </c>
      <c r="F8">
        <v>518</v>
      </c>
      <c r="G8">
        <v>240</v>
      </c>
      <c r="H8">
        <v>7</v>
      </c>
      <c r="I8" t="s">
        <v>14</v>
      </c>
      <c r="J8">
        <v>6</v>
      </c>
      <c r="K8" t="s">
        <v>9</v>
      </c>
      <c r="L8" t="s">
        <v>17</v>
      </c>
      <c r="M8" t="s">
        <v>15</v>
      </c>
    </row>
    <row r="9" spans="1:13" x14ac:dyDescent="0.25">
      <c r="A9" s="9" t="str">
        <f t="shared" si="0"/>
        <v>2013-Si-SCR-5.5</v>
      </c>
      <c r="B9" t="s">
        <v>37</v>
      </c>
      <c r="C9" t="s">
        <v>38</v>
      </c>
      <c r="D9" s="4">
        <v>5.5</v>
      </c>
      <c r="E9">
        <v>2013</v>
      </c>
      <c r="F9">
        <v>417</v>
      </c>
      <c r="G9">
        <v>184</v>
      </c>
      <c r="H9">
        <v>7</v>
      </c>
      <c r="I9">
        <v>4</v>
      </c>
      <c r="K9" t="s">
        <v>9</v>
      </c>
      <c r="L9" t="s">
        <v>32</v>
      </c>
      <c r="M9" t="s">
        <v>15</v>
      </c>
    </row>
    <row r="10" spans="1:13" x14ac:dyDescent="0.25">
      <c r="A10" s="9" t="str">
        <f t="shared" si="0"/>
        <v>2013-Si-SCR-6.2</v>
      </c>
      <c r="B10" t="s">
        <v>37</v>
      </c>
      <c r="C10" t="s">
        <v>38</v>
      </c>
      <c r="D10" s="4">
        <v>6.2</v>
      </c>
      <c r="E10">
        <v>2013</v>
      </c>
      <c r="F10">
        <v>438</v>
      </c>
      <c r="G10">
        <v>193</v>
      </c>
      <c r="H10">
        <v>7</v>
      </c>
      <c r="I10">
        <v>4</v>
      </c>
      <c r="K10" t="s">
        <v>9</v>
      </c>
      <c r="L10" t="s">
        <v>33</v>
      </c>
      <c r="M10" t="s">
        <v>15</v>
      </c>
    </row>
    <row r="11" spans="1:13" x14ac:dyDescent="0.25">
      <c r="A11" s="9" t="str">
        <f t="shared" si="0"/>
        <v>2013-Si-SCR-7</v>
      </c>
      <c r="B11" t="s">
        <v>37</v>
      </c>
      <c r="C11" t="s">
        <v>38</v>
      </c>
      <c r="D11" s="4">
        <v>7</v>
      </c>
      <c r="E11">
        <v>2013</v>
      </c>
      <c r="F11">
        <v>465</v>
      </c>
      <c r="G11">
        <v>205</v>
      </c>
      <c r="H11">
        <v>8</v>
      </c>
      <c r="I11">
        <v>4</v>
      </c>
      <c r="K11" t="s">
        <v>9</v>
      </c>
      <c r="L11" t="s">
        <v>34</v>
      </c>
      <c r="M11" t="s">
        <v>15</v>
      </c>
    </row>
    <row r="12" spans="1:13" x14ac:dyDescent="0.25">
      <c r="A12" s="9" t="str">
        <f t="shared" si="0"/>
        <v>2013-Si-SCR-7.8</v>
      </c>
      <c r="B12" t="s">
        <v>37</v>
      </c>
      <c r="C12" t="s">
        <v>38</v>
      </c>
      <c r="D12" s="4">
        <v>7.8</v>
      </c>
      <c r="E12">
        <v>2013</v>
      </c>
      <c r="F12">
        <v>483</v>
      </c>
      <c r="G12">
        <v>217</v>
      </c>
      <c r="H12">
        <v>8</v>
      </c>
      <c r="I12">
        <v>4</v>
      </c>
      <c r="K12" t="s">
        <v>9</v>
      </c>
      <c r="L12" t="s">
        <v>34</v>
      </c>
      <c r="M12" t="s">
        <v>15</v>
      </c>
    </row>
    <row r="13" spans="1:13" x14ac:dyDescent="0.25">
      <c r="A13" s="9" t="str">
        <f t="shared" si="0"/>
        <v>2013-Si-SCR-8.6</v>
      </c>
      <c r="B13" t="s">
        <v>37</v>
      </c>
      <c r="C13" t="s">
        <v>38</v>
      </c>
      <c r="D13" s="4">
        <v>8.6</v>
      </c>
      <c r="E13">
        <v>2013</v>
      </c>
      <c r="F13">
        <v>507</v>
      </c>
      <c r="G13">
        <v>227</v>
      </c>
      <c r="H13">
        <v>8</v>
      </c>
      <c r="I13">
        <v>4</v>
      </c>
      <c r="K13" t="s">
        <v>9</v>
      </c>
      <c r="L13" t="s">
        <v>35</v>
      </c>
      <c r="M13" t="s">
        <v>15</v>
      </c>
    </row>
    <row r="14" spans="1:13" x14ac:dyDescent="0.25">
      <c r="A14" s="9" t="str">
        <f t="shared" si="0"/>
        <v>2013-Si-SCR-9.5</v>
      </c>
      <c r="B14" t="s">
        <v>37</v>
      </c>
      <c r="C14" t="s">
        <v>38</v>
      </c>
      <c r="D14" s="4">
        <v>9.5</v>
      </c>
      <c r="E14">
        <v>2013</v>
      </c>
      <c r="F14">
        <v>536</v>
      </c>
      <c r="G14">
        <v>243</v>
      </c>
      <c r="H14">
        <v>8</v>
      </c>
      <c r="I14">
        <v>4</v>
      </c>
      <c r="K14" t="s">
        <v>9</v>
      </c>
      <c r="L14" t="s">
        <v>36</v>
      </c>
      <c r="M14" t="s">
        <v>15</v>
      </c>
    </row>
    <row r="15" spans="1:13" x14ac:dyDescent="0.25">
      <c r="A15" s="9" t="str">
        <f t="shared" si="0"/>
        <v>2023-Ne-RS Racing EVO XIV-4.9</v>
      </c>
      <c r="B15" t="s">
        <v>58</v>
      </c>
      <c r="C15" t="s">
        <v>57</v>
      </c>
      <c r="D15" s="4">
        <v>4.9000000000000004</v>
      </c>
      <c r="E15">
        <v>2023</v>
      </c>
      <c r="F15">
        <v>396</v>
      </c>
      <c r="G15" t="s">
        <v>48</v>
      </c>
      <c r="H15">
        <v>7</v>
      </c>
      <c r="I15">
        <v>4</v>
      </c>
      <c r="J15">
        <v>4.7</v>
      </c>
      <c r="K15" t="s">
        <v>56</v>
      </c>
      <c r="L15">
        <v>370</v>
      </c>
      <c r="M15" t="s">
        <v>55</v>
      </c>
    </row>
    <row r="16" spans="1:13" x14ac:dyDescent="0.25">
      <c r="A16" s="9" t="str">
        <f t="shared" si="0"/>
        <v>2023-Ne-RS Racing EVO XIV-5.3</v>
      </c>
      <c r="B16" t="s">
        <v>58</v>
      </c>
      <c r="C16" t="s">
        <v>57</v>
      </c>
      <c r="D16" s="4">
        <v>5.3</v>
      </c>
      <c r="E16">
        <v>2023</v>
      </c>
      <c r="F16">
        <v>416</v>
      </c>
      <c r="G16" t="s">
        <v>49</v>
      </c>
      <c r="H16">
        <v>7</v>
      </c>
      <c r="I16">
        <v>4</v>
      </c>
      <c r="J16">
        <v>4.9000000000000004</v>
      </c>
      <c r="L16">
        <v>400</v>
      </c>
      <c r="M16" t="s">
        <v>55</v>
      </c>
    </row>
    <row r="17" spans="1:13" x14ac:dyDescent="0.25">
      <c r="A17" s="9" t="str">
        <f t="shared" si="0"/>
        <v>2023-Ne-RS Racing EVO XIV-5.6</v>
      </c>
      <c r="B17" t="s">
        <v>58</v>
      </c>
      <c r="C17" t="s">
        <v>57</v>
      </c>
      <c r="D17" s="4">
        <v>5.6</v>
      </c>
      <c r="E17">
        <v>2023</v>
      </c>
      <c r="F17">
        <v>426</v>
      </c>
      <c r="G17" t="s">
        <v>50</v>
      </c>
      <c r="H17">
        <v>7</v>
      </c>
      <c r="I17">
        <v>4</v>
      </c>
      <c r="J17">
        <v>5.0999999999999996</v>
      </c>
      <c r="L17">
        <v>400</v>
      </c>
      <c r="M17" t="s">
        <v>55</v>
      </c>
    </row>
    <row r="18" spans="1:13" x14ac:dyDescent="0.25">
      <c r="A18" s="9" t="str">
        <f t="shared" si="0"/>
        <v>2023-Ne-RS Racing EVO XIV-6.5</v>
      </c>
      <c r="B18" t="s">
        <v>58</v>
      </c>
      <c r="C18" t="s">
        <v>57</v>
      </c>
      <c r="D18" s="4">
        <v>6.5</v>
      </c>
      <c r="E18">
        <v>2023</v>
      </c>
      <c r="F18">
        <v>458</v>
      </c>
      <c r="G18" t="s">
        <v>51</v>
      </c>
      <c r="H18">
        <v>7</v>
      </c>
      <c r="I18">
        <v>4</v>
      </c>
      <c r="J18">
        <v>5.5</v>
      </c>
      <c r="L18">
        <v>430</v>
      </c>
      <c r="M18" t="s">
        <v>15</v>
      </c>
    </row>
    <row r="19" spans="1:13" x14ac:dyDescent="0.25">
      <c r="A19" s="9" t="str">
        <f t="shared" si="0"/>
        <v>2023-Ne-RS Racing EVO XIV-7.4</v>
      </c>
      <c r="B19" t="s">
        <v>58</v>
      </c>
      <c r="C19" t="s">
        <v>57</v>
      </c>
      <c r="D19" s="4">
        <v>7.4</v>
      </c>
      <c r="E19">
        <v>2023</v>
      </c>
      <c r="F19">
        <v>486</v>
      </c>
      <c r="G19" t="s">
        <v>52</v>
      </c>
      <c r="H19">
        <v>7</v>
      </c>
      <c r="I19">
        <v>4</v>
      </c>
      <c r="J19">
        <v>5.8</v>
      </c>
      <c r="L19">
        <v>460</v>
      </c>
      <c r="M19" t="s">
        <v>15</v>
      </c>
    </row>
    <row r="20" spans="1:13" x14ac:dyDescent="0.25">
      <c r="A20" s="9" t="str">
        <f t="shared" si="0"/>
        <v>2023-Ne-RS Racing EVO XIV-8.2</v>
      </c>
      <c r="B20" t="s">
        <v>58</v>
      </c>
      <c r="C20" t="s">
        <v>57</v>
      </c>
      <c r="D20" s="4">
        <v>8.1999999999999993</v>
      </c>
      <c r="E20">
        <v>2023</v>
      </c>
      <c r="F20">
        <v>512</v>
      </c>
      <c r="G20" t="s">
        <v>53</v>
      </c>
      <c r="H20">
        <v>7</v>
      </c>
      <c r="I20">
        <v>4</v>
      </c>
      <c r="J20">
        <v>6.1</v>
      </c>
      <c r="L20">
        <v>490</v>
      </c>
      <c r="M20" t="s">
        <v>15</v>
      </c>
    </row>
    <row r="21" spans="1:13" x14ac:dyDescent="0.25">
      <c r="A21" s="9" t="str">
        <f t="shared" si="0"/>
        <v>2023-Ne-RS Racing EVO XIV-9</v>
      </c>
      <c r="B21" t="s">
        <v>58</v>
      </c>
      <c r="C21" t="s">
        <v>57</v>
      </c>
      <c r="D21" s="4">
        <v>9</v>
      </c>
      <c r="E21">
        <v>2023</v>
      </c>
      <c r="F21">
        <v>538</v>
      </c>
      <c r="G21" t="s">
        <v>54</v>
      </c>
      <c r="H21">
        <v>7</v>
      </c>
      <c r="I21">
        <v>4</v>
      </c>
      <c r="J21">
        <v>6.5</v>
      </c>
      <c r="L21">
        <v>520</v>
      </c>
      <c r="M21" t="s">
        <v>15</v>
      </c>
    </row>
    <row r="22" spans="1:13" x14ac:dyDescent="0.25">
      <c r="A22" s="9" t="str">
        <f t="shared" si="0"/>
        <v>2026-Ne-RS Racing EVO XVII-4.9</v>
      </c>
      <c r="B22" t="s">
        <v>58</v>
      </c>
      <c r="C22" t="s">
        <v>73</v>
      </c>
      <c r="D22" s="4">
        <v>4.9000000000000004</v>
      </c>
      <c r="E22">
        <v>2026</v>
      </c>
      <c r="F22">
        <v>396</v>
      </c>
      <c r="G22" t="s">
        <v>64</v>
      </c>
      <c r="H22">
        <v>7</v>
      </c>
      <c r="I22">
        <v>4</v>
      </c>
      <c r="J22">
        <v>4.7</v>
      </c>
      <c r="K22" t="s">
        <v>56</v>
      </c>
      <c r="L22">
        <v>370</v>
      </c>
      <c r="M22" t="s">
        <v>55</v>
      </c>
    </row>
    <row r="23" spans="1:13" x14ac:dyDescent="0.25">
      <c r="A23" s="9" t="str">
        <f t="shared" si="0"/>
        <v>2026-Ne-RS Racing EVO XVII-5.3</v>
      </c>
      <c r="B23" t="s">
        <v>58</v>
      </c>
      <c r="C23" t="s">
        <v>73</v>
      </c>
      <c r="D23" s="4">
        <v>5.3</v>
      </c>
      <c r="E23">
        <v>2026</v>
      </c>
      <c r="F23">
        <v>416</v>
      </c>
      <c r="G23" t="s">
        <v>65</v>
      </c>
      <c r="H23">
        <v>7</v>
      </c>
      <c r="I23">
        <v>4</v>
      </c>
      <c r="J23">
        <v>4.9000000000000004</v>
      </c>
      <c r="K23" t="s">
        <v>56</v>
      </c>
      <c r="L23">
        <v>400</v>
      </c>
      <c r="M23" t="s">
        <v>55</v>
      </c>
    </row>
    <row r="24" spans="1:13" x14ac:dyDescent="0.25">
      <c r="A24" s="9" t="str">
        <f t="shared" si="0"/>
        <v>2026-Ne-RS Racing EVO XVII-5.6</v>
      </c>
      <c r="B24" t="s">
        <v>58</v>
      </c>
      <c r="C24" t="s">
        <v>73</v>
      </c>
      <c r="D24" s="4">
        <v>5.6</v>
      </c>
      <c r="E24">
        <v>2026</v>
      </c>
      <c r="F24">
        <v>426</v>
      </c>
      <c r="G24" t="s">
        <v>66</v>
      </c>
      <c r="H24">
        <v>7</v>
      </c>
      <c r="I24">
        <v>4</v>
      </c>
      <c r="J24">
        <v>5</v>
      </c>
      <c r="K24" t="s">
        <v>56</v>
      </c>
      <c r="L24">
        <v>400</v>
      </c>
      <c r="M24" t="s">
        <v>55</v>
      </c>
    </row>
    <row r="25" spans="1:13" x14ac:dyDescent="0.25">
      <c r="A25" s="9" t="str">
        <f t="shared" si="0"/>
        <v>2026-Ne-RS Racing EVO XVII-5.7</v>
      </c>
      <c r="B25" t="s">
        <v>58</v>
      </c>
      <c r="C25" t="s">
        <v>73</v>
      </c>
      <c r="D25" s="4">
        <v>5.7</v>
      </c>
      <c r="E25">
        <v>2026</v>
      </c>
      <c r="F25">
        <v>432</v>
      </c>
      <c r="G25" t="s">
        <v>67</v>
      </c>
      <c r="H25">
        <v>7</v>
      </c>
      <c r="I25">
        <v>4</v>
      </c>
      <c r="J25">
        <v>5.0999999999999996</v>
      </c>
      <c r="K25" t="s">
        <v>56</v>
      </c>
      <c r="L25">
        <v>400</v>
      </c>
      <c r="M25" t="s">
        <v>55</v>
      </c>
    </row>
    <row r="26" spans="1:13" x14ac:dyDescent="0.25">
      <c r="A26" s="9" t="str">
        <f t="shared" si="0"/>
        <v>2026-Ne-RS Racing EVO XVII-6.5</v>
      </c>
      <c r="B26" t="s">
        <v>58</v>
      </c>
      <c r="C26" t="s">
        <v>73</v>
      </c>
      <c r="D26" s="4">
        <v>6.5</v>
      </c>
      <c r="E26">
        <v>2026</v>
      </c>
      <c r="F26">
        <v>458</v>
      </c>
      <c r="G26" t="s">
        <v>68</v>
      </c>
      <c r="H26">
        <v>7</v>
      </c>
      <c r="I26">
        <v>4</v>
      </c>
      <c r="J26">
        <v>5.3</v>
      </c>
      <c r="K26" t="s">
        <v>56</v>
      </c>
      <c r="L26">
        <v>430</v>
      </c>
      <c r="M26" t="s">
        <v>72</v>
      </c>
    </row>
    <row r="27" spans="1:13" x14ac:dyDescent="0.25">
      <c r="A27" s="9" t="str">
        <f t="shared" si="0"/>
        <v>2026-Ne-RS Racing EVO XVII-7.4</v>
      </c>
      <c r="B27" t="s">
        <v>58</v>
      </c>
      <c r="C27" t="s">
        <v>73</v>
      </c>
      <c r="D27" s="4">
        <v>7.4</v>
      </c>
      <c r="E27">
        <v>2026</v>
      </c>
      <c r="F27">
        <v>486</v>
      </c>
      <c r="G27" t="s">
        <v>69</v>
      </c>
      <c r="H27">
        <v>7</v>
      </c>
      <c r="I27">
        <v>4</v>
      </c>
      <c r="J27">
        <v>5.5</v>
      </c>
      <c r="K27" t="s">
        <v>56</v>
      </c>
      <c r="L27">
        <v>460</v>
      </c>
      <c r="M27" t="s">
        <v>15</v>
      </c>
    </row>
    <row r="28" spans="1:13" x14ac:dyDescent="0.25">
      <c r="A28" s="9" t="str">
        <f t="shared" si="0"/>
        <v>2026-Ne-RS Racing EVO XVII-8.2</v>
      </c>
      <c r="B28" t="s">
        <v>58</v>
      </c>
      <c r="C28" t="s">
        <v>73</v>
      </c>
      <c r="D28" s="4">
        <v>8.1999999999999993</v>
      </c>
      <c r="E28">
        <v>2026</v>
      </c>
      <c r="F28">
        <v>512</v>
      </c>
      <c r="G28" t="s">
        <v>70</v>
      </c>
      <c r="H28">
        <v>7</v>
      </c>
      <c r="I28">
        <v>4</v>
      </c>
      <c r="J28">
        <v>6.1</v>
      </c>
      <c r="K28" t="s">
        <v>56</v>
      </c>
      <c r="L28">
        <v>490</v>
      </c>
      <c r="M28" t="s">
        <v>15</v>
      </c>
    </row>
    <row r="29" spans="1:13" x14ac:dyDescent="0.25">
      <c r="A29" s="9" t="str">
        <f t="shared" si="0"/>
        <v>2026-Ne-RS Racing EVO XVII-9</v>
      </c>
      <c r="B29" t="s">
        <v>58</v>
      </c>
      <c r="C29" t="s">
        <v>73</v>
      </c>
      <c r="D29" s="4">
        <v>9</v>
      </c>
      <c r="E29">
        <v>2026</v>
      </c>
      <c r="F29">
        <v>538</v>
      </c>
      <c r="G29" t="s">
        <v>71</v>
      </c>
      <c r="H29">
        <v>7</v>
      </c>
      <c r="I29">
        <v>4</v>
      </c>
      <c r="J29">
        <v>6.4</v>
      </c>
      <c r="K29" t="s">
        <v>56</v>
      </c>
      <c r="L29">
        <v>520</v>
      </c>
      <c r="M29" t="s">
        <v>15</v>
      </c>
    </row>
    <row r="30" spans="1:13" x14ac:dyDescent="0.25">
      <c r="A30" s="9" t="str">
        <f t="shared" si="0"/>
        <v>2026-Lo-Racingblade-5.2</v>
      </c>
      <c r="B30" t="s">
        <v>92</v>
      </c>
      <c r="C30" t="s">
        <v>91</v>
      </c>
      <c r="D30">
        <v>5.2</v>
      </c>
      <c r="E30">
        <v>2026</v>
      </c>
      <c r="F30">
        <v>418</v>
      </c>
      <c r="G30">
        <v>172</v>
      </c>
      <c r="H30">
        <v>7</v>
      </c>
      <c r="I30">
        <v>3</v>
      </c>
      <c r="J30" t="s">
        <v>77</v>
      </c>
      <c r="K30" t="s">
        <v>56</v>
      </c>
      <c r="L30">
        <v>400</v>
      </c>
      <c r="M30" t="s">
        <v>55</v>
      </c>
    </row>
    <row r="31" spans="1:13" x14ac:dyDescent="0.25">
      <c r="A31" s="9" t="str">
        <f t="shared" si="0"/>
        <v>2026-Lo-Racingblade-5.8</v>
      </c>
      <c r="B31" t="s">
        <v>92</v>
      </c>
      <c r="C31" t="s">
        <v>91</v>
      </c>
      <c r="D31">
        <v>5.8</v>
      </c>
      <c r="E31">
        <v>2026</v>
      </c>
      <c r="F31">
        <v>436</v>
      </c>
      <c r="G31">
        <v>184</v>
      </c>
      <c r="H31">
        <v>7</v>
      </c>
      <c r="I31">
        <v>3</v>
      </c>
      <c r="J31" t="s">
        <v>79</v>
      </c>
      <c r="K31" t="s">
        <v>56</v>
      </c>
      <c r="L31">
        <v>400</v>
      </c>
      <c r="M31" t="s">
        <v>55</v>
      </c>
    </row>
    <row r="32" spans="1:13" x14ac:dyDescent="0.25">
      <c r="A32" s="9" t="str">
        <f t="shared" si="0"/>
        <v>2026-Lo-Racingblade-6.6</v>
      </c>
      <c r="B32" t="s">
        <v>92</v>
      </c>
      <c r="C32" t="s">
        <v>91</v>
      </c>
      <c r="D32">
        <v>6.6</v>
      </c>
      <c r="E32">
        <v>2026</v>
      </c>
      <c r="F32">
        <v>456</v>
      </c>
      <c r="G32">
        <v>200</v>
      </c>
      <c r="H32">
        <v>7</v>
      </c>
      <c r="I32">
        <v>3</v>
      </c>
      <c r="J32" t="s">
        <v>80</v>
      </c>
      <c r="K32" t="s">
        <v>56</v>
      </c>
      <c r="L32">
        <v>430</v>
      </c>
      <c r="M32" t="s">
        <v>15</v>
      </c>
    </row>
    <row r="33" spans="1:13" x14ac:dyDescent="0.25">
      <c r="A33" s="9" t="str">
        <f t="shared" si="0"/>
        <v>2026-Lo-Racingblade-7.4</v>
      </c>
      <c r="B33" t="s">
        <v>92</v>
      </c>
      <c r="C33" t="s">
        <v>91</v>
      </c>
      <c r="D33">
        <v>7.4</v>
      </c>
      <c r="E33">
        <v>2026</v>
      </c>
      <c r="F33">
        <v>492</v>
      </c>
      <c r="G33">
        <v>208</v>
      </c>
      <c r="H33">
        <v>7</v>
      </c>
      <c r="I33">
        <v>3</v>
      </c>
      <c r="J33" t="s">
        <v>82</v>
      </c>
      <c r="K33" t="s">
        <v>56</v>
      </c>
      <c r="L33">
        <v>460</v>
      </c>
      <c r="M33" t="s">
        <v>15</v>
      </c>
    </row>
    <row r="34" spans="1:13" x14ac:dyDescent="0.25">
      <c r="A34" s="9" t="str">
        <f t="shared" si="0"/>
        <v>2026-Lo-Racingblade-8.2</v>
      </c>
      <c r="B34" t="s">
        <v>92</v>
      </c>
      <c r="C34" t="s">
        <v>91</v>
      </c>
      <c r="D34">
        <v>8.1999999999999993</v>
      </c>
      <c r="E34">
        <v>2026</v>
      </c>
      <c r="F34">
        <v>514</v>
      </c>
      <c r="G34">
        <v>218</v>
      </c>
      <c r="H34">
        <v>7</v>
      </c>
      <c r="I34">
        <v>3</v>
      </c>
      <c r="J34" t="s">
        <v>84</v>
      </c>
      <c r="K34" t="s">
        <v>56</v>
      </c>
      <c r="L34">
        <v>490</v>
      </c>
      <c r="M34" t="s">
        <v>15</v>
      </c>
    </row>
  </sheetData>
  <autoFilter ref="A1:M1" xr:uid="{00000000-0001-0000-0000-000000000000}"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BDCBD-187B-4D4A-924E-A9870E38DFAB}">
  <sheetPr>
    <tabColor theme="5" tint="0.59999389629810485"/>
  </sheetPr>
  <dimension ref="A1:Q26"/>
  <sheetViews>
    <sheetView workbookViewId="0">
      <selection activeCell="P44" sqref="P44"/>
    </sheetView>
  </sheetViews>
  <sheetFormatPr defaultRowHeight="15" x14ac:dyDescent="0.25"/>
  <cols>
    <col min="1" max="1" width="6" bestFit="1" customWidth="1"/>
    <col min="2" max="2" width="11.7109375" customWidth="1"/>
    <col min="3" max="3" width="14.5703125" customWidth="1"/>
    <col min="4" max="4" width="9.42578125" customWidth="1"/>
    <col min="5" max="5" width="17.5703125" customWidth="1"/>
    <col min="7" max="7" width="16.85546875" bestFit="1" customWidth="1"/>
    <col min="8" max="8" width="26.85546875" customWidth="1"/>
    <col min="9" max="9" width="11.7109375" bestFit="1" customWidth="1"/>
    <col min="10" max="10" width="4.7109375" customWidth="1"/>
    <col min="11" max="11" width="20" customWidth="1"/>
    <col min="16" max="16" width="14" customWidth="1"/>
    <col min="17" max="17" width="33.5703125" customWidth="1"/>
  </cols>
  <sheetData>
    <row r="1" spans="1:17" x14ac:dyDescent="0.25">
      <c r="A1" s="5" t="s">
        <v>18</v>
      </c>
      <c r="B1" s="7" t="s">
        <v>19</v>
      </c>
      <c r="C1" s="7" t="s">
        <v>20</v>
      </c>
      <c r="D1" s="7" t="s">
        <v>21</v>
      </c>
      <c r="E1" s="7" t="s">
        <v>22</v>
      </c>
      <c r="F1" s="6" t="s">
        <v>23</v>
      </c>
      <c r="G1" s="6" t="s">
        <v>24</v>
      </c>
      <c r="I1" s="10" t="s">
        <v>27</v>
      </c>
      <c r="K1" s="8" t="s">
        <v>26</v>
      </c>
      <c r="P1" s="1" t="s">
        <v>28</v>
      </c>
      <c r="Q1" s="12" t="s">
        <v>29</v>
      </c>
    </row>
    <row r="2" spans="1:17" x14ac:dyDescent="0.25">
      <c r="B2" t="s">
        <v>25</v>
      </c>
      <c r="C2" t="s">
        <v>30</v>
      </c>
      <c r="D2">
        <v>5</v>
      </c>
      <c r="E2">
        <v>2021</v>
      </c>
      <c r="H2" s="15" t="s">
        <v>40</v>
      </c>
      <c r="I2" s="11"/>
      <c r="K2" s="9" t="str">
        <f>_xlfn.CONCAT(E2,"-",LEFT(B2,2),"-",SUBSTITUTE(C2," "," "),"-",D2)</f>
        <v>2021-Se-Mach 4-5</v>
      </c>
      <c r="P2" s="13">
        <f>_xlfn.IFNA(_xlfn.XMATCH(K2,Sails!A:A),-1)</f>
        <v>2</v>
      </c>
      <c r="Q2" s="14" t="str">
        <f>_xlfn.XLOOKUP(K2,Sails!A:A,Sails!A:A,,-1)</f>
        <v>2021-Se-Mach 4-5</v>
      </c>
    </row>
    <row r="3" spans="1:17" x14ac:dyDescent="0.25">
      <c r="B3" t="s">
        <v>25</v>
      </c>
      <c r="C3" t="s">
        <v>30</v>
      </c>
      <c r="D3">
        <v>5.5</v>
      </c>
      <c r="E3">
        <v>2021</v>
      </c>
      <c r="H3" s="16" t="s">
        <v>41</v>
      </c>
      <c r="I3" s="11"/>
      <c r="K3" s="9" t="str">
        <f t="shared" ref="K3:K26" si="0">_xlfn.CONCAT(E3,"-",LEFT(B3,2),"-",SUBSTITUTE(C3," "," "),"-",D3)</f>
        <v>2021-Se-Mach 4-5.5</v>
      </c>
      <c r="P3" s="13">
        <f>_xlfn.IFNA(_xlfn.XMATCH(K3,Sails!A:A),-1)</f>
        <v>3</v>
      </c>
      <c r="Q3" s="14" t="str">
        <f>_xlfn.XLOOKUP(K3,Sails!A:A,Sails!A:A,,-1)</f>
        <v>2021-Se-Mach 4-5.5</v>
      </c>
    </row>
    <row r="4" spans="1:17" x14ac:dyDescent="0.25">
      <c r="B4" t="s">
        <v>25</v>
      </c>
      <c r="C4" t="s">
        <v>30</v>
      </c>
      <c r="D4">
        <v>6.2</v>
      </c>
      <c r="E4">
        <v>2021</v>
      </c>
      <c r="I4" s="11"/>
      <c r="K4" s="9" t="str">
        <f t="shared" si="0"/>
        <v>2021-Se-Mach 4-6.2</v>
      </c>
      <c r="P4" s="13">
        <f>_xlfn.IFNA(_xlfn.XMATCH(K4,Sails!A:A),-1)</f>
        <v>4</v>
      </c>
      <c r="Q4" s="14" t="str">
        <f>_xlfn.XLOOKUP(K4,Sails!A:A,Sails!A:A,,-1)</f>
        <v>2021-Se-Mach 4-6.2</v>
      </c>
    </row>
    <row r="5" spans="1:17" x14ac:dyDescent="0.25">
      <c r="B5" t="s">
        <v>25</v>
      </c>
      <c r="C5" t="s">
        <v>30</v>
      </c>
      <c r="D5">
        <v>7</v>
      </c>
      <c r="E5">
        <v>2021</v>
      </c>
      <c r="I5" s="11"/>
      <c r="K5" s="9" t="str">
        <f t="shared" si="0"/>
        <v>2021-Se-Mach 4-7</v>
      </c>
      <c r="P5" s="13">
        <f>_xlfn.IFNA(_xlfn.XMATCH(K5,Sails!A:A),-1)</f>
        <v>5</v>
      </c>
      <c r="Q5" s="14" t="str">
        <f>_xlfn.XLOOKUP(K5,Sails!A:A,Sails!A:A,,-1)</f>
        <v>2021-Se-Mach 4-7</v>
      </c>
    </row>
    <row r="6" spans="1:17" x14ac:dyDescent="0.25">
      <c r="B6" t="s">
        <v>25</v>
      </c>
      <c r="C6" t="s">
        <v>30</v>
      </c>
      <c r="D6">
        <v>7.8</v>
      </c>
      <c r="E6">
        <v>2021</v>
      </c>
      <c r="I6" s="11"/>
      <c r="K6" s="9" t="str">
        <f t="shared" si="0"/>
        <v>2021-Se-Mach 4-7.8</v>
      </c>
      <c r="P6" s="13">
        <f>_xlfn.IFNA(_xlfn.XMATCH(K6,Sails!A:A),-1)</f>
        <v>6</v>
      </c>
      <c r="Q6" s="14" t="str">
        <f>_xlfn.XLOOKUP(K6,Sails!A:A,Sails!A:A,,-1)</f>
        <v>2021-Se-Mach 4-7.8</v>
      </c>
    </row>
    <row r="7" spans="1:17" x14ac:dyDescent="0.25">
      <c r="B7" t="s">
        <v>25</v>
      </c>
      <c r="C7" t="s">
        <v>30</v>
      </c>
      <c r="D7">
        <v>8.6</v>
      </c>
      <c r="E7">
        <v>2021</v>
      </c>
      <c r="I7" s="11"/>
      <c r="K7" s="9" t="str">
        <f t="shared" si="0"/>
        <v>2021-Se-Mach 4-8.6</v>
      </c>
      <c r="P7" s="13">
        <f>_xlfn.IFNA(_xlfn.XMATCH(K7,Sails!A:A),-1)</f>
        <v>7</v>
      </c>
      <c r="Q7" s="14" t="str">
        <f>_xlfn.XLOOKUP(K7,Sails!A:A,Sails!A:A,,-1)</f>
        <v>2021-Se-Mach 4-8.6</v>
      </c>
    </row>
    <row r="8" spans="1:17" x14ac:dyDescent="0.25">
      <c r="B8" t="s">
        <v>25</v>
      </c>
      <c r="C8" t="s">
        <v>30</v>
      </c>
      <c r="D8">
        <v>9.4</v>
      </c>
      <c r="E8">
        <v>2021</v>
      </c>
      <c r="I8" s="11"/>
      <c r="K8" s="9" t="str">
        <f t="shared" si="0"/>
        <v>2021-Se-Mach 4-9.4</v>
      </c>
      <c r="P8" s="13">
        <f>_xlfn.IFNA(_xlfn.XMATCH(K8,Sails!A:A),-1)</f>
        <v>8</v>
      </c>
      <c r="Q8" s="14" t="str">
        <f>_xlfn.XLOOKUP(K8,Sails!A:A,Sails!A:A,,-1)</f>
        <v>2021-Se-Mach 4-9.4</v>
      </c>
    </row>
    <row r="9" spans="1:17" x14ac:dyDescent="0.25">
      <c r="B9" t="s">
        <v>39</v>
      </c>
      <c r="C9" t="s">
        <v>38</v>
      </c>
      <c r="D9">
        <v>7</v>
      </c>
      <c r="E9">
        <v>2013</v>
      </c>
      <c r="I9" s="11"/>
      <c r="K9" s="9" t="str">
        <f t="shared" si="0"/>
        <v>2013-Si-SCR-7</v>
      </c>
      <c r="P9" s="13">
        <f>_xlfn.IFNA(_xlfn.XMATCH(K9,Sails!A:A),-1)</f>
        <v>11</v>
      </c>
      <c r="Q9" s="14" t="str">
        <f>_xlfn.XLOOKUP(K9,Sails!A:A,Sails!A:A,,-1)</f>
        <v>2013-Si-SCR-7</v>
      </c>
    </row>
    <row r="10" spans="1:17" x14ac:dyDescent="0.25">
      <c r="B10" t="s">
        <v>58</v>
      </c>
      <c r="C10" t="s">
        <v>57</v>
      </c>
      <c r="D10">
        <v>9</v>
      </c>
      <c r="E10">
        <v>2023</v>
      </c>
      <c r="I10" s="11"/>
      <c r="K10" s="9" t="str">
        <f t="shared" si="0"/>
        <v>2023-Ne-RS Racing EVO XIV-9</v>
      </c>
      <c r="P10" s="13">
        <f>_xlfn.IFNA(_xlfn.XMATCH(K10,Sails!A:A),-1)</f>
        <v>21</v>
      </c>
      <c r="Q10" s="14" t="str">
        <f>_xlfn.XLOOKUP(K10,Sails!A:A,Sails!A:A,,-1)</f>
        <v>2023-Ne-RS Racing EVO XIV-9</v>
      </c>
    </row>
    <row r="11" spans="1:17" x14ac:dyDescent="0.25">
      <c r="I11" s="11"/>
      <c r="K11" s="9" t="str">
        <f t="shared" si="0"/>
        <v>---</v>
      </c>
      <c r="P11" s="13">
        <f>_xlfn.IFNA(_xlfn.XMATCH(K11,Sails!A:A),-1)</f>
        <v>-1</v>
      </c>
      <c r="Q11" s="14" t="e">
        <f>_xlfn.XLOOKUP(K11,Sails!A:A,Sails!A:A,,-1)</f>
        <v>#N/A</v>
      </c>
    </row>
    <row r="12" spans="1:17" x14ac:dyDescent="0.25">
      <c r="I12" s="11"/>
      <c r="K12" s="9" t="str">
        <f t="shared" si="0"/>
        <v>---</v>
      </c>
      <c r="P12" s="13">
        <f>_xlfn.IFNA(_xlfn.XMATCH(K12,Sails!A:A),-1)</f>
        <v>-1</v>
      </c>
      <c r="Q12" s="14" t="e">
        <f>_xlfn.XLOOKUP(K12,Sails!A:A,Sails!A:A,,-1)</f>
        <v>#N/A</v>
      </c>
    </row>
    <row r="13" spans="1:17" x14ac:dyDescent="0.25">
      <c r="I13" s="11"/>
      <c r="K13" s="9" t="str">
        <f t="shared" si="0"/>
        <v>---</v>
      </c>
      <c r="P13" s="13">
        <f>_xlfn.IFNA(_xlfn.XMATCH(K13,Sails!A:A),-1)</f>
        <v>-1</v>
      </c>
      <c r="Q13" s="14" t="e">
        <f>_xlfn.XLOOKUP(K13,Sails!A:A,Sails!A:A,,-1)</f>
        <v>#N/A</v>
      </c>
    </row>
    <row r="14" spans="1:17" x14ac:dyDescent="0.25">
      <c r="I14" s="11"/>
      <c r="K14" s="9" t="str">
        <f t="shared" si="0"/>
        <v>---</v>
      </c>
      <c r="P14" s="13">
        <f>_xlfn.IFNA(_xlfn.XMATCH(K14,Sails!A:A),-1)</f>
        <v>-1</v>
      </c>
      <c r="Q14" s="14" t="e">
        <f>_xlfn.XLOOKUP(K14,Sails!A:A,Sails!A:A,,-1)</f>
        <v>#N/A</v>
      </c>
    </row>
    <row r="15" spans="1:17" x14ac:dyDescent="0.25">
      <c r="I15" s="11"/>
      <c r="K15" s="9" t="str">
        <f t="shared" si="0"/>
        <v>---</v>
      </c>
      <c r="P15" s="13">
        <f>_xlfn.IFNA(_xlfn.XMATCH(K15,Sails!A:A),-1)</f>
        <v>-1</v>
      </c>
      <c r="Q15" s="14" t="e">
        <f>_xlfn.XLOOKUP(K15,Sails!A:A,Sails!A:A,,-1)</f>
        <v>#N/A</v>
      </c>
    </row>
    <row r="16" spans="1:17" x14ac:dyDescent="0.25">
      <c r="I16" s="11"/>
      <c r="K16" s="9" t="str">
        <f t="shared" si="0"/>
        <v>---</v>
      </c>
    </row>
    <row r="17" spans="9:11" x14ac:dyDescent="0.25">
      <c r="I17" s="11"/>
      <c r="K17" s="9" t="str">
        <f t="shared" si="0"/>
        <v>---</v>
      </c>
    </row>
    <row r="18" spans="9:11" x14ac:dyDescent="0.25">
      <c r="I18" s="11"/>
      <c r="K18" s="9" t="str">
        <f t="shared" si="0"/>
        <v>---</v>
      </c>
    </row>
    <row r="19" spans="9:11" x14ac:dyDescent="0.25">
      <c r="I19" s="11"/>
      <c r="K19" s="9" t="str">
        <f t="shared" si="0"/>
        <v>---</v>
      </c>
    </row>
    <row r="20" spans="9:11" x14ac:dyDescent="0.25">
      <c r="I20" s="11"/>
      <c r="K20" s="9" t="str">
        <f t="shared" si="0"/>
        <v>---</v>
      </c>
    </row>
    <row r="21" spans="9:11" x14ac:dyDescent="0.25">
      <c r="I21" s="11"/>
      <c r="K21" s="9" t="str">
        <f t="shared" si="0"/>
        <v>---</v>
      </c>
    </row>
    <row r="22" spans="9:11" x14ac:dyDescent="0.25">
      <c r="I22" s="11"/>
      <c r="K22" s="9" t="str">
        <f t="shared" si="0"/>
        <v>---</v>
      </c>
    </row>
    <row r="23" spans="9:11" x14ac:dyDescent="0.25">
      <c r="I23" s="11"/>
      <c r="K23" s="9" t="str">
        <f t="shared" si="0"/>
        <v>---</v>
      </c>
    </row>
    <row r="24" spans="9:11" x14ac:dyDescent="0.25">
      <c r="I24" s="11"/>
      <c r="K24" s="9" t="str">
        <f t="shared" si="0"/>
        <v>---</v>
      </c>
    </row>
    <row r="25" spans="9:11" x14ac:dyDescent="0.25">
      <c r="I25" s="11"/>
      <c r="K25" s="9" t="str">
        <f t="shared" si="0"/>
        <v>---</v>
      </c>
    </row>
    <row r="26" spans="9:11" x14ac:dyDescent="0.25">
      <c r="I26" s="11"/>
      <c r="K26" s="9" t="str">
        <f t="shared" si="0"/>
        <v>---</v>
      </c>
    </row>
  </sheetData>
  <phoneticPr fontId="2" type="noConversion"/>
  <conditionalFormatting sqref="P1:Q15">
    <cfRule type="expression" dxfId="0" priority="1">
      <formula>$P1=-1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3DC5-FB79-4E90-AF4A-633B83CE101A}">
  <dimension ref="A1:M1"/>
  <sheetViews>
    <sheetView workbookViewId="0">
      <selection activeCell="D51" sqref="D51"/>
    </sheetView>
  </sheetViews>
  <sheetFormatPr defaultRowHeight="15" x14ac:dyDescent="0.25"/>
  <cols>
    <col min="2" max="2" width="15.7109375" customWidth="1"/>
    <col min="3" max="3" width="16.28515625" customWidth="1"/>
    <col min="12" max="12" width="16.28515625" bestFit="1" customWidth="1"/>
    <col min="13" max="13" width="17" bestFit="1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3CA1-771C-4A59-8D95-97BEC88D20CE}">
  <dimension ref="A1:L1"/>
  <sheetViews>
    <sheetView tabSelected="1" workbookViewId="0">
      <selection activeCell="I31" sqref="I31"/>
    </sheetView>
  </sheetViews>
  <sheetFormatPr defaultRowHeight="15" x14ac:dyDescent="0.25"/>
  <cols>
    <col min="1" max="1" width="8.7109375" bestFit="1" customWidth="1"/>
    <col min="2" max="2" width="7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3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111</v>
      </c>
      <c r="L1" s="18" t="s">
        <v>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FEAC9-CAA6-47A8-8198-4A8F2BA433E6}">
  <sheetPr>
    <tabColor theme="4" tint="0.39997558519241921"/>
  </sheetPr>
  <dimension ref="A1:M9"/>
  <sheetViews>
    <sheetView workbookViewId="0">
      <selection activeCell="F48" sqref="F48"/>
    </sheetView>
  </sheetViews>
  <sheetFormatPr defaultRowHeight="15" x14ac:dyDescent="0.25"/>
  <cols>
    <col min="2" max="2" width="20.85546875" customWidth="1"/>
    <col min="3" max="3" width="18" bestFit="1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D2" t="s">
        <v>42</v>
      </c>
      <c r="E2">
        <v>2023</v>
      </c>
      <c r="F2" t="s">
        <v>43</v>
      </c>
      <c r="G2" t="s">
        <v>44</v>
      </c>
      <c r="H2" t="s">
        <v>31</v>
      </c>
      <c r="I2" t="s">
        <v>46</v>
      </c>
      <c r="J2" t="s">
        <v>45</v>
      </c>
      <c r="L2" t="s">
        <v>47</v>
      </c>
    </row>
    <row r="3" spans="1:13" x14ac:dyDescent="0.25">
      <c r="B3" t="s">
        <v>58</v>
      </c>
      <c r="C3" t="s">
        <v>57</v>
      </c>
      <c r="D3">
        <v>4.9000000000000004</v>
      </c>
      <c r="E3">
        <v>2023</v>
      </c>
      <c r="F3">
        <v>396</v>
      </c>
      <c r="G3" t="s">
        <v>48</v>
      </c>
      <c r="H3">
        <v>7</v>
      </c>
      <c r="I3">
        <v>4</v>
      </c>
      <c r="J3">
        <v>4.7</v>
      </c>
      <c r="K3" t="s">
        <v>56</v>
      </c>
      <c r="L3">
        <v>370</v>
      </c>
      <c r="M3" t="s">
        <v>55</v>
      </c>
    </row>
    <row r="4" spans="1:13" x14ac:dyDescent="0.25">
      <c r="B4" t="s">
        <v>58</v>
      </c>
      <c r="C4" t="s">
        <v>57</v>
      </c>
      <c r="D4">
        <v>5.3</v>
      </c>
      <c r="E4">
        <v>2023</v>
      </c>
      <c r="F4">
        <v>416</v>
      </c>
      <c r="G4" t="s">
        <v>49</v>
      </c>
      <c r="H4">
        <v>7</v>
      </c>
      <c r="I4">
        <v>4</v>
      </c>
      <c r="J4">
        <v>4.9000000000000004</v>
      </c>
      <c r="L4">
        <v>400</v>
      </c>
      <c r="M4" t="s">
        <v>55</v>
      </c>
    </row>
    <row r="5" spans="1:13" x14ac:dyDescent="0.25">
      <c r="B5" t="s">
        <v>58</v>
      </c>
      <c r="C5" t="s">
        <v>57</v>
      </c>
      <c r="D5">
        <v>5.6</v>
      </c>
      <c r="E5">
        <v>2023</v>
      </c>
      <c r="F5">
        <v>426</v>
      </c>
      <c r="G5" t="s">
        <v>50</v>
      </c>
      <c r="H5">
        <v>7</v>
      </c>
      <c r="I5">
        <v>4</v>
      </c>
      <c r="J5">
        <v>5.0999999999999996</v>
      </c>
      <c r="L5">
        <v>400</v>
      </c>
      <c r="M5" t="s">
        <v>55</v>
      </c>
    </row>
    <row r="6" spans="1:13" x14ac:dyDescent="0.25">
      <c r="B6" t="s">
        <v>58</v>
      </c>
      <c r="C6" t="s">
        <v>57</v>
      </c>
      <c r="D6">
        <v>6.5</v>
      </c>
      <c r="E6">
        <v>2023</v>
      </c>
      <c r="F6">
        <v>458</v>
      </c>
      <c r="G6" t="s">
        <v>51</v>
      </c>
      <c r="H6">
        <v>7</v>
      </c>
      <c r="I6">
        <v>4</v>
      </c>
      <c r="J6">
        <v>5.5</v>
      </c>
      <c r="L6">
        <v>430</v>
      </c>
      <c r="M6" t="s">
        <v>15</v>
      </c>
    </row>
    <row r="7" spans="1:13" x14ac:dyDescent="0.25">
      <c r="B7" t="s">
        <v>58</v>
      </c>
      <c r="C7" t="s">
        <v>57</v>
      </c>
      <c r="D7">
        <v>7.4</v>
      </c>
      <c r="E7">
        <v>2023</v>
      </c>
      <c r="F7">
        <v>486</v>
      </c>
      <c r="G7" t="s">
        <v>52</v>
      </c>
      <c r="H7">
        <v>7</v>
      </c>
      <c r="I7">
        <v>4</v>
      </c>
      <c r="J7">
        <v>5.8</v>
      </c>
      <c r="L7">
        <v>460</v>
      </c>
      <c r="M7" t="s">
        <v>15</v>
      </c>
    </row>
    <row r="8" spans="1:13" x14ac:dyDescent="0.25">
      <c r="B8" t="s">
        <v>58</v>
      </c>
      <c r="C8" t="s">
        <v>57</v>
      </c>
      <c r="D8">
        <v>8.1999999999999993</v>
      </c>
      <c r="E8">
        <v>2023</v>
      </c>
      <c r="F8">
        <v>512</v>
      </c>
      <c r="G8" t="s">
        <v>53</v>
      </c>
      <c r="H8">
        <v>7</v>
      </c>
      <c r="I8">
        <v>4</v>
      </c>
      <c r="J8">
        <v>6.1</v>
      </c>
      <c r="L8">
        <v>490</v>
      </c>
      <c r="M8" t="s">
        <v>15</v>
      </c>
    </row>
    <row r="9" spans="1:13" x14ac:dyDescent="0.25">
      <c r="B9" t="s">
        <v>58</v>
      </c>
      <c r="C9" t="s">
        <v>57</v>
      </c>
      <c r="D9">
        <v>9</v>
      </c>
      <c r="E9">
        <v>2023</v>
      </c>
      <c r="F9">
        <v>538</v>
      </c>
      <c r="G9" t="s">
        <v>54</v>
      </c>
      <c r="H9">
        <v>7</v>
      </c>
      <c r="I9">
        <v>4</v>
      </c>
      <c r="J9">
        <v>6.5</v>
      </c>
      <c r="L9">
        <v>520</v>
      </c>
      <c r="M9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0300-F880-4444-8A13-D606D2F3C583}">
  <dimension ref="A1:M10"/>
  <sheetViews>
    <sheetView workbookViewId="0">
      <selection activeCell="I53" sqref="I53"/>
    </sheetView>
  </sheetViews>
  <sheetFormatPr defaultRowHeight="15" x14ac:dyDescent="0.25"/>
  <cols>
    <col min="2" max="2" width="15.7109375" customWidth="1"/>
    <col min="3" max="3" width="16.28515625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D2" t="s">
        <v>60</v>
      </c>
      <c r="F2" t="s">
        <v>61</v>
      </c>
      <c r="G2" t="s">
        <v>62</v>
      </c>
      <c r="H2" t="s">
        <v>2</v>
      </c>
      <c r="I2" t="s">
        <v>3</v>
      </c>
      <c r="J2" t="s">
        <v>63</v>
      </c>
    </row>
    <row r="3" spans="1:13" x14ac:dyDescent="0.25">
      <c r="B3" t="s">
        <v>58</v>
      </c>
      <c r="C3" t="s">
        <v>59</v>
      </c>
      <c r="D3" s="4">
        <v>4.9000000000000004</v>
      </c>
      <c r="E3">
        <v>2026</v>
      </c>
      <c r="F3">
        <v>396</v>
      </c>
      <c r="G3" t="s">
        <v>64</v>
      </c>
      <c r="H3">
        <v>7</v>
      </c>
      <c r="I3">
        <v>4</v>
      </c>
      <c r="J3">
        <v>4.7</v>
      </c>
      <c r="K3" t="s">
        <v>56</v>
      </c>
      <c r="L3">
        <v>370</v>
      </c>
      <c r="M3" t="s">
        <v>55</v>
      </c>
    </row>
    <row r="4" spans="1:13" x14ac:dyDescent="0.25">
      <c r="B4" t="s">
        <v>58</v>
      </c>
      <c r="C4" t="s">
        <v>59</v>
      </c>
      <c r="D4" s="4">
        <v>5.3</v>
      </c>
      <c r="E4">
        <v>2026</v>
      </c>
      <c r="F4">
        <v>416</v>
      </c>
      <c r="G4" t="s">
        <v>65</v>
      </c>
      <c r="H4">
        <v>7</v>
      </c>
      <c r="I4">
        <v>4</v>
      </c>
      <c r="J4">
        <v>4.9000000000000004</v>
      </c>
      <c r="K4" t="s">
        <v>56</v>
      </c>
      <c r="L4">
        <v>400</v>
      </c>
      <c r="M4" t="s">
        <v>55</v>
      </c>
    </row>
    <row r="5" spans="1:13" x14ac:dyDescent="0.25">
      <c r="B5" t="s">
        <v>58</v>
      </c>
      <c r="C5" t="s">
        <v>59</v>
      </c>
      <c r="D5" s="4">
        <v>5.6</v>
      </c>
      <c r="E5">
        <v>2026</v>
      </c>
      <c r="F5">
        <v>426</v>
      </c>
      <c r="G5" t="s">
        <v>66</v>
      </c>
      <c r="H5">
        <v>7</v>
      </c>
      <c r="I5">
        <v>4</v>
      </c>
      <c r="J5">
        <v>5</v>
      </c>
      <c r="K5" t="s">
        <v>56</v>
      </c>
      <c r="L5">
        <v>400</v>
      </c>
      <c r="M5" t="s">
        <v>55</v>
      </c>
    </row>
    <row r="6" spans="1:13" x14ac:dyDescent="0.25">
      <c r="B6" t="s">
        <v>58</v>
      </c>
      <c r="C6" t="s">
        <v>59</v>
      </c>
      <c r="D6" s="4">
        <v>5.7</v>
      </c>
      <c r="E6">
        <v>2026</v>
      </c>
      <c r="F6">
        <v>432</v>
      </c>
      <c r="G6" t="s">
        <v>67</v>
      </c>
      <c r="H6">
        <v>7</v>
      </c>
      <c r="I6">
        <v>4</v>
      </c>
      <c r="J6">
        <v>5.0999999999999996</v>
      </c>
      <c r="K6" t="s">
        <v>56</v>
      </c>
      <c r="L6">
        <v>400</v>
      </c>
      <c r="M6" t="s">
        <v>55</v>
      </c>
    </row>
    <row r="7" spans="1:13" x14ac:dyDescent="0.25">
      <c r="B7" t="s">
        <v>58</v>
      </c>
      <c r="C7" t="s">
        <v>59</v>
      </c>
      <c r="D7" s="4">
        <v>6.5</v>
      </c>
      <c r="E7">
        <v>2026</v>
      </c>
      <c r="F7">
        <v>458</v>
      </c>
      <c r="G7" t="s">
        <v>68</v>
      </c>
      <c r="H7">
        <v>7</v>
      </c>
      <c r="I7">
        <v>4</v>
      </c>
      <c r="J7">
        <v>5.3</v>
      </c>
      <c r="K7" t="s">
        <v>56</v>
      </c>
      <c r="L7">
        <v>430</v>
      </c>
      <c r="M7" t="s">
        <v>72</v>
      </c>
    </row>
    <row r="8" spans="1:13" x14ac:dyDescent="0.25">
      <c r="B8" t="s">
        <v>58</v>
      </c>
      <c r="C8" t="s">
        <v>59</v>
      </c>
      <c r="D8" s="4">
        <v>7.4</v>
      </c>
      <c r="E8">
        <v>2026</v>
      </c>
      <c r="F8">
        <v>486</v>
      </c>
      <c r="G8" t="s">
        <v>69</v>
      </c>
      <c r="H8">
        <v>7</v>
      </c>
      <c r="I8">
        <v>4</v>
      </c>
      <c r="J8">
        <v>5.5</v>
      </c>
      <c r="K8" t="s">
        <v>56</v>
      </c>
      <c r="L8">
        <v>460</v>
      </c>
      <c r="M8" t="s">
        <v>15</v>
      </c>
    </row>
    <row r="9" spans="1:13" x14ac:dyDescent="0.25">
      <c r="B9" t="s">
        <v>58</v>
      </c>
      <c r="C9" t="s">
        <v>59</v>
      </c>
      <c r="D9" s="4">
        <v>8.1999999999999993</v>
      </c>
      <c r="E9">
        <v>2026</v>
      </c>
      <c r="F9">
        <v>512</v>
      </c>
      <c r="G9" t="s">
        <v>70</v>
      </c>
      <c r="H9">
        <v>7</v>
      </c>
      <c r="I9">
        <v>4</v>
      </c>
      <c r="J9">
        <v>6.1</v>
      </c>
      <c r="K9" t="s">
        <v>56</v>
      </c>
      <c r="L9">
        <v>490</v>
      </c>
      <c r="M9" t="s">
        <v>15</v>
      </c>
    </row>
    <row r="10" spans="1:13" x14ac:dyDescent="0.25">
      <c r="B10" t="s">
        <v>58</v>
      </c>
      <c r="C10" t="s">
        <v>59</v>
      </c>
      <c r="D10" s="4">
        <v>9</v>
      </c>
      <c r="E10">
        <v>2026</v>
      </c>
      <c r="F10">
        <v>538</v>
      </c>
      <c r="G10" t="s">
        <v>71</v>
      </c>
      <c r="H10">
        <v>7</v>
      </c>
      <c r="I10">
        <v>4</v>
      </c>
      <c r="J10">
        <v>6.4</v>
      </c>
      <c r="K10" t="s">
        <v>56</v>
      </c>
      <c r="L10">
        <v>520</v>
      </c>
      <c r="M10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1DF49-F8B8-4D8D-80FF-1D1E91486142}">
  <dimension ref="A1:AC10"/>
  <sheetViews>
    <sheetView workbookViewId="0">
      <selection activeCell="H48" sqref="H48"/>
    </sheetView>
  </sheetViews>
  <sheetFormatPr defaultRowHeight="15" x14ac:dyDescent="0.25"/>
  <cols>
    <col min="2" max="2" width="15.7109375" customWidth="1"/>
    <col min="3" max="3" width="16.28515625" customWidth="1"/>
    <col min="4" max="4" width="15.7109375" customWidth="1"/>
    <col min="10" max="10" width="20.85546875" bestFit="1" customWidth="1"/>
  </cols>
  <sheetData>
    <row r="1" spans="1:29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29" x14ac:dyDescent="0.25">
      <c r="P2" t="s">
        <v>93</v>
      </c>
      <c r="Q2" t="s">
        <v>94</v>
      </c>
    </row>
    <row r="3" spans="1:29" x14ac:dyDescent="0.25">
      <c r="D3" t="s">
        <v>21</v>
      </c>
      <c r="F3" t="s">
        <v>0</v>
      </c>
      <c r="H3" t="s">
        <v>2</v>
      </c>
      <c r="I3" t="s">
        <v>75</v>
      </c>
      <c r="J3" t="s">
        <v>4</v>
      </c>
      <c r="Q3" s="17" t="s">
        <v>94</v>
      </c>
    </row>
    <row r="4" spans="1:29" x14ac:dyDescent="0.25">
      <c r="B4" t="s">
        <v>92</v>
      </c>
      <c r="C4" t="s">
        <v>91</v>
      </c>
      <c r="D4">
        <v>5.2</v>
      </c>
      <c r="E4">
        <v>2026</v>
      </c>
      <c r="F4">
        <v>418</v>
      </c>
      <c r="G4">
        <v>172</v>
      </c>
      <c r="H4">
        <v>7</v>
      </c>
      <c r="I4">
        <v>3</v>
      </c>
      <c r="J4" t="s">
        <v>77</v>
      </c>
      <c r="K4" t="s">
        <v>56</v>
      </c>
      <c r="L4">
        <v>400</v>
      </c>
      <c r="M4" t="s">
        <v>55</v>
      </c>
      <c r="U4" t="s">
        <v>21</v>
      </c>
      <c r="V4" t="s">
        <v>0</v>
      </c>
      <c r="W4" t="s">
        <v>1</v>
      </c>
      <c r="X4" t="s">
        <v>5</v>
      </c>
      <c r="Y4" t="s">
        <v>74</v>
      </c>
      <c r="Z4" t="s">
        <v>2</v>
      </c>
      <c r="AA4" t="s">
        <v>75</v>
      </c>
      <c r="AB4" t="s">
        <v>4</v>
      </c>
      <c r="AC4" t="s">
        <v>76</v>
      </c>
    </row>
    <row r="5" spans="1:29" x14ac:dyDescent="0.25">
      <c r="B5" t="s">
        <v>92</v>
      </c>
      <c r="C5" t="s">
        <v>91</v>
      </c>
      <c r="D5">
        <v>5.8</v>
      </c>
      <c r="E5">
        <v>2026</v>
      </c>
      <c r="F5">
        <v>436</v>
      </c>
      <c r="G5">
        <v>184</v>
      </c>
      <c r="H5">
        <v>7</v>
      </c>
      <c r="I5">
        <v>3</v>
      </c>
      <c r="J5" t="s">
        <v>79</v>
      </c>
      <c r="K5" t="s">
        <v>56</v>
      </c>
      <c r="L5">
        <v>400</v>
      </c>
      <c r="M5" t="s">
        <v>55</v>
      </c>
      <c r="U5">
        <v>5.2</v>
      </c>
      <c r="V5">
        <v>418</v>
      </c>
      <c r="W5" t="s">
        <v>86</v>
      </c>
      <c r="X5" t="s">
        <v>56</v>
      </c>
      <c r="Y5">
        <v>18</v>
      </c>
      <c r="Z5">
        <v>7</v>
      </c>
      <c r="AA5">
        <v>3</v>
      </c>
      <c r="AB5" t="s">
        <v>77</v>
      </c>
      <c r="AC5" t="s">
        <v>78</v>
      </c>
    </row>
    <row r="6" spans="1:29" x14ac:dyDescent="0.25">
      <c r="B6" t="s">
        <v>92</v>
      </c>
      <c r="C6" t="s">
        <v>91</v>
      </c>
      <c r="D6">
        <v>6.6</v>
      </c>
      <c r="E6">
        <v>2026</v>
      </c>
      <c r="F6">
        <v>456</v>
      </c>
      <c r="G6">
        <v>200</v>
      </c>
      <c r="H6">
        <v>7</v>
      </c>
      <c r="I6">
        <v>3</v>
      </c>
      <c r="J6" t="s">
        <v>80</v>
      </c>
      <c r="K6" t="s">
        <v>56</v>
      </c>
      <c r="L6">
        <v>430</v>
      </c>
      <c r="M6" t="s">
        <v>15</v>
      </c>
      <c r="U6">
        <v>5.8</v>
      </c>
      <c r="V6">
        <v>436</v>
      </c>
      <c r="W6" t="s">
        <v>87</v>
      </c>
      <c r="X6" t="s">
        <v>56</v>
      </c>
      <c r="Y6">
        <v>36</v>
      </c>
      <c r="Z6">
        <v>7</v>
      </c>
      <c r="AA6">
        <v>3</v>
      </c>
      <c r="AB6" t="s">
        <v>79</v>
      </c>
      <c r="AC6" t="s">
        <v>78</v>
      </c>
    </row>
    <row r="7" spans="1:29" x14ac:dyDescent="0.25">
      <c r="B7" t="s">
        <v>92</v>
      </c>
      <c r="C7" t="s">
        <v>91</v>
      </c>
      <c r="D7">
        <v>7.4</v>
      </c>
      <c r="E7">
        <v>2026</v>
      </c>
      <c r="F7">
        <v>492</v>
      </c>
      <c r="G7">
        <v>208</v>
      </c>
      <c r="H7">
        <v>7</v>
      </c>
      <c r="I7">
        <v>3</v>
      </c>
      <c r="J7" t="s">
        <v>82</v>
      </c>
      <c r="K7" t="s">
        <v>56</v>
      </c>
      <c r="L7">
        <v>460</v>
      </c>
      <c r="M7" t="s">
        <v>15</v>
      </c>
      <c r="U7">
        <v>6.6</v>
      </c>
      <c r="V7">
        <v>456</v>
      </c>
      <c r="W7" t="s">
        <v>88</v>
      </c>
      <c r="X7" t="s">
        <v>56</v>
      </c>
      <c r="Y7">
        <v>26</v>
      </c>
      <c r="Z7">
        <v>7</v>
      </c>
      <c r="AA7">
        <v>3</v>
      </c>
      <c r="AB7" t="s">
        <v>80</v>
      </c>
      <c r="AC7" t="s">
        <v>81</v>
      </c>
    </row>
    <row r="8" spans="1:29" x14ac:dyDescent="0.25">
      <c r="B8" t="s">
        <v>92</v>
      </c>
      <c r="C8" t="s">
        <v>91</v>
      </c>
      <c r="D8">
        <v>8.1999999999999993</v>
      </c>
      <c r="E8">
        <v>2026</v>
      </c>
      <c r="F8">
        <v>514</v>
      </c>
      <c r="G8">
        <v>218</v>
      </c>
      <c r="H8">
        <v>7</v>
      </c>
      <c r="I8">
        <v>3</v>
      </c>
      <c r="J8" t="s">
        <v>84</v>
      </c>
      <c r="K8" t="s">
        <v>56</v>
      </c>
      <c r="L8">
        <v>490</v>
      </c>
      <c r="M8" t="s">
        <v>15</v>
      </c>
      <c r="U8">
        <v>7.4</v>
      </c>
      <c r="V8">
        <v>492</v>
      </c>
      <c r="W8" t="s">
        <v>89</v>
      </c>
      <c r="X8" t="s">
        <v>56</v>
      </c>
      <c r="Y8">
        <v>32</v>
      </c>
      <c r="Z8">
        <v>7</v>
      </c>
      <c r="AA8">
        <v>3</v>
      </c>
      <c r="AB8" t="s">
        <v>82</v>
      </c>
      <c r="AC8" t="s">
        <v>83</v>
      </c>
    </row>
    <row r="9" spans="1:29" x14ac:dyDescent="0.25">
      <c r="D9" s="4"/>
      <c r="U9">
        <v>8.1999999999999993</v>
      </c>
      <c r="V9">
        <v>514</v>
      </c>
      <c r="W9" t="s">
        <v>90</v>
      </c>
      <c r="X9" t="s">
        <v>56</v>
      </c>
      <c r="Y9">
        <v>24</v>
      </c>
      <c r="Z9">
        <v>7</v>
      </c>
      <c r="AA9">
        <v>3</v>
      </c>
      <c r="AB9" t="s">
        <v>84</v>
      </c>
      <c r="AC9" t="s">
        <v>85</v>
      </c>
    </row>
    <row r="10" spans="1:29" x14ac:dyDescent="0.25">
      <c r="D10" s="4"/>
    </row>
  </sheetData>
  <hyperlinks>
    <hyperlink ref="Q3" r:id="rId1" xr:uid="{DF1C1B7F-1A8C-4148-9281-F968157B7ED8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F33F4-B7A8-4D96-AC36-F653BEE290C3}">
  <dimension ref="A1:O63"/>
  <sheetViews>
    <sheetView workbookViewId="0">
      <selection activeCell="A45" sqref="A45:XFD45"/>
    </sheetView>
  </sheetViews>
  <sheetFormatPr defaultRowHeight="15" x14ac:dyDescent="0.25"/>
  <cols>
    <col min="2" max="2" width="15.7109375" customWidth="1"/>
    <col min="3" max="3" width="16.28515625" customWidth="1"/>
    <col min="10" max="10" width="11.28515625" bestFit="1" customWidth="1"/>
    <col min="11" max="11" width="10.5703125" bestFit="1" customWidth="1"/>
    <col min="12" max="12" width="9.7109375" bestFit="1" customWidth="1"/>
    <col min="13" max="13" width="14.28515625" customWidth="1"/>
  </cols>
  <sheetData>
    <row r="1" spans="1:15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5" x14ac:dyDescent="0.25">
      <c r="B2" t="s">
        <v>37</v>
      </c>
      <c r="C2" t="s">
        <v>98</v>
      </c>
      <c r="D2" s="4">
        <v>5.5</v>
      </c>
      <c r="E2">
        <v>2025</v>
      </c>
      <c r="F2">
        <v>417</v>
      </c>
      <c r="G2">
        <v>178</v>
      </c>
      <c r="H2">
        <v>6</v>
      </c>
      <c r="I2">
        <v>2</v>
      </c>
      <c r="J2">
        <v>4.4000000000000004</v>
      </c>
      <c r="K2" t="s">
        <v>96</v>
      </c>
      <c r="L2">
        <v>400</v>
      </c>
      <c r="M2" t="s">
        <v>100</v>
      </c>
      <c r="O2" t="s">
        <v>95</v>
      </c>
    </row>
    <row r="3" spans="1:15" x14ac:dyDescent="0.25">
      <c r="B3" t="s">
        <v>37</v>
      </c>
      <c r="C3" t="s">
        <v>98</v>
      </c>
      <c r="D3" s="4">
        <v>6</v>
      </c>
      <c r="E3">
        <v>2025</v>
      </c>
      <c r="F3">
        <v>430</v>
      </c>
      <c r="G3">
        <v>184</v>
      </c>
      <c r="H3">
        <v>6</v>
      </c>
      <c r="I3">
        <v>2</v>
      </c>
      <c r="J3">
        <v>4.5</v>
      </c>
      <c r="K3" t="s">
        <v>56</v>
      </c>
      <c r="L3">
        <v>430</v>
      </c>
      <c r="M3" t="s">
        <v>100</v>
      </c>
      <c r="O3" t="s">
        <v>95</v>
      </c>
    </row>
    <row r="4" spans="1:15" x14ac:dyDescent="0.25">
      <c r="B4" t="s">
        <v>37</v>
      </c>
      <c r="C4" t="s">
        <v>98</v>
      </c>
      <c r="D4" s="4">
        <v>6.5</v>
      </c>
      <c r="E4">
        <v>2025</v>
      </c>
      <c r="F4">
        <v>442</v>
      </c>
      <c r="G4">
        <v>192</v>
      </c>
      <c r="H4">
        <v>6</v>
      </c>
      <c r="I4">
        <v>2</v>
      </c>
      <c r="J4">
        <v>4.5999999999999996</v>
      </c>
      <c r="K4" t="s">
        <v>56</v>
      </c>
      <c r="L4">
        <v>430</v>
      </c>
      <c r="M4" t="s">
        <v>100</v>
      </c>
      <c r="O4" t="s">
        <v>95</v>
      </c>
    </row>
    <row r="5" spans="1:15" x14ac:dyDescent="0.25">
      <c r="B5" t="s">
        <v>37</v>
      </c>
      <c r="C5" t="s">
        <v>98</v>
      </c>
      <c r="D5" s="4">
        <v>7.1</v>
      </c>
      <c r="E5">
        <v>2025</v>
      </c>
      <c r="F5">
        <v>457</v>
      </c>
      <c r="G5">
        <v>203</v>
      </c>
      <c r="H5">
        <v>6</v>
      </c>
      <c r="I5">
        <v>2</v>
      </c>
      <c r="J5">
        <v>4.8</v>
      </c>
      <c r="K5" t="s">
        <v>56</v>
      </c>
      <c r="L5">
        <v>430</v>
      </c>
      <c r="M5" t="s">
        <v>100</v>
      </c>
      <c r="O5" t="s">
        <v>95</v>
      </c>
    </row>
    <row r="6" spans="1:15" x14ac:dyDescent="0.25">
      <c r="B6" t="s">
        <v>37</v>
      </c>
      <c r="C6" t="s">
        <v>98</v>
      </c>
      <c r="D6" s="4">
        <v>7.8</v>
      </c>
      <c r="E6">
        <v>2025</v>
      </c>
      <c r="F6">
        <v>465</v>
      </c>
      <c r="G6">
        <v>215</v>
      </c>
      <c r="H6">
        <v>6</v>
      </c>
      <c r="I6">
        <v>2</v>
      </c>
      <c r="J6">
        <v>5.0999999999999996</v>
      </c>
      <c r="K6" t="s">
        <v>56</v>
      </c>
      <c r="L6">
        <v>460</v>
      </c>
      <c r="M6" t="s">
        <v>15</v>
      </c>
      <c r="O6" t="s">
        <v>97</v>
      </c>
    </row>
    <row r="7" spans="1:15" x14ac:dyDescent="0.25">
      <c r="B7" t="s">
        <v>37</v>
      </c>
      <c r="C7" t="s">
        <v>98</v>
      </c>
      <c r="D7" s="4">
        <v>8.5</v>
      </c>
      <c r="E7">
        <v>2025</v>
      </c>
      <c r="F7">
        <v>494</v>
      </c>
      <c r="G7">
        <v>225</v>
      </c>
      <c r="H7">
        <v>6</v>
      </c>
      <c r="I7">
        <v>2</v>
      </c>
      <c r="J7">
        <v>5.3</v>
      </c>
      <c r="K7" t="s">
        <v>56</v>
      </c>
      <c r="L7">
        <v>490</v>
      </c>
      <c r="M7" t="s">
        <v>15</v>
      </c>
      <c r="O7" t="s">
        <v>97</v>
      </c>
    </row>
    <row r="8" spans="1:15" x14ac:dyDescent="0.25">
      <c r="B8" t="s">
        <v>37</v>
      </c>
      <c r="C8" t="s">
        <v>99</v>
      </c>
      <c r="D8" s="4">
        <v>4.8</v>
      </c>
      <c r="E8">
        <v>2025</v>
      </c>
      <c r="F8">
        <v>399</v>
      </c>
      <c r="G8">
        <v>162</v>
      </c>
      <c r="H8">
        <v>6</v>
      </c>
      <c r="I8">
        <v>0</v>
      </c>
      <c r="J8">
        <v>3.8</v>
      </c>
      <c r="K8" t="s">
        <v>96</v>
      </c>
      <c r="L8">
        <v>400</v>
      </c>
      <c r="M8" t="s">
        <v>100</v>
      </c>
    </row>
    <row r="9" spans="1:15" x14ac:dyDescent="0.25">
      <c r="B9" t="s">
        <v>37</v>
      </c>
      <c r="C9" t="s">
        <v>99</v>
      </c>
      <c r="D9">
        <v>5.4</v>
      </c>
      <c r="E9">
        <v>2025</v>
      </c>
      <c r="F9">
        <v>416</v>
      </c>
      <c r="G9">
        <v>164</v>
      </c>
      <c r="H9">
        <v>6</v>
      </c>
      <c r="I9">
        <v>0</v>
      </c>
      <c r="J9">
        <v>4</v>
      </c>
      <c r="K9" t="s">
        <v>96</v>
      </c>
      <c r="L9">
        <v>400</v>
      </c>
      <c r="M9" t="s">
        <v>100</v>
      </c>
    </row>
    <row r="10" spans="1:15" x14ac:dyDescent="0.25">
      <c r="B10" t="s">
        <v>37</v>
      </c>
      <c r="C10" t="s">
        <v>99</v>
      </c>
      <c r="D10">
        <v>6</v>
      </c>
      <c r="E10">
        <v>2025</v>
      </c>
      <c r="F10">
        <v>431</v>
      </c>
      <c r="G10">
        <v>175</v>
      </c>
      <c r="H10">
        <v>6</v>
      </c>
      <c r="I10">
        <v>0</v>
      </c>
      <c r="J10">
        <v>4.2</v>
      </c>
      <c r="K10" t="s">
        <v>56</v>
      </c>
      <c r="L10">
        <v>430</v>
      </c>
      <c r="M10" t="s">
        <v>100</v>
      </c>
    </row>
    <row r="11" spans="1:15" x14ac:dyDescent="0.25">
      <c r="B11" t="s">
        <v>37</v>
      </c>
      <c r="C11" t="s">
        <v>99</v>
      </c>
      <c r="D11">
        <v>6.6</v>
      </c>
      <c r="E11">
        <v>2025</v>
      </c>
      <c r="F11">
        <v>439</v>
      </c>
      <c r="G11">
        <v>191</v>
      </c>
      <c r="H11">
        <v>6</v>
      </c>
      <c r="I11">
        <v>0</v>
      </c>
      <c r="J11">
        <v>4.4000000000000004</v>
      </c>
      <c r="K11" t="s">
        <v>56</v>
      </c>
      <c r="L11">
        <v>430</v>
      </c>
      <c r="M11" t="s">
        <v>100</v>
      </c>
    </row>
    <row r="12" spans="1:15" x14ac:dyDescent="0.25">
      <c r="B12" t="s">
        <v>37</v>
      </c>
      <c r="C12" t="s">
        <v>99</v>
      </c>
      <c r="D12">
        <v>7.2</v>
      </c>
      <c r="E12">
        <v>2025</v>
      </c>
      <c r="F12">
        <v>455</v>
      </c>
      <c r="G12">
        <v>204</v>
      </c>
      <c r="H12">
        <v>6</v>
      </c>
      <c r="I12">
        <v>0</v>
      </c>
      <c r="J12">
        <v>4.5999999999999996</v>
      </c>
      <c r="K12" t="s">
        <v>56</v>
      </c>
      <c r="L12">
        <v>430</v>
      </c>
      <c r="M12" t="s">
        <v>100</v>
      </c>
    </row>
    <row r="13" spans="1:15" x14ac:dyDescent="0.25">
      <c r="B13" t="s">
        <v>37</v>
      </c>
      <c r="C13" t="s">
        <v>99</v>
      </c>
      <c r="D13">
        <v>7.9</v>
      </c>
      <c r="E13">
        <v>2025</v>
      </c>
      <c r="F13">
        <v>466</v>
      </c>
      <c r="G13">
        <v>222</v>
      </c>
      <c r="H13">
        <v>6</v>
      </c>
      <c r="I13">
        <v>0</v>
      </c>
      <c r="J13">
        <v>4.9000000000000004</v>
      </c>
      <c r="K13" t="s">
        <v>56</v>
      </c>
      <c r="L13">
        <v>460</v>
      </c>
      <c r="M13" t="s">
        <v>15</v>
      </c>
    </row>
    <row r="14" spans="1:15" x14ac:dyDescent="0.25">
      <c r="B14" t="s">
        <v>37</v>
      </c>
      <c r="C14" t="s">
        <v>99</v>
      </c>
      <c r="D14">
        <v>8.6</v>
      </c>
      <c r="E14">
        <v>2025</v>
      </c>
      <c r="F14">
        <v>484</v>
      </c>
      <c r="G14">
        <v>232</v>
      </c>
      <c r="H14">
        <v>6</v>
      </c>
      <c r="I14">
        <v>0</v>
      </c>
      <c r="J14">
        <v>5.2</v>
      </c>
      <c r="K14" t="s">
        <v>56</v>
      </c>
      <c r="L14">
        <v>460</v>
      </c>
      <c r="M14" t="s">
        <v>15</v>
      </c>
    </row>
    <row r="15" spans="1:15" x14ac:dyDescent="0.25">
      <c r="B15" t="s">
        <v>37</v>
      </c>
      <c r="C15" t="s">
        <v>99</v>
      </c>
      <c r="D15">
        <v>4.8</v>
      </c>
      <c r="E15">
        <v>2024</v>
      </c>
      <c r="F15">
        <v>399</v>
      </c>
      <c r="G15">
        <v>162</v>
      </c>
      <c r="H15">
        <v>6</v>
      </c>
      <c r="I15">
        <v>0</v>
      </c>
      <c r="J15">
        <v>3.8</v>
      </c>
      <c r="K15" t="s">
        <v>96</v>
      </c>
      <c r="L15">
        <v>400</v>
      </c>
      <c r="M15" t="s">
        <v>100</v>
      </c>
    </row>
    <row r="16" spans="1:15" x14ac:dyDescent="0.25">
      <c r="B16" t="s">
        <v>37</v>
      </c>
      <c r="C16" t="s">
        <v>99</v>
      </c>
      <c r="D16">
        <v>5.4</v>
      </c>
      <c r="E16">
        <v>2024</v>
      </c>
      <c r="F16">
        <v>416</v>
      </c>
      <c r="G16">
        <v>164</v>
      </c>
      <c r="H16">
        <v>6</v>
      </c>
      <c r="I16">
        <v>0</v>
      </c>
      <c r="J16">
        <v>4</v>
      </c>
      <c r="K16" t="s">
        <v>96</v>
      </c>
      <c r="L16">
        <v>400</v>
      </c>
      <c r="M16" t="s">
        <v>100</v>
      </c>
    </row>
    <row r="17" spans="2:13" x14ac:dyDescent="0.25">
      <c r="B17" t="s">
        <v>37</v>
      </c>
      <c r="C17" t="s">
        <v>99</v>
      </c>
      <c r="D17">
        <v>6</v>
      </c>
      <c r="E17">
        <v>2024</v>
      </c>
      <c r="F17">
        <v>431</v>
      </c>
      <c r="G17">
        <v>175</v>
      </c>
      <c r="H17">
        <v>6</v>
      </c>
      <c r="I17">
        <v>0</v>
      </c>
      <c r="J17">
        <v>4.2</v>
      </c>
      <c r="K17" t="s">
        <v>56</v>
      </c>
      <c r="L17">
        <v>430</v>
      </c>
      <c r="M17" t="s">
        <v>100</v>
      </c>
    </row>
    <row r="18" spans="2:13" x14ac:dyDescent="0.25">
      <c r="B18" t="s">
        <v>37</v>
      </c>
      <c r="C18" t="s">
        <v>99</v>
      </c>
      <c r="D18">
        <v>6.6</v>
      </c>
      <c r="E18">
        <v>2024</v>
      </c>
      <c r="F18">
        <v>439</v>
      </c>
      <c r="G18">
        <v>191</v>
      </c>
      <c r="H18">
        <v>6</v>
      </c>
      <c r="I18">
        <v>0</v>
      </c>
      <c r="J18">
        <v>4.4000000000000004</v>
      </c>
      <c r="K18" t="s">
        <v>56</v>
      </c>
      <c r="L18">
        <v>430</v>
      </c>
      <c r="M18" t="s">
        <v>100</v>
      </c>
    </row>
    <row r="19" spans="2:13" x14ac:dyDescent="0.25">
      <c r="B19" t="s">
        <v>37</v>
      </c>
      <c r="C19" t="s">
        <v>99</v>
      </c>
      <c r="D19">
        <v>7.2</v>
      </c>
      <c r="E19">
        <v>2024</v>
      </c>
      <c r="F19">
        <v>455</v>
      </c>
      <c r="G19">
        <v>204</v>
      </c>
      <c r="H19">
        <v>6</v>
      </c>
      <c r="I19">
        <v>0</v>
      </c>
      <c r="J19">
        <v>4.5999999999999996</v>
      </c>
      <c r="K19" t="s">
        <v>56</v>
      </c>
      <c r="L19">
        <v>430</v>
      </c>
      <c r="M19" t="s">
        <v>100</v>
      </c>
    </row>
    <row r="20" spans="2:13" x14ac:dyDescent="0.25">
      <c r="B20" t="s">
        <v>37</v>
      </c>
      <c r="C20" t="s">
        <v>99</v>
      </c>
      <c r="D20">
        <v>7.9</v>
      </c>
      <c r="E20">
        <v>2024</v>
      </c>
      <c r="F20">
        <v>466</v>
      </c>
      <c r="G20">
        <v>222</v>
      </c>
      <c r="H20">
        <v>6</v>
      </c>
      <c r="I20">
        <v>0</v>
      </c>
      <c r="J20">
        <v>4.9000000000000004</v>
      </c>
      <c r="K20" t="s">
        <v>56</v>
      </c>
      <c r="L20">
        <v>460</v>
      </c>
      <c r="M20" t="s">
        <v>15</v>
      </c>
    </row>
    <row r="21" spans="2:13" x14ac:dyDescent="0.25">
      <c r="B21" t="s">
        <v>37</v>
      </c>
      <c r="C21" t="s">
        <v>99</v>
      </c>
      <c r="D21">
        <v>8.6</v>
      </c>
      <c r="E21">
        <v>2024</v>
      </c>
      <c r="F21">
        <v>484</v>
      </c>
      <c r="G21">
        <v>232</v>
      </c>
      <c r="H21">
        <v>6</v>
      </c>
      <c r="I21">
        <v>0</v>
      </c>
      <c r="J21">
        <v>5.2</v>
      </c>
      <c r="K21" t="s">
        <v>56</v>
      </c>
      <c r="L21">
        <v>460</v>
      </c>
      <c r="M21" t="s">
        <v>15</v>
      </c>
    </row>
    <row r="22" spans="2:13" x14ac:dyDescent="0.25">
      <c r="B22" t="s">
        <v>37</v>
      </c>
      <c r="C22" t="s">
        <v>98</v>
      </c>
      <c r="D22">
        <v>5.5</v>
      </c>
      <c r="E22">
        <v>2024</v>
      </c>
      <c r="F22">
        <v>417</v>
      </c>
      <c r="G22">
        <v>178</v>
      </c>
      <c r="H22">
        <v>6</v>
      </c>
      <c r="I22">
        <v>2</v>
      </c>
      <c r="J22">
        <v>4.4000000000000004</v>
      </c>
      <c r="K22" t="s">
        <v>96</v>
      </c>
      <c r="L22">
        <v>400</v>
      </c>
      <c r="M22" t="s">
        <v>100</v>
      </c>
    </row>
    <row r="23" spans="2:13" x14ac:dyDescent="0.25">
      <c r="B23" t="s">
        <v>37</v>
      </c>
      <c r="C23" t="s">
        <v>98</v>
      </c>
      <c r="D23">
        <v>6</v>
      </c>
      <c r="E23">
        <v>2024</v>
      </c>
      <c r="F23">
        <v>430</v>
      </c>
      <c r="G23">
        <v>184</v>
      </c>
      <c r="H23">
        <v>6</v>
      </c>
      <c r="I23">
        <v>2</v>
      </c>
      <c r="J23">
        <v>4.5</v>
      </c>
      <c r="K23" t="s">
        <v>56</v>
      </c>
      <c r="L23">
        <v>430</v>
      </c>
      <c r="M23" t="s">
        <v>100</v>
      </c>
    </row>
    <row r="24" spans="2:13" x14ac:dyDescent="0.25">
      <c r="B24" t="s">
        <v>37</v>
      </c>
      <c r="C24" t="s">
        <v>98</v>
      </c>
      <c r="D24">
        <v>6.5</v>
      </c>
      <c r="E24">
        <v>2024</v>
      </c>
      <c r="F24">
        <v>442</v>
      </c>
      <c r="G24">
        <v>192</v>
      </c>
      <c r="H24">
        <v>6</v>
      </c>
      <c r="I24">
        <v>2</v>
      </c>
      <c r="J24">
        <v>4.5999999999999996</v>
      </c>
      <c r="K24" t="s">
        <v>56</v>
      </c>
      <c r="L24">
        <v>430</v>
      </c>
      <c r="M24" t="s">
        <v>100</v>
      </c>
    </row>
    <row r="25" spans="2:13" x14ac:dyDescent="0.25">
      <c r="B25" t="s">
        <v>37</v>
      </c>
      <c r="C25" t="s">
        <v>98</v>
      </c>
      <c r="D25">
        <v>7.1</v>
      </c>
      <c r="E25">
        <v>2024</v>
      </c>
      <c r="F25">
        <v>457</v>
      </c>
      <c r="G25">
        <v>203</v>
      </c>
      <c r="H25">
        <v>6</v>
      </c>
      <c r="I25">
        <v>2</v>
      </c>
      <c r="J25">
        <v>4.8</v>
      </c>
      <c r="K25" t="s">
        <v>56</v>
      </c>
      <c r="L25">
        <v>430</v>
      </c>
      <c r="M25" t="s">
        <v>100</v>
      </c>
    </row>
    <row r="26" spans="2:13" x14ac:dyDescent="0.25">
      <c r="B26" t="s">
        <v>37</v>
      </c>
      <c r="C26" t="s">
        <v>98</v>
      </c>
      <c r="D26">
        <v>7.8</v>
      </c>
      <c r="E26">
        <v>2024</v>
      </c>
      <c r="F26">
        <v>465</v>
      </c>
      <c r="G26">
        <v>215</v>
      </c>
      <c r="H26">
        <v>6</v>
      </c>
      <c r="I26">
        <v>2</v>
      </c>
      <c r="J26">
        <v>5.0999999999999996</v>
      </c>
      <c r="K26" t="s">
        <v>56</v>
      </c>
      <c r="L26">
        <v>460</v>
      </c>
      <c r="M26" t="s">
        <v>15</v>
      </c>
    </row>
    <row r="27" spans="2:13" x14ac:dyDescent="0.25">
      <c r="B27" t="s">
        <v>37</v>
      </c>
      <c r="C27" t="s">
        <v>98</v>
      </c>
      <c r="D27">
        <v>8.5</v>
      </c>
      <c r="E27">
        <v>2024</v>
      </c>
      <c r="F27">
        <v>494</v>
      </c>
      <c r="G27">
        <v>225</v>
      </c>
      <c r="H27">
        <v>6</v>
      </c>
      <c r="I27">
        <v>2</v>
      </c>
      <c r="J27">
        <v>5.3</v>
      </c>
      <c r="K27" t="s">
        <v>56</v>
      </c>
      <c r="L27">
        <v>490</v>
      </c>
      <c r="M27" t="s">
        <v>15</v>
      </c>
    </row>
    <row r="28" spans="2:13" x14ac:dyDescent="0.25">
      <c r="B28" t="s">
        <v>37</v>
      </c>
      <c r="C28" t="s">
        <v>102</v>
      </c>
      <c r="D28">
        <v>4.9000000000000004</v>
      </c>
      <c r="E28">
        <v>2024</v>
      </c>
      <c r="F28">
        <v>398</v>
      </c>
      <c r="G28">
        <v>163</v>
      </c>
      <c r="H28">
        <v>5</v>
      </c>
      <c r="I28">
        <v>0</v>
      </c>
      <c r="J28">
        <v>3.6</v>
      </c>
      <c r="K28" t="s">
        <v>96</v>
      </c>
      <c r="L28">
        <v>400</v>
      </c>
      <c r="M28" t="s">
        <v>100</v>
      </c>
    </row>
    <row r="29" spans="2:13" x14ac:dyDescent="0.25">
      <c r="B29" t="s">
        <v>37</v>
      </c>
      <c r="C29" t="s">
        <v>102</v>
      </c>
      <c r="D29">
        <v>5.4</v>
      </c>
      <c r="E29">
        <v>2024</v>
      </c>
      <c r="F29">
        <v>416</v>
      </c>
      <c r="G29">
        <v>168</v>
      </c>
      <c r="H29">
        <v>5</v>
      </c>
      <c r="I29">
        <v>0</v>
      </c>
      <c r="J29">
        <v>3.7</v>
      </c>
      <c r="K29" t="s">
        <v>96</v>
      </c>
      <c r="L29" t="s">
        <v>101</v>
      </c>
      <c r="M29" t="s">
        <v>100</v>
      </c>
    </row>
    <row r="30" spans="2:13" x14ac:dyDescent="0.25">
      <c r="B30" t="s">
        <v>37</v>
      </c>
      <c r="C30" t="s">
        <v>102</v>
      </c>
      <c r="D30">
        <v>5.9</v>
      </c>
      <c r="E30">
        <v>2024</v>
      </c>
      <c r="F30">
        <v>431</v>
      </c>
      <c r="G30">
        <v>177</v>
      </c>
      <c r="H30">
        <v>5</v>
      </c>
      <c r="I30">
        <v>0</v>
      </c>
      <c r="J30">
        <v>3.9</v>
      </c>
      <c r="K30" t="s">
        <v>56</v>
      </c>
      <c r="L30">
        <v>430</v>
      </c>
      <c r="M30" t="s">
        <v>100</v>
      </c>
    </row>
    <row r="31" spans="2:13" x14ac:dyDescent="0.25">
      <c r="B31" t="s">
        <v>37</v>
      </c>
      <c r="C31" t="s">
        <v>102</v>
      </c>
      <c r="D31">
        <v>6.5</v>
      </c>
      <c r="E31">
        <v>2024</v>
      </c>
      <c r="F31">
        <v>443</v>
      </c>
      <c r="G31">
        <v>190</v>
      </c>
      <c r="H31">
        <v>5</v>
      </c>
      <c r="I31">
        <v>0</v>
      </c>
      <c r="J31">
        <v>4.0999999999999996</v>
      </c>
      <c r="K31" t="s">
        <v>56</v>
      </c>
      <c r="L31">
        <v>430</v>
      </c>
      <c r="M31" t="s">
        <v>100</v>
      </c>
    </row>
    <row r="32" spans="2:13" x14ac:dyDescent="0.25">
      <c r="B32" t="s">
        <v>37</v>
      </c>
      <c r="C32" t="s">
        <v>102</v>
      </c>
      <c r="D32">
        <v>7.1</v>
      </c>
      <c r="E32">
        <v>2024</v>
      </c>
      <c r="F32">
        <v>457</v>
      </c>
      <c r="G32">
        <v>202</v>
      </c>
      <c r="H32">
        <v>5</v>
      </c>
      <c r="I32">
        <v>0</v>
      </c>
      <c r="J32">
        <v>4.3</v>
      </c>
      <c r="K32" t="s">
        <v>56</v>
      </c>
      <c r="L32">
        <v>430</v>
      </c>
      <c r="M32" t="s">
        <v>100</v>
      </c>
    </row>
    <row r="33" spans="2:13" x14ac:dyDescent="0.25">
      <c r="B33" t="s">
        <v>37</v>
      </c>
      <c r="C33" t="s">
        <v>102</v>
      </c>
      <c r="D33">
        <v>7.8</v>
      </c>
      <c r="E33">
        <v>2024</v>
      </c>
      <c r="F33">
        <v>475</v>
      </c>
      <c r="G33">
        <v>215</v>
      </c>
      <c r="H33">
        <v>5</v>
      </c>
      <c r="I33">
        <v>0</v>
      </c>
      <c r="J33">
        <v>4.5999999999999996</v>
      </c>
      <c r="K33" t="s">
        <v>56</v>
      </c>
      <c r="L33">
        <v>460</v>
      </c>
      <c r="M33" t="s">
        <v>100</v>
      </c>
    </row>
    <row r="34" spans="2:13" x14ac:dyDescent="0.25">
      <c r="B34" t="s">
        <v>37</v>
      </c>
      <c r="C34" t="s">
        <v>103</v>
      </c>
      <c r="D34">
        <v>3.7</v>
      </c>
      <c r="E34">
        <v>2023</v>
      </c>
      <c r="F34">
        <v>370</v>
      </c>
      <c r="G34">
        <v>146</v>
      </c>
      <c r="H34">
        <v>5</v>
      </c>
      <c r="I34">
        <v>0</v>
      </c>
      <c r="J34" t="s">
        <v>104</v>
      </c>
      <c r="K34" t="s">
        <v>56</v>
      </c>
      <c r="L34">
        <v>370</v>
      </c>
      <c r="M34" t="s">
        <v>55</v>
      </c>
    </row>
    <row r="35" spans="2:13" x14ac:dyDescent="0.25">
      <c r="B35" t="s">
        <v>37</v>
      </c>
      <c r="C35" t="s">
        <v>103</v>
      </c>
      <c r="D35">
        <v>4.2</v>
      </c>
      <c r="E35">
        <v>2023</v>
      </c>
      <c r="F35">
        <v>388</v>
      </c>
      <c r="G35">
        <v>150</v>
      </c>
      <c r="H35">
        <v>5</v>
      </c>
      <c r="I35">
        <v>0</v>
      </c>
      <c r="J35" t="s">
        <v>104</v>
      </c>
      <c r="K35" t="s">
        <v>56</v>
      </c>
      <c r="L35">
        <v>370</v>
      </c>
      <c r="M35" t="s">
        <v>55</v>
      </c>
    </row>
    <row r="36" spans="2:13" x14ac:dyDescent="0.25">
      <c r="B36" t="s">
        <v>37</v>
      </c>
      <c r="C36" t="s">
        <v>103</v>
      </c>
      <c r="D36">
        <v>4.7</v>
      </c>
      <c r="E36">
        <v>2023</v>
      </c>
      <c r="F36">
        <v>406</v>
      </c>
      <c r="G36">
        <v>156</v>
      </c>
      <c r="H36">
        <v>5</v>
      </c>
      <c r="I36">
        <v>0</v>
      </c>
      <c r="J36" t="s">
        <v>104</v>
      </c>
      <c r="K36" t="s">
        <v>56</v>
      </c>
      <c r="L36">
        <v>400</v>
      </c>
      <c r="M36" t="s">
        <v>55</v>
      </c>
    </row>
    <row r="37" spans="2:13" x14ac:dyDescent="0.25">
      <c r="B37" t="s">
        <v>37</v>
      </c>
      <c r="C37" t="s">
        <v>103</v>
      </c>
      <c r="D37">
        <v>5.2</v>
      </c>
      <c r="E37">
        <v>2023</v>
      </c>
      <c r="F37">
        <v>424</v>
      </c>
      <c r="G37">
        <v>162</v>
      </c>
      <c r="H37">
        <v>5</v>
      </c>
      <c r="I37">
        <v>0</v>
      </c>
      <c r="J37" t="s">
        <v>104</v>
      </c>
      <c r="K37" t="s">
        <v>56</v>
      </c>
      <c r="L37">
        <v>400</v>
      </c>
      <c r="M37" t="s">
        <v>55</v>
      </c>
    </row>
    <row r="38" spans="2:13" x14ac:dyDescent="0.25">
      <c r="B38" t="s">
        <v>37</v>
      </c>
      <c r="C38" t="s">
        <v>103</v>
      </c>
      <c r="D38">
        <v>5.7</v>
      </c>
      <c r="E38">
        <v>2023</v>
      </c>
      <c r="F38">
        <v>442</v>
      </c>
      <c r="G38">
        <v>170</v>
      </c>
      <c r="H38">
        <v>5</v>
      </c>
      <c r="I38">
        <v>0</v>
      </c>
      <c r="J38" t="s">
        <v>104</v>
      </c>
      <c r="K38" t="s">
        <v>56</v>
      </c>
      <c r="L38">
        <v>430</v>
      </c>
      <c r="M38" t="s">
        <v>55</v>
      </c>
    </row>
    <row r="39" spans="2:13" x14ac:dyDescent="0.25">
      <c r="B39" t="s">
        <v>37</v>
      </c>
      <c r="C39" t="s">
        <v>103</v>
      </c>
      <c r="D39">
        <v>6.2</v>
      </c>
      <c r="E39">
        <v>2023</v>
      </c>
      <c r="F39">
        <v>460</v>
      </c>
      <c r="G39">
        <v>178</v>
      </c>
      <c r="H39">
        <v>5</v>
      </c>
      <c r="I39">
        <v>0</v>
      </c>
      <c r="J39" t="s">
        <v>104</v>
      </c>
      <c r="K39" t="s">
        <v>56</v>
      </c>
      <c r="L39">
        <v>430</v>
      </c>
      <c r="M39" t="s">
        <v>55</v>
      </c>
    </row>
    <row r="40" spans="2:13" x14ac:dyDescent="0.25">
      <c r="B40" t="s">
        <v>37</v>
      </c>
      <c r="C40" t="s">
        <v>105</v>
      </c>
      <c r="D40">
        <v>3.4</v>
      </c>
      <c r="E40">
        <v>2023</v>
      </c>
      <c r="F40">
        <v>360</v>
      </c>
      <c r="G40">
        <v>140</v>
      </c>
      <c r="H40">
        <v>4</v>
      </c>
      <c r="I40">
        <v>0</v>
      </c>
      <c r="J40" t="s">
        <v>104</v>
      </c>
      <c r="K40" t="s">
        <v>56</v>
      </c>
      <c r="L40">
        <v>340</v>
      </c>
      <c r="M40" t="s">
        <v>55</v>
      </c>
    </row>
    <row r="41" spans="2:13" x14ac:dyDescent="0.25">
      <c r="B41" t="s">
        <v>37</v>
      </c>
      <c r="C41" t="s">
        <v>105</v>
      </c>
      <c r="D41">
        <v>3.7</v>
      </c>
      <c r="E41">
        <v>2023</v>
      </c>
      <c r="F41">
        <v>372</v>
      </c>
      <c r="G41">
        <v>144</v>
      </c>
      <c r="H41">
        <v>4</v>
      </c>
      <c r="I41">
        <v>0</v>
      </c>
      <c r="J41" t="s">
        <v>104</v>
      </c>
      <c r="K41" t="s">
        <v>56</v>
      </c>
      <c r="L41">
        <v>370</v>
      </c>
      <c r="M41" t="s">
        <v>55</v>
      </c>
    </row>
    <row r="42" spans="2:13" x14ac:dyDescent="0.25">
      <c r="B42" t="s">
        <v>37</v>
      </c>
      <c r="C42" t="s">
        <v>105</v>
      </c>
      <c r="D42">
        <v>4.2</v>
      </c>
      <c r="E42">
        <v>2023</v>
      </c>
      <c r="F42">
        <v>390</v>
      </c>
      <c r="G42">
        <v>150</v>
      </c>
      <c r="H42">
        <v>4</v>
      </c>
      <c r="I42">
        <v>0</v>
      </c>
      <c r="J42" t="s">
        <v>104</v>
      </c>
      <c r="K42" t="s">
        <v>56</v>
      </c>
      <c r="L42">
        <v>370</v>
      </c>
      <c r="M42" t="s">
        <v>55</v>
      </c>
    </row>
    <row r="43" spans="2:13" x14ac:dyDescent="0.25">
      <c r="B43" t="s">
        <v>37</v>
      </c>
      <c r="C43" t="s">
        <v>105</v>
      </c>
      <c r="D43">
        <v>4.7</v>
      </c>
      <c r="E43">
        <v>2023</v>
      </c>
      <c r="F43">
        <v>408</v>
      </c>
      <c r="G43">
        <v>156</v>
      </c>
      <c r="H43">
        <v>4</v>
      </c>
      <c r="I43">
        <v>0</v>
      </c>
      <c r="J43" t="s">
        <v>104</v>
      </c>
      <c r="K43" t="s">
        <v>56</v>
      </c>
      <c r="L43">
        <v>400</v>
      </c>
      <c r="M43" t="s">
        <v>55</v>
      </c>
    </row>
    <row r="44" spans="2:13" x14ac:dyDescent="0.25">
      <c r="B44" t="s">
        <v>37</v>
      </c>
      <c r="C44" t="s">
        <v>105</v>
      </c>
      <c r="D44">
        <v>5.2</v>
      </c>
      <c r="E44">
        <v>2023</v>
      </c>
      <c r="F44">
        <v>426</v>
      </c>
      <c r="G44">
        <v>162</v>
      </c>
      <c r="H44">
        <v>4</v>
      </c>
      <c r="I44">
        <v>0</v>
      </c>
      <c r="J44" t="s">
        <v>104</v>
      </c>
      <c r="K44" t="s">
        <v>56</v>
      </c>
      <c r="L44">
        <v>400</v>
      </c>
      <c r="M44" t="s">
        <v>55</v>
      </c>
    </row>
    <row r="45" spans="2:13" x14ac:dyDescent="0.25">
      <c r="B45" t="s">
        <v>37</v>
      </c>
      <c r="C45" t="s">
        <v>105</v>
      </c>
      <c r="D45">
        <v>5.7</v>
      </c>
      <c r="E45">
        <v>2023</v>
      </c>
      <c r="F45">
        <v>444</v>
      </c>
      <c r="G45">
        <v>170</v>
      </c>
      <c r="H45">
        <v>4</v>
      </c>
      <c r="I45">
        <v>0</v>
      </c>
      <c r="J45" t="s">
        <v>104</v>
      </c>
      <c r="K45" t="s">
        <v>56</v>
      </c>
      <c r="L45">
        <v>430</v>
      </c>
      <c r="M45" t="s">
        <v>55</v>
      </c>
    </row>
    <row r="46" spans="2:13" x14ac:dyDescent="0.25">
      <c r="B46" t="s">
        <v>37</v>
      </c>
      <c r="C46" t="s">
        <v>102</v>
      </c>
      <c r="D46">
        <v>5.4</v>
      </c>
      <c r="E46">
        <v>2023</v>
      </c>
      <c r="F46">
        <v>420</v>
      </c>
      <c r="G46">
        <v>176</v>
      </c>
      <c r="H46">
        <v>5</v>
      </c>
      <c r="I46">
        <v>0</v>
      </c>
      <c r="J46" t="s">
        <v>104</v>
      </c>
      <c r="K46" t="s">
        <v>96</v>
      </c>
      <c r="L46">
        <v>400</v>
      </c>
      <c r="M46" t="s">
        <v>100</v>
      </c>
    </row>
    <row r="47" spans="2:13" x14ac:dyDescent="0.25">
      <c r="B47" t="s">
        <v>37</v>
      </c>
      <c r="C47" t="s">
        <v>99</v>
      </c>
      <c r="D47">
        <v>4.8</v>
      </c>
      <c r="E47">
        <v>2023</v>
      </c>
      <c r="F47">
        <v>402</v>
      </c>
      <c r="G47">
        <v>167</v>
      </c>
      <c r="H47">
        <v>6</v>
      </c>
      <c r="I47">
        <v>0</v>
      </c>
      <c r="J47" t="s">
        <v>104</v>
      </c>
      <c r="K47" t="s">
        <v>96</v>
      </c>
      <c r="L47">
        <v>400</v>
      </c>
      <c r="M47" t="s">
        <v>100</v>
      </c>
    </row>
    <row r="48" spans="2:13" x14ac:dyDescent="0.25">
      <c r="B48" t="s">
        <v>37</v>
      </c>
      <c r="C48" t="s">
        <v>99</v>
      </c>
      <c r="D48">
        <v>5.4</v>
      </c>
      <c r="E48">
        <v>2023</v>
      </c>
      <c r="F48">
        <v>420</v>
      </c>
      <c r="G48">
        <v>170</v>
      </c>
      <c r="H48">
        <v>6</v>
      </c>
      <c r="I48">
        <v>0</v>
      </c>
      <c r="J48" t="s">
        <v>104</v>
      </c>
      <c r="K48" t="s">
        <v>96</v>
      </c>
      <c r="L48">
        <v>400</v>
      </c>
      <c r="M48" t="s">
        <v>100</v>
      </c>
    </row>
    <row r="49" spans="2:13" x14ac:dyDescent="0.25">
      <c r="B49" t="s">
        <v>37</v>
      </c>
      <c r="C49" t="s">
        <v>98</v>
      </c>
      <c r="D49">
        <v>5.5</v>
      </c>
      <c r="E49">
        <v>2023</v>
      </c>
      <c r="F49">
        <v>419</v>
      </c>
      <c r="G49">
        <v>180</v>
      </c>
      <c r="H49">
        <v>6</v>
      </c>
      <c r="I49">
        <v>2</v>
      </c>
      <c r="J49" t="s">
        <v>104</v>
      </c>
      <c r="K49" t="s">
        <v>96</v>
      </c>
      <c r="L49">
        <v>400</v>
      </c>
      <c r="M49" t="s">
        <v>100</v>
      </c>
    </row>
    <row r="50" spans="2:13" x14ac:dyDescent="0.25">
      <c r="B50" t="s">
        <v>37</v>
      </c>
      <c r="C50" t="s">
        <v>102</v>
      </c>
      <c r="D50">
        <v>5.9</v>
      </c>
      <c r="E50">
        <v>2023</v>
      </c>
      <c r="F50">
        <v>431</v>
      </c>
      <c r="G50">
        <v>184</v>
      </c>
      <c r="H50">
        <v>5</v>
      </c>
      <c r="I50">
        <v>0</v>
      </c>
      <c r="J50" t="s">
        <v>104</v>
      </c>
      <c r="K50" t="s">
        <v>56</v>
      </c>
      <c r="L50">
        <v>430</v>
      </c>
      <c r="M50" t="s">
        <v>100</v>
      </c>
    </row>
    <row r="51" spans="2:13" x14ac:dyDescent="0.25">
      <c r="B51" t="s">
        <v>37</v>
      </c>
      <c r="C51" t="s">
        <v>99</v>
      </c>
      <c r="D51">
        <v>6</v>
      </c>
      <c r="E51">
        <v>2023</v>
      </c>
      <c r="F51">
        <v>431</v>
      </c>
      <c r="G51">
        <v>183</v>
      </c>
      <c r="H51">
        <v>6</v>
      </c>
      <c r="I51">
        <v>0</v>
      </c>
      <c r="J51" t="s">
        <v>104</v>
      </c>
      <c r="K51" t="s">
        <v>56</v>
      </c>
      <c r="L51">
        <v>430</v>
      </c>
      <c r="M51" t="s">
        <v>100</v>
      </c>
    </row>
    <row r="52" spans="2:13" x14ac:dyDescent="0.25">
      <c r="B52" t="s">
        <v>37</v>
      </c>
      <c r="C52" t="s">
        <v>98</v>
      </c>
      <c r="D52">
        <v>6</v>
      </c>
      <c r="E52">
        <v>2023</v>
      </c>
      <c r="F52">
        <v>432</v>
      </c>
      <c r="G52">
        <v>186</v>
      </c>
      <c r="H52">
        <v>6</v>
      </c>
      <c r="I52">
        <v>2</v>
      </c>
      <c r="J52" t="s">
        <v>104</v>
      </c>
      <c r="K52" t="s">
        <v>56</v>
      </c>
      <c r="L52">
        <v>430</v>
      </c>
      <c r="M52" t="s">
        <v>100</v>
      </c>
    </row>
    <row r="53" spans="2:13" x14ac:dyDescent="0.25">
      <c r="B53" t="s">
        <v>37</v>
      </c>
      <c r="C53" t="s">
        <v>102</v>
      </c>
      <c r="D53">
        <v>6.5</v>
      </c>
      <c r="E53">
        <v>2023</v>
      </c>
      <c r="F53">
        <v>446</v>
      </c>
      <c r="G53">
        <v>197</v>
      </c>
      <c r="H53">
        <v>5</v>
      </c>
      <c r="I53">
        <v>0</v>
      </c>
      <c r="J53" t="s">
        <v>104</v>
      </c>
      <c r="K53" t="s">
        <v>56</v>
      </c>
      <c r="L53">
        <v>430</v>
      </c>
      <c r="M53" t="s">
        <v>100</v>
      </c>
    </row>
    <row r="54" spans="2:13" x14ac:dyDescent="0.25">
      <c r="B54" t="s">
        <v>37</v>
      </c>
      <c r="C54" t="s">
        <v>98</v>
      </c>
      <c r="D54">
        <v>6.5</v>
      </c>
      <c r="E54">
        <v>2023</v>
      </c>
      <c r="F54">
        <v>444</v>
      </c>
      <c r="G54">
        <v>198</v>
      </c>
      <c r="H54">
        <v>6</v>
      </c>
      <c r="I54">
        <v>2</v>
      </c>
      <c r="J54" t="s">
        <v>104</v>
      </c>
      <c r="K54" t="s">
        <v>56</v>
      </c>
      <c r="L54">
        <v>430</v>
      </c>
      <c r="M54" t="s">
        <v>100</v>
      </c>
    </row>
    <row r="55" spans="2:13" x14ac:dyDescent="0.25">
      <c r="B55" t="s">
        <v>37</v>
      </c>
      <c r="C55" t="s">
        <v>99</v>
      </c>
      <c r="D55">
        <v>6.6</v>
      </c>
      <c r="E55">
        <v>2023</v>
      </c>
      <c r="F55">
        <v>440</v>
      </c>
      <c r="G55">
        <v>198</v>
      </c>
      <c r="H55">
        <v>6</v>
      </c>
      <c r="I55">
        <v>0</v>
      </c>
      <c r="J55" t="s">
        <v>104</v>
      </c>
      <c r="K55" t="s">
        <v>56</v>
      </c>
      <c r="L55">
        <v>430</v>
      </c>
      <c r="M55" t="s">
        <v>100</v>
      </c>
    </row>
    <row r="56" spans="2:13" x14ac:dyDescent="0.25">
      <c r="B56" t="s">
        <v>37</v>
      </c>
      <c r="C56" t="s">
        <v>102</v>
      </c>
      <c r="D56">
        <v>7.1</v>
      </c>
      <c r="E56">
        <v>2023</v>
      </c>
      <c r="F56">
        <v>456</v>
      </c>
      <c r="G56">
        <v>210</v>
      </c>
      <c r="H56">
        <v>5</v>
      </c>
      <c r="I56">
        <v>0</v>
      </c>
      <c r="J56" t="s">
        <v>104</v>
      </c>
      <c r="K56" t="s">
        <v>56</v>
      </c>
      <c r="L56">
        <v>430</v>
      </c>
      <c r="M56" t="s">
        <v>100</v>
      </c>
    </row>
    <row r="57" spans="2:13" x14ac:dyDescent="0.25">
      <c r="B57" t="s">
        <v>37</v>
      </c>
      <c r="C57" t="s">
        <v>98</v>
      </c>
      <c r="D57">
        <v>7.1</v>
      </c>
      <c r="E57">
        <v>2023</v>
      </c>
      <c r="F57">
        <v>458</v>
      </c>
      <c r="G57">
        <v>210</v>
      </c>
      <c r="H57">
        <v>6</v>
      </c>
      <c r="I57">
        <v>2</v>
      </c>
      <c r="J57" t="s">
        <v>104</v>
      </c>
      <c r="K57" t="s">
        <v>56</v>
      </c>
      <c r="L57">
        <v>430</v>
      </c>
      <c r="M57" t="s">
        <v>100</v>
      </c>
    </row>
    <row r="58" spans="2:13" x14ac:dyDescent="0.25">
      <c r="B58" t="s">
        <v>37</v>
      </c>
      <c r="C58" t="s">
        <v>99</v>
      </c>
      <c r="D58">
        <v>7.2</v>
      </c>
      <c r="E58">
        <v>2023</v>
      </c>
      <c r="F58">
        <v>456</v>
      </c>
      <c r="G58">
        <v>221</v>
      </c>
      <c r="H58">
        <v>6</v>
      </c>
      <c r="I58">
        <v>0</v>
      </c>
      <c r="J58" t="s">
        <v>104</v>
      </c>
      <c r="K58" t="s">
        <v>56</v>
      </c>
      <c r="L58">
        <v>430</v>
      </c>
      <c r="M58" t="s">
        <v>100</v>
      </c>
    </row>
    <row r="59" spans="2:13" x14ac:dyDescent="0.25">
      <c r="B59" t="s">
        <v>37</v>
      </c>
      <c r="C59" t="s">
        <v>102</v>
      </c>
      <c r="D59">
        <v>7.8</v>
      </c>
      <c r="E59">
        <v>2023</v>
      </c>
      <c r="F59">
        <v>476</v>
      </c>
      <c r="G59">
        <v>224</v>
      </c>
      <c r="H59">
        <v>5</v>
      </c>
      <c r="I59">
        <v>0</v>
      </c>
      <c r="J59" t="s">
        <v>104</v>
      </c>
      <c r="K59" t="s">
        <v>56</v>
      </c>
      <c r="L59">
        <v>460</v>
      </c>
      <c r="M59" t="s">
        <v>100</v>
      </c>
    </row>
    <row r="60" spans="2:13" x14ac:dyDescent="0.25">
      <c r="B60" t="s">
        <v>37</v>
      </c>
      <c r="C60" t="s">
        <v>98</v>
      </c>
      <c r="D60">
        <v>7.8</v>
      </c>
      <c r="E60">
        <v>2023</v>
      </c>
      <c r="F60">
        <v>477</v>
      </c>
      <c r="G60">
        <v>219</v>
      </c>
      <c r="H60">
        <v>6</v>
      </c>
      <c r="I60">
        <v>2</v>
      </c>
      <c r="J60" t="s">
        <v>104</v>
      </c>
      <c r="K60" t="s">
        <v>56</v>
      </c>
      <c r="L60">
        <v>460</v>
      </c>
      <c r="M60" t="s">
        <v>15</v>
      </c>
    </row>
    <row r="61" spans="2:13" x14ac:dyDescent="0.25">
      <c r="B61" t="s">
        <v>37</v>
      </c>
      <c r="C61" t="s">
        <v>99</v>
      </c>
      <c r="D61">
        <v>7.9</v>
      </c>
      <c r="E61">
        <v>2023</v>
      </c>
      <c r="F61">
        <v>469</v>
      </c>
      <c r="G61">
        <v>229</v>
      </c>
      <c r="H61">
        <v>6</v>
      </c>
      <c r="I61">
        <v>0</v>
      </c>
      <c r="J61" t="s">
        <v>104</v>
      </c>
      <c r="K61" t="s">
        <v>56</v>
      </c>
      <c r="L61">
        <v>460</v>
      </c>
      <c r="M61" t="s">
        <v>15</v>
      </c>
    </row>
    <row r="62" spans="2:13" x14ac:dyDescent="0.25">
      <c r="B62" t="s">
        <v>37</v>
      </c>
      <c r="C62" t="s">
        <v>98</v>
      </c>
      <c r="D62">
        <v>8.5</v>
      </c>
      <c r="E62">
        <v>2023</v>
      </c>
      <c r="F62">
        <v>498</v>
      </c>
      <c r="G62">
        <v>227</v>
      </c>
      <c r="H62">
        <v>6</v>
      </c>
      <c r="I62">
        <v>2</v>
      </c>
      <c r="J62" t="s">
        <v>104</v>
      </c>
      <c r="K62" t="s">
        <v>56</v>
      </c>
      <c r="L62">
        <v>490</v>
      </c>
      <c r="M62" t="s">
        <v>15</v>
      </c>
    </row>
    <row r="63" spans="2:13" x14ac:dyDescent="0.25">
      <c r="B63" t="s">
        <v>37</v>
      </c>
      <c r="C63" t="s">
        <v>99</v>
      </c>
      <c r="D63">
        <v>8.6</v>
      </c>
      <c r="E63">
        <v>2023</v>
      </c>
      <c r="F63">
        <v>486</v>
      </c>
      <c r="G63">
        <v>243</v>
      </c>
      <c r="H63">
        <v>6</v>
      </c>
      <c r="I63">
        <v>0</v>
      </c>
      <c r="J63" t="s">
        <v>104</v>
      </c>
      <c r="K63" t="s">
        <v>56</v>
      </c>
      <c r="L63">
        <v>460</v>
      </c>
      <c r="M63" t="s">
        <v>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A37F2-9D18-469B-91B4-A97DF79F2A25}">
  <dimension ref="A1:L7"/>
  <sheetViews>
    <sheetView workbookViewId="0">
      <selection activeCell="T18" sqref="T18"/>
    </sheetView>
  </sheetViews>
  <sheetFormatPr defaultRowHeight="15" x14ac:dyDescent="0.25"/>
  <cols>
    <col min="7" max="7" width="9.85546875" customWidth="1"/>
    <col min="9" max="9" width="9.7109375" customWidth="1"/>
    <col min="11" max="11" width="14" customWidth="1"/>
    <col min="12" max="12" width="72.85546875" bestFit="1" customWidth="1"/>
  </cols>
  <sheetData>
    <row r="1" spans="1:12" x14ac:dyDescent="0.25">
      <c r="A1" t="s">
        <v>19</v>
      </c>
      <c r="B1" t="s">
        <v>20</v>
      </c>
      <c r="C1" t="s">
        <v>21</v>
      </c>
      <c r="D1" t="s">
        <v>22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111</v>
      </c>
      <c r="L1" t="s">
        <v>106</v>
      </c>
    </row>
    <row r="2" spans="1:12" x14ac:dyDescent="0.25">
      <c r="A2" t="s">
        <v>107</v>
      </c>
      <c r="B2" t="s">
        <v>108</v>
      </c>
      <c r="C2">
        <v>5.4</v>
      </c>
      <c r="D2">
        <v>2026</v>
      </c>
      <c r="E2">
        <v>412</v>
      </c>
      <c r="F2">
        <v>172</v>
      </c>
      <c r="G2">
        <v>7</v>
      </c>
      <c r="H2">
        <v>0</v>
      </c>
      <c r="I2">
        <v>3.8</v>
      </c>
      <c r="J2" t="s">
        <v>112</v>
      </c>
      <c r="K2">
        <v>400</v>
      </c>
      <c r="L2" t="s">
        <v>113</v>
      </c>
    </row>
    <row r="3" spans="1:12" x14ac:dyDescent="0.25">
      <c r="A3" t="s">
        <v>107</v>
      </c>
      <c r="B3" t="s">
        <v>108</v>
      </c>
      <c r="C3">
        <v>5.8</v>
      </c>
      <c r="D3">
        <v>2026</v>
      </c>
      <c r="E3">
        <v>424</v>
      </c>
      <c r="F3">
        <v>178</v>
      </c>
      <c r="G3">
        <v>7</v>
      </c>
      <c r="H3">
        <v>0</v>
      </c>
      <c r="I3">
        <v>3.9</v>
      </c>
      <c r="J3" t="s">
        <v>112</v>
      </c>
      <c r="K3">
        <v>400</v>
      </c>
      <c r="L3" t="s">
        <v>113</v>
      </c>
    </row>
    <row r="4" spans="1:12" x14ac:dyDescent="0.25">
      <c r="A4" t="s">
        <v>107</v>
      </c>
      <c r="B4" t="s">
        <v>108</v>
      </c>
      <c r="C4">
        <v>6.2</v>
      </c>
      <c r="D4">
        <v>2026</v>
      </c>
      <c r="E4">
        <v>446</v>
      </c>
      <c r="F4">
        <v>186</v>
      </c>
      <c r="G4">
        <v>7</v>
      </c>
      <c r="H4">
        <v>0</v>
      </c>
      <c r="I4">
        <v>4.0999999999999996</v>
      </c>
      <c r="J4" t="s">
        <v>112</v>
      </c>
      <c r="K4">
        <v>430</v>
      </c>
      <c r="L4" t="s">
        <v>113</v>
      </c>
    </row>
    <row r="5" spans="1:12" x14ac:dyDescent="0.25">
      <c r="A5" t="s">
        <v>107</v>
      </c>
      <c r="B5" t="s">
        <v>108</v>
      </c>
      <c r="C5">
        <v>6.6</v>
      </c>
      <c r="D5">
        <v>2026</v>
      </c>
      <c r="E5">
        <v>458</v>
      </c>
      <c r="F5">
        <v>194</v>
      </c>
      <c r="G5">
        <v>7</v>
      </c>
      <c r="H5">
        <v>0</v>
      </c>
      <c r="I5">
        <v>4.2</v>
      </c>
      <c r="J5" t="s">
        <v>112</v>
      </c>
      <c r="K5">
        <v>430</v>
      </c>
      <c r="L5" t="s">
        <v>114</v>
      </c>
    </row>
    <row r="6" spans="1:12" x14ac:dyDescent="0.25">
      <c r="A6" t="s">
        <v>107</v>
      </c>
      <c r="B6" t="s">
        <v>108</v>
      </c>
      <c r="C6">
        <v>7.3</v>
      </c>
      <c r="D6">
        <v>2026</v>
      </c>
      <c r="E6">
        <v>482</v>
      </c>
      <c r="F6">
        <v>204</v>
      </c>
      <c r="G6">
        <v>7</v>
      </c>
      <c r="H6">
        <v>0</v>
      </c>
      <c r="I6">
        <v>4.4000000000000004</v>
      </c>
      <c r="J6" t="s">
        <v>112</v>
      </c>
      <c r="K6">
        <v>460</v>
      </c>
      <c r="L6" t="s">
        <v>114</v>
      </c>
    </row>
    <row r="7" spans="1:12" x14ac:dyDescent="0.25">
      <c r="A7" t="s">
        <v>107</v>
      </c>
      <c r="B7" t="s">
        <v>108</v>
      </c>
      <c r="C7">
        <v>7.8</v>
      </c>
      <c r="D7">
        <v>2026</v>
      </c>
      <c r="E7">
        <v>494</v>
      </c>
      <c r="F7">
        <v>210</v>
      </c>
      <c r="G7">
        <v>7</v>
      </c>
      <c r="H7">
        <v>0</v>
      </c>
      <c r="I7">
        <v>4.5999999999999996</v>
      </c>
      <c r="J7" t="s">
        <v>112</v>
      </c>
      <c r="K7">
        <v>460</v>
      </c>
      <c r="L7" t="s">
        <v>115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6A78B-D2EC-432D-8D00-1EF357F465CB}">
  <dimension ref="A1:L7"/>
  <sheetViews>
    <sheetView workbookViewId="0">
      <selection sqref="A1:L7"/>
    </sheetView>
  </sheetViews>
  <sheetFormatPr defaultRowHeight="15" x14ac:dyDescent="0.25"/>
  <cols>
    <col min="7" max="7" width="9.85546875" customWidth="1"/>
    <col min="9" max="9" width="9.7109375" customWidth="1"/>
    <col min="11" max="11" width="14" customWidth="1"/>
    <col min="12" max="12" width="12.28515625" customWidth="1"/>
  </cols>
  <sheetData>
    <row r="1" spans="1:12" x14ac:dyDescent="0.25">
      <c r="A1" t="s">
        <v>19</v>
      </c>
      <c r="B1" t="s">
        <v>20</v>
      </c>
      <c r="C1" t="s">
        <v>21</v>
      </c>
      <c r="D1" t="s">
        <v>22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111</v>
      </c>
      <c r="L1" t="s">
        <v>106</v>
      </c>
    </row>
    <row r="2" spans="1:12" x14ac:dyDescent="0.25">
      <c r="A2" t="s">
        <v>107</v>
      </c>
      <c r="B2" t="s">
        <v>108</v>
      </c>
      <c r="C2">
        <v>5.4</v>
      </c>
      <c r="D2">
        <v>2026</v>
      </c>
      <c r="E2">
        <v>412</v>
      </c>
      <c r="F2">
        <v>172</v>
      </c>
      <c r="G2">
        <v>7</v>
      </c>
      <c r="H2">
        <v>0</v>
      </c>
      <c r="I2">
        <v>3.8</v>
      </c>
      <c r="J2" t="s">
        <v>56</v>
      </c>
      <c r="K2">
        <v>400</v>
      </c>
      <c r="L2" t="s">
        <v>55</v>
      </c>
    </row>
    <row r="3" spans="1:12" x14ac:dyDescent="0.25">
      <c r="A3" t="s">
        <v>107</v>
      </c>
      <c r="B3" t="s">
        <v>108</v>
      </c>
      <c r="C3">
        <v>5.8</v>
      </c>
      <c r="D3">
        <v>2026</v>
      </c>
      <c r="E3">
        <v>424</v>
      </c>
      <c r="F3">
        <v>178</v>
      </c>
      <c r="G3">
        <v>7</v>
      </c>
      <c r="H3">
        <v>0</v>
      </c>
      <c r="I3">
        <v>3.9</v>
      </c>
      <c r="J3" t="s">
        <v>56</v>
      </c>
      <c r="K3">
        <v>400</v>
      </c>
      <c r="L3" t="s">
        <v>55</v>
      </c>
    </row>
    <row r="4" spans="1:12" x14ac:dyDescent="0.25">
      <c r="A4" t="s">
        <v>107</v>
      </c>
      <c r="B4" t="s">
        <v>108</v>
      </c>
      <c r="C4">
        <v>6.2</v>
      </c>
      <c r="D4">
        <v>2026</v>
      </c>
      <c r="E4">
        <v>446</v>
      </c>
      <c r="F4">
        <v>186</v>
      </c>
      <c r="G4">
        <v>7</v>
      </c>
      <c r="H4">
        <v>0</v>
      </c>
      <c r="I4">
        <v>4.0999999999999996</v>
      </c>
      <c r="J4" t="s">
        <v>56</v>
      </c>
      <c r="K4">
        <v>430</v>
      </c>
      <c r="L4" t="s">
        <v>55</v>
      </c>
    </row>
    <row r="5" spans="1:12" x14ac:dyDescent="0.25">
      <c r="A5" t="s">
        <v>107</v>
      </c>
      <c r="B5" t="s">
        <v>108</v>
      </c>
      <c r="C5">
        <v>6.6</v>
      </c>
      <c r="D5">
        <v>2026</v>
      </c>
      <c r="E5">
        <v>458</v>
      </c>
      <c r="F5">
        <v>194</v>
      </c>
      <c r="G5">
        <v>7</v>
      </c>
      <c r="H5">
        <v>0</v>
      </c>
      <c r="I5">
        <v>4.2</v>
      </c>
      <c r="J5" t="s">
        <v>56</v>
      </c>
      <c r="K5">
        <v>430</v>
      </c>
      <c r="L5" t="s">
        <v>109</v>
      </c>
    </row>
    <row r="6" spans="1:12" x14ac:dyDescent="0.25">
      <c r="A6" t="s">
        <v>107</v>
      </c>
      <c r="B6" t="s">
        <v>108</v>
      </c>
      <c r="C6">
        <v>7.3</v>
      </c>
      <c r="D6">
        <v>2026</v>
      </c>
      <c r="E6">
        <v>482</v>
      </c>
      <c r="F6">
        <v>204</v>
      </c>
      <c r="G6">
        <v>7</v>
      </c>
      <c r="H6">
        <v>0</v>
      </c>
      <c r="I6">
        <v>4.4000000000000004</v>
      </c>
      <c r="J6" t="s">
        <v>56</v>
      </c>
      <c r="K6">
        <v>460</v>
      </c>
      <c r="L6" t="s">
        <v>109</v>
      </c>
    </row>
    <row r="7" spans="1:12" x14ac:dyDescent="0.25">
      <c r="A7" t="s">
        <v>107</v>
      </c>
      <c r="B7" t="s">
        <v>108</v>
      </c>
      <c r="C7">
        <v>7.8</v>
      </c>
      <c r="D7">
        <v>2026</v>
      </c>
      <c r="E7">
        <v>494</v>
      </c>
      <c r="F7">
        <v>210</v>
      </c>
      <c r="G7">
        <v>7</v>
      </c>
      <c r="H7">
        <v>0</v>
      </c>
      <c r="I7">
        <v>4.5999999999999996</v>
      </c>
      <c r="J7" t="s">
        <v>56</v>
      </c>
      <c r="K7">
        <v>460</v>
      </c>
      <c r="L7" t="s">
        <v>110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574437-CA01-4B3A-BFC1-C80E8F6A7F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Sails</vt:lpstr>
      <vt:lpstr>GPS_Validation</vt:lpstr>
      <vt:lpstr>Temp-Berra-mall</vt:lpstr>
      <vt:lpstr>AI-Prompt</vt:lpstr>
      <vt:lpstr>Temp-Berra</vt:lpstr>
      <vt:lpstr>Temp-Berra2-NP</vt:lpstr>
      <vt:lpstr>Temp-Berra-3-Loftsails</vt:lpstr>
      <vt:lpstr>Temp-Berra-Simmer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2026-05-08T18:36:49Z</dcterms:modified>
</cp:coreProperties>
</file>